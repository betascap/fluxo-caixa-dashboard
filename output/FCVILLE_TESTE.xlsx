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3735" windowWidth="29040" windowHeight="15720" tabRatio="600" firstSheet="1" activeTab="1" autoFilterDateGrouping="1"/>
  </bookViews>
  <sheets>
    <sheet name="FC Total (6 lotes)" sheetId="1" state="hidden" r:id="rId1"/>
    <sheet name="FC Total (5 lotes)" sheetId="2" state="visible" r:id="rId2"/>
    <sheet name="FC Total (7 lotes)" sheetId="3" state="visible" r:id="rId3"/>
    <sheet name="FC Total (10 lotes)" sheetId="4" state="visible" r:id="rId4"/>
    <sheet name="Planilha4" sheetId="5" state="visible" r:id="rId5"/>
    <sheet name="TIR e VPL" sheetId="6" state="visible" r:id="rId6"/>
    <sheet name="Resultados" sheetId="7" state="visible" r:id="rId7"/>
    <sheet name="Distribuição" sheetId="8" state="visible" r:id="rId8"/>
    <sheet name="Planilha2" sheetId="9" state="hidden" r:id="rId9"/>
    <sheet name="Planilha1" sheetId="10" state="hidden" r:id="rId10"/>
    <sheet name="Painel Aporte Dev Dist" sheetId="11" state="hidden" r:id="rId11"/>
    <sheet name="Comparativo 5 vs 7 e 5 vs 10" sheetId="12" state="hidden" r:id="rId12"/>
    <sheet name="VPL" sheetId="13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\0">#REF!</definedName>
    <definedName name="\a">#REF!</definedName>
    <definedName name="__123Graph_A" hidden="1">'[1]Planilha Custo - OP1'!#REF!</definedName>
    <definedName name="__123Graph_ADISTRIBUIÇÃO" hidden="1">'[1]Planilha Custo - OP1'!#REF!</definedName>
    <definedName name="__123Graph_B" hidden="1">'[1]Planilha Custo - OP1'!#REF!</definedName>
    <definedName name="__123Graph_BDISTRIBUIÇÃO" hidden="1">'[1]Planilha Custo - OP1'!#REF!</definedName>
    <definedName name="__123Graph_X" hidden="1">'[1]Planilha Custo - OP1'!#REF!</definedName>
    <definedName name="__123Graph_XDISTRIBUIÇÃO" hidden="1">'[1]Planilha Custo - OP1'!#REF!</definedName>
    <definedName name="__MO1">#REF!</definedName>
    <definedName name="_123" hidden="1">'[2]Planilha Custo 1'!#REF!</definedName>
    <definedName name="_1234" hidden="1">'[2]Planilha Custo 1'!#REF!</definedName>
    <definedName name="_Key1" hidden="1">#REF!</definedName>
    <definedName name="_MO1">#REF!</definedName>
    <definedName name="_Order1" hidden="1">255</definedName>
    <definedName name="_Sort" hidden="1">#REF!</definedName>
    <definedName name="ACR">#REF!</definedName>
    <definedName name="AR">#REF!</definedName>
    <definedName name="AZU">#REF!</definedName>
    <definedName name="BAI">#REF!</definedName>
    <definedName name="_xlnm.Database">#REF!</definedName>
    <definedName name="BDI">1.43344312465585</definedName>
    <definedName name="BLE">#REF!</definedName>
    <definedName name="BLQ">#REF!</definedName>
    <definedName name="CAL">#REF!</definedName>
    <definedName name="CATO">#REF!</definedName>
    <definedName name="CER">#REF!</definedName>
    <definedName name="CIM">#REF!</definedName>
    <definedName name="CIMB">#REF!</definedName>
    <definedName name="CIMC">#REF!</definedName>
    <definedName name="CINC">#REF!</definedName>
    <definedName name="CMA">#REF!</definedName>
    <definedName name="CMO">#REF!</definedName>
    <definedName name="_xlnm.Criteria">#REF!</definedName>
    <definedName name="DEZ">#REF!</definedName>
    <definedName name="DEZN">#REF!</definedName>
    <definedName name="DEZO">#REF!</definedName>
    <definedName name="DEZS">#REF!</definedName>
    <definedName name="DEZT">#REF!</definedName>
    <definedName name="dfr" hidden="1">'[3]Planilha Custo '!#REF!</definedName>
    <definedName name="DOIS">#REF!</definedName>
    <definedName name="DOZE">#REF!</definedName>
    <definedName name="EE">#REF!</definedName>
    <definedName name="EMA">#REF!</definedName>
    <definedName name="EMO">#REF!</definedName>
    <definedName name="ENC">#REF!</definedName>
    <definedName name="erd">#REF!</definedName>
    <definedName name="ESM">#REF!</definedName>
    <definedName name="FE">#REF!</definedName>
    <definedName name="FXD">#REF!</definedName>
    <definedName name="FXU">#REF!</definedName>
    <definedName name="LIQB">#REF!</definedName>
    <definedName name="LS">'[4]M.O.'!#REF!</definedName>
    <definedName name="luiuz">#REF!</definedName>
    <definedName name="luiz">#REF!</definedName>
    <definedName name="LX">#REF!</definedName>
    <definedName name="MACR">#REF!</definedName>
    <definedName name="MCOR">#REF!</definedName>
    <definedName name="MFI">#REF!</definedName>
    <definedName name="MO">#REF!</definedName>
    <definedName name="NOVE">#REF!</definedName>
    <definedName name="OF">#REF!</definedName>
    <definedName name="oi" hidden="1">'[1]Planilha Custo - OP1'!#REF!</definedName>
    <definedName name="OITO">#REF!</definedName>
    <definedName name="ONZE">#REF!</definedName>
    <definedName name="PE">#REF!</definedName>
    <definedName name="PRE">#REF!</definedName>
    <definedName name="Print_Area_MI">#REF!</definedName>
    <definedName name="PVA">#REF!</definedName>
    <definedName name="QUAT">#REF!</definedName>
    <definedName name="QUIN">#REF!</definedName>
    <definedName name="RAZ">#REF!</definedName>
    <definedName name="RMA">#REF!</definedName>
    <definedName name="RMO">#REF!</definedName>
    <definedName name="SE">#REF!</definedName>
    <definedName name="SEIS">#REF!</definedName>
    <definedName name="SETE">#REF!</definedName>
    <definedName name="t" hidden="1">'[3]Planilha Custo '!#REF!</definedName>
    <definedName name="TATI" hidden="1">#REF!</definedName>
    <definedName name="TB">#REF!</definedName>
    <definedName name="TIJ">#REF!</definedName>
    <definedName name="TRES">#REF!</definedName>
    <definedName name="TREZ">#REF!</definedName>
    <definedName name="UM">#REF!</definedName>
    <definedName name="VINT">#REF!</definedName>
    <definedName name="VINTD">#REF!</definedName>
    <definedName name="VINTU">#REF!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  <numFmt numFmtId="168" formatCode="&quot;R$&quot;\ #,##0"/>
    <numFmt numFmtId="169" formatCode="_-&quot;R$&quot;\ * #,##0_-;\-&quot;R$&quot;\ * #,##0_-;_-&quot;R$&quot;\ * &quot;-&quot;??_-;_-@_-"/>
    <numFmt numFmtId="170" formatCode="0.0%"/>
    <numFmt numFmtId="171" formatCode="_-&quot;R$&quot;\ * #,##0.00_-;\-&quot;R$&quot;\ * #,##0.00_-;_-&quot;R$&quot;\ * &quot;-&quot;??_-;_-@_-"/>
    <numFmt numFmtId="172" formatCode="[$-416]mmm\-yy;@"/>
    <numFmt numFmtId="173" formatCode="_-[$R$-416]\ * #,##0_-;\-[$R$-416]\ * #,##0_-;_-[$R$-416]\ * &quot;-&quot;??_-;_-@_-"/>
    <numFmt numFmtId="174" formatCode="_-* #,##0.0_-;\-* #,##0.0_-;_-* &quot;-&quot;??_-;_-@_-"/>
    <numFmt numFmtId="175" formatCode="_-* #,##0.0_-;\-* #,##0.0_-;_-* &quot;-&quot;?_-;_-@_-"/>
    <numFmt numFmtId="176" formatCode="0.000%"/>
    <numFmt numFmtId="177" formatCode="0.0"/>
    <numFmt numFmtId="178" formatCode="_-&quot;R$&quot;\ * #,##0.0_-;\-&quot;R$&quot;\ * #,##0.0_-;_-&quot;R$&quot;\ * &quot;-&quot;??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theme="0"/>
      <sz val="8"/>
    </font>
    <font>
      <name val="Arial"/>
      <family val="2"/>
      <b val="1"/>
      <i val="1"/>
      <sz val="8"/>
    </font>
    <font>
      <name val="Arial"/>
      <family val="2"/>
      <b val="1"/>
      <i val="1"/>
      <color theme="0"/>
      <sz val="8"/>
    </font>
    <font>
      <name val="Arial"/>
      <family val="2"/>
      <b val="1"/>
      <sz val="8"/>
      <u val="single"/>
    </font>
    <font>
      <name val="Calibri"/>
      <family val="2"/>
      <color rgb="FFFF0000"/>
      <sz val="11"/>
      <scheme val="minor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color theme="0"/>
      <sz val="8"/>
    </font>
    <font>
      <name val="Segoe UI"/>
      <family val="2"/>
      <b val="1"/>
      <color indexed="81"/>
      <sz val="9"/>
    </font>
    <font>
      <name val="Segoe UI"/>
      <family val="2"/>
      <color indexed="81"/>
      <sz val="9"/>
    </font>
    <font>
      <name val="Arial"/>
      <family val="2"/>
      <b val="1"/>
      <color theme="1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2" tint="-0.249977111117893"/>
      <sz val="10"/>
      <scheme val="minor"/>
    </font>
    <font>
      <name val="Calibri"/>
      <family val="2"/>
      <b val="1"/>
      <i val="1"/>
      <color theme="2" tint="-0.249977111117893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9"/>
    </font>
    <font>
      <name val="Calibri"/>
      <family val="2"/>
      <color theme="0"/>
      <sz val="11"/>
      <scheme val="minor"/>
    </font>
    <font>
      <name val="Calibri"/>
      <family val="2"/>
      <color theme="0" tint="-0.249977111117893"/>
      <sz val="11"/>
      <scheme val="minor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8"/>
    </font>
    <font>
      <name val="Segoe UI"/>
      <family val="2"/>
      <b val="1"/>
      <color indexed="81"/>
      <sz val="11"/>
    </font>
    <font>
      <name val="Segoe UI"/>
      <family val="2"/>
      <color indexed="81"/>
      <sz val="11"/>
    </font>
    <font>
      <name val="Calibri"/>
      <family val="2"/>
      <color theme="1"/>
      <sz val="8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AA66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749992370372631"/>
        <bgColor indexed="64"/>
      </patternFill>
    </fill>
  </fills>
  <borders count="12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theme="5" tint="-0.499984740745262"/>
      </left>
      <right/>
      <top style="medium">
        <color indexed="64"/>
      </top>
      <bottom/>
      <diagonal/>
    </border>
    <border>
      <left/>
      <right style="medium">
        <color theme="5" tint="-0.499984740745262"/>
      </right>
      <top style="double">
        <color indexed="64"/>
      </top>
      <bottom style="double">
        <color indexed="64"/>
      </bottom>
      <diagonal/>
    </border>
    <border>
      <left/>
      <right style="medium">
        <color theme="5" tint="-0.499984740745262"/>
      </right>
      <top style="medium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5" tint="-0.499984740745262"/>
      </right>
      <top/>
      <bottom/>
      <diagonal/>
    </border>
    <border>
      <left/>
      <right style="medium">
        <color theme="5" tint="-0.499984740745262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theme="5" tint="-0.499984740745262"/>
      </right>
      <top/>
      <bottom style="thin">
        <color indexed="64"/>
      </bottom>
      <diagonal/>
    </border>
    <border>
      <left/>
      <right style="medium">
        <color theme="5" tint="-0.499984740745262"/>
      </right>
      <top style="thin">
        <color indexed="64"/>
      </top>
      <bottom/>
      <diagonal/>
    </border>
    <border>
      <left/>
      <right style="medium">
        <color theme="5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499984740745262"/>
      </right>
      <top/>
      <bottom/>
      <diagonal/>
    </border>
    <border>
      <left style="thin">
        <color indexed="64"/>
      </left>
      <right style="medium">
        <color theme="5" tint="-0.499984740745262"/>
      </right>
      <top/>
      <bottom style="hair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499984740745262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/>
      <diagonal/>
    </border>
    <border>
      <left/>
      <right style="medium">
        <color theme="5" tint="-0.499984740745262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5" tint="-0.499984740745262"/>
      </right>
      <top/>
      <bottom style="double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theme="5" tint="-0.499984740745262"/>
      </right>
      <top style="thin">
        <color indexed="64"/>
      </top>
      <bottom style="medium">
        <color indexed="64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/>
      <right style="medium">
        <color rgb="FFFF0000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</borders>
  <cellStyleXfs count="25">
    <xf numFmtId="0" fontId="1" fillId="0" borderId="0"/>
    <xf numFmtId="43" fontId="1" fillId="0" borderId="0"/>
    <xf numFmtId="9" fontId="1" fillId="0" borderId="0"/>
    <xf numFmtId="0" fontId="23" fillId="0" borderId="0"/>
    <xf numFmtId="43" fontId="23" fillId="0" borderId="0"/>
    <xf numFmtId="0" fontId="10" fillId="0" borderId="0"/>
    <xf numFmtId="43" fontId="23" fillId="0" borderId="0"/>
    <xf numFmtId="0" fontId="23" fillId="0" borderId="0"/>
    <xf numFmtId="9" fontId="23" fillId="0" borderId="0"/>
    <xf numFmtId="0" fontId="23" fillId="0" borderId="0"/>
    <xf numFmtId="0" fontId="23" fillId="0" borderId="0"/>
    <xf numFmtId="44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1" fillId="0" borderId="0"/>
    <xf numFmtId="0" fontId="23" fillId="0" borderId="0"/>
    <xf numFmtId="0" fontId="23" fillId="0" borderId="0"/>
    <xf numFmtId="44" fontId="1" fillId="0" borderId="0"/>
  </cellStyleXfs>
  <cellXfs count="613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0" fontId="4" fillId="0" borderId="0" applyAlignment="1" pivotButton="0" quotePrefix="0" xfId="3">
      <alignment horizontal="left" vertical="center"/>
    </xf>
    <xf numFmtId="0" fontId="5" fillId="0" borderId="0" applyAlignment="1" pivotButton="0" quotePrefix="0" xfId="3">
      <alignment vertical="center"/>
    </xf>
    <xf numFmtId="0" fontId="4" fillId="2" borderId="1" applyAlignment="1" pivotButton="0" quotePrefix="0" xfId="3">
      <alignment vertical="center"/>
    </xf>
    <xf numFmtId="0" fontId="4" fillId="0" borderId="0" applyAlignment="1" pivotButton="0" quotePrefix="0" xfId="3">
      <alignment vertical="center"/>
    </xf>
    <xf numFmtId="17" fontId="6" fillId="5" borderId="3" applyAlignment="1" pivotButton="0" quotePrefix="0" xfId="3">
      <alignment horizontal="center" vertical="center"/>
    </xf>
    <xf numFmtId="0" fontId="3" fillId="0" borderId="9" applyAlignment="1" pivotButton="0" quotePrefix="0" xfId="3">
      <alignment vertical="center"/>
    </xf>
    <xf numFmtId="164" fontId="3" fillId="0" borderId="10" applyAlignment="1" pivotButton="0" quotePrefix="0" xfId="1">
      <alignment vertical="center"/>
    </xf>
    <xf numFmtId="164" fontId="3" fillId="0" borderId="9" applyAlignment="1" pivotButton="0" quotePrefix="0" xfId="1">
      <alignment vertical="center"/>
    </xf>
    <xf numFmtId="164" fontId="3" fillId="0" borderId="11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4" fillId="8" borderId="12" applyAlignment="1" pivotButton="0" quotePrefix="0" xfId="3">
      <alignment horizontal="center" vertical="center"/>
    </xf>
    <xf numFmtId="164" fontId="4" fillId="0" borderId="0" applyAlignment="1" pivotButton="0" quotePrefix="0" xfId="1">
      <alignment vertical="center"/>
    </xf>
    <xf numFmtId="164" fontId="3" fillId="0" borderId="0" applyAlignment="1" pivotButton="0" quotePrefix="0" xfId="3">
      <alignment vertical="center"/>
    </xf>
    <xf numFmtId="43" fontId="3" fillId="0" borderId="0" applyAlignment="1" pivotButton="0" quotePrefix="0" xfId="4">
      <alignment vertical="center"/>
    </xf>
    <xf numFmtId="43" fontId="3" fillId="0" borderId="0" applyAlignment="1" pivotButton="0" quotePrefix="0" xfId="4">
      <alignment vertical="center"/>
    </xf>
    <xf numFmtId="164" fontId="6" fillId="0" borderId="0" applyAlignment="1" pivotButton="0" quotePrefix="0" xfId="1">
      <alignment horizontal="left" vertical="center"/>
    </xf>
    <xf numFmtId="164" fontId="6" fillId="9" borderId="12" applyAlignment="1" pivotButton="0" quotePrefix="0" xfId="1">
      <alignment horizontal="left" vertical="center"/>
    </xf>
    <xf numFmtId="0" fontId="4" fillId="8" borderId="7" applyAlignment="1" pivotButton="0" quotePrefix="0" xfId="3">
      <alignment horizontal="left" vertical="center"/>
    </xf>
    <xf numFmtId="0" fontId="8" fillId="8" borderId="6" applyAlignment="1" pivotButton="0" quotePrefix="0" xfId="3">
      <alignment horizontal="center" vertical="center"/>
    </xf>
    <xf numFmtId="0" fontId="8" fillId="8" borderId="7" applyAlignment="1" pivotButton="0" quotePrefix="0" xfId="3">
      <alignment horizontal="center" vertical="center"/>
    </xf>
    <xf numFmtId="0" fontId="8" fillId="8" borderId="8" applyAlignment="1" pivotButton="0" quotePrefix="0" xfId="3">
      <alignment horizontal="center" vertical="center"/>
    </xf>
    <xf numFmtId="0" fontId="3" fillId="0" borderId="16" applyAlignment="1" pivotButton="0" quotePrefix="0" xfId="3">
      <alignment vertical="center"/>
    </xf>
    <xf numFmtId="164" fontId="3" fillId="0" borderId="17" applyAlignment="1" pivotButton="0" quotePrefix="0" xfId="1">
      <alignment vertical="center"/>
    </xf>
    <xf numFmtId="164" fontId="3" fillId="0" borderId="16" applyAlignment="1" pivotButton="0" quotePrefix="0" xfId="1">
      <alignment vertical="center"/>
    </xf>
    <xf numFmtId="164" fontId="3" fillId="0" borderId="18" applyAlignment="1" pivotButton="0" quotePrefix="0" xfId="1">
      <alignment vertical="center"/>
    </xf>
    <xf numFmtId="165" fontId="4" fillId="0" borderId="0" applyAlignment="1" pivotButton="0" quotePrefix="0" xfId="4">
      <alignment vertical="center"/>
    </xf>
    <xf numFmtId="0" fontId="3" fillId="0" borderId="0" applyAlignment="1" pivotButton="0" quotePrefix="0" xfId="3">
      <alignment horizontal="left" vertical="center"/>
    </xf>
    <xf numFmtId="43" fontId="3" fillId="0" borderId="0" applyAlignment="1" pivotButton="0" quotePrefix="0" xfId="4">
      <alignment vertical="center"/>
    </xf>
    <xf numFmtId="164" fontId="6" fillId="8" borderId="5" applyAlignment="1" pivotButton="0" quotePrefix="0" xfId="4">
      <alignment vertical="center"/>
    </xf>
    <xf numFmtId="164" fontId="6" fillId="8" borderId="12" applyAlignment="1" pivotButton="0" quotePrefix="0" xfId="4">
      <alignment vertical="center"/>
    </xf>
    <xf numFmtId="164" fontId="6" fillId="8" borderId="13" applyAlignment="1" pivotButton="0" quotePrefix="0" xfId="4">
      <alignment vertical="center"/>
    </xf>
    <xf numFmtId="164" fontId="3" fillId="0" borderId="19" applyAlignment="1" pivotButton="0" quotePrefix="0" xfId="1">
      <alignment vertical="center"/>
    </xf>
    <xf numFmtId="164" fontId="3" fillId="0" borderId="5" applyAlignment="1" pivotButton="0" quotePrefix="0" xfId="1">
      <alignment vertical="center"/>
    </xf>
    <xf numFmtId="164" fontId="4" fillId="10" borderId="20" applyAlignment="1" pivotButton="0" quotePrefix="0" xfId="3">
      <alignment vertical="center"/>
    </xf>
    <xf numFmtId="164" fontId="4" fillId="10" borderId="21" applyAlignment="1" pivotButton="0" quotePrefix="0" xfId="3">
      <alignment vertical="center"/>
    </xf>
    <xf numFmtId="164" fontId="4" fillId="10" borderId="22" applyAlignment="1" pivotButton="0" quotePrefix="0" xfId="3">
      <alignment vertical="center"/>
    </xf>
    <xf numFmtId="165" fontId="4" fillId="11" borderId="14" applyAlignment="1" pivotButton="0" quotePrefix="0" xfId="3">
      <alignment vertical="center"/>
    </xf>
    <xf numFmtId="165" fontId="4" fillId="0" borderId="0" applyAlignment="1" pivotButton="0" quotePrefix="0" xfId="3">
      <alignment vertical="center"/>
    </xf>
    <xf numFmtId="43" fontId="3" fillId="0" borderId="0" applyAlignment="1" pivotButton="0" quotePrefix="0" xfId="3">
      <alignment vertical="center"/>
    </xf>
    <xf numFmtId="165" fontId="4" fillId="12" borderId="23" applyAlignment="1" pivotButton="0" quotePrefix="0" xfId="3">
      <alignment vertical="center"/>
    </xf>
    <xf numFmtId="165" fontId="4" fillId="12" borderId="24" applyAlignment="1" pivotButton="0" quotePrefix="0" xfId="3">
      <alignment vertical="center"/>
    </xf>
    <xf numFmtId="165" fontId="4" fillId="11" borderId="28" applyAlignment="1" pivotButton="0" quotePrefix="0" xfId="3">
      <alignment vertical="center"/>
    </xf>
    <xf numFmtId="165" fontId="4" fillId="11" borderId="29" applyAlignment="1" pivotButton="0" quotePrefix="0" xfId="3">
      <alignment vertical="center"/>
    </xf>
    <xf numFmtId="165" fontId="4" fillId="8" borderId="4" applyAlignment="1" pivotButton="0" quotePrefix="0" xfId="4">
      <alignment vertical="center"/>
    </xf>
    <xf numFmtId="43" fontId="3" fillId="0" borderId="30" applyAlignment="1" pivotButton="0" quotePrefix="0" xfId="3">
      <alignment vertical="center"/>
    </xf>
    <xf numFmtId="165" fontId="4" fillId="11" borderId="24" applyAlignment="1" pivotButton="0" quotePrefix="0" xfId="3">
      <alignment vertical="center"/>
    </xf>
    <xf numFmtId="165" fontId="4" fillId="12" borderId="27" applyAlignment="1" pivotButton="0" quotePrefix="0" xfId="3">
      <alignment vertical="center"/>
    </xf>
    <xf numFmtId="165" fontId="4" fillId="11" borderId="15" applyAlignment="1" pivotButton="0" quotePrefix="0" xfId="3">
      <alignment vertical="center"/>
    </xf>
    <xf numFmtId="165" fontId="4" fillId="12" borderId="26" applyAlignment="1" pivotButton="0" quotePrefix="0" xfId="3">
      <alignment vertical="center"/>
    </xf>
    <xf numFmtId="0" fontId="3" fillId="0" borderId="0" applyAlignment="1" pivotButton="0" quotePrefix="0" xfId="3">
      <alignment horizontal="center" vertical="center"/>
    </xf>
    <xf numFmtId="0" fontId="6" fillId="0" borderId="0" applyAlignment="1" pivotButton="0" quotePrefix="0" xfId="3">
      <alignment vertical="center"/>
    </xf>
    <xf numFmtId="164" fontId="3" fillId="0" borderId="0" applyAlignment="1" pivotButton="0" quotePrefix="0" xfId="1">
      <alignment vertical="center"/>
    </xf>
    <xf numFmtId="0" fontId="3" fillId="0" borderId="32" applyAlignment="1" pivotButton="0" quotePrefix="0" xfId="3">
      <alignment vertical="center"/>
    </xf>
    <xf numFmtId="164" fontId="3" fillId="0" borderId="33" applyAlignment="1" pivotButton="0" quotePrefix="0" xfId="1">
      <alignment vertical="center"/>
    </xf>
    <xf numFmtId="164" fontId="3" fillId="0" borderId="32" applyAlignment="1" pivotButton="0" quotePrefix="0" xfId="1">
      <alignment vertical="center"/>
    </xf>
    <xf numFmtId="164" fontId="3" fillId="0" borderId="34" applyAlignment="1" pivotButton="0" quotePrefix="0" xfId="1">
      <alignment vertical="center"/>
    </xf>
    <xf numFmtId="0" fontId="3" fillId="0" borderId="35" applyAlignment="1" pivotButton="0" quotePrefix="0" xfId="3">
      <alignment vertical="center"/>
    </xf>
    <xf numFmtId="164" fontId="3" fillId="13" borderId="5" applyAlignment="1" pivotButton="0" quotePrefix="0" xfId="1">
      <alignment vertical="center"/>
    </xf>
    <xf numFmtId="0" fontId="3" fillId="15" borderId="36" applyAlignment="1" pivotButton="0" quotePrefix="0" xfId="3">
      <alignment horizontal="center" vertical="center"/>
    </xf>
    <xf numFmtId="164" fontId="3" fillId="15" borderId="36" applyAlignment="1" pivotButton="0" quotePrefix="0" xfId="3">
      <alignment horizontal="center" vertical="center"/>
    </xf>
    <xf numFmtId="0" fontId="4" fillId="15" borderId="37" applyAlignment="1" pivotButton="0" quotePrefix="0" xfId="3">
      <alignment horizontal="left" vertical="center"/>
    </xf>
    <xf numFmtId="0" fontId="4" fillId="7" borderId="12" applyAlignment="1" pivotButton="0" quotePrefix="0" xfId="3">
      <alignment vertical="center"/>
    </xf>
    <xf numFmtId="164" fontId="6" fillId="7" borderId="4" applyAlignment="1" pivotButton="0" quotePrefix="0" xfId="1">
      <alignment horizontal="left" vertical="center"/>
    </xf>
    <xf numFmtId="0" fontId="4" fillId="16" borderId="12" applyAlignment="1" pivotButton="0" quotePrefix="0" xfId="3">
      <alignment vertical="center"/>
    </xf>
    <xf numFmtId="0" fontId="3" fillId="0" borderId="36" applyAlignment="1" pivotButton="0" quotePrefix="0" xfId="3">
      <alignment vertical="center"/>
    </xf>
    <xf numFmtId="164" fontId="3" fillId="0" borderId="33" applyAlignment="1" pivotButton="0" quotePrefix="0" xfId="1">
      <alignment vertical="center"/>
    </xf>
    <xf numFmtId="164" fontId="3" fillId="0" borderId="32" applyAlignment="1" pivotButton="0" quotePrefix="0" xfId="1">
      <alignment vertical="center"/>
    </xf>
    <xf numFmtId="164" fontId="3" fillId="0" borderId="34" applyAlignment="1" pivotButton="0" quotePrefix="0" xfId="1">
      <alignment vertical="center"/>
    </xf>
    <xf numFmtId="0" fontId="7" fillId="16" borderId="4" applyAlignment="1" pivotButton="0" quotePrefix="0" xfId="3">
      <alignment horizontal="center" vertical="center"/>
    </xf>
    <xf numFmtId="164" fontId="4" fillId="0" borderId="0" applyAlignment="1" pivotButton="0" quotePrefix="0" xfId="1">
      <alignment horizontal="left" vertical="center"/>
    </xf>
    <xf numFmtId="164" fontId="4" fillId="19" borderId="12" applyAlignment="1" pivotButton="0" quotePrefix="0" xfId="1">
      <alignment horizontal="left" vertical="center"/>
    </xf>
    <xf numFmtId="0" fontId="4" fillId="18" borderId="7" applyAlignment="1" pivotButton="0" quotePrefix="0" xfId="3">
      <alignment horizontal="left" vertical="center"/>
    </xf>
    <xf numFmtId="0" fontId="3" fillId="13" borderId="35" applyAlignment="1" pivotButton="0" quotePrefix="0" xfId="3">
      <alignment vertical="center"/>
    </xf>
    <xf numFmtId="164" fontId="3" fillId="0" borderId="35" applyAlignment="1" pivotButton="0" quotePrefix="0" xfId="1">
      <alignment vertical="center"/>
    </xf>
    <xf numFmtId="164" fontId="3" fillId="0" borderId="38" applyAlignment="1" pivotButton="0" quotePrefix="0" xfId="1">
      <alignment vertical="center"/>
    </xf>
    <xf numFmtId="0" fontId="4" fillId="20" borderId="12" applyAlignment="1" pivotButton="0" quotePrefix="0" xfId="3">
      <alignment horizontal="center" vertical="center"/>
    </xf>
    <xf numFmtId="165" fontId="4" fillId="20" borderId="5" applyAlignment="1" pivotButton="0" quotePrefix="0" xfId="4">
      <alignment vertical="center"/>
    </xf>
    <xf numFmtId="165" fontId="4" fillId="20" borderId="12" applyAlignment="1" pivotButton="0" quotePrefix="0" xfId="4">
      <alignment vertical="center"/>
    </xf>
    <xf numFmtId="165" fontId="4" fillId="20" borderId="13" applyAlignment="1" pivotButton="0" quotePrefix="0" xfId="4">
      <alignment vertical="center"/>
    </xf>
    <xf numFmtId="0" fontId="4" fillId="8" borderId="32" applyAlignment="1" pivotButton="0" quotePrefix="0" xfId="3">
      <alignment horizontal="left" vertical="center"/>
    </xf>
    <xf numFmtId="0" fontId="8" fillId="8" borderId="33" applyAlignment="1" pivotButton="0" quotePrefix="0" xfId="3">
      <alignment horizontal="center" vertical="center"/>
    </xf>
    <xf numFmtId="0" fontId="8" fillId="8" borderId="32" applyAlignment="1" pivotButton="0" quotePrefix="0" xfId="3">
      <alignment horizontal="center" vertical="center"/>
    </xf>
    <xf numFmtId="0" fontId="8" fillId="8" borderId="34" applyAlignment="1" pivotButton="0" quotePrefix="0" xfId="3">
      <alignment horizontal="center" vertical="center"/>
    </xf>
    <xf numFmtId="164" fontId="3" fillId="0" borderId="10" applyAlignment="1" pivotButton="0" quotePrefix="0" xfId="1">
      <alignment vertical="center"/>
    </xf>
    <xf numFmtId="164" fontId="3" fillId="0" borderId="9" applyAlignment="1" pivotButton="0" quotePrefix="0" xfId="1">
      <alignment vertical="center"/>
    </xf>
    <xf numFmtId="164" fontId="3" fillId="0" borderId="11" applyAlignment="1" pivotButton="0" quotePrefix="0" xfId="1">
      <alignment vertical="center"/>
    </xf>
    <xf numFmtId="0" fontId="4" fillId="0" borderId="0" applyAlignment="1" pivotButton="0" quotePrefix="0" xfId="3">
      <alignment horizontal="center" vertical="center"/>
    </xf>
    <xf numFmtId="0" fontId="4" fillId="21" borderId="37" applyAlignment="1" pivotButton="0" quotePrefix="0" xfId="3">
      <alignment horizontal="center" vertical="center"/>
    </xf>
    <xf numFmtId="0" fontId="3" fillId="0" borderId="4" applyAlignment="1" pivotButton="0" quotePrefix="0" xfId="3">
      <alignment vertical="center"/>
    </xf>
    <xf numFmtId="164" fontId="3" fillId="0" borderId="4" applyAlignment="1" pivotButton="0" quotePrefix="0" xfId="1">
      <alignment vertical="center"/>
    </xf>
    <xf numFmtId="0" fontId="8" fillId="8" borderId="17" applyAlignment="1" pivotButton="0" quotePrefix="0" xfId="3">
      <alignment horizontal="center" vertical="center"/>
    </xf>
    <xf numFmtId="9" fontId="3" fillId="0" borderId="0" applyAlignment="1" pivotButton="0" quotePrefix="0" xfId="2">
      <alignment vertical="center"/>
    </xf>
    <xf numFmtId="164" fontId="3" fillId="0" borderId="13" applyAlignment="1" pivotButton="0" quotePrefix="0" xfId="1">
      <alignment vertical="center"/>
    </xf>
    <xf numFmtId="164" fontId="3" fillId="0" borderId="39" applyAlignment="1" pivotButton="0" quotePrefix="0" xfId="1">
      <alignment vertical="center"/>
    </xf>
    <xf numFmtId="0" fontId="4" fillId="19" borderId="12" applyAlignment="1" pivotButton="0" quotePrefix="0" xfId="3">
      <alignment vertical="center"/>
    </xf>
    <xf numFmtId="0" fontId="6" fillId="9" borderId="12" applyAlignment="1" pivotButton="0" quotePrefix="0" xfId="3">
      <alignment vertical="center"/>
    </xf>
    <xf numFmtId="164" fontId="4" fillId="19" borderId="4" applyAlignment="1" pivotButton="0" quotePrefix="0" xfId="1">
      <alignment horizontal="left" vertical="center"/>
    </xf>
    <xf numFmtId="164" fontId="6" fillId="9" borderId="4" applyAlignment="1" pivotButton="0" quotePrefix="0" xfId="1">
      <alignment horizontal="left" vertical="center"/>
    </xf>
    <xf numFmtId="164" fontId="3" fillId="13" borderId="13" applyAlignment="1" pivotButton="0" quotePrefix="0" xfId="1">
      <alignment vertical="center"/>
    </xf>
    <xf numFmtId="0" fontId="3" fillId="0" borderId="12" applyAlignment="1" pivotButton="0" quotePrefix="0" xfId="3">
      <alignment vertical="center"/>
    </xf>
    <xf numFmtId="0" fontId="4" fillId="10" borderId="21" applyAlignment="1" pivotButton="0" quotePrefix="0" xfId="3">
      <alignment vertical="center"/>
    </xf>
    <xf numFmtId="164" fontId="3" fillId="13" borderId="12" applyAlignment="1" pivotButton="0" quotePrefix="0" xfId="1">
      <alignment vertical="center"/>
    </xf>
    <xf numFmtId="164" fontId="3" fillId="0" borderId="31" applyAlignment="1" pivotButton="0" quotePrefix="0" xfId="1">
      <alignment vertical="center"/>
    </xf>
    <xf numFmtId="164" fontId="3" fillId="0" borderId="2" applyAlignment="1" pivotButton="0" quotePrefix="0" xfId="1">
      <alignment vertical="center"/>
    </xf>
    <xf numFmtId="164" fontId="3" fillId="0" borderId="3" applyAlignment="1" pivotButton="0" quotePrefix="0" xfId="1">
      <alignment vertical="center"/>
    </xf>
    <xf numFmtId="0" fontId="4" fillId="3" borderId="1" applyAlignment="1" pivotButton="0" quotePrefix="0" xfId="3">
      <alignment horizontal="center" vertical="center" wrapText="1"/>
    </xf>
    <xf numFmtId="0" fontId="8" fillId="8" borderId="5" applyAlignment="1" pivotButton="0" quotePrefix="0" xfId="3">
      <alignment horizontal="center" vertical="center"/>
    </xf>
    <xf numFmtId="0" fontId="8" fillId="8" borderId="16" applyAlignment="1" pivotButton="0" quotePrefix="0" xfId="3">
      <alignment horizontal="center" vertical="center"/>
    </xf>
    <xf numFmtId="164" fontId="4" fillId="23" borderId="9" applyAlignment="1" pivotButton="0" quotePrefix="0" xfId="1">
      <alignment vertical="center"/>
    </xf>
    <xf numFmtId="164" fontId="4" fillId="10" borderId="5" applyAlignment="1" pivotButton="0" quotePrefix="0" xfId="3">
      <alignment vertical="center"/>
    </xf>
    <xf numFmtId="164" fontId="11" fillId="0" borderId="14" applyAlignment="1" pivotButton="0" quotePrefix="0" xfId="1">
      <alignment horizontal="center" vertical="center"/>
    </xf>
    <xf numFmtId="164" fontId="3" fillId="25" borderId="9" applyAlignment="1" pivotButton="0" quotePrefix="0" xfId="1">
      <alignment vertical="center"/>
    </xf>
    <xf numFmtId="164" fontId="3" fillId="25" borderId="10" applyAlignment="1" pivotButton="0" quotePrefix="0" xfId="1">
      <alignment vertical="center"/>
    </xf>
    <xf numFmtId="166" fontId="3" fillId="25" borderId="9" applyAlignment="1" pivotButton="0" quotePrefix="0" xfId="0">
      <alignment vertical="center"/>
    </xf>
    <xf numFmtId="164" fontId="3" fillId="25" borderId="33" applyAlignment="1" pivotButton="0" quotePrefix="0" xfId="1">
      <alignment vertical="center"/>
    </xf>
    <xf numFmtId="164" fontId="12" fillId="25" borderId="5" applyAlignment="1" pivotButton="0" quotePrefix="0" xfId="1">
      <alignment horizontal="left" vertical="center"/>
    </xf>
    <xf numFmtId="164" fontId="3" fillId="25" borderId="16" applyAlignment="1" pivotButton="0" quotePrefix="0" xfId="1">
      <alignment vertical="center"/>
    </xf>
    <xf numFmtId="164" fontId="3" fillId="25" borderId="35" applyAlignment="1" pivotButton="0" quotePrefix="0" xfId="1">
      <alignment vertical="center"/>
    </xf>
    <xf numFmtId="164" fontId="3" fillId="25" borderId="17" applyAlignment="1" pivotButton="0" quotePrefix="0" xfId="1">
      <alignment vertical="center"/>
    </xf>
    <xf numFmtId="167" fontId="3" fillId="25" borderId="17" applyAlignment="1" pivotButton="0" quotePrefix="0" xfId="1">
      <alignment vertical="center"/>
    </xf>
    <xf numFmtId="164" fontId="3" fillId="25" borderId="5" applyAlignment="1" pivotButton="0" quotePrefix="0" xfId="1">
      <alignment vertical="center"/>
    </xf>
    <xf numFmtId="166" fontId="3" fillId="25" borderId="5" applyAlignment="1" pivotButton="0" quotePrefix="0" xfId="0">
      <alignment vertical="center"/>
    </xf>
    <xf numFmtId="0" fontId="4" fillId="8" borderId="12" applyAlignment="1" pivotButton="0" quotePrefix="0" xfId="3">
      <alignment vertical="center"/>
    </xf>
    <xf numFmtId="0" fontId="4" fillId="11" borderId="3" applyAlignment="1" pivotButton="0" quotePrefix="0" xfId="3">
      <alignment vertical="center"/>
    </xf>
    <xf numFmtId="0" fontId="4" fillId="12" borderId="12" applyAlignment="1" pivotButton="0" quotePrefix="0" xfId="3">
      <alignment vertical="center"/>
    </xf>
    <xf numFmtId="0" fontId="4" fillId="12" borderId="3" applyAlignment="1" pivotButton="0" quotePrefix="0" xfId="3">
      <alignment vertical="center"/>
    </xf>
    <xf numFmtId="0" fontId="3" fillId="0" borderId="43" applyAlignment="1" pivotButton="0" quotePrefix="0" xfId="3">
      <alignment vertical="center"/>
    </xf>
    <xf numFmtId="0" fontId="4" fillId="16" borderId="44" applyAlignment="1" pivotButton="0" quotePrefix="0" xfId="3">
      <alignment vertical="center"/>
    </xf>
    <xf numFmtId="164" fontId="3" fillId="2" borderId="45" applyAlignment="1" pivotButton="0" quotePrefix="0" xfId="3">
      <alignment vertical="center"/>
    </xf>
    <xf numFmtId="164" fontId="4" fillId="19" borderId="44" applyAlignment="1" pivotButton="0" quotePrefix="0" xfId="1">
      <alignment horizontal="left" vertical="center"/>
    </xf>
    <xf numFmtId="164" fontId="6" fillId="9" borderId="42" applyAlignment="1" pivotButton="0" quotePrefix="0" xfId="3">
      <alignment vertical="center"/>
    </xf>
    <xf numFmtId="0" fontId="6" fillId="0" borderId="43" applyAlignment="1" pivotButton="0" quotePrefix="0" xfId="3">
      <alignment vertical="center"/>
    </xf>
    <xf numFmtId="0" fontId="4" fillId="7" borderId="44" applyAlignment="1" pivotButton="0" quotePrefix="0" xfId="3">
      <alignment vertical="center"/>
    </xf>
    <xf numFmtId="0" fontId="4" fillId="15" borderId="46" applyAlignment="1" pivotButton="0" quotePrefix="0" xfId="3">
      <alignment horizontal="left" vertical="center"/>
    </xf>
    <xf numFmtId="164" fontId="13" fillId="9" borderId="47" applyAlignment="1" pivotButton="0" quotePrefix="0" xfId="3">
      <alignment vertical="center"/>
    </xf>
    <xf numFmtId="164" fontId="13" fillId="22" borderId="44" applyAlignment="1" pivotButton="0" quotePrefix="0" xfId="3">
      <alignment vertical="center"/>
    </xf>
    <xf numFmtId="164" fontId="3" fillId="0" borderId="43" applyAlignment="1" pivotButton="0" quotePrefix="0" xfId="3">
      <alignment vertical="center"/>
    </xf>
    <xf numFmtId="0" fontId="4" fillId="8" borderId="47" applyAlignment="1" pivotButton="0" quotePrefix="0" xfId="3">
      <alignment horizontal="left" vertical="center"/>
    </xf>
    <xf numFmtId="164" fontId="13" fillId="22" borderId="47" applyAlignment="1" pivotButton="0" quotePrefix="0" xfId="3">
      <alignment vertical="center"/>
    </xf>
    <xf numFmtId="164" fontId="3" fillId="21" borderId="44" applyAlignment="1" pivotButton="0" quotePrefix="0" xfId="3">
      <alignment vertical="center"/>
    </xf>
    <xf numFmtId="0" fontId="4" fillId="8" borderId="45" applyAlignment="1" pivotButton="0" quotePrefix="0" xfId="3">
      <alignment horizontal="left" vertical="center"/>
    </xf>
    <xf numFmtId="164" fontId="13" fillId="9" borderId="43" applyAlignment="1" pivotButton="0" quotePrefix="0" xfId="3">
      <alignment vertical="center"/>
    </xf>
    <xf numFmtId="164" fontId="3" fillId="21" borderId="45" applyAlignment="1" pivotButton="0" quotePrefix="0" xfId="3">
      <alignment vertical="center"/>
    </xf>
    <xf numFmtId="164" fontId="3" fillId="21" borderId="43" applyAlignment="1" pivotButton="0" quotePrefix="0" xfId="3">
      <alignment vertical="center"/>
    </xf>
    <xf numFmtId="0" fontId="3" fillId="0" borderId="43" applyAlignment="1" pivotButton="0" quotePrefix="0" xfId="3">
      <alignment horizontal="left" vertical="center"/>
    </xf>
    <xf numFmtId="0" fontId="4" fillId="10" borderId="42" applyAlignment="1" pivotButton="0" quotePrefix="0" xfId="3">
      <alignment vertical="center"/>
    </xf>
    <xf numFmtId="0" fontId="4" fillId="8" borderId="44" applyAlignment="1" pivotButton="0" quotePrefix="0" xfId="3">
      <alignment vertical="center"/>
    </xf>
    <xf numFmtId="0" fontId="4" fillId="11" borderId="44" applyAlignment="1" pivotButton="0" quotePrefix="0" xfId="3">
      <alignment vertical="center"/>
    </xf>
    <xf numFmtId="0" fontId="4" fillId="12" borderId="44" applyAlignment="1" pivotButton="0" quotePrefix="0" xfId="3">
      <alignment vertical="center"/>
    </xf>
    <xf numFmtId="0" fontId="4" fillId="12" borderId="48" applyAlignment="1" pivotButton="0" quotePrefix="0" xfId="3">
      <alignment vertical="center"/>
    </xf>
    <xf numFmtId="0" fontId="4" fillId="4" borderId="49" applyAlignment="1" pivotButton="0" quotePrefix="0" xfId="3">
      <alignment vertical="center"/>
    </xf>
    <xf numFmtId="0" fontId="3" fillId="0" borderId="52" applyAlignment="1" pivotButton="0" quotePrefix="0" xfId="3">
      <alignment vertical="center"/>
    </xf>
    <xf numFmtId="0" fontId="3" fillId="0" borderId="53" applyAlignment="1" pivotButton="0" quotePrefix="0" xfId="3">
      <alignment vertical="center"/>
    </xf>
    <xf numFmtId="0" fontId="7" fillId="16" borderId="54" applyAlignment="1" pivotButton="0" quotePrefix="0" xfId="3">
      <alignment horizontal="center" vertical="center"/>
    </xf>
    <xf numFmtId="0" fontId="3" fillId="0" borderId="60" applyAlignment="1" pivotButton="0" quotePrefix="0" xfId="3">
      <alignment vertical="center"/>
    </xf>
    <xf numFmtId="0" fontId="3" fillId="0" borderId="61" applyAlignment="1" pivotButton="0" quotePrefix="0" xfId="3">
      <alignment vertical="center"/>
    </xf>
    <xf numFmtId="43" fontId="3" fillId="0" borderId="60" applyAlignment="1" pivotButton="0" quotePrefix="0" xfId="4">
      <alignment vertical="center"/>
    </xf>
    <xf numFmtId="164" fontId="3" fillId="0" borderId="59" applyAlignment="1" pivotButton="0" quotePrefix="0" xfId="1">
      <alignment vertical="center"/>
    </xf>
    <xf numFmtId="164" fontId="4" fillId="19" borderId="54" applyAlignment="1" pivotButton="0" quotePrefix="0" xfId="1">
      <alignment horizontal="left" vertical="center"/>
    </xf>
    <xf numFmtId="164" fontId="4" fillId="19" borderId="59" applyAlignment="1" pivotButton="0" quotePrefix="0" xfId="1">
      <alignment horizontal="left" vertical="center"/>
    </xf>
    <xf numFmtId="164" fontId="6" fillId="9" borderId="54" applyAlignment="1" pivotButton="0" quotePrefix="0" xfId="1">
      <alignment horizontal="left" vertical="center"/>
    </xf>
    <xf numFmtId="164" fontId="6" fillId="9" borderId="59" applyAlignment="1" pivotButton="0" quotePrefix="0" xfId="1">
      <alignment horizontal="left" vertical="center"/>
    </xf>
    <xf numFmtId="164" fontId="6" fillId="0" borderId="60" applyAlignment="1" pivotButton="0" quotePrefix="0" xfId="1">
      <alignment horizontal="left" vertical="center"/>
    </xf>
    <xf numFmtId="164" fontId="6" fillId="0" borderId="61" applyAlignment="1" pivotButton="0" quotePrefix="0" xfId="1">
      <alignment horizontal="left" vertical="center"/>
    </xf>
    <xf numFmtId="164" fontId="6" fillId="7" borderId="54" applyAlignment="1" pivotButton="0" quotePrefix="0" xfId="1">
      <alignment horizontal="left" vertical="center"/>
    </xf>
    <xf numFmtId="164" fontId="6" fillId="7" borderId="55" applyAlignment="1" pivotButton="0" quotePrefix="0" xfId="1">
      <alignment horizontal="left" vertical="center"/>
    </xf>
    <xf numFmtId="164" fontId="3" fillId="15" borderId="52" applyAlignment="1" pivotButton="0" quotePrefix="0" xfId="3">
      <alignment horizontal="center" vertical="center"/>
    </xf>
    <xf numFmtId="164" fontId="3" fillId="15" borderId="53" applyAlignment="1" pivotButton="0" quotePrefix="0" xfId="3">
      <alignment horizontal="center" vertical="center"/>
    </xf>
    <xf numFmtId="164" fontId="3" fillId="0" borderId="64" applyAlignment="1" pivotButton="0" quotePrefix="0" xfId="1">
      <alignment vertical="center"/>
    </xf>
    <xf numFmtId="165" fontId="4" fillId="20" borderId="58" applyAlignment="1" pivotButton="0" quotePrefix="0" xfId="4">
      <alignment vertical="center"/>
    </xf>
    <xf numFmtId="165" fontId="4" fillId="20" borderId="59" applyAlignment="1" pivotButton="0" quotePrefix="0" xfId="4">
      <alignment vertical="center"/>
    </xf>
    <xf numFmtId="165" fontId="4" fillId="0" borderId="60" applyAlignment="1" pivotButton="0" quotePrefix="0" xfId="4">
      <alignment vertical="center"/>
    </xf>
    <xf numFmtId="165" fontId="4" fillId="0" borderId="61" applyAlignment="1" pivotButton="0" quotePrefix="0" xfId="4">
      <alignment vertical="center"/>
    </xf>
    <xf numFmtId="0" fontId="8" fillId="8" borderId="65" applyAlignment="1" pivotButton="0" quotePrefix="0" xfId="3">
      <alignment horizontal="center" vertical="center"/>
    </xf>
    <xf numFmtId="164" fontId="3" fillId="0" borderId="56" applyAlignment="1" pivotButton="0" quotePrefix="0" xfId="1">
      <alignment vertical="center"/>
    </xf>
    <xf numFmtId="164" fontId="3" fillId="0" borderId="54" applyAlignment="1" pivotButton="0" quotePrefix="0" xfId="1">
      <alignment vertical="center"/>
    </xf>
    <xf numFmtId="164" fontId="3" fillId="0" borderId="55" applyAlignment="1" pivotButton="0" quotePrefix="0" xfId="1">
      <alignment vertical="center"/>
    </xf>
    <xf numFmtId="0" fontId="8" fillId="8" borderId="56" applyAlignment="1" pivotButton="0" quotePrefix="0" xfId="3">
      <alignment horizontal="center" vertical="center"/>
    </xf>
    <xf numFmtId="164" fontId="3" fillId="0" borderId="50" applyAlignment="1" pivotButton="0" quotePrefix="0" xfId="1">
      <alignment vertical="center"/>
    </xf>
    <xf numFmtId="164" fontId="3" fillId="0" borderId="51" applyAlignment="1" pivotButton="0" quotePrefix="0" xfId="1">
      <alignment vertical="center"/>
    </xf>
    <xf numFmtId="164" fontId="3" fillId="13" borderId="58" applyAlignment="1" pivotButton="0" quotePrefix="0" xfId="1">
      <alignment vertical="center"/>
    </xf>
    <xf numFmtId="164" fontId="3" fillId="13" borderId="59" applyAlignment="1" pivotButton="0" quotePrefix="0" xfId="1">
      <alignment vertical="center"/>
    </xf>
    <xf numFmtId="164" fontId="3" fillId="0" borderId="69" applyAlignment="1" pivotButton="0" quotePrefix="0" xfId="1">
      <alignment vertical="center"/>
    </xf>
    <xf numFmtId="164" fontId="3" fillId="0" borderId="60" applyAlignment="1" pivotButton="0" quotePrefix="0" xfId="1">
      <alignment vertical="center"/>
    </xf>
    <xf numFmtId="164" fontId="3" fillId="0" borderId="61" applyAlignment="1" pivotButton="0" quotePrefix="0" xfId="1">
      <alignment vertical="center"/>
    </xf>
    <xf numFmtId="164" fontId="6" fillId="8" borderId="58" applyAlignment="1" pivotButton="0" quotePrefix="0" xfId="4">
      <alignment vertical="center"/>
    </xf>
    <xf numFmtId="164" fontId="6" fillId="8" borderId="59" applyAlignment="1" pivotButton="0" quotePrefix="0" xfId="4">
      <alignment vertical="center"/>
    </xf>
    <xf numFmtId="164" fontId="3" fillId="0" borderId="58" applyAlignment="1" pivotButton="0" quotePrefix="0" xfId="1">
      <alignment vertical="center"/>
    </xf>
    <xf numFmtId="164" fontId="4" fillId="10" borderId="70" applyAlignment="1" pivotButton="0" quotePrefix="0" xfId="3">
      <alignment vertical="center"/>
    </xf>
    <xf numFmtId="165" fontId="4" fillId="8" borderId="55" applyAlignment="1" pivotButton="0" quotePrefix="0" xfId="4">
      <alignment vertical="center"/>
    </xf>
    <xf numFmtId="165" fontId="4" fillId="11" borderId="72" applyAlignment="1" pivotButton="0" quotePrefix="0" xfId="3">
      <alignment vertical="center"/>
    </xf>
    <xf numFmtId="43" fontId="3" fillId="0" borderId="60" applyAlignment="1" pivotButton="0" quotePrefix="0" xfId="3">
      <alignment vertical="center"/>
    </xf>
    <xf numFmtId="43" fontId="3" fillId="0" borderId="61" applyAlignment="1" pivotButton="0" quotePrefix="0" xfId="3">
      <alignment vertical="center"/>
    </xf>
    <xf numFmtId="165" fontId="4" fillId="12" borderId="73" applyAlignment="1" pivotButton="0" quotePrefix="0" xfId="3">
      <alignment vertical="center"/>
    </xf>
    <xf numFmtId="165" fontId="4" fillId="12" borderId="74" applyAlignment="1" pivotButton="0" quotePrefix="0" xfId="3">
      <alignment vertical="center"/>
    </xf>
    <xf numFmtId="165" fontId="4" fillId="12" borderId="75" applyAlignment="1" pivotButton="0" quotePrefix="0" xfId="3">
      <alignment vertical="center"/>
    </xf>
    <xf numFmtId="0" fontId="7" fillId="0" borderId="0" applyAlignment="1" pivotButton="0" quotePrefix="0" xfId="3">
      <alignment horizontal="center" vertical="center"/>
    </xf>
    <xf numFmtId="17" fontId="6" fillId="0" borderId="0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164" fontId="4" fillId="0" borderId="0" applyAlignment="1" pivotButton="0" quotePrefix="0" xfId="3">
      <alignment vertical="center"/>
    </xf>
    <xf numFmtId="9" fontId="3" fillId="0" borderId="0" applyAlignment="1" pivotButton="0" quotePrefix="0" xfId="3">
      <alignment horizontal="center" vertical="center"/>
    </xf>
    <xf numFmtId="164" fontId="3" fillId="0" borderId="76" applyAlignment="1" pivotButton="0" quotePrefix="0" xfId="1">
      <alignment vertical="center"/>
    </xf>
    <xf numFmtId="165" fontId="4" fillId="11" borderId="26" applyAlignment="1" pivotButton="0" quotePrefix="0" xfId="3">
      <alignment vertical="center"/>
    </xf>
    <xf numFmtId="165" fontId="4" fillId="12" borderId="77" applyAlignment="1" pivotButton="0" quotePrefix="0" xfId="3">
      <alignment vertical="center"/>
    </xf>
    <xf numFmtId="17" fontId="6" fillId="5" borderId="68" applyAlignment="1" pivotButton="0" quotePrefix="0" xfId="3">
      <alignment horizontal="center" vertical="center"/>
    </xf>
    <xf numFmtId="17" fontId="6" fillId="5" borderId="51" applyAlignment="1" pivotButton="0" quotePrefix="0" xfId="3">
      <alignment horizontal="center" vertical="center"/>
    </xf>
    <xf numFmtId="0" fontId="7" fillId="16" borderId="55" applyAlignment="1" pivotButton="0" quotePrefix="0" xfId="3">
      <alignment horizontal="center" vertical="center"/>
    </xf>
    <xf numFmtId="164" fontId="3" fillId="25" borderId="56" applyAlignment="1" pivotButton="0" quotePrefix="0" xfId="1">
      <alignment vertical="center"/>
    </xf>
    <xf numFmtId="164" fontId="3" fillId="25" borderId="57" applyAlignment="1" pivotButton="0" quotePrefix="0" xfId="1">
      <alignment vertical="center"/>
    </xf>
    <xf numFmtId="164" fontId="12" fillId="25" borderId="58" applyAlignment="1" pivotButton="0" quotePrefix="0" xfId="1">
      <alignment horizontal="left" vertical="center"/>
    </xf>
    <xf numFmtId="164" fontId="12" fillId="25" borderId="59" applyAlignment="1" pivotButton="0" quotePrefix="0" xfId="1">
      <alignment horizontal="left" vertical="center"/>
    </xf>
    <xf numFmtId="164" fontId="11" fillId="0" borderId="71" applyAlignment="1" pivotButton="0" quotePrefix="0" xfId="1">
      <alignment horizontal="center" vertical="center"/>
    </xf>
    <xf numFmtId="164" fontId="11" fillId="0" borderId="72" applyAlignment="1" pivotButton="0" quotePrefix="0" xfId="1">
      <alignment horizontal="center" vertical="center"/>
    </xf>
    <xf numFmtId="43" fontId="3" fillId="0" borderId="61" applyAlignment="1" pivotButton="0" quotePrefix="0" xfId="4">
      <alignment vertical="center"/>
    </xf>
    <xf numFmtId="164" fontId="3" fillId="25" borderId="62" applyAlignment="1" pivotButton="0" quotePrefix="0" xfId="1">
      <alignment vertical="center"/>
    </xf>
    <xf numFmtId="164" fontId="3" fillId="25" borderId="63" applyAlignment="1" pivotButton="0" quotePrefix="0" xfId="1">
      <alignment vertical="center"/>
    </xf>
    <xf numFmtId="164" fontId="3" fillId="25" borderId="64" applyAlignment="1" pivotButton="0" quotePrefix="0" xfId="1">
      <alignment vertical="center"/>
    </xf>
    <xf numFmtId="164" fontId="3" fillId="25" borderId="59" applyAlignment="1" pivotButton="0" quotePrefix="0" xfId="1">
      <alignment vertical="center"/>
    </xf>
    <xf numFmtId="0" fontId="8" fillId="8" borderId="59" applyAlignment="1" pivotButton="0" quotePrefix="0" xfId="3">
      <alignment horizontal="center" vertical="center"/>
    </xf>
    <xf numFmtId="166" fontId="3" fillId="25" borderId="64" applyAlignment="1" pivotButton="0" quotePrefix="0" xfId="0">
      <alignment vertical="center"/>
    </xf>
    <xf numFmtId="166" fontId="3" fillId="25" borderId="59" applyAlignment="1" pivotButton="0" quotePrefix="0" xfId="0">
      <alignment vertical="center"/>
    </xf>
    <xf numFmtId="164" fontId="3" fillId="25" borderId="67" applyAlignment="1" pivotButton="0" quotePrefix="0" xfId="1">
      <alignment vertical="center"/>
    </xf>
    <xf numFmtId="164" fontId="4" fillId="23" borderId="64" applyAlignment="1" pivotButton="0" quotePrefix="0" xfId="1">
      <alignment vertical="center"/>
    </xf>
    <xf numFmtId="164" fontId="3" fillId="0" borderId="78" applyAlignment="1" pivotButton="0" quotePrefix="0" xfId="1">
      <alignment vertical="center"/>
    </xf>
    <xf numFmtId="164" fontId="4" fillId="10" borderId="59" applyAlignment="1" pivotButton="0" quotePrefix="0" xfId="3">
      <alignment vertical="center"/>
    </xf>
    <xf numFmtId="165" fontId="4" fillId="11" borderId="74" applyAlignment="1" pivotButton="0" quotePrefix="0" xfId="3">
      <alignment vertical="center"/>
    </xf>
    <xf numFmtId="164" fontId="3" fillId="26" borderId="64" applyAlignment="1" pivotButton="0" quotePrefix="0" xfId="1">
      <alignment vertical="center"/>
    </xf>
    <xf numFmtId="164" fontId="3" fillId="26" borderId="9" applyAlignment="1" pivotButton="0" quotePrefix="0" xfId="1">
      <alignment vertical="center"/>
    </xf>
    <xf numFmtId="0" fontId="4" fillId="2" borderId="80" applyAlignment="1" pivotButton="0" quotePrefix="0" xfId="3">
      <alignment vertical="center"/>
    </xf>
    <xf numFmtId="17" fontId="6" fillId="6" borderId="42" applyAlignment="1" pivotButton="0" quotePrefix="0" xfId="3">
      <alignment horizontal="center" vertical="center"/>
    </xf>
    <xf numFmtId="0" fontId="3" fillId="0" borderId="46" applyAlignment="1" pivotButton="0" quotePrefix="0" xfId="3">
      <alignment vertical="center"/>
    </xf>
    <xf numFmtId="0" fontId="7" fillId="16" borderId="44" applyAlignment="1" pivotButton="0" quotePrefix="0" xfId="3">
      <alignment horizontal="center" vertical="center"/>
    </xf>
    <xf numFmtId="164" fontId="4" fillId="0" borderId="44" applyAlignment="1" pivotButton="0" quotePrefix="0" xfId="1">
      <alignment horizontal="left" vertical="center"/>
    </xf>
    <xf numFmtId="164" fontId="3" fillId="0" borderId="43" applyAlignment="1" pivotButton="0" quotePrefix="0" xfId="1">
      <alignment vertical="center"/>
    </xf>
    <xf numFmtId="9" fontId="3" fillId="0" borderId="43" applyAlignment="1" pivotButton="0" quotePrefix="0" xfId="2">
      <alignment vertical="center"/>
    </xf>
    <xf numFmtId="164" fontId="6" fillId="9" borderId="44" applyAlignment="1" pivotButton="0" quotePrefix="0" xfId="1">
      <alignment horizontal="left" vertical="center"/>
    </xf>
    <xf numFmtId="164" fontId="6" fillId="0" borderId="43" applyAlignment="1" pivotButton="0" quotePrefix="0" xfId="1">
      <alignment horizontal="left" vertical="center"/>
    </xf>
    <xf numFmtId="9" fontId="3" fillId="15" borderId="46" applyAlignment="1" pivotButton="0" quotePrefix="0" xfId="3">
      <alignment horizontal="center" vertical="center"/>
    </xf>
    <xf numFmtId="164" fontId="4" fillId="0" borderId="43" applyAlignment="1" pivotButton="0" quotePrefix="0" xfId="1">
      <alignment vertical="center"/>
    </xf>
    <xf numFmtId="0" fontId="8" fillId="8" borderId="44" applyAlignment="1" pivotButton="0" quotePrefix="0" xfId="3">
      <alignment horizontal="center" vertical="center"/>
    </xf>
    <xf numFmtId="164" fontId="4" fillId="0" borderId="44" applyAlignment="1" pivotButton="0" quotePrefix="0" xfId="1">
      <alignment vertical="center"/>
    </xf>
    <xf numFmtId="43" fontId="3" fillId="0" borderId="43" applyAlignment="1" pivotButton="0" quotePrefix="0" xfId="4">
      <alignment vertical="center"/>
    </xf>
    <xf numFmtId="164" fontId="4" fillId="0" borderId="46" applyAlignment="1" pivotButton="0" quotePrefix="0" xfId="1">
      <alignment vertical="center"/>
    </xf>
    <xf numFmtId="164" fontId="4" fillId="18" borderId="44" applyAlignment="1" pivotButton="0" quotePrefix="0" xfId="1">
      <alignment vertical="center"/>
    </xf>
    <xf numFmtId="164" fontId="4" fillId="8" borderId="44" applyAlignment="1" pivotButton="0" quotePrefix="0" xfId="1">
      <alignment vertical="center"/>
    </xf>
    <xf numFmtId="164" fontId="4" fillId="10" borderId="44" applyAlignment="1" pivotButton="0" quotePrefix="0" xfId="3">
      <alignment vertical="center"/>
    </xf>
    <xf numFmtId="165" fontId="4" fillId="11" borderId="81" applyAlignment="1" pivotButton="0" quotePrefix="0" xfId="3">
      <alignment vertical="center"/>
    </xf>
    <xf numFmtId="43" fontId="3" fillId="0" borderId="43" applyAlignment="1" pivotButton="0" quotePrefix="0" xfId="3">
      <alignment vertical="center"/>
    </xf>
    <xf numFmtId="165" fontId="4" fillId="12" borderId="82" applyAlignment="1" pivotButton="0" quotePrefix="0" xfId="3">
      <alignment vertical="center"/>
    </xf>
    <xf numFmtId="165" fontId="4" fillId="12" borderId="48" applyAlignment="1" pivotButton="0" quotePrefix="0" xfId="3">
      <alignment vertical="center"/>
    </xf>
    <xf numFmtId="0" fontId="12" fillId="0" borderId="0" applyAlignment="1" pivotButton="0" quotePrefix="0" xfId="0">
      <alignment vertical="center"/>
    </xf>
    <xf numFmtId="0" fontId="4" fillId="3" borderId="83" applyAlignment="1" pivotButton="0" quotePrefix="0" xfId="3">
      <alignment horizontal="center" vertical="center" wrapText="1"/>
    </xf>
    <xf numFmtId="0" fontId="4" fillId="3" borderId="84" applyAlignment="1" pivotButton="0" quotePrefix="0" xfId="3">
      <alignment horizontal="center" vertical="center" wrapText="1"/>
    </xf>
    <xf numFmtId="164" fontId="4" fillId="18" borderId="59" applyAlignment="1" pivotButton="0" quotePrefix="0" xfId="1">
      <alignment vertical="center"/>
    </xf>
    <xf numFmtId="164" fontId="18" fillId="0" borderId="17" applyAlignment="1" pivotButton="0" quotePrefix="0" xfId="5">
      <alignment vertical="center"/>
    </xf>
    <xf numFmtId="164" fontId="18" fillId="0" borderId="16" applyAlignment="1" pivotButton="0" quotePrefix="0" xfId="5">
      <alignment vertical="center"/>
    </xf>
    <xf numFmtId="0" fontId="12" fillId="3" borderId="8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17" fillId="21" borderId="37" applyAlignment="1" pivotButton="0" quotePrefix="0" xfId="5">
      <alignment vertical="center"/>
    </xf>
    <xf numFmtId="164" fontId="17" fillId="21" borderId="25" applyAlignment="1" pivotButton="0" quotePrefix="0" xfId="5">
      <alignment vertical="center"/>
    </xf>
    <xf numFmtId="164" fontId="17" fillId="21" borderId="66" applyAlignment="1" pivotButton="0" quotePrefix="0" xfId="5">
      <alignment vertical="center"/>
    </xf>
    <xf numFmtId="164" fontId="17" fillId="21" borderId="5" applyAlignment="1" pivotButton="0" quotePrefix="0" xfId="5">
      <alignment vertical="center"/>
    </xf>
    <xf numFmtId="164" fontId="17" fillId="21" borderId="59" applyAlignment="1" pivotButton="0" quotePrefix="0" xfId="5">
      <alignment vertical="center"/>
    </xf>
    <xf numFmtId="0" fontId="12" fillId="0" borderId="43" applyAlignment="1" pivotButton="0" quotePrefix="0" xfId="0">
      <alignment vertical="center"/>
    </xf>
    <xf numFmtId="164" fontId="11" fillId="0" borderId="5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164" fontId="17" fillId="24" borderId="47" applyAlignment="1" pivotButton="0" quotePrefix="0" xfId="3">
      <alignment vertical="center"/>
    </xf>
    <xf numFmtId="164" fontId="18" fillId="13" borderId="47" applyAlignment="1" pivotButton="0" quotePrefix="0" xfId="3">
      <alignment vertical="center"/>
    </xf>
    <xf numFmtId="17" fontId="4" fillId="17" borderId="31" applyAlignment="1" pivotButton="0" quotePrefix="0" xfId="3">
      <alignment horizontal="center" vertical="center"/>
    </xf>
    <xf numFmtId="164" fontId="17" fillId="21" borderId="87" applyAlignment="1" pivotButton="0" quotePrefix="0" xfId="5">
      <alignment vertical="center"/>
    </xf>
    <xf numFmtId="0" fontId="8" fillId="8" borderId="18" applyAlignment="1" pivotButton="0" quotePrefix="0" xfId="3">
      <alignment horizontal="center" vertical="center"/>
    </xf>
    <xf numFmtId="165" fontId="4" fillId="11" borderId="88" applyAlignment="1" pivotButton="0" quotePrefix="0" xfId="3">
      <alignment vertical="center"/>
    </xf>
    <xf numFmtId="165" fontId="4" fillId="12" borderId="89" applyAlignment="1" pivotButton="0" quotePrefix="0" xfId="3">
      <alignment vertical="center"/>
    </xf>
    <xf numFmtId="165" fontId="4" fillId="12" borderId="86" applyAlignment="1" pivotButton="0" quotePrefix="0" xfId="3">
      <alignment vertical="center"/>
    </xf>
    <xf numFmtId="0" fontId="20" fillId="0" borderId="0" pivotButton="0" quotePrefix="0" xfId="10"/>
    <xf numFmtId="0" fontId="20" fillId="0" borderId="0" applyAlignment="1" pivotButton="0" quotePrefix="0" xfId="10">
      <alignment horizontal="center"/>
    </xf>
    <xf numFmtId="17" fontId="20" fillId="0" borderId="0" applyAlignment="1" pivotButton="0" quotePrefix="0" xfId="10">
      <alignment horizontal="center"/>
    </xf>
    <xf numFmtId="165" fontId="4" fillId="25" borderId="24" applyAlignment="1" pivotButton="0" quotePrefix="0" xfId="3">
      <alignment vertical="center"/>
    </xf>
    <xf numFmtId="43" fontId="3" fillId="0" borderId="91" applyAlignment="1" pivotButton="0" quotePrefix="0" xfId="3">
      <alignment vertical="center"/>
    </xf>
    <xf numFmtId="0" fontId="3" fillId="0" borderId="90" applyAlignment="1" pivotButton="0" quotePrefix="0" xfId="3">
      <alignment vertical="center"/>
    </xf>
    <xf numFmtId="165" fontId="4" fillId="24" borderId="24" applyAlignment="1" pivotButton="0" quotePrefix="0" xfId="3">
      <alignment vertical="center"/>
    </xf>
    <xf numFmtId="0" fontId="3" fillId="0" borderId="92" applyAlignment="1" pivotButton="0" quotePrefix="0" xfId="3">
      <alignment vertical="center"/>
    </xf>
    <xf numFmtId="43" fontId="3" fillId="0" borderId="93" applyAlignment="1" pivotButton="0" quotePrefix="0" xfId="3">
      <alignment vertical="center"/>
    </xf>
    <xf numFmtId="0" fontId="4" fillId="4" borderId="95" applyAlignment="1" pivotButton="0" quotePrefix="0" xfId="3">
      <alignment vertical="center"/>
    </xf>
    <xf numFmtId="0" fontId="3" fillId="0" borderId="97" applyAlignment="1" pivotButton="0" quotePrefix="0" xfId="3">
      <alignment vertical="center"/>
    </xf>
    <xf numFmtId="0" fontId="7" fillId="16" borderId="98" applyAlignment="1" pivotButton="0" quotePrefix="0" xfId="3">
      <alignment horizontal="center" vertical="center"/>
    </xf>
    <xf numFmtId="164" fontId="3" fillId="0" borderId="100" applyAlignment="1" pivotButton="0" quotePrefix="0" xfId="1">
      <alignment vertical="center"/>
    </xf>
    <xf numFmtId="0" fontId="3" fillId="0" borderId="94" applyAlignment="1" pivotButton="0" quotePrefix="0" xfId="3">
      <alignment vertical="center"/>
    </xf>
    <xf numFmtId="43" fontId="3" fillId="0" borderId="94" applyAlignment="1" pivotButton="0" quotePrefix="0" xfId="4">
      <alignment vertical="center"/>
    </xf>
    <xf numFmtId="164" fontId="4" fillId="19" borderId="101" applyAlignment="1" pivotButton="0" quotePrefix="0" xfId="1">
      <alignment horizontal="left" vertical="center"/>
    </xf>
    <xf numFmtId="164" fontId="6" fillId="9" borderId="101" applyAlignment="1" pivotButton="0" quotePrefix="0" xfId="1">
      <alignment horizontal="left" vertical="center"/>
    </xf>
    <xf numFmtId="164" fontId="6" fillId="0" borderId="94" applyAlignment="1" pivotButton="0" quotePrefix="0" xfId="1">
      <alignment horizontal="left" vertical="center"/>
    </xf>
    <xf numFmtId="164" fontId="6" fillId="7" borderId="98" applyAlignment="1" pivotButton="0" quotePrefix="0" xfId="1">
      <alignment horizontal="left" vertical="center"/>
    </xf>
    <xf numFmtId="164" fontId="3" fillId="15" borderId="97" applyAlignment="1" pivotButton="0" quotePrefix="0" xfId="3">
      <alignment horizontal="center" vertical="center"/>
    </xf>
    <xf numFmtId="164" fontId="3" fillId="0" borderId="102" applyAlignment="1" pivotButton="0" quotePrefix="0" xfId="1">
      <alignment vertical="center"/>
    </xf>
    <xf numFmtId="165" fontId="4" fillId="20" borderId="101" applyAlignment="1" pivotButton="0" quotePrefix="0" xfId="4">
      <alignment vertical="center"/>
    </xf>
    <xf numFmtId="165" fontId="4" fillId="0" borderId="94" applyAlignment="1" pivotButton="0" quotePrefix="0" xfId="4">
      <alignment vertical="center"/>
    </xf>
    <xf numFmtId="0" fontId="8" fillId="8" borderId="103" applyAlignment="1" pivotButton="0" quotePrefix="0" xfId="3">
      <alignment horizontal="center" vertical="center"/>
    </xf>
    <xf numFmtId="164" fontId="3" fillId="0" borderId="99" applyAlignment="1" pivotButton="0" quotePrefix="0" xfId="1">
      <alignment vertical="center"/>
    </xf>
    <xf numFmtId="164" fontId="17" fillId="21" borderId="104" applyAlignment="1" pivotButton="0" quotePrefix="0" xfId="5">
      <alignment vertical="center"/>
    </xf>
    <xf numFmtId="164" fontId="3" fillId="0" borderId="98" applyAlignment="1" pivotButton="0" quotePrefix="0" xfId="1">
      <alignment vertical="center"/>
    </xf>
    <xf numFmtId="0" fontId="8" fillId="8" borderId="99" applyAlignment="1" pivotButton="0" quotePrefix="0" xfId="3">
      <alignment horizontal="center" vertical="center"/>
    </xf>
    <xf numFmtId="164" fontId="3" fillId="0" borderId="96" applyAlignment="1" pivotButton="0" quotePrefix="0" xfId="1">
      <alignment vertical="center"/>
    </xf>
    <xf numFmtId="164" fontId="3" fillId="13" borderId="101" applyAlignment="1" pivotButton="0" quotePrefix="0" xfId="1">
      <alignment vertical="center"/>
    </xf>
    <xf numFmtId="164" fontId="3" fillId="0" borderId="105" applyAlignment="1" pivotButton="0" quotePrefix="0" xfId="1">
      <alignment vertical="center"/>
    </xf>
    <xf numFmtId="164" fontId="3" fillId="0" borderId="94" applyAlignment="1" pivotButton="0" quotePrefix="0" xfId="1">
      <alignment vertical="center"/>
    </xf>
    <xf numFmtId="164" fontId="6" fillId="8" borderId="101" applyAlignment="1" pivotButton="0" quotePrefix="0" xfId="4">
      <alignment vertical="center"/>
    </xf>
    <xf numFmtId="164" fontId="3" fillId="0" borderId="101" applyAlignment="1" pivotButton="0" quotePrefix="0" xfId="1">
      <alignment vertical="center"/>
    </xf>
    <xf numFmtId="164" fontId="4" fillId="10" borderId="106" applyAlignment="1" pivotButton="0" quotePrefix="0" xfId="3">
      <alignment vertical="center"/>
    </xf>
    <xf numFmtId="165" fontId="4" fillId="8" borderId="98" applyAlignment="1" pivotButton="0" quotePrefix="0" xfId="4">
      <alignment vertical="center"/>
    </xf>
    <xf numFmtId="165" fontId="4" fillId="11" borderId="107" applyAlignment="1" pivotButton="0" quotePrefix="0" xfId="3">
      <alignment vertical="center"/>
    </xf>
    <xf numFmtId="43" fontId="3" fillId="0" borderId="94" applyAlignment="1" pivotButton="0" quotePrefix="0" xfId="3">
      <alignment vertical="center"/>
    </xf>
    <xf numFmtId="165" fontId="4" fillId="12" borderId="108" applyAlignment="1" pivotButton="0" quotePrefix="0" xfId="3">
      <alignment vertical="center"/>
    </xf>
    <xf numFmtId="0" fontId="3" fillId="0" borderId="40" applyAlignment="1" pivotButton="0" quotePrefix="0" xfId="3">
      <alignment vertical="center"/>
    </xf>
    <xf numFmtId="165" fontId="4" fillId="24" borderId="108" applyAlignment="1" pivotButton="0" quotePrefix="0" xfId="3">
      <alignment vertical="center"/>
    </xf>
    <xf numFmtId="165" fontId="4" fillId="24" borderId="86" applyAlignment="1" pivotButton="0" quotePrefix="0" xfId="3">
      <alignment vertical="center"/>
    </xf>
    <xf numFmtId="0" fontId="12" fillId="0" borderId="40" applyAlignment="1" pivotButton="0" quotePrefix="0" xfId="0">
      <alignment vertical="center"/>
    </xf>
    <xf numFmtId="165" fontId="4" fillId="25" borderId="108" applyAlignment="1" pivotButton="0" quotePrefix="0" xfId="3">
      <alignment vertical="center"/>
    </xf>
    <xf numFmtId="0" fontId="8" fillId="8" borderId="104" applyAlignment="1" pivotButton="0" quotePrefix="0" xfId="3">
      <alignment horizontal="center" vertical="center"/>
    </xf>
    <xf numFmtId="0" fontId="3" fillId="0" borderId="109" applyAlignment="1" pivotButton="0" quotePrefix="0" xfId="3">
      <alignment vertical="center"/>
    </xf>
    <xf numFmtId="168" fontId="20" fillId="0" borderId="0" applyAlignment="1" pivotButton="0" quotePrefix="0" xfId="10">
      <alignment horizontal="center"/>
    </xf>
    <xf numFmtId="17" fontId="2" fillId="0" borderId="0" applyAlignment="1" pivotButton="0" quotePrefix="0" xfId="15">
      <alignment horizontal="center"/>
    </xf>
    <xf numFmtId="0" fontId="4" fillId="3" borderId="0" applyAlignment="1" pivotButton="0" quotePrefix="0" xfId="3">
      <alignment horizontal="center" vertical="center" wrapText="1"/>
    </xf>
    <xf numFmtId="169" fontId="0" fillId="0" borderId="0" applyAlignment="1" pivotButton="0" quotePrefix="0" xfId="11">
      <alignment horizontal="center"/>
    </xf>
    <xf numFmtId="0" fontId="2" fillId="0" borderId="0" pivotButton="0" quotePrefix="0" xfId="10"/>
    <xf numFmtId="4" fontId="3" fillId="0" borderId="0" applyAlignment="1" pivotButton="0" quotePrefix="0" xfId="3">
      <alignment vertical="center"/>
    </xf>
    <xf numFmtId="164" fontId="3" fillId="0" borderId="110" applyAlignment="1" pivotButton="0" quotePrefix="0" xfId="1">
      <alignment vertical="center"/>
    </xf>
    <xf numFmtId="0" fontId="3" fillId="23" borderId="9" applyAlignment="1" pivotButton="0" quotePrefix="0" xfId="3">
      <alignment vertical="center"/>
    </xf>
    <xf numFmtId="164" fontId="3" fillId="23" borderId="34" applyAlignment="1" pivotButton="0" quotePrefix="0" xfId="1">
      <alignment vertical="center"/>
    </xf>
    <xf numFmtId="164" fontId="6" fillId="7" borderId="85" applyAlignment="1" pivotButton="0" quotePrefix="0" xfId="1">
      <alignment horizontal="left" vertical="center"/>
    </xf>
    <xf numFmtId="164" fontId="4" fillId="21" borderId="48" applyAlignment="1" pivotButton="0" quotePrefix="0" xfId="1">
      <alignment vertical="center"/>
    </xf>
    <xf numFmtId="164" fontId="4" fillId="0" borderId="42" applyAlignment="1" pivotButton="0" quotePrefix="0" xfId="1">
      <alignment vertical="center"/>
    </xf>
    <xf numFmtId="0" fontId="8" fillId="8" borderId="85" applyAlignment="1" pivotButton="0" quotePrefix="0" xfId="3">
      <alignment horizontal="center" vertical="center"/>
    </xf>
    <xf numFmtId="164" fontId="17" fillId="21" borderId="48" applyAlignment="1" pivotButton="0" quotePrefix="0" xfId="5">
      <alignment vertical="center"/>
    </xf>
    <xf numFmtId="165" fontId="4" fillId="12" borderId="111" applyAlignment="1" pivotButton="0" quotePrefix="0" xfId="3">
      <alignment vertical="center"/>
    </xf>
    <xf numFmtId="164" fontId="3" fillId="25" borderId="61" applyAlignment="1" pivotButton="0" quotePrefix="0" xfId="1">
      <alignment vertical="center"/>
    </xf>
    <xf numFmtId="165" fontId="12" fillId="0" borderId="0" applyAlignment="1" pivotButton="0" quotePrefix="0" xfId="0">
      <alignment vertical="center"/>
    </xf>
    <xf numFmtId="166" fontId="3" fillId="25" borderId="60" applyAlignment="1" pivotButton="0" quotePrefix="0" xfId="0">
      <alignment vertical="center"/>
    </xf>
    <xf numFmtId="166" fontId="3" fillId="25" borderId="0" applyAlignment="1" pivotButton="0" quotePrefix="0" xfId="0">
      <alignment vertical="center"/>
    </xf>
    <xf numFmtId="166" fontId="3" fillId="25" borderId="61" applyAlignment="1" pivotButton="0" quotePrefix="0" xfId="0">
      <alignment vertical="center"/>
    </xf>
    <xf numFmtId="164" fontId="4" fillId="0" borderId="44" applyAlignment="1" pivotButton="0" quotePrefix="0" xfId="1">
      <alignment horizontal="left" vertical="center"/>
    </xf>
    <xf numFmtId="0" fontId="12" fillId="14" borderId="0" applyAlignment="1" pivotButton="0" quotePrefix="0" xfId="0">
      <alignment vertical="center"/>
    </xf>
    <xf numFmtId="0" fontId="3" fillId="14" borderId="0" applyAlignment="1" pivotButton="0" quotePrefix="0" xfId="3">
      <alignment horizontal="center" vertical="center"/>
    </xf>
    <xf numFmtId="164" fontId="18" fillId="0" borderId="44" applyAlignment="1" pivotButton="0" quotePrefix="0" xfId="1">
      <alignment horizontal="left" vertical="center"/>
    </xf>
    <xf numFmtId="169" fontId="12" fillId="0" borderId="0" applyAlignment="1" pivotButton="0" quotePrefix="0" xfId="24">
      <alignment vertical="center"/>
    </xf>
    <xf numFmtId="167" fontId="12" fillId="0" borderId="0" applyAlignment="1" pivotButton="0" quotePrefix="0" xfId="0">
      <alignment vertical="center"/>
    </xf>
    <xf numFmtId="17" fontId="0" fillId="0" borderId="0" pivotButton="0" quotePrefix="0" xfId="0"/>
    <xf numFmtId="169" fontId="0" fillId="0" borderId="0" pivotButton="0" quotePrefix="0" xfId="24"/>
    <xf numFmtId="169" fontId="0" fillId="0" borderId="0" pivotButton="0" quotePrefix="0" xfId="0"/>
    <xf numFmtId="0" fontId="0" fillId="0" borderId="0" applyAlignment="1" pivotButton="0" quotePrefix="0" xfId="0">
      <alignment horizontal="center"/>
    </xf>
    <xf numFmtId="170" fontId="0" fillId="0" borderId="0" pivotButton="0" quotePrefix="0" xfId="2"/>
    <xf numFmtId="10" fontId="0" fillId="0" borderId="0" pivotButton="0" quotePrefix="0" xfId="0"/>
    <xf numFmtId="164" fontId="0" fillId="0" borderId="0" pivotButton="0" quotePrefix="0" xfId="0"/>
    <xf numFmtId="0" fontId="0" fillId="23" borderId="0" pivotButton="0" quotePrefix="0" xfId="0"/>
    <xf numFmtId="0" fontId="0" fillId="23" borderId="0" applyAlignment="1" pivotButton="0" quotePrefix="0" xfId="0">
      <alignment horizontal="center"/>
    </xf>
    <xf numFmtId="169" fontId="0" fillId="23" borderId="0" pivotButton="0" quotePrefix="0" xfId="0"/>
    <xf numFmtId="0" fontId="0" fillId="23" borderId="0" applyAlignment="1" pivotButton="0" quotePrefix="0" xfId="0">
      <alignment horizontal="left"/>
    </xf>
    <xf numFmtId="169" fontId="10" fillId="23" borderId="0" applyAlignment="1" pivotButton="0" quotePrefix="0" xfId="24">
      <alignment horizontal="center"/>
    </xf>
    <xf numFmtId="169" fontId="0" fillId="23" borderId="0" applyAlignment="1" pivotButton="0" quotePrefix="0" xfId="24">
      <alignment horizontal="center"/>
    </xf>
    <xf numFmtId="9" fontId="0" fillId="23" borderId="0" applyAlignment="1" pivotButton="0" quotePrefix="0" xfId="2">
      <alignment horizontal="center"/>
    </xf>
    <xf numFmtId="164" fontId="0" fillId="0" borderId="0" pivotButton="0" quotePrefix="0" xfId="1"/>
    <xf numFmtId="171" fontId="0" fillId="0" borderId="0" pivotButton="0" quotePrefix="0" xfId="24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169" fontId="0" fillId="0" borderId="0" applyAlignment="1" pivotButton="0" quotePrefix="0" xfId="24">
      <alignment horizontal="center"/>
    </xf>
    <xf numFmtId="9" fontId="0" fillId="0" borderId="0" pivotButton="0" quotePrefix="0" xfId="0"/>
    <xf numFmtId="17" fontId="16" fillId="0" borderId="0" applyAlignment="1" pivotButton="0" quotePrefix="0" xfId="3">
      <alignment horizontal="center" vertical="center"/>
    </xf>
    <xf numFmtId="9" fontId="0" fillId="0" borderId="0" pivotButton="0" quotePrefix="0" xfId="2"/>
    <xf numFmtId="0" fontId="24" fillId="0" borderId="0" applyAlignment="1" pivotButton="0" quotePrefix="0" xfId="0">
      <alignment horizontal="center"/>
    </xf>
    <xf numFmtId="164" fontId="3" fillId="14" borderId="32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0" fontId="13" fillId="27" borderId="0" applyAlignment="1" pivotButton="0" quotePrefix="0" xfId="3">
      <alignment vertical="center"/>
    </xf>
    <xf numFmtId="17" fontId="12" fillId="0" borderId="0" applyAlignment="1" pivotButton="0" quotePrefix="0" xfId="0">
      <alignment vertical="center"/>
    </xf>
    <xf numFmtId="172" fontId="0" fillId="0" borderId="0" pivotButton="0" quotePrefix="0" xfId="0"/>
    <xf numFmtId="164" fontId="0" fillId="11" borderId="0" pivotButton="0" quotePrefix="0" xfId="0"/>
    <xf numFmtId="10" fontId="0" fillId="0" borderId="0" pivotButton="0" quotePrefix="0" xfId="2"/>
    <xf numFmtId="0" fontId="0" fillId="0" borderId="112" pivotButton="0" quotePrefix="0" xfId="0"/>
    <xf numFmtId="0" fontId="0" fillId="0" borderId="4" pivotButton="0" quotePrefix="0" xfId="0"/>
    <xf numFmtId="0" fontId="0" fillId="26" borderId="0" pivotButton="0" quotePrefix="0" xfId="0"/>
    <xf numFmtId="164" fontId="0" fillId="26" borderId="0" pivotButton="0" quotePrefix="0" xfId="0"/>
    <xf numFmtId="0" fontId="24" fillId="0" borderId="112" applyAlignment="1" pivotButton="0" quotePrefix="0" xfId="0">
      <alignment horizontal="center"/>
    </xf>
    <xf numFmtId="164" fontId="24" fillId="0" borderId="4" pivotButton="0" quotePrefix="0" xfId="0"/>
    <xf numFmtId="17" fontId="4" fillId="17" borderId="113" applyAlignment="1" pivotButton="0" quotePrefix="0" xfId="3">
      <alignment horizontal="center" vertical="center"/>
    </xf>
    <xf numFmtId="164" fontId="0" fillId="0" borderId="113" pivotButton="0" quotePrefix="0" xfId="1"/>
    <xf numFmtId="164" fontId="24" fillId="0" borderId="113" pivotButton="0" quotePrefix="0" xfId="1"/>
    <xf numFmtId="0" fontId="24" fillId="11" borderId="0" applyAlignment="1" pivotButton="0" quotePrefix="0" xfId="0">
      <alignment horizontal="center"/>
    </xf>
    <xf numFmtId="0" fontId="24" fillId="19" borderId="0" applyAlignment="1" pivotButton="0" quotePrefix="0" xfId="0">
      <alignment horizontal="center"/>
    </xf>
    <xf numFmtId="0" fontId="24" fillId="0" borderId="115" applyAlignment="1" pivotButton="0" quotePrefix="0" xfId="0">
      <alignment horizontal="center"/>
    </xf>
    <xf numFmtId="0" fontId="24" fillId="0" borderId="60" applyAlignment="1" pivotButton="0" quotePrefix="0" xfId="0">
      <alignment horizontal="center"/>
    </xf>
    <xf numFmtId="0" fontId="0" fillId="0" borderId="60" pivotButton="0" quotePrefix="0" xfId="0"/>
    <xf numFmtId="164" fontId="0" fillId="11" borderId="60" pivotButton="0" quotePrefix="0" xfId="0"/>
    <xf numFmtId="164" fontId="0" fillId="0" borderId="60" pivotButton="0" quotePrefix="0" xfId="0"/>
    <xf numFmtId="10" fontId="0" fillId="0" borderId="60" pivotButton="0" quotePrefix="0" xfId="2"/>
    <xf numFmtId="0" fontId="0" fillId="0" borderId="68" pivotButton="0" quotePrefix="0" xfId="0"/>
    <xf numFmtId="164" fontId="24" fillId="0" borderId="54" pivotButton="0" quotePrefix="0" xfId="0"/>
    <xf numFmtId="170" fontId="0" fillId="0" borderId="60" pivotButton="0" quotePrefix="0" xfId="2"/>
    <xf numFmtId="164" fontId="0" fillId="26" borderId="60" pivotButton="0" quotePrefix="0" xfId="0"/>
    <xf numFmtId="170" fontId="0" fillId="0" borderId="117" pivotButton="0" quotePrefix="0" xfId="2"/>
    <xf numFmtId="164" fontId="0" fillId="0" borderId="1" pivotButton="0" quotePrefix="0" xfId="0"/>
    <xf numFmtId="164" fontId="0" fillId="0" borderId="119" pivotButton="0" quotePrefix="0" xfId="0"/>
    <xf numFmtId="164" fontId="24" fillId="0" borderId="1" pivotButton="0" quotePrefix="0" xfId="0"/>
    <xf numFmtId="164" fontId="24" fillId="0" borderId="119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9" fontId="25" fillId="0" borderId="0" applyAlignment="1" pivotButton="0" quotePrefix="0" xfId="2">
      <alignment horizontal="center"/>
    </xf>
    <xf numFmtId="0" fontId="25" fillId="0" borderId="116" applyAlignment="1" pivotButton="0" quotePrefix="0" xfId="0">
      <alignment horizontal="center"/>
    </xf>
    <xf numFmtId="0" fontId="26" fillId="0" borderId="61" applyAlignment="1" pivotButton="0" quotePrefix="0" xfId="0">
      <alignment horizontal="center"/>
    </xf>
    <xf numFmtId="0" fontId="25" fillId="0" borderId="61" applyAlignment="1" pivotButton="0" quotePrefix="0" xfId="0">
      <alignment horizontal="center"/>
    </xf>
    <xf numFmtId="9" fontId="25" fillId="0" borderId="61" applyAlignment="1" pivotButton="0" quotePrefix="0" xfId="2">
      <alignment horizontal="center"/>
    </xf>
    <xf numFmtId="0" fontId="25" fillId="0" borderId="118" applyAlignment="1" pivotButton="0" quotePrefix="0" xfId="0">
      <alignment horizontal="center"/>
    </xf>
    <xf numFmtId="0" fontId="27" fillId="0" borderId="114" applyAlignment="1" pivotButton="0" quotePrefix="0" xfId="0">
      <alignment horizontal="center"/>
    </xf>
    <xf numFmtId="0" fontId="29" fillId="28" borderId="0" applyAlignment="1" pivotButton="0" quotePrefix="0" xfId="0">
      <alignment horizontal="center" vertical="center"/>
    </xf>
    <xf numFmtId="0" fontId="13" fillId="28" borderId="0" applyAlignment="1" pivotButton="0" quotePrefix="0" xfId="0">
      <alignment horizontal="center" vertical="center"/>
    </xf>
    <xf numFmtId="173" fontId="12" fillId="0" borderId="0" applyAlignment="1" pivotButton="0" quotePrefix="0" xfId="1">
      <alignment vertical="center"/>
    </xf>
    <xf numFmtId="0" fontId="24" fillId="0" borderId="112" pivotButton="0" quotePrefix="0" xfId="0"/>
    <xf numFmtId="0" fontId="28" fillId="28" borderId="0" applyAlignment="1" pivotButton="0" quotePrefix="0" xfId="0">
      <alignment horizontal="center"/>
    </xf>
    <xf numFmtId="172" fontId="28" fillId="28" borderId="0" pivotButton="0" quotePrefix="0" xfId="0"/>
    <xf numFmtId="164" fontId="28" fillId="28" borderId="0" pivotButton="0" quotePrefix="0" xfId="1"/>
    <xf numFmtId="174" fontId="0" fillId="0" borderId="0" pivotButton="0" quotePrefix="0" xfId="0"/>
    <xf numFmtId="167" fontId="30" fillId="5" borderId="0" pivotButton="0" quotePrefix="0" xfId="0"/>
    <xf numFmtId="174" fontId="0" fillId="0" borderId="0" pivotButton="0" quotePrefix="0" xfId="1"/>
    <xf numFmtId="0" fontId="31" fillId="0" borderId="0" pivotButton="0" quotePrefix="0" xfId="0"/>
    <xf numFmtId="175" fontId="0" fillId="0" borderId="0" pivotButton="0" quotePrefix="0" xfId="0"/>
    <xf numFmtId="174" fontId="28" fillId="29" borderId="0" pivotButton="0" quotePrefix="0" xfId="1"/>
    <xf numFmtId="174" fontId="28" fillId="3" borderId="0" pivotButton="0" quotePrefix="0" xfId="1"/>
    <xf numFmtId="174" fontId="28" fillId="30" borderId="0" pivotButton="0" quotePrefix="0" xfId="1"/>
    <xf numFmtId="0" fontId="28" fillId="31" borderId="114" applyAlignment="1" pivotButton="0" quotePrefix="0" xfId="0">
      <alignment horizontal="center"/>
    </xf>
    <xf numFmtId="0" fontId="0" fillId="22" borderId="0" pivotButton="0" quotePrefix="0" xfId="0"/>
    <xf numFmtId="164" fontId="0" fillId="22" borderId="0" pivotButton="0" quotePrefix="0" xfId="1"/>
    <xf numFmtId="0" fontId="24" fillId="0" borderId="4" applyAlignment="1" pivotButton="0" quotePrefix="0" xfId="0">
      <alignment horizontal="center"/>
    </xf>
    <xf numFmtId="0" fontId="0" fillId="0" borderId="1" pivotButton="0" quotePrefix="0" xfId="0"/>
    <xf numFmtId="17" fontId="16" fillId="32" borderId="0" applyAlignment="1" pivotButton="0" quotePrefix="0" xfId="3">
      <alignment horizontal="center" vertical="center"/>
    </xf>
    <xf numFmtId="0" fontId="3" fillId="32" borderId="0" applyAlignment="1" pivotButton="0" quotePrefix="0" xfId="3">
      <alignment horizontal="center" vertical="center"/>
    </xf>
    <xf numFmtId="0" fontId="0" fillId="32" borderId="0" pivotButton="0" quotePrefix="0" xfId="0"/>
    <xf numFmtId="166" fontId="12" fillId="0" borderId="0" applyAlignment="1" pivotButton="0" quotePrefix="0" xfId="0">
      <alignment vertical="center"/>
    </xf>
    <xf numFmtId="0" fontId="16" fillId="0" borderId="5" applyAlignment="1" pivotButton="0" quotePrefix="0" xfId="0">
      <alignment horizontal="center" vertical="center"/>
    </xf>
    <xf numFmtId="0" fontId="16" fillId="26" borderId="12" applyAlignment="1" pivotButton="0" quotePrefix="0" xfId="0">
      <alignment vertical="center"/>
    </xf>
    <xf numFmtId="0" fontId="16" fillId="26" borderId="4" applyAlignment="1" pivotButton="0" quotePrefix="0" xfId="0">
      <alignment vertical="center"/>
    </xf>
    <xf numFmtId="0" fontId="16" fillId="26" borderId="13" applyAlignment="1" pivotButton="0" quotePrefix="0" xfId="0">
      <alignment vertical="center"/>
    </xf>
    <xf numFmtId="164" fontId="17" fillId="0" borderId="44" applyAlignment="1" pivotButton="0" quotePrefix="0" xfId="1">
      <alignment horizontal="left" vertical="center"/>
    </xf>
    <xf numFmtId="164" fontId="32" fillId="23" borderId="32" applyAlignment="1" pivotButton="0" quotePrefix="0" xfId="1">
      <alignment vertical="center"/>
    </xf>
    <xf numFmtId="164" fontId="3" fillId="0" borderId="120" applyAlignment="1" pivotButton="0" quotePrefix="0" xfId="1">
      <alignment vertical="center"/>
    </xf>
    <xf numFmtId="0" fontId="8" fillId="8" borderId="25" applyAlignment="1" pivotButton="0" quotePrefix="0" xfId="3">
      <alignment horizontal="center" vertical="center"/>
    </xf>
    <xf numFmtId="164" fontId="6" fillId="8" borderId="31" applyAlignment="1" pivotButton="0" quotePrefix="0" xfId="4">
      <alignment vertical="center"/>
    </xf>
    <xf numFmtId="164" fontId="12" fillId="0" borderId="0" applyAlignment="1" pivotButton="0" quotePrefix="0" xfId="0">
      <alignment vertical="center"/>
    </xf>
    <xf numFmtId="0" fontId="33" fillId="14" borderId="114" applyAlignment="1" pivotButton="0" quotePrefix="0" xfId="3">
      <alignment horizontal="center" vertical="center"/>
    </xf>
    <xf numFmtId="17" fontId="34" fillId="17" borderId="113" applyAlignment="1" pivotButton="0" quotePrefix="0" xfId="3">
      <alignment horizontal="center" vertical="center"/>
    </xf>
    <xf numFmtId="1" fontId="0" fillId="14" borderId="0" pivotButton="0" quotePrefix="0" xfId="0"/>
    <xf numFmtId="170" fontId="12" fillId="0" borderId="0" applyAlignment="1" pivotButton="0" quotePrefix="0" xfId="2">
      <alignment vertical="center"/>
    </xf>
    <xf numFmtId="0" fontId="0" fillId="33" borderId="0" pivotButton="0" quotePrefix="0" xfId="0"/>
    <xf numFmtId="17" fontId="4" fillId="33" borderId="113" applyAlignment="1" pivotButton="0" quotePrefix="0" xfId="3">
      <alignment horizontal="center" vertical="center"/>
    </xf>
    <xf numFmtId="17" fontId="34" fillId="33" borderId="113" applyAlignment="1" pivotButton="0" quotePrefix="0" xfId="3">
      <alignment horizontal="center" vertical="center"/>
    </xf>
    <xf numFmtId="164" fontId="0" fillId="33" borderId="113" pivotButton="0" quotePrefix="0" xfId="1"/>
    <xf numFmtId="164" fontId="24" fillId="33" borderId="113" pivotButton="0" quotePrefix="0" xfId="1"/>
    <xf numFmtId="0" fontId="16" fillId="9" borderId="5" applyAlignment="1" pivotButton="0" quotePrefix="0" xfId="0">
      <alignment horizontal="center" vertical="center"/>
    </xf>
    <xf numFmtId="0" fontId="12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164" fontId="3" fillId="9" borderId="34" applyAlignment="1" pivotButton="0" quotePrefix="0" xfId="1">
      <alignment vertical="center"/>
    </xf>
    <xf numFmtId="0" fontId="3" fillId="9" borderId="0" applyAlignment="1" pivotButton="0" quotePrefix="0" xfId="3">
      <alignment vertical="center"/>
    </xf>
    <xf numFmtId="0" fontId="7" fillId="9" borderId="4" applyAlignment="1" pivotButton="0" quotePrefix="0" xfId="3">
      <alignment horizontal="center" vertical="center"/>
    </xf>
    <xf numFmtId="164" fontId="3" fillId="9" borderId="32" applyAlignment="1" pivotButton="0" quotePrefix="0" xfId="1">
      <alignment vertical="center"/>
    </xf>
    <xf numFmtId="43" fontId="3" fillId="9" borderId="0" applyAlignment="1" pivotButton="0" quotePrefix="0" xfId="4">
      <alignment vertical="center"/>
    </xf>
    <xf numFmtId="164" fontId="4" fillId="9" borderId="12" applyAlignment="1" pivotButton="0" quotePrefix="0" xfId="1">
      <alignment horizontal="left" vertical="center"/>
    </xf>
    <xf numFmtId="167" fontId="12" fillId="0" borderId="0" applyAlignment="1" pivotButton="0" quotePrefix="0" xfId="1">
      <alignment vertical="center"/>
    </xf>
    <xf numFmtId="43" fontId="12" fillId="0" borderId="0" applyAlignment="1" pivotButton="0" quotePrefix="0" xfId="0">
      <alignment vertical="center"/>
    </xf>
    <xf numFmtId="17" fontId="24" fillId="0" borderId="0" applyAlignment="1" pivotButton="0" quotePrefix="0" xfId="0">
      <alignment horizontal="center"/>
    </xf>
    <xf numFmtId="0" fontId="24" fillId="21" borderId="4" applyAlignment="1" pivotButton="0" quotePrefix="0" xfId="0">
      <alignment horizontal="center"/>
    </xf>
    <xf numFmtId="164" fontId="3" fillId="14" borderId="11" applyAlignment="1" pivotButton="0" quotePrefix="0" xfId="1">
      <alignment vertical="center"/>
    </xf>
    <xf numFmtId="17" fontId="16" fillId="34" borderId="0" applyAlignment="1" pivotButton="0" quotePrefix="0" xfId="3">
      <alignment horizontal="center" vertical="center"/>
    </xf>
    <xf numFmtId="0" fontId="3" fillId="34" borderId="0" applyAlignment="1" pivotButton="0" quotePrefix="0" xfId="3">
      <alignment horizontal="center" vertical="center"/>
    </xf>
    <xf numFmtId="0" fontId="0" fillId="34" borderId="0" pivotButton="0" quotePrefix="0" xfId="0"/>
    <xf numFmtId="1" fontId="0" fillId="34" borderId="0" applyAlignment="1" pivotButton="0" quotePrefix="0" xfId="0">
      <alignment horizontal="center"/>
    </xf>
    <xf numFmtId="1" fontId="0" fillId="34" borderId="0" applyAlignment="1" pivotButton="0" quotePrefix="0" xfId="0">
      <alignment horizontal="right"/>
    </xf>
    <xf numFmtId="176" fontId="12" fillId="0" borderId="0" applyAlignment="1" pivotButton="0" quotePrefix="0" xfId="2">
      <alignment vertical="center"/>
    </xf>
    <xf numFmtId="10" fontId="3" fillId="0" borderId="0" applyAlignment="1" pivotButton="0" quotePrefix="0" xfId="2">
      <alignment vertical="center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9" fontId="0" fillId="9" borderId="0" applyAlignment="1" pivotButton="0" quotePrefix="0" xfId="24">
      <alignment horizontal="center"/>
    </xf>
    <xf numFmtId="9" fontId="0" fillId="9" borderId="0" pivotButton="0" quotePrefix="0" xfId="0"/>
    <xf numFmtId="9" fontId="0" fillId="9" borderId="0" pivotButton="0" quotePrefix="0" xfId="2"/>
    <xf numFmtId="0" fontId="0" fillId="33" borderId="0" applyAlignment="1" pivotButton="0" quotePrefix="0" xfId="0">
      <alignment horizontal="center"/>
    </xf>
    <xf numFmtId="169" fontId="0" fillId="33" borderId="0" applyAlignment="1" pivotButton="0" quotePrefix="0" xfId="24">
      <alignment horizontal="center"/>
    </xf>
    <xf numFmtId="169" fontId="0" fillId="33" borderId="0" pivotButton="0" quotePrefix="0" xfId="24"/>
    <xf numFmtId="169" fontId="0" fillId="33" borderId="0" pivotButton="0" quotePrefix="0" xfId="0"/>
    <xf numFmtId="9" fontId="0" fillId="33" borderId="0" applyAlignment="1" pivotButton="0" quotePrefix="0" xfId="2">
      <alignment horizontal="center"/>
    </xf>
    <xf numFmtId="177" fontId="0" fillId="0" borderId="0" pivotButton="0" quotePrefix="0" xfId="0"/>
    <xf numFmtId="178" fontId="0" fillId="0" borderId="0" pivotButton="0" quotePrefix="0" xfId="24"/>
    <xf numFmtId="178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164" fontId="0" fillId="35" borderId="0" pivotButton="0" quotePrefix="0" xfId="1"/>
    <xf numFmtId="0" fontId="37" fillId="0" borderId="0" pivotButton="0" quotePrefix="0" xfId="0"/>
    <xf numFmtId="0" fontId="9" fillId="16" borderId="41" applyAlignment="1" pivotButton="0" quotePrefix="0" xfId="3">
      <alignment horizontal="center" vertical="center"/>
    </xf>
    <xf numFmtId="0" fontId="9" fillId="16" borderId="42" applyAlignment="1" pivotButton="0" quotePrefix="0" xfId="3">
      <alignment horizontal="center" vertical="center"/>
    </xf>
    <xf numFmtId="17" fontId="6" fillId="6" borderId="41" applyAlignment="1" pivotButton="0" quotePrefix="0" xfId="3">
      <alignment horizontal="center" vertical="center" wrapText="1"/>
    </xf>
    <xf numFmtId="17" fontId="6" fillId="6" borderId="43" applyAlignment="1" pivotButton="0" quotePrefix="0" xfId="3">
      <alignment horizontal="center" vertical="center" wrapText="1"/>
    </xf>
    <xf numFmtId="17" fontId="6" fillId="6" borderId="79" applyAlignment="1" pivotButton="0" quotePrefix="0" xfId="3">
      <alignment horizontal="center" vertical="center" wrapText="1"/>
    </xf>
    <xf numFmtId="0" fontId="4" fillId="3" borderId="60" applyAlignment="1" pivotButton="0" quotePrefix="0" xfId="3">
      <alignment horizontal="center" vertical="center" wrapText="1"/>
    </xf>
    <xf numFmtId="0" fontId="4" fillId="3" borderId="0" applyAlignment="1" pivotButton="0" quotePrefix="0" xfId="3">
      <alignment horizontal="center" vertical="center" wrapText="1"/>
    </xf>
    <xf numFmtId="0" fontId="3" fillId="23" borderId="0" applyAlignment="1" pivotButton="0" quotePrefix="0" xfId="3">
      <alignment horizontal="center" vertical="center" wrapText="1"/>
    </xf>
    <xf numFmtId="0" fontId="24" fillId="15" borderId="0" applyAlignment="1" pivotButton="0" quotePrefix="0" xfId="0">
      <alignment horizontal="center"/>
    </xf>
    <xf numFmtId="0" fontId="24" fillId="33" borderId="0" applyAlignment="1" pivotButton="0" quotePrefix="0" xfId="0">
      <alignment horizontal="center"/>
    </xf>
    <xf numFmtId="17" fontId="6" fillId="6" borderId="121" applyAlignment="1" pivotButton="0" quotePrefix="0" xfId="3">
      <alignment horizontal="center" vertical="center" wrapText="1"/>
    </xf>
    <xf numFmtId="0" fontId="0" fillId="0" borderId="43" pivotButton="0" quotePrefix="0" xfId="0"/>
    <xf numFmtId="0" fontId="0" fillId="0" borderId="79" pivotButton="0" quotePrefix="0" xfId="0"/>
    <xf numFmtId="0" fontId="9" fillId="16" borderId="85" applyAlignment="1" pivotButton="0" quotePrefix="0" xfId="3">
      <alignment horizontal="center" vertical="center"/>
    </xf>
    <xf numFmtId="0" fontId="0" fillId="0" borderId="42" pivotButton="0" quotePrefix="0" xfId="0"/>
    <xf numFmtId="167" fontId="3" fillId="25" borderId="17" applyAlignment="1" pivotButton="0" quotePrefix="0" xfId="1">
      <alignment vertical="center"/>
    </xf>
    <xf numFmtId="43" fontId="3" fillId="0" borderId="0" applyAlignment="1" pivotButton="0" quotePrefix="0" xfId="4">
      <alignment vertical="center"/>
    </xf>
    <xf numFmtId="43" fontId="3" fillId="0" borderId="60" applyAlignment="1" pivotButton="0" quotePrefix="0" xfId="4">
      <alignment vertical="center"/>
    </xf>
    <xf numFmtId="43" fontId="3" fillId="0" borderId="61" applyAlignment="1" pivotButton="0" quotePrefix="0" xfId="4">
      <alignment vertical="center"/>
    </xf>
    <xf numFmtId="43" fontId="3" fillId="0" borderId="94" applyAlignment="1" pivotButton="0" quotePrefix="0" xfId="4">
      <alignment vertical="center"/>
    </xf>
    <xf numFmtId="165" fontId="4" fillId="20" borderId="5" applyAlignment="1" pivotButton="0" quotePrefix="0" xfId="4">
      <alignment vertical="center"/>
    </xf>
    <xf numFmtId="165" fontId="4" fillId="20" borderId="12" applyAlignment="1" pivotButton="0" quotePrefix="0" xfId="4">
      <alignment vertical="center"/>
    </xf>
    <xf numFmtId="165" fontId="4" fillId="20" borderId="58" applyAlignment="1" pivotButton="0" quotePrefix="0" xfId="4">
      <alignment vertical="center"/>
    </xf>
    <xf numFmtId="165" fontId="4" fillId="20" borderId="59" applyAlignment="1" pivotButton="0" quotePrefix="0" xfId="4">
      <alignment vertical="center"/>
    </xf>
    <xf numFmtId="165" fontId="4" fillId="20" borderId="13" applyAlignment="1" pivotButton="0" quotePrefix="0" xfId="4">
      <alignment vertical="center"/>
    </xf>
    <xf numFmtId="165" fontId="4" fillId="20" borderId="101" applyAlignment="1" pivotButton="0" quotePrefix="0" xfId="4">
      <alignment vertical="center"/>
    </xf>
    <xf numFmtId="165" fontId="4" fillId="0" borderId="0" applyAlignment="1" pivotButton="0" quotePrefix="0" xfId="4">
      <alignment vertical="center"/>
    </xf>
    <xf numFmtId="165" fontId="4" fillId="0" borderId="60" applyAlignment="1" pivotButton="0" quotePrefix="0" xfId="4">
      <alignment vertical="center"/>
    </xf>
    <xf numFmtId="165" fontId="4" fillId="0" borderId="61" applyAlignment="1" pivotButton="0" quotePrefix="0" xfId="4">
      <alignment vertical="center"/>
    </xf>
    <xf numFmtId="165" fontId="4" fillId="0" borderId="94" applyAlignment="1" pivotButton="0" quotePrefix="0" xfId="4">
      <alignment vertical="center"/>
    </xf>
    <xf numFmtId="166" fontId="3" fillId="25" borderId="64" applyAlignment="1" pivotButton="0" quotePrefix="0" xfId="0">
      <alignment vertical="center"/>
    </xf>
    <xf numFmtId="166" fontId="3" fillId="25" borderId="9" applyAlignment="1" pivotButton="0" quotePrefix="0" xfId="0">
      <alignment vertical="center"/>
    </xf>
    <xf numFmtId="166" fontId="3" fillId="25" borderId="5" applyAlignment="1" pivotButton="0" quotePrefix="0" xfId="0">
      <alignment vertical="center"/>
    </xf>
    <xf numFmtId="166" fontId="3" fillId="25" borderId="59" applyAlignment="1" pivotButton="0" quotePrefix="0" xfId="0">
      <alignment vertical="center"/>
    </xf>
    <xf numFmtId="166" fontId="3" fillId="25" borderId="60" applyAlignment="1" pivotButton="0" quotePrefix="0" xfId="0">
      <alignment vertical="center"/>
    </xf>
    <xf numFmtId="166" fontId="3" fillId="25" borderId="0" applyAlignment="1" pivotButton="0" quotePrefix="0" xfId="0">
      <alignment vertical="center"/>
    </xf>
    <xf numFmtId="166" fontId="3" fillId="25" borderId="61" applyAlignment="1" pivotButton="0" quotePrefix="0" xfId="0">
      <alignment vertical="center"/>
    </xf>
    <xf numFmtId="43" fontId="3" fillId="0" borderId="43" applyAlignment="1" pivotButton="0" quotePrefix="0" xfId="4">
      <alignment vertical="center"/>
    </xf>
    <xf numFmtId="165" fontId="4" fillId="8" borderId="4" applyAlignment="1" pivotButton="0" quotePrefix="0" xfId="4">
      <alignment vertical="center"/>
    </xf>
    <xf numFmtId="165" fontId="4" fillId="8" borderId="55" applyAlignment="1" pivotButton="0" quotePrefix="0" xfId="4">
      <alignment vertical="center"/>
    </xf>
    <xf numFmtId="165" fontId="4" fillId="8" borderId="98" applyAlignment="1" pivotButton="0" quotePrefix="0" xfId="4">
      <alignment vertical="center"/>
    </xf>
    <xf numFmtId="165" fontId="4" fillId="11" borderId="28" applyAlignment="1" pivotButton="0" quotePrefix="0" xfId="3">
      <alignment vertical="center"/>
    </xf>
    <xf numFmtId="165" fontId="4" fillId="11" borderId="29" applyAlignment="1" pivotButton="0" quotePrefix="0" xfId="3">
      <alignment vertical="center"/>
    </xf>
    <xf numFmtId="165" fontId="4" fillId="11" borderId="24" applyAlignment="1" pivotButton="0" quotePrefix="0" xfId="3">
      <alignment vertical="center"/>
    </xf>
    <xf numFmtId="165" fontId="4" fillId="11" borderId="26" applyAlignment="1" pivotButton="0" quotePrefix="0" xfId="3">
      <alignment vertical="center"/>
    </xf>
    <xf numFmtId="165" fontId="4" fillId="11" borderId="74" applyAlignment="1" pivotButton="0" quotePrefix="0" xfId="3">
      <alignment vertical="center"/>
    </xf>
    <xf numFmtId="165" fontId="4" fillId="11" borderId="14" applyAlignment="1" pivotButton="0" quotePrefix="0" xfId="3">
      <alignment vertical="center"/>
    </xf>
    <xf numFmtId="165" fontId="4" fillId="11" borderId="72" applyAlignment="1" pivotButton="0" quotePrefix="0" xfId="3">
      <alignment vertical="center"/>
    </xf>
    <xf numFmtId="165" fontId="4" fillId="0" borderId="0" applyAlignment="1" pivotButton="0" quotePrefix="0" xfId="3">
      <alignment vertical="center"/>
    </xf>
    <xf numFmtId="165" fontId="4" fillId="11" borderId="81" applyAlignment="1" pivotButton="0" quotePrefix="0" xfId="3">
      <alignment vertical="center"/>
    </xf>
    <xf numFmtId="165" fontId="4" fillId="11" borderId="88" applyAlignment="1" pivotButton="0" quotePrefix="0" xfId="3">
      <alignment vertical="center"/>
    </xf>
    <xf numFmtId="165" fontId="4" fillId="11" borderId="15" applyAlignment="1" pivotButton="0" quotePrefix="0" xfId="3">
      <alignment vertical="center"/>
    </xf>
    <xf numFmtId="165" fontId="4" fillId="11" borderId="107" applyAlignment="1" pivotButton="0" quotePrefix="0" xfId="3">
      <alignment vertical="center"/>
    </xf>
    <xf numFmtId="43" fontId="3" fillId="0" borderId="0" applyAlignment="1" pivotButton="0" quotePrefix="0" xfId="3">
      <alignment vertical="center"/>
    </xf>
    <xf numFmtId="43" fontId="3" fillId="0" borderId="30" applyAlignment="1" pivotButton="0" quotePrefix="0" xfId="3">
      <alignment vertical="center"/>
    </xf>
    <xf numFmtId="43" fontId="3" fillId="0" borderId="60" applyAlignment="1" pivotButton="0" quotePrefix="0" xfId="3">
      <alignment vertical="center"/>
    </xf>
    <xf numFmtId="43" fontId="3" fillId="0" borderId="61" applyAlignment="1" pivotButton="0" quotePrefix="0" xfId="3">
      <alignment vertical="center"/>
    </xf>
    <xf numFmtId="43" fontId="3" fillId="0" borderId="43" applyAlignment="1" pivotButton="0" quotePrefix="0" xfId="3">
      <alignment vertical="center"/>
    </xf>
    <xf numFmtId="43" fontId="3" fillId="0" borderId="91" applyAlignment="1" pivotButton="0" quotePrefix="0" xfId="3">
      <alignment vertical="center"/>
    </xf>
    <xf numFmtId="43" fontId="3" fillId="0" borderId="94" applyAlignment="1" pivotButton="0" quotePrefix="0" xfId="3">
      <alignment vertical="center"/>
    </xf>
    <xf numFmtId="43" fontId="3" fillId="0" borderId="93" applyAlignment="1" pivotButton="0" quotePrefix="0" xfId="3">
      <alignment vertical="center"/>
    </xf>
    <xf numFmtId="165" fontId="4" fillId="12" borderId="73" applyAlignment="1" pivotButton="0" quotePrefix="0" xfId="3">
      <alignment vertical="center"/>
    </xf>
    <xf numFmtId="165" fontId="4" fillId="12" borderId="82" applyAlignment="1" pivotButton="0" quotePrefix="0" xfId="3">
      <alignment vertical="center"/>
    </xf>
    <xf numFmtId="165" fontId="4" fillId="12" borderId="89" applyAlignment="1" pivotButton="0" quotePrefix="0" xfId="3">
      <alignment vertical="center"/>
    </xf>
    <xf numFmtId="165" fontId="4" fillId="12" borderId="111" applyAlignment="1" pivotButton="0" quotePrefix="0" xfId="3">
      <alignment vertical="center"/>
    </xf>
    <xf numFmtId="165" fontId="4" fillId="12" borderId="23" applyAlignment="1" pivotButton="0" quotePrefix="0" xfId="3">
      <alignment vertical="center"/>
    </xf>
    <xf numFmtId="165" fontId="4" fillId="12" borderId="27" applyAlignment="1" pivotButton="0" quotePrefix="0" xfId="3">
      <alignment vertical="center"/>
    </xf>
    <xf numFmtId="165" fontId="4" fillId="12" borderId="77" applyAlignment="1" pivotButton="0" quotePrefix="0" xfId="3">
      <alignment vertical="center"/>
    </xf>
    <xf numFmtId="165" fontId="4" fillId="12" borderId="74" applyAlignment="1" pivotButton="0" quotePrefix="0" xfId="3">
      <alignment vertical="center"/>
    </xf>
    <xf numFmtId="165" fontId="4" fillId="12" borderId="24" applyAlignment="1" pivotButton="0" quotePrefix="0" xfId="3">
      <alignment vertical="center"/>
    </xf>
    <xf numFmtId="165" fontId="4" fillId="12" borderId="75" applyAlignment="1" pivotButton="0" quotePrefix="0" xfId="3">
      <alignment vertical="center"/>
    </xf>
    <xf numFmtId="165" fontId="4" fillId="12" borderId="48" applyAlignment="1" pivotButton="0" quotePrefix="0" xfId="3">
      <alignment vertical="center"/>
    </xf>
    <xf numFmtId="165" fontId="4" fillId="12" borderId="86" applyAlignment="1" pivotButton="0" quotePrefix="0" xfId="3">
      <alignment vertical="center"/>
    </xf>
    <xf numFmtId="165" fontId="4" fillId="12" borderId="26" applyAlignment="1" pivotButton="0" quotePrefix="0" xfId="3">
      <alignment vertical="center"/>
    </xf>
    <xf numFmtId="165" fontId="4" fillId="25" borderId="24" applyAlignment="1" pivotButton="0" quotePrefix="0" xfId="3">
      <alignment vertical="center"/>
    </xf>
    <xf numFmtId="165" fontId="4" fillId="25" borderId="108" applyAlignment="1" pivotButton="0" quotePrefix="0" xfId="3">
      <alignment vertical="center"/>
    </xf>
    <xf numFmtId="165" fontId="4" fillId="24" borderId="86" applyAlignment="1" pivotButton="0" quotePrefix="0" xfId="3">
      <alignment vertical="center"/>
    </xf>
    <xf numFmtId="165" fontId="4" fillId="24" borderId="24" applyAlignment="1" pivotButton="0" quotePrefix="0" xfId="3">
      <alignment vertical="center"/>
    </xf>
    <xf numFmtId="165" fontId="4" fillId="24" borderId="108" applyAlignment="1" pivotButton="0" quotePrefix="0" xfId="3">
      <alignment vertical="center"/>
    </xf>
    <xf numFmtId="165" fontId="4" fillId="12" borderId="108" applyAlignment="1" pivotButton="0" quotePrefix="0" xfId="3">
      <alignment vertical="center"/>
    </xf>
    <xf numFmtId="165" fontId="12" fillId="0" borderId="0" applyAlignment="1" pivotButton="0" quotePrefix="0" xfId="0">
      <alignment vertical="center"/>
    </xf>
    <xf numFmtId="43" fontId="3" fillId="9" borderId="0" applyAlignment="1" pivotButton="0" quotePrefix="0" xfId="4">
      <alignment vertical="center"/>
    </xf>
    <xf numFmtId="167" fontId="12" fillId="0" borderId="0" applyAlignment="1" pivotButton="0" quotePrefix="0" xfId="0">
      <alignment vertical="center"/>
    </xf>
    <xf numFmtId="176" fontId="12" fillId="0" borderId="0" applyAlignment="1" pivotButton="0" quotePrefix="0" xfId="2">
      <alignment vertical="center"/>
    </xf>
    <xf numFmtId="169" fontId="12" fillId="0" borderId="0" applyAlignment="1" pivotButton="0" quotePrefix="0" xfId="24">
      <alignment vertical="center"/>
    </xf>
    <xf numFmtId="173" fontId="12" fillId="0" borderId="0" applyAlignment="1" pivotButton="0" quotePrefix="0" xfId="1">
      <alignment vertical="center"/>
    </xf>
    <xf numFmtId="170" fontId="12" fillId="0" borderId="0" applyAlignment="1" pivotButton="0" quotePrefix="0" xfId="2">
      <alignment vertical="center"/>
    </xf>
    <xf numFmtId="166" fontId="12" fillId="0" borderId="0" applyAlignment="1" pivotButton="0" quotePrefix="0" xfId="0">
      <alignment vertical="center"/>
    </xf>
    <xf numFmtId="167" fontId="12" fillId="0" borderId="0" applyAlignment="1" pivotButton="0" quotePrefix="0" xfId="1">
      <alignment vertical="center"/>
    </xf>
    <xf numFmtId="43" fontId="12" fillId="0" borderId="0" applyAlignment="1" pivotButton="0" quotePrefix="0" xfId="0">
      <alignment vertical="center"/>
    </xf>
    <xf numFmtId="172" fontId="0" fillId="0" borderId="0" pivotButton="0" quotePrefix="0" xfId="0"/>
    <xf numFmtId="178" fontId="0" fillId="0" borderId="0" pivotButton="0" quotePrefix="0" xfId="24"/>
    <xf numFmtId="177" fontId="0" fillId="0" borderId="0" pivotButton="0" quotePrefix="0" xfId="0"/>
    <xf numFmtId="169" fontId="0" fillId="0" borderId="0" pivotButton="0" quotePrefix="0" xfId="24"/>
    <xf numFmtId="178" fontId="0" fillId="0" borderId="0" pivotButton="0" quotePrefix="0" xfId="0"/>
    <xf numFmtId="169" fontId="0" fillId="0" borderId="0" pivotButton="0" quotePrefix="0" xfId="0"/>
    <xf numFmtId="169" fontId="0" fillId="0" borderId="0" applyAlignment="1" pivotButton="0" quotePrefix="0" xfId="24">
      <alignment horizontal="center"/>
    </xf>
    <xf numFmtId="169" fontId="0" fillId="9" borderId="0" applyAlignment="1" pivotButton="0" quotePrefix="0" xfId="24">
      <alignment horizontal="center"/>
    </xf>
    <xf numFmtId="169" fontId="10" fillId="23" borderId="0" applyAlignment="1" pivotButton="0" quotePrefix="0" xfId="24">
      <alignment horizontal="center"/>
    </xf>
    <xf numFmtId="169" fontId="0" fillId="33" borderId="0" applyAlignment="1" pivotButton="0" quotePrefix="0" xfId="24">
      <alignment horizontal="center"/>
    </xf>
    <xf numFmtId="169" fontId="0" fillId="33" borderId="0" pivotButton="0" quotePrefix="0" xfId="24"/>
    <xf numFmtId="169" fontId="0" fillId="33" borderId="0" pivotButton="0" quotePrefix="0" xfId="0"/>
    <xf numFmtId="169" fontId="0" fillId="23" borderId="0" applyAlignment="1" pivotButton="0" quotePrefix="0" xfId="24">
      <alignment horizontal="center"/>
    </xf>
    <xf numFmtId="169" fontId="0" fillId="23" borderId="0" pivotButton="0" quotePrefix="0" xfId="0"/>
    <xf numFmtId="171" fontId="0" fillId="0" borderId="0" pivotButton="0" quotePrefix="0" xfId="24"/>
    <xf numFmtId="170" fontId="0" fillId="0" borderId="0" pivotButton="0" quotePrefix="0" xfId="2"/>
    <xf numFmtId="170" fontId="0" fillId="0" borderId="60" pivotButton="0" quotePrefix="0" xfId="2"/>
    <xf numFmtId="170" fontId="0" fillId="0" borderId="117" pivotButton="0" quotePrefix="0" xfId="2"/>
    <xf numFmtId="167" fontId="30" fillId="5" borderId="0" pivotButton="0" quotePrefix="0" xfId="0"/>
    <xf numFmtId="172" fontId="28" fillId="28" borderId="0" pivotButton="0" quotePrefix="0" xfId="0"/>
    <xf numFmtId="174" fontId="28" fillId="3" borderId="0" pivotButton="0" quotePrefix="0" xfId="1"/>
    <xf numFmtId="174" fontId="0" fillId="0" borderId="0" pivotButton="0" quotePrefix="0" xfId="0"/>
    <xf numFmtId="174" fontId="0" fillId="0" borderId="0" pivotButton="0" quotePrefix="0" xfId="1"/>
    <xf numFmtId="174" fontId="28" fillId="30" borderId="0" pivotButton="0" quotePrefix="0" xfId="1"/>
    <xf numFmtId="174" fontId="28" fillId="29" borderId="0" pivotButton="0" quotePrefix="0" xfId="1"/>
    <xf numFmtId="175" fontId="0" fillId="0" borderId="0" pivotButton="0" quotePrefix="0" xfId="0"/>
    <xf numFmtId="169" fontId="0" fillId="0" borderId="0" applyAlignment="1" pivotButton="0" quotePrefix="0" xfId="11">
      <alignment horizontal="center"/>
    </xf>
  </cellXfs>
  <cellStyles count="25">
    <cellStyle name="Normal" xfId="0" builtinId="0"/>
    <cellStyle name="Vírgula" xfId="1" builtinId="3"/>
    <cellStyle name="Porcentagem" xfId="2" builtinId="5"/>
    <cellStyle name="Normal 2" xfId="3"/>
    <cellStyle name="Vírgula 2" xfId="4"/>
    <cellStyle name="Texto de Aviso" xfId="5" builtinId="11"/>
    <cellStyle name="Vírgula 3" xfId="6"/>
    <cellStyle name="Normal 4" xfId="7"/>
    <cellStyle name="Porcentagem 2" xfId="8"/>
    <cellStyle name="Normal 5" xfId="9"/>
    <cellStyle name="Normal 3" xfId="10"/>
    <cellStyle name="Moeda 2" xfId="11"/>
    <cellStyle name="Normal 6" xfId="12"/>
    <cellStyle name="Vírgula 2 2" xfId="13"/>
    <cellStyle name="Vírgula 3 2" xfId="14"/>
    <cellStyle name="Normal 3 2" xfId="15"/>
    <cellStyle name="Normal 5 2" xfId="16"/>
    <cellStyle name="Normal 6 2" xfId="17"/>
    <cellStyle name="Normal 6 3" xfId="18"/>
    <cellStyle name="Normal 7" xfId="19"/>
    <cellStyle name="Normal 8" xfId="20"/>
    <cellStyle name="Vírgula 4" xfId="21"/>
    <cellStyle name="Normal 8 2" xfId="22"/>
    <cellStyle name="Normal 9" xfId="23"/>
    <cellStyle name="Moeda" xfId="24" builtinId="4"/>
  </cellStyles>
  <dxfs count="247"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FF0000"/>
      </font>
    </dxf>
    <dxf>
      <font>
        <b val="1"/>
        <i val="1"/>
        <color rgb="FFFF0000"/>
      </font>
    </dxf>
    <dxf>
      <font>
        <color rgb="FFFF0000"/>
      </font>
    </dxf>
    <dxf>
      <font>
        <b val="1"/>
        <i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  <fill>
        <patternFill>
          <bgColor rgb="FFFFFF00"/>
        </patternFill>
      </fill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1"/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v>Devolução de aporte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'FC Total (5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(5 lotes)'!$AT$65:$HU$65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-1754788.24</v>
                </pt>
                <pt idx="8">
                  <v>-1550000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</numCache>
            </numRef>
          </val>
        </ser>
        <ser>
          <idx val="1"/>
          <order val="1"/>
          <tx>
            <v>Distribuição de resultado</v>
          </tx>
          <spPr>
            <a:solidFill>
              <a:srgbClr val="00CC66"/>
            </a:solidFill>
            <a:ln>
              <a:noFill/>
              <a:prstDash val="solid"/>
            </a:ln>
          </spPr>
          <invertIfNegative val="0"/>
          <cat>
            <numRef>
              <f>'FC Total (5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(5 lotes)'!$AT$66:$HU$66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8">
                  <v>-450000</v>
                </pt>
                <pt idx="9">
                  <v>-1200000</v>
                </pt>
                <pt idx="10">
                  <v>-1800000</v>
                </pt>
                <pt idx="11">
                  <v>-1800000</v>
                </pt>
                <pt idx="12">
                  <v>-1400000</v>
                </pt>
                <pt idx="13">
                  <v>-2500000</v>
                </pt>
                <pt idx="14">
                  <v>-2400000</v>
                </pt>
                <pt idx="15">
                  <v>-1700000</v>
                </pt>
                <pt idx="16">
                  <v>-1750000</v>
                </pt>
                <pt idx="17">
                  <v>-2000000</v>
                </pt>
                <pt idx="18">
                  <v>-2500000</v>
                </pt>
                <pt idx="19">
                  <v>-2000000</v>
                </pt>
                <pt idx="20">
                  <v>-800000</v>
                </pt>
                <pt idx="21">
                  <v>-500000</v>
                </pt>
                <pt idx="22">
                  <v>-500000</v>
                </pt>
                <pt idx="23">
                  <v>-350000</v>
                </pt>
                <pt idx="24">
                  <v>-2700000</v>
                </pt>
                <pt idx="25">
                  <v>-2780000</v>
                </pt>
                <pt idx="26">
                  <v>-2820000</v>
                </pt>
                <pt idx="27">
                  <v>-2850000</v>
                </pt>
                <pt idx="28">
                  <v>-2900000</v>
                </pt>
                <pt idx="29">
                  <v>-3000000</v>
                </pt>
                <pt idx="30">
                  <v>-2900000</v>
                </pt>
                <pt idx="31">
                  <v>-2900000</v>
                </pt>
                <pt idx="32">
                  <v>-2900000</v>
                </pt>
                <pt idx="33">
                  <v>-3000000</v>
                </pt>
                <pt idx="34">
                  <v>-3200000</v>
                </pt>
                <pt idx="35">
                  <v>-3300000</v>
                </pt>
                <pt idx="36">
                  <v>-3100000</v>
                </pt>
                <pt idx="37">
                  <v>-3090000</v>
                </pt>
                <pt idx="38">
                  <v>-3150000</v>
                </pt>
                <pt idx="39">
                  <v>-3100000</v>
                </pt>
                <pt idx="40">
                  <v>-3100000</v>
                </pt>
                <pt idx="41">
                  <v>-3150000</v>
                </pt>
                <pt idx="42">
                  <v>-3100000</v>
                </pt>
                <pt idx="43">
                  <v>-3200000</v>
                </pt>
                <pt idx="44">
                  <v>-3200000</v>
                </pt>
                <pt idx="45">
                  <v>-3240000</v>
                </pt>
                <pt idx="46">
                  <v>-3620000</v>
                </pt>
                <pt idx="47">
                  <v>-3700000</v>
                </pt>
                <pt idx="48">
                  <v>-3330000</v>
                </pt>
                <pt idx="49">
                  <v>-3450000</v>
                </pt>
                <pt idx="50">
                  <v>-3450000</v>
                </pt>
                <pt idx="51">
                  <v>-3450000</v>
                </pt>
                <pt idx="52">
                  <v>-3460000</v>
                </pt>
                <pt idx="53">
                  <v>-3500000</v>
                </pt>
                <pt idx="54">
                  <v>-3500000</v>
                </pt>
                <pt idx="55">
                  <v>-3600000</v>
                </pt>
                <pt idx="56">
                  <v>-3580000</v>
                </pt>
                <pt idx="57">
                  <v>-3600000</v>
                </pt>
                <pt idx="58">
                  <v>-3960000</v>
                </pt>
                <pt idx="59">
                  <v>-3900000</v>
                </pt>
                <pt idx="60">
                  <v>-3600000</v>
                </pt>
                <pt idx="61">
                  <v>-3730000</v>
                </pt>
                <pt idx="62">
                  <v>-3650000</v>
                </pt>
                <pt idx="63">
                  <v>-3700000</v>
                </pt>
                <pt idx="64">
                  <v>-3800000</v>
                </pt>
                <pt idx="65">
                  <v>-3750000</v>
                </pt>
                <pt idx="66">
                  <v>-3800000</v>
                </pt>
                <pt idx="67">
                  <v>-3850000</v>
                </pt>
                <pt idx="68">
                  <v>-3880000</v>
                </pt>
                <pt idx="69">
                  <v>-3950000</v>
                </pt>
                <pt idx="70">
                  <v>-4300000</v>
                </pt>
                <pt idx="71">
                  <v>-3950000</v>
                </pt>
                <pt idx="72">
                  <v>-4000000</v>
                </pt>
                <pt idx="73">
                  <v>-4100000</v>
                </pt>
                <pt idx="74">
                  <v>-4000000</v>
                </pt>
                <pt idx="75">
                  <v>-4100000</v>
                </pt>
                <pt idx="76">
                  <v>-4100000</v>
                </pt>
                <pt idx="77">
                  <v>-4150000</v>
                </pt>
                <pt idx="78">
                  <v>-4150000</v>
                </pt>
                <pt idx="79">
                  <v>-3950000</v>
                </pt>
                <pt idx="80">
                  <v>-3500000</v>
                </pt>
                <pt idx="81">
                  <v>-3450000</v>
                </pt>
                <pt idx="82">
                  <v>-3530000</v>
                </pt>
                <pt idx="83">
                  <v>-3160000</v>
                </pt>
                <pt idx="84">
                  <v>-3080000</v>
                </pt>
                <pt idx="85">
                  <v>-3060000</v>
                </pt>
                <pt idx="86">
                  <v>-2860000</v>
                </pt>
                <pt idx="87">
                  <v>-2750000</v>
                </pt>
                <pt idx="88">
                  <v>-2660000</v>
                </pt>
                <pt idx="89">
                  <v>-2580000</v>
                </pt>
                <pt idx="90">
                  <v>-2460000</v>
                </pt>
                <pt idx="91">
                  <v>-2060000</v>
                </pt>
                <pt idx="92">
                  <v>-1485000</v>
                </pt>
                <pt idx="93">
                  <v>-1450000</v>
                </pt>
                <pt idx="94">
                  <v>-1350000</v>
                </pt>
                <pt idx="95">
                  <v>-1275000</v>
                </pt>
                <pt idx="96">
                  <v>-1170000</v>
                </pt>
                <pt idx="97">
                  <v>-1115000</v>
                </pt>
                <pt idx="98">
                  <v>-1040000</v>
                </pt>
                <pt idx="99">
                  <v>-980000</v>
                </pt>
                <pt idx="100">
                  <v>-910000</v>
                </pt>
                <pt idx="101">
                  <v>-840000</v>
                </pt>
                <pt idx="102">
                  <v>-770000</v>
                </pt>
                <pt idx="103">
                  <v>-710000</v>
                </pt>
                <pt idx="104">
                  <v>-670000</v>
                </pt>
                <pt idx="105">
                  <v>-655000</v>
                </pt>
                <pt idx="106">
                  <v>-640000</v>
                </pt>
                <pt idx="107">
                  <v>-620000</v>
                </pt>
                <pt idx="108">
                  <v>-620000</v>
                </pt>
                <pt idx="109">
                  <v>-600000</v>
                </pt>
                <pt idx="110">
                  <v>-590000</v>
                </pt>
                <pt idx="111">
                  <v>-550000</v>
                </pt>
                <pt idx="112">
                  <v>-580000</v>
                </pt>
                <pt idx="113">
                  <v>-550000</v>
                </pt>
                <pt idx="114">
                  <v>-535000</v>
                </pt>
                <pt idx="115">
                  <v>-520000</v>
                </pt>
                <pt idx="116">
                  <v>-505000</v>
                </pt>
                <pt idx="117">
                  <v>-505000</v>
                </pt>
                <pt idx="118">
                  <v>-490000</v>
                </pt>
                <pt idx="119">
                  <v>-485000</v>
                </pt>
                <pt idx="120">
                  <v>-480000</v>
                </pt>
                <pt idx="121">
                  <v>-470000</v>
                </pt>
                <pt idx="122">
                  <v>-465000</v>
                </pt>
                <pt idx="123">
                  <v>-450000</v>
                </pt>
                <pt idx="124">
                  <v>-445000</v>
                </pt>
                <pt idx="125">
                  <v>-440000</v>
                </pt>
                <pt idx="126">
                  <v>-430000</v>
                </pt>
                <pt idx="127">
                  <v>-420000</v>
                </pt>
                <pt idx="128">
                  <v>-410000</v>
                </pt>
                <pt idx="129">
                  <v>-405000</v>
                </pt>
                <pt idx="130">
                  <v>-395000</v>
                </pt>
                <pt idx="131">
                  <v>-395000</v>
                </pt>
                <pt idx="132">
                  <v>-380000</v>
                </pt>
                <pt idx="133">
                  <v>-370000</v>
                </pt>
                <pt idx="134">
                  <v>-365000</v>
                </pt>
                <pt idx="135">
                  <v>-355000</v>
                </pt>
                <pt idx="136">
                  <v>-345000</v>
                </pt>
                <pt idx="137">
                  <v>-345000</v>
                </pt>
                <pt idx="138">
                  <v>-330000</v>
                </pt>
                <pt idx="139">
                  <v>-320000</v>
                </pt>
                <pt idx="140">
                  <v>-315000</v>
                </pt>
                <pt idx="141">
                  <v>-305000</v>
                </pt>
                <pt idx="142">
                  <v>-295000</v>
                </pt>
                <pt idx="143">
                  <v>-290000</v>
                </pt>
                <pt idx="144">
                  <v>-280000</v>
                </pt>
                <pt idx="145">
                  <v>-275000</v>
                </pt>
                <pt idx="146">
                  <v>-260000</v>
                </pt>
                <pt idx="147">
                  <v>-255000</v>
                </pt>
                <pt idx="148">
                  <v>-245000</v>
                </pt>
                <pt idx="149">
                  <v>-240000</v>
                </pt>
                <pt idx="150">
                  <v>-225000</v>
                </pt>
                <pt idx="151">
                  <v>-220000</v>
                </pt>
                <pt idx="152">
                  <v>-214000</v>
                </pt>
                <pt idx="153">
                  <v>-200000</v>
                </pt>
                <pt idx="154">
                  <v>-190000</v>
                </pt>
                <pt idx="155">
                  <v>-190000</v>
                </pt>
                <pt idx="156">
                  <v>-175000</v>
                </pt>
                <pt idx="157">
                  <v>-170000</v>
                </pt>
                <pt idx="158">
                  <v>-155000</v>
                </pt>
                <pt idx="159">
                  <v>-155000</v>
                </pt>
                <pt idx="160">
                  <v>-140000</v>
                </pt>
                <pt idx="161">
                  <v>-125000</v>
                </pt>
                <pt idx="162">
                  <v>-130000</v>
                </pt>
                <pt idx="163">
                  <v>-110000</v>
                </pt>
                <pt idx="164">
                  <v>-105000</v>
                </pt>
                <pt idx="165">
                  <v>-100000</v>
                </pt>
                <pt idx="166">
                  <v>-90000</v>
                </pt>
                <pt idx="167">
                  <v>-76000</v>
                </pt>
                <pt idx="168">
                  <v>-70000</v>
                </pt>
                <pt idx="169">
                  <v>-60000</v>
                </pt>
                <pt idx="170">
                  <v>-50000</v>
                </pt>
                <pt idx="171">
                  <v>-40000</v>
                </pt>
                <pt idx="172">
                  <v>-35000</v>
                </pt>
                <pt idx="173">
                  <v>-25000</v>
                </pt>
                <pt idx="174">
                  <v>-14000</v>
                </pt>
                <pt idx="175">
                  <v>-5000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74164383"/>
        <axId val="574158143"/>
      </barChart>
      <dateAx>
        <axId val="574164383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high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58143"/>
        <crosses val="autoZero"/>
        <lblOffset val="100"/>
        <baseTimeUnit val="months"/>
      </dateAx>
      <valAx>
        <axId val="5741581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6438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58311801905468"/>
          <y val="0.05096131572851517"/>
          <w val="0.6514264770189397"/>
          <h val="0.8263631653150494"/>
        </manualLayout>
      </layout>
      <barChart>
        <barDir val="col"/>
        <grouping val="clustered"/>
        <varyColors val="0"/>
        <ser>
          <idx val="1"/>
          <order val="0"/>
          <tx>
            <v>Aportes de capital"</v>
          </tx>
          <spPr>
            <a:solidFill>
              <a:srgbClr val="FF5050"/>
            </a:solidFill>
            <a:ln>
              <a:noFill/>
              <a:prstDash val="solid"/>
            </a:ln>
          </spPr>
          <invertIfNegative val="0"/>
          <val>
            <numRef>
              <f>'FC Total (5 lotes)'!$AT$15:$BD$15</f>
              <numCache>
                <formatCode>_-* #,##0_-;\-* #,##0_-;_-* "-"??_-;_-@_-</formatCode>
                <ptCount val="11"/>
                <pt idx="4">
                  <v>200000</v>
                </pt>
                <pt idx="5">
                  <v>1600000</v>
                </pt>
                <pt idx="6">
                  <v>500000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46072192"/>
        <axId val="1846076512"/>
      </barChart>
      <lineChart>
        <grouping val="standard"/>
        <varyColors val="0"/>
        <ser>
          <idx val="2"/>
          <order val="2"/>
          <tx>
            <v>Saldo de caixa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'FC Total (5 lotes)'!$AT$5:$BD$5</f>
              <numCache>
                <formatCode>mmm\-yy</formatCode>
                <ptCount val="11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</numCache>
            </numRef>
          </cat>
          <val>
            <numRef>
              <f>'FC Total (5 lotes)'!$AT$76:$BD$76</f>
              <numCache>
                <formatCode>_(* #,##0_);_(* \(#,##0\);_(* "-"??_);_(@_)</formatCode>
                <ptCount val="11"/>
                <pt idx="0">
                  <v>9102534.552744128</v>
                </pt>
                <pt idx="1">
                  <v>5738692.490721548</v>
                </pt>
                <pt idx="2">
                  <v>3137695.160334026</v>
                </pt>
                <pt idx="3">
                  <v>1809303.674646469</v>
                </pt>
                <pt idx="4">
                  <v>108923.6104975441</v>
                </pt>
                <pt idx="5">
                  <v>12331.10759114288</v>
                </pt>
                <pt idx="6">
                  <v>48347.69870504527</v>
                </pt>
                <pt idx="7">
                  <v>643947.1569730958</v>
                </pt>
                <pt idx="8">
                  <v>200666.1053758464</v>
                </pt>
                <pt idx="9">
                  <v>1051571.365034372</v>
                </pt>
                <pt idx="10">
                  <v>1530842.315313722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46072192"/>
        <axId val="1846076512"/>
      </lineChart>
      <dateAx>
        <axId val="1846072192"/>
        <scaling>
          <orientation val="minMax"/>
        </scaling>
        <delete val="0"/>
        <axPos val="b"/>
        <numFmt formatCode="mm/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6512"/>
        <crosses val="autoZero"/>
        <lblOffset val="100"/>
        <baseTimeUnit val="months"/>
        <majorUnit val="3"/>
        <majorTimeUnit val="months"/>
      </dateAx>
      <valAx>
        <axId val="1846076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219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99157480130682"/>
          <y val="0.4218199792433868"/>
          <w val="0.1834175816748866"/>
          <h val="0.276813695716805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58311801905468"/>
          <y val="0.05096131572851517"/>
          <w val="0.6514264770189397"/>
          <h val="0.8263631653150494"/>
        </manualLayout>
      </layout>
      <barChart>
        <barDir val="col"/>
        <grouping val="clustered"/>
        <varyColors val="0"/>
        <ser>
          <idx val="1"/>
          <order val="0"/>
          <tx>
            <v>Aportes de capital"</v>
          </tx>
          <spPr>
            <a:solidFill>
              <a:srgbClr val="FF5050"/>
            </a:solidFill>
            <a:ln>
              <a:noFill/>
              <a:prstDash val="solid"/>
            </a:ln>
          </spPr>
          <invertIfNegative val="0"/>
          <val>
            <numRef>
              <f>'FC Total (7 lotes)'!$AT$15:$BD$15</f>
              <numCache>
                <formatCode>_-* #,##0_-;\-* #,##0_-;_-* "-"??_-;_-@_-</formatCode>
                <ptCount val="11"/>
                <pt idx="5">
                  <v>320000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46072192"/>
        <axId val="1846076512"/>
      </barChart>
      <lineChart>
        <grouping val="standard"/>
        <varyColors val="0"/>
        <ser>
          <idx val="2"/>
          <order val="2"/>
          <tx>
            <v>Saldo de caixa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'FC Total (7 lotes)'!$AT$5:$BD$5</f>
              <numCache>
                <formatCode>mmm\-yy</formatCode>
                <ptCount val="11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</numCache>
            </numRef>
          </cat>
          <val>
            <numRef>
              <f>'FC Total (7 lotes)'!$AT$76:$BD$76</f>
              <numCache>
                <formatCode>_(* #,##0_);_(* \(#,##0\);_(* "-"??_);_(@_)</formatCode>
                <ptCount val="11"/>
                <pt idx="0">
                  <v>9291421.529969227</v>
                </pt>
                <pt idx="1">
                  <v>6136032.047996147</v>
                </pt>
                <pt idx="2">
                  <v>3773954.554202462</v>
                </pt>
                <pt idx="3">
                  <v>2736884.576275522</v>
                </pt>
                <pt idx="4">
                  <v>1145006.489652627</v>
                </pt>
                <pt idx="5">
                  <v>106048.5804436468</v>
                </pt>
                <pt idx="6">
                  <v>1366.771895440528</v>
                </pt>
                <pt idx="7">
                  <v>534348.1731949786</v>
                </pt>
                <pt idx="8">
                  <v>507154.0500643596</v>
                </pt>
                <pt idx="9">
                  <v>606680.8635081418</v>
                </pt>
                <pt idx="10">
                  <v>579398.0119509238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46072192"/>
        <axId val="1846076512"/>
      </lineChart>
      <dateAx>
        <axId val="1846072192"/>
        <scaling>
          <orientation val="minMax"/>
        </scaling>
        <delete val="0"/>
        <axPos val="b"/>
        <numFmt formatCode="mm/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6512"/>
        <crosses val="autoZero"/>
        <lblOffset val="100"/>
        <baseTimeUnit val="months"/>
        <majorUnit val="3"/>
        <majorTimeUnit val="months"/>
      </dateAx>
      <valAx>
        <axId val="1846076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219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99157480130682"/>
          <y val="0.4218199792433868"/>
          <w val="0.1834175816748866"/>
          <h val="0.276813695716805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58311801905468"/>
          <y val="0.05096131572851517"/>
          <w val="0.6514264770189397"/>
          <h val="0.8263631653150494"/>
        </manualLayout>
      </layout>
      <barChart>
        <barDir val="col"/>
        <grouping val="clustered"/>
        <varyColors val="0"/>
        <ser>
          <idx val="1"/>
          <order val="0"/>
          <tx>
            <v>Aportes de capital"</v>
          </tx>
          <spPr>
            <a:solidFill>
              <a:srgbClr val="FF5050"/>
            </a:solidFill>
            <a:ln>
              <a:noFill/>
              <a:prstDash val="solid"/>
            </a:ln>
          </spPr>
          <invertIfNegative val="0"/>
          <val>
            <numRef>
              <f>'FC Total (10 lotes)'!$AT$15:$BD$15</f>
              <numCache>
                <formatCode>_-* #,##0_-;\-* #,##0_-;_-* "-"??_-;_-@_-</formatCode>
                <ptCount val="11"/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46072192"/>
        <axId val="1846076512"/>
      </barChart>
      <lineChart>
        <grouping val="standard"/>
        <varyColors val="0"/>
        <ser>
          <idx val="2"/>
          <order val="2"/>
          <tx>
            <v>Saldo de caixa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'FC Total (10 lotes)'!$AT$5:$BD$5</f>
              <numCache>
                <formatCode>mmm\-yy</formatCode>
                <ptCount val="11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</numCache>
            </numRef>
          </cat>
          <val>
            <numRef>
              <f>'FC Total (10 lotes)'!$AT$76:$BD$76</f>
              <numCache>
                <formatCode>_(* #,##0_);_(* \(#,##0\);_(* "-"??_);_(@_)</formatCode>
                <ptCount val="11"/>
                <pt idx="0">
                  <v>9609378.738207128</v>
                </pt>
                <pt idx="1">
                  <v>6804854.685100613</v>
                </pt>
                <pt idx="2">
                  <v>4875801.173517594</v>
                </pt>
                <pt idx="3">
                  <v>3300285.356031812</v>
                </pt>
                <pt idx="4">
                  <v>2219727.146984669</v>
                </pt>
                <pt idx="5">
                  <v>1424188.84786658</v>
                </pt>
                <pt idx="6">
                  <v>934009.9813440433</v>
                </pt>
                <pt idx="7">
                  <v>763234.1947695049</v>
                </pt>
                <pt idx="8">
                  <v>573868.2142358157</v>
                </pt>
                <pt idx="9">
                  <v>863680.7955000629</v>
                </pt>
                <pt idx="10">
                  <v>460331.2559316326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46072192"/>
        <axId val="1846076512"/>
      </lineChart>
      <dateAx>
        <axId val="1846072192"/>
        <scaling>
          <orientation val="minMax"/>
        </scaling>
        <delete val="0"/>
        <axPos val="b"/>
        <numFmt formatCode="mm/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6512"/>
        <crosses val="autoZero"/>
        <lblOffset val="100"/>
        <baseTimeUnit val="months"/>
        <majorUnit val="3"/>
        <majorTimeUnit val="months"/>
      </dateAx>
      <valAx>
        <axId val="184607651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846072192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7999157480130682"/>
          <y val="0.4218199792433868"/>
          <w val="0.1834175816748866"/>
          <h val="0.276813695716805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v>Devolução de aporte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'FC Total (7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(7 lotes)'!$AT$65:$HU$65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7">
                  <v>-1324788.24</v>
                </pt>
                <pt idx="10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</numCache>
            </numRef>
          </val>
        </ser>
        <ser>
          <idx val="1"/>
          <order val="1"/>
          <tx>
            <v>Distribuição de resultado</v>
          </tx>
          <spPr>
            <a:solidFill>
              <a:srgbClr val="00CC66"/>
            </a:solidFill>
            <a:ln>
              <a:noFill/>
              <a:prstDash val="solid"/>
            </a:ln>
          </spPr>
          <invertIfNegative val="0"/>
          <cat>
            <numRef>
              <f>'FC Total (7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(7 lotes)'!$AT$66:$HU$66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7">
                  <v>-880000</v>
                </pt>
                <pt idx="8">
                  <v>-2000000</v>
                </pt>
                <pt idx="9">
                  <v>-2400000</v>
                </pt>
                <pt idx="10">
                  <v>-2800000</v>
                </pt>
                <pt idx="11">
                  <v>-1400000</v>
                </pt>
                <pt idx="12">
                  <v>-1600000</v>
                </pt>
                <pt idx="13">
                  <v>-3300000</v>
                </pt>
                <pt idx="14">
                  <v>-3400000</v>
                </pt>
                <pt idx="15">
                  <v>-2800000</v>
                </pt>
                <pt idx="16">
                  <v>-2700000</v>
                </pt>
                <pt idx="17">
                  <v>-3200000</v>
                </pt>
                <pt idx="18">
                  <v>-3300000</v>
                </pt>
                <pt idx="19">
                  <v>-2800000</v>
                </pt>
                <pt idx="20">
                  <v>-2500000</v>
                </pt>
                <pt idx="21">
                  <v>-1400000</v>
                </pt>
                <pt idx="22">
                  <v>-1300000</v>
                </pt>
                <pt idx="23">
                  <v>-1150000</v>
                </pt>
                <pt idx="24">
                  <v>-3850000</v>
                </pt>
                <pt idx="25">
                  <v>-4000000</v>
                </pt>
                <pt idx="26">
                  <v>-4050000</v>
                </pt>
                <pt idx="27">
                  <v>-4000000</v>
                </pt>
                <pt idx="28">
                  <v>-4000000</v>
                </pt>
                <pt idx="29">
                  <v>-4100000</v>
                </pt>
                <pt idx="30">
                  <v>-4100000</v>
                </pt>
                <pt idx="31">
                  <v>-4150000</v>
                </pt>
                <pt idx="32">
                  <v>-4150000</v>
                </pt>
                <pt idx="33">
                  <v>-4200000</v>
                </pt>
                <pt idx="34">
                  <v>-4450000</v>
                </pt>
                <pt idx="35">
                  <v>-4650000</v>
                </pt>
                <pt idx="36">
                  <v>-4380000</v>
                </pt>
                <pt idx="37">
                  <v>-4350000</v>
                </pt>
                <pt idx="38">
                  <v>-4500000</v>
                </pt>
                <pt idx="39">
                  <v>-4450000</v>
                </pt>
                <pt idx="40">
                  <v>-4500000</v>
                </pt>
                <pt idx="41">
                  <v>-4500000</v>
                </pt>
                <pt idx="42">
                  <v>-4500000</v>
                </pt>
                <pt idx="43">
                  <v>-4650000</v>
                </pt>
                <pt idx="44">
                  <v>-4500000</v>
                </pt>
                <pt idx="45">
                  <v>-4650000</v>
                </pt>
                <pt idx="46">
                  <v>-5000000</v>
                </pt>
                <pt idx="47">
                  <v>-5200000</v>
                </pt>
                <pt idx="48">
                  <v>-4800000</v>
                </pt>
                <pt idx="49">
                  <v>-4900000</v>
                </pt>
                <pt idx="50">
                  <v>-4860000</v>
                </pt>
                <pt idx="51">
                  <v>-4900000</v>
                </pt>
                <pt idx="52">
                  <v>-4950000</v>
                </pt>
                <pt idx="53">
                  <v>-5020000</v>
                </pt>
                <pt idx="54">
                  <v>-5040000</v>
                </pt>
                <pt idx="55">
                  <v>-5100000</v>
                </pt>
                <pt idx="56">
                  <v>-4980000</v>
                </pt>
                <pt idx="57">
                  <v>-4200000</v>
                </pt>
                <pt idx="58">
                  <v>-4440000</v>
                </pt>
                <pt idx="59">
                  <v>-4300000</v>
                </pt>
                <pt idx="60">
                  <v>-3850000</v>
                </pt>
                <pt idx="61">
                  <v>-3870000</v>
                </pt>
                <pt idx="62">
                  <v>-3650000</v>
                </pt>
                <pt idx="63">
                  <v>-3540000</v>
                </pt>
                <pt idx="64">
                  <v>-3420000</v>
                </pt>
                <pt idx="65">
                  <v>-3340000</v>
                </pt>
                <pt idx="66">
                  <v>-3200000</v>
                </pt>
                <pt idx="67">
                  <v>-3120000</v>
                </pt>
                <pt idx="68">
                  <v>-2880000</v>
                </pt>
                <pt idx="69">
                  <v>-1900000</v>
                </pt>
                <pt idx="70">
                  <v>-2185000</v>
                </pt>
                <pt idx="71">
                  <v>-1780000</v>
                </pt>
                <pt idx="72">
                  <v>-1700000</v>
                </pt>
                <pt idx="73">
                  <v>-1728000</v>
                </pt>
                <pt idx="74">
                  <v>-1540000</v>
                </pt>
                <pt idx="75">
                  <v>-1470000</v>
                </pt>
                <pt idx="76">
                  <v>-1415000</v>
                </pt>
                <pt idx="77">
                  <v>-1350000</v>
                </pt>
                <pt idx="78">
                  <v>-1270000</v>
                </pt>
                <pt idx="79">
                  <v>-1225000</v>
                </pt>
                <pt idx="80">
                  <v>-1100000</v>
                </pt>
                <pt idx="81">
                  <v>-1050000</v>
                </pt>
                <pt idx="82">
                  <v>-1230000</v>
                </pt>
                <pt idx="83">
                  <v>-950000</v>
                </pt>
                <pt idx="84">
                  <v>-920000</v>
                </pt>
                <pt idx="85">
                  <v>-1000000</v>
                </pt>
                <pt idx="86">
                  <v>-870000</v>
                </pt>
                <pt idx="87">
                  <v>-840000</v>
                </pt>
                <pt idx="88">
                  <v>-850000</v>
                </pt>
                <pt idx="89">
                  <v>-830000</v>
                </pt>
                <pt idx="90">
                  <v>-795000</v>
                </pt>
                <pt idx="91">
                  <v>-825000</v>
                </pt>
                <pt idx="92">
                  <v>-750000</v>
                </pt>
                <pt idx="93">
                  <v>-730000</v>
                </pt>
                <pt idx="94">
                  <v>-700000</v>
                </pt>
                <pt idx="95">
                  <v>-670000</v>
                </pt>
                <pt idx="96">
                  <v>-634000</v>
                </pt>
                <pt idx="97">
                  <v>-625000</v>
                </pt>
                <pt idx="98">
                  <v>-610000</v>
                </pt>
                <pt idx="99">
                  <v>-605000</v>
                </pt>
                <pt idx="100">
                  <v>-600000</v>
                </pt>
                <pt idx="101">
                  <v>-582000</v>
                </pt>
                <pt idx="102">
                  <v>-575000</v>
                </pt>
                <pt idx="103">
                  <v>-560000</v>
                </pt>
                <pt idx="104">
                  <v>-555000</v>
                </pt>
                <pt idx="105">
                  <v>-545000</v>
                </pt>
                <pt idx="106">
                  <v>-530000</v>
                </pt>
                <pt idx="107">
                  <v>-520000</v>
                </pt>
                <pt idx="108">
                  <v>-500000</v>
                </pt>
                <pt idx="109">
                  <v>-520000</v>
                </pt>
                <pt idx="110">
                  <v>-490000</v>
                </pt>
                <pt idx="111">
                  <v>-480000</v>
                </pt>
                <pt idx="112">
                  <v>-470000</v>
                </pt>
                <pt idx="113">
                  <v>-459000</v>
                </pt>
                <pt idx="114">
                  <v>-448000</v>
                </pt>
                <pt idx="115">
                  <v>-438000</v>
                </pt>
                <pt idx="116">
                  <v>-425000</v>
                </pt>
                <pt idx="117">
                  <v>-417000</v>
                </pt>
                <pt idx="118">
                  <v>-405000</v>
                </pt>
                <pt idx="119">
                  <v>-394000</v>
                </pt>
                <pt idx="120">
                  <v>-380000</v>
                </pt>
                <pt idx="121">
                  <v>-375000</v>
                </pt>
                <pt idx="122">
                  <v>-360000</v>
                </pt>
                <pt idx="123">
                  <v>-350000</v>
                </pt>
                <pt idx="124">
                  <v>-340000</v>
                </pt>
                <pt idx="125">
                  <v>-328000</v>
                </pt>
                <pt idx="126">
                  <v>-315000</v>
                </pt>
                <pt idx="127">
                  <v>-307000</v>
                </pt>
                <pt idx="128">
                  <v>-293000</v>
                </pt>
                <pt idx="129">
                  <v>-283000</v>
                </pt>
                <pt idx="130">
                  <v>-271000</v>
                </pt>
                <pt idx="131">
                  <v>-260000</v>
                </pt>
                <pt idx="132">
                  <v>-248000</v>
                </pt>
                <pt idx="133">
                  <v>-237000</v>
                </pt>
                <pt idx="134">
                  <v>-225000</v>
                </pt>
                <pt idx="135">
                  <v>-214000</v>
                </pt>
                <pt idx="136">
                  <v>-202000</v>
                </pt>
                <pt idx="137">
                  <v>-190000</v>
                </pt>
                <pt idx="138">
                  <v>-179000</v>
                </pt>
                <pt idx="139">
                  <v>-167000</v>
                </pt>
                <pt idx="140">
                  <v>-154000</v>
                </pt>
                <pt idx="141">
                  <v>-144000</v>
                </pt>
                <pt idx="142">
                  <v>-132000</v>
                </pt>
                <pt idx="143">
                  <v>-119000</v>
                </pt>
                <pt idx="144">
                  <v>-108000</v>
                </pt>
                <pt idx="145">
                  <v>-95000</v>
                </pt>
                <pt idx="146">
                  <v>-83000</v>
                </pt>
                <pt idx="147">
                  <v>-70000</v>
                </pt>
                <pt idx="148">
                  <v>-60000</v>
                </pt>
                <pt idx="149">
                  <v>-46000</v>
                </pt>
                <pt idx="150">
                  <v>-36000</v>
                </pt>
                <pt idx="151">
                  <v>-22000</v>
                </pt>
                <pt idx="152">
                  <v>-9000</v>
                </pt>
                <pt idx="153">
                  <v>-9000</v>
                </pt>
                <pt idx="154">
                  <v>-2000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1">
                  <v>0</v>
                </pt>
                <pt idx="18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74164383"/>
        <axId val="574158143"/>
      </barChart>
      <dateAx>
        <axId val="574164383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high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58143"/>
        <crosses val="autoZero"/>
        <lblOffset val="100"/>
        <baseTimeUnit val="months"/>
      </dateAx>
      <valAx>
        <axId val="5741581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6438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v>Devolução de aporte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'FC Total (10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(10 lotes)'!$AT$65:$HU$65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-1004788.24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</numCache>
            </numRef>
          </val>
        </ser>
        <ser>
          <idx val="1"/>
          <order val="1"/>
          <tx>
            <v>Distribuição de resultado</v>
          </tx>
          <spPr>
            <a:solidFill>
              <a:srgbClr val="00CC66"/>
            </a:solidFill>
            <a:ln>
              <a:noFill/>
              <a:prstDash val="solid"/>
            </a:ln>
          </spPr>
          <invertIfNegative val="0"/>
          <cat>
            <numRef>
              <f>'FC Total (10 lotes)'!$AT$5:$HU$5</f>
              <numCache>
                <formatCode>mmm\-yy</formatCode>
                <ptCount val="184"/>
                <pt idx="0">
                  <v>46174</v>
                </pt>
                <pt idx="1">
                  <v>46204</v>
                </pt>
                <pt idx="2">
                  <v>46235</v>
                </pt>
                <pt idx="3">
                  <v>46266</v>
                </pt>
                <pt idx="4">
                  <v>46296</v>
                </pt>
                <pt idx="5">
                  <v>46327</v>
                </pt>
                <pt idx="6">
                  <v>46357</v>
                </pt>
                <pt idx="7">
                  <v>46388</v>
                </pt>
                <pt idx="8">
                  <v>46419</v>
                </pt>
                <pt idx="9">
                  <v>46447</v>
                </pt>
                <pt idx="10">
                  <v>46478</v>
                </pt>
                <pt idx="11">
                  <v>46508</v>
                </pt>
                <pt idx="12">
                  <v>46539</v>
                </pt>
                <pt idx="13">
                  <v>46569</v>
                </pt>
                <pt idx="14">
                  <v>46600</v>
                </pt>
                <pt idx="15">
                  <v>46631</v>
                </pt>
                <pt idx="16">
                  <v>46661</v>
                </pt>
                <pt idx="17">
                  <v>46692</v>
                </pt>
                <pt idx="18">
                  <v>46722</v>
                </pt>
                <pt idx="19">
                  <v>46753</v>
                </pt>
                <pt idx="20">
                  <v>46784</v>
                </pt>
                <pt idx="21">
                  <v>46813</v>
                </pt>
                <pt idx="22">
                  <v>46844</v>
                </pt>
                <pt idx="23">
                  <v>46874</v>
                </pt>
                <pt idx="24">
                  <v>46905</v>
                </pt>
                <pt idx="25">
                  <v>46935</v>
                </pt>
                <pt idx="26">
                  <v>46966</v>
                </pt>
                <pt idx="27">
                  <v>46997</v>
                </pt>
                <pt idx="28">
                  <v>47027</v>
                </pt>
                <pt idx="29">
                  <v>47058</v>
                </pt>
                <pt idx="30">
                  <v>47088</v>
                </pt>
                <pt idx="31">
                  <v>47119</v>
                </pt>
                <pt idx="32">
                  <v>47150</v>
                </pt>
                <pt idx="33">
                  <v>47178</v>
                </pt>
                <pt idx="34">
                  <v>47209</v>
                </pt>
                <pt idx="35">
                  <v>47239</v>
                </pt>
                <pt idx="36">
                  <v>47270</v>
                </pt>
                <pt idx="37">
                  <v>47300</v>
                </pt>
                <pt idx="38">
                  <v>47331</v>
                </pt>
                <pt idx="39">
                  <v>47362</v>
                </pt>
                <pt idx="40">
                  <v>47392</v>
                </pt>
                <pt idx="41">
                  <v>47423</v>
                </pt>
                <pt idx="42">
                  <v>47453</v>
                </pt>
                <pt idx="43">
                  <v>47484</v>
                </pt>
                <pt idx="44">
                  <v>47515</v>
                </pt>
                <pt idx="45">
                  <v>47543</v>
                </pt>
                <pt idx="46">
                  <v>47574</v>
                </pt>
                <pt idx="47">
                  <v>47604</v>
                </pt>
                <pt idx="48">
                  <v>47635</v>
                </pt>
                <pt idx="49">
                  <v>47665</v>
                </pt>
                <pt idx="50">
                  <v>47696</v>
                </pt>
                <pt idx="51">
                  <v>47727</v>
                </pt>
                <pt idx="52">
                  <v>47757</v>
                </pt>
                <pt idx="53">
                  <v>47788</v>
                </pt>
                <pt idx="54">
                  <v>47818</v>
                </pt>
                <pt idx="55">
                  <v>47849</v>
                </pt>
                <pt idx="56">
                  <v>47880</v>
                </pt>
                <pt idx="57">
                  <v>47908</v>
                </pt>
                <pt idx="58">
                  <v>47939</v>
                </pt>
                <pt idx="59">
                  <v>47969</v>
                </pt>
                <pt idx="60">
                  <v>48000</v>
                </pt>
                <pt idx="61">
                  <v>48030</v>
                </pt>
                <pt idx="62">
                  <v>48061</v>
                </pt>
                <pt idx="63">
                  <v>48092</v>
                </pt>
                <pt idx="64">
                  <v>48122</v>
                </pt>
                <pt idx="65">
                  <v>48153</v>
                </pt>
                <pt idx="66">
                  <v>48183</v>
                </pt>
                <pt idx="67">
                  <v>48214</v>
                </pt>
                <pt idx="68">
                  <v>48245</v>
                </pt>
                <pt idx="69">
                  <v>48274</v>
                </pt>
                <pt idx="70">
                  <v>48305</v>
                </pt>
                <pt idx="71">
                  <v>48335</v>
                </pt>
                <pt idx="72">
                  <v>48366</v>
                </pt>
                <pt idx="73">
                  <v>48396</v>
                </pt>
                <pt idx="74">
                  <v>48427</v>
                </pt>
                <pt idx="75">
                  <v>48458</v>
                </pt>
                <pt idx="76">
                  <v>48488</v>
                </pt>
                <pt idx="77">
                  <v>48519</v>
                </pt>
                <pt idx="78">
                  <v>48549</v>
                </pt>
                <pt idx="79">
                  <v>48580</v>
                </pt>
                <pt idx="80">
                  <v>48611</v>
                </pt>
                <pt idx="81">
                  <v>48639</v>
                </pt>
                <pt idx="82">
                  <v>48670</v>
                </pt>
                <pt idx="83">
                  <v>48700</v>
                </pt>
                <pt idx="84">
                  <v>48731</v>
                </pt>
                <pt idx="85">
                  <v>48761</v>
                </pt>
                <pt idx="86">
                  <v>48792</v>
                </pt>
                <pt idx="87">
                  <v>48823</v>
                </pt>
                <pt idx="88">
                  <v>48853</v>
                </pt>
                <pt idx="89">
                  <v>48884</v>
                </pt>
                <pt idx="90">
                  <v>48914</v>
                </pt>
                <pt idx="91">
                  <v>48945</v>
                </pt>
                <pt idx="92">
                  <v>48976</v>
                </pt>
                <pt idx="93">
                  <v>49004</v>
                </pt>
                <pt idx="94">
                  <v>49035</v>
                </pt>
                <pt idx="95">
                  <v>49065</v>
                </pt>
                <pt idx="96">
                  <v>49096</v>
                </pt>
                <pt idx="97">
                  <v>49126</v>
                </pt>
                <pt idx="98">
                  <v>49157</v>
                </pt>
                <pt idx="99">
                  <v>49188</v>
                </pt>
                <pt idx="100">
                  <v>49218</v>
                </pt>
                <pt idx="101">
                  <v>49249</v>
                </pt>
                <pt idx="102">
                  <v>49279</v>
                </pt>
                <pt idx="103">
                  <v>49310</v>
                </pt>
                <pt idx="104">
                  <v>49341</v>
                </pt>
                <pt idx="105">
                  <v>49369</v>
                </pt>
                <pt idx="106">
                  <v>49400</v>
                </pt>
                <pt idx="107">
                  <v>49430</v>
                </pt>
                <pt idx="108">
                  <v>49461</v>
                </pt>
                <pt idx="109">
                  <v>49491</v>
                </pt>
                <pt idx="110">
                  <v>49522</v>
                </pt>
                <pt idx="111">
                  <v>49553</v>
                </pt>
                <pt idx="112">
                  <v>49583</v>
                </pt>
                <pt idx="113">
                  <v>49614</v>
                </pt>
                <pt idx="114">
                  <v>49644</v>
                </pt>
                <pt idx="115">
                  <v>49675</v>
                </pt>
                <pt idx="116">
                  <v>49706</v>
                </pt>
                <pt idx="117">
                  <v>49735</v>
                </pt>
                <pt idx="118">
                  <v>49766</v>
                </pt>
                <pt idx="119">
                  <v>49796</v>
                </pt>
                <pt idx="120">
                  <v>49827</v>
                </pt>
                <pt idx="121">
                  <v>49857</v>
                </pt>
                <pt idx="122">
                  <v>49888</v>
                </pt>
                <pt idx="123">
                  <v>49919</v>
                </pt>
                <pt idx="124">
                  <v>49949</v>
                </pt>
                <pt idx="125">
                  <v>49980</v>
                </pt>
                <pt idx="126">
                  <v>50010</v>
                </pt>
                <pt idx="127">
                  <v>50041</v>
                </pt>
                <pt idx="128">
                  <v>50072</v>
                </pt>
                <pt idx="129">
                  <v>50100</v>
                </pt>
                <pt idx="130">
                  <v>50131</v>
                </pt>
                <pt idx="131">
                  <v>50161</v>
                </pt>
                <pt idx="132">
                  <v>50192</v>
                </pt>
                <pt idx="133">
                  <v>50222</v>
                </pt>
                <pt idx="134">
                  <v>50253</v>
                </pt>
                <pt idx="135">
                  <v>50284</v>
                </pt>
                <pt idx="136">
                  <v>50314</v>
                </pt>
                <pt idx="137">
                  <v>50345</v>
                </pt>
                <pt idx="138">
                  <v>50375</v>
                </pt>
                <pt idx="139">
                  <v>50406</v>
                </pt>
                <pt idx="140">
                  <v>50437</v>
                </pt>
                <pt idx="141">
                  <v>50465</v>
                </pt>
                <pt idx="142">
                  <v>50496</v>
                </pt>
                <pt idx="143">
                  <v>50526</v>
                </pt>
                <pt idx="144">
                  <v>50557</v>
                </pt>
                <pt idx="145">
                  <v>50587</v>
                </pt>
                <pt idx="146">
                  <v>50618</v>
                </pt>
                <pt idx="147">
                  <v>50649</v>
                </pt>
                <pt idx="148">
                  <v>50679</v>
                </pt>
                <pt idx="149">
                  <v>50710</v>
                </pt>
                <pt idx="150">
                  <v>50740</v>
                </pt>
                <pt idx="151">
                  <v>50771</v>
                </pt>
                <pt idx="152">
                  <v>50802</v>
                </pt>
                <pt idx="153">
                  <v>50830</v>
                </pt>
                <pt idx="154">
                  <v>50861</v>
                </pt>
                <pt idx="155">
                  <v>50891</v>
                </pt>
                <pt idx="156">
                  <v>50922</v>
                </pt>
                <pt idx="157">
                  <v>50952</v>
                </pt>
                <pt idx="158">
                  <v>50983</v>
                </pt>
                <pt idx="159">
                  <v>51014</v>
                </pt>
                <pt idx="160">
                  <v>51044</v>
                </pt>
                <pt idx="161">
                  <v>51075</v>
                </pt>
                <pt idx="162">
                  <v>51105</v>
                </pt>
                <pt idx="163">
                  <v>51136</v>
                </pt>
                <pt idx="164">
                  <v>51167</v>
                </pt>
                <pt idx="165">
                  <v>51196</v>
                </pt>
                <pt idx="166">
                  <v>51227</v>
                </pt>
                <pt idx="167">
                  <v>51257</v>
                </pt>
                <pt idx="168">
                  <v>51288</v>
                </pt>
                <pt idx="169">
                  <v>51318</v>
                </pt>
                <pt idx="170">
                  <v>51349</v>
                </pt>
                <pt idx="171">
                  <v>51380</v>
                </pt>
                <pt idx="172">
                  <v>51410</v>
                </pt>
                <pt idx="173">
                  <v>51441</v>
                </pt>
                <pt idx="174">
                  <v>51471</v>
                </pt>
                <pt idx="175">
                  <v>51502</v>
                </pt>
                <pt idx="176">
                  <v>51533</v>
                </pt>
                <pt idx="177">
                  <v>51561</v>
                </pt>
                <pt idx="178">
                  <v>51592</v>
                </pt>
                <pt idx="179">
                  <v>51622</v>
                </pt>
                <pt idx="180">
                  <v>51653</v>
                </pt>
                <pt idx="181">
                  <v>51683</v>
                </pt>
                <pt idx="182">
                  <v>51714</v>
                </pt>
                <pt idx="183">
                  <v>51745</v>
                </pt>
              </numCache>
            </numRef>
          </cat>
          <val>
            <numRef>
              <f>'FC Total (10 lotes)'!$AT$66:$HU$66</f>
              <numCache>
                <formatCode>_-* #,##0_-;\-* #,##0_-;_-* "-"??_-;_-@_-</formatCode>
                <ptCount val="1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-1000000</v>
                </pt>
                <pt idx="7">
                  <v>-3600000</v>
                </pt>
                <pt idx="8">
                  <v>-2900000</v>
                </pt>
                <pt idx="9">
                  <v>-3000000</v>
                </pt>
                <pt idx="10">
                  <v>-4000000</v>
                </pt>
                <pt idx="11">
                  <v>-2300000</v>
                </pt>
                <pt idx="12">
                  <v>-3000000</v>
                </pt>
                <pt idx="13">
                  <v>-5000000</v>
                </pt>
                <pt idx="14">
                  <v>-4000000</v>
                </pt>
                <pt idx="15">
                  <v>-4000000</v>
                </pt>
                <pt idx="16">
                  <v>-4800000</v>
                </pt>
                <pt idx="17">
                  <v>-4500000</v>
                </pt>
                <pt idx="18">
                  <v>-5000000</v>
                </pt>
                <pt idx="19">
                  <v>-4700000</v>
                </pt>
                <pt idx="20">
                  <v>-4400000</v>
                </pt>
                <pt idx="21">
                  <v>-3000000</v>
                </pt>
                <pt idx="22">
                  <v>-3200000</v>
                </pt>
                <pt idx="23">
                  <v>-3000000</v>
                </pt>
                <pt idx="24">
                  <v>-5650000</v>
                </pt>
                <pt idx="25">
                  <v>-6050000</v>
                </pt>
                <pt idx="26">
                  <v>-5900000</v>
                </pt>
                <pt idx="27">
                  <v>-6200000</v>
                </pt>
                <pt idx="28">
                  <v>-6100000</v>
                </pt>
                <pt idx="29">
                  <v>-6180000</v>
                </pt>
                <pt idx="30">
                  <v>-6200000</v>
                </pt>
                <pt idx="31">
                  <v>-6250000</v>
                </pt>
                <pt idx="32">
                  <v>-6300000</v>
                </pt>
                <pt idx="33">
                  <v>-6350000</v>
                </pt>
                <pt idx="34">
                  <v>-6700000</v>
                </pt>
                <pt idx="35">
                  <v>-7000000</v>
                </pt>
                <pt idx="36">
                  <v>-6540000</v>
                </pt>
                <pt idx="37">
                  <v>-6700000</v>
                </pt>
                <pt idx="38">
                  <v>-6800000</v>
                </pt>
                <pt idx="39">
                  <v>-6500000</v>
                </pt>
                <pt idx="40">
                  <v>-5500000</v>
                </pt>
                <pt idx="41">
                  <v>-5400000</v>
                </pt>
                <pt idx="42">
                  <v>-5200000</v>
                </pt>
                <pt idx="43">
                  <v>-5100000</v>
                </pt>
                <pt idx="44">
                  <v>-4950000</v>
                </pt>
                <pt idx="45">
                  <v>-4770000</v>
                </pt>
                <pt idx="46">
                  <v>-4950000</v>
                </pt>
                <pt idx="47">
                  <v>-4850000</v>
                </pt>
                <pt idx="48">
                  <v>-4350000</v>
                </pt>
                <pt idx="49">
                  <v>-4250000</v>
                </pt>
                <pt idx="50">
                  <v>-4000000</v>
                </pt>
                <pt idx="51">
                  <v>-3550000</v>
                </pt>
                <pt idx="52">
                  <v>-2240000</v>
                </pt>
                <pt idx="53">
                  <v>-2200000</v>
                </pt>
                <pt idx="54">
                  <v>-2050000</v>
                </pt>
                <pt idx="55">
                  <v>-2000000</v>
                </pt>
                <pt idx="56">
                  <v>-1830000</v>
                </pt>
                <pt idx="57">
                  <v>-1770000</v>
                </pt>
                <pt idx="58">
                  <v>-1900000</v>
                </pt>
                <pt idx="59">
                  <v>-1700000</v>
                </pt>
                <pt idx="60">
                  <v>-1450000</v>
                </pt>
                <pt idx="61">
                  <v>-1370000</v>
                </pt>
                <pt idx="62">
                  <v>-1150000</v>
                </pt>
                <pt idx="63">
                  <v>-1080000</v>
                </pt>
                <pt idx="64">
                  <v>-955000</v>
                </pt>
                <pt idx="65">
                  <v>-970000</v>
                </pt>
                <pt idx="66">
                  <v>-940000</v>
                </pt>
                <pt idx="67">
                  <v>-980000</v>
                </pt>
                <pt idx="68">
                  <v>-1000000</v>
                </pt>
                <pt idx="69">
                  <v>-1000000</v>
                </pt>
                <pt idx="70">
                  <v>-1300000</v>
                </pt>
                <pt idx="71">
                  <v>-980000</v>
                </pt>
                <pt idx="72">
                  <v>-950000</v>
                </pt>
                <pt idx="73">
                  <v>-1030000</v>
                </pt>
                <pt idx="74">
                  <v>-1000000</v>
                </pt>
                <pt idx="75">
                  <v>-940000</v>
                </pt>
                <pt idx="76">
                  <v>-945000</v>
                </pt>
                <pt idx="77">
                  <v>-965000</v>
                </pt>
                <pt idx="78">
                  <v>-950000</v>
                </pt>
                <pt idx="79">
                  <v>-995000</v>
                </pt>
                <pt idx="80">
                  <v>-920000</v>
                </pt>
                <pt idx="81">
                  <v>-980000</v>
                </pt>
                <pt idx="82">
                  <v>-1150000</v>
                </pt>
                <pt idx="83">
                  <v>-910000</v>
                </pt>
                <pt idx="84">
                  <v>-850000</v>
                </pt>
                <pt idx="85">
                  <v>-930000</v>
                </pt>
                <pt idx="86">
                  <v>-820000</v>
                </pt>
                <pt idx="87">
                  <v>-800000</v>
                </pt>
                <pt idx="88">
                  <v>-780000</v>
                </pt>
                <pt idx="89">
                  <v>-835000</v>
                </pt>
                <pt idx="90">
                  <v>-750000</v>
                </pt>
                <pt idx="91">
                  <v>-815000</v>
                </pt>
                <pt idx="92">
                  <v>-740000</v>
                </pt>
                <pt idx="93">
                  <v>-730000</v>
                </pt>
                <pt idx="94">
                  <v>-700000</v>
                </pt>
                <pt idx="95">
                  <v>-650000</v>
                </pt>
                <pt idx="96">
                  <v>-630000</v>
                </pt>
                <pt idx="97">
                  <v>-640000</v>
                </pt>
                <pt idx="98">
                  <v>-600000</v>
                </pt>
                <pt idx="99">
                  <v>-600000</v>
                </pt>
                <pt idx="100">
                  <v>-600000</v>
                </pt>
                <pt idx="101">
                  <v>-550000</v>
                </pt>
                <pt idx="102">
                  <v>-550000</v>
                </pt>
                <pt idx="103">
                  <v>-530000</v>
                </pt>
                <pt idx="104">
                  <v>-530000</v>
                </pt>
                <pt idx="105">
                  <v>-490000</v>
                </pt>
                <pt idx="106">
                  <v>-500000</v>
                </pt>
                <pt idx="107">
                  <v>-450000</v>
                </pt>
                <pt idx="108">
                  <v>-450000</v>
                </pt>
                <pt idx="109">
                  <v>-450000</v>
                </pt>
                <pt idx="110">
                  <v>-450000</v>
                </pt>
                <pt idx="111">
                  <v>-410000</v>
                </pt>
                <pt idx="112">
                  <v>-395000</v>
                </pt>
                <pt idx="113">
                  <v>-370000</v>
                </pt>
                <pt idx="114">
                  <v>-375000</v>
                </pt>
                <pt idx="115">
                  <v>-355000</v>
                </pt>
                <pt idx="116">
                  <v>-330000</v>
                </pt>
                <pt idx="117">
                  <v>-315000</v>
                </pt>
                <pt idx="118">
                  <v>-295000</v>
                </pt>
                <pt idx="119">
                  <v>-280000</v>
                </pt>
                <pt idx="120">
                  <v>-270000</v>
                </pt>
                <pt idx="121">
                  <v>-255000</v>
                </pt>
                <pt idx="122">
                  <v>-235000</v>
                </pt>
                <pt idx="123">
                  <v>-225000</v>
                </pt>
                <pt idx="124">
                  <v>-200000</v>
                </pt>
                <pt idx="125">
                  <v>-189000</v>
                </pt>
                <pt idx="126">
                  <v>-165000</v>
                </pt>
                <pt idx="127">
                  <v>-150000</v>
                </pt>
                <pt idx="128">
                  <v>-138000</v>
                </pt>
                <pt idx="129">
                  <v>-115000</v>
                </pt>
                <pt idx="130">
                  <v>-96000</v>
                </pt>
                <pt idx="131">
                  <v>-86000</v>
                </pt>
                <pt idx="132">
                  <v>-71000</v>
                </pt>
                <pt idx="133">
                  <v>-45000</v>
                </pt>
                <pt idx="134">
                  <v>-30000</v>
                </pt>
                <pt idx="135">
                  <v>-15000</v>
                </pt>
                <pt idx="136">
                  <v>-750</v>
                </pt>
                <pt idx="137">
                  <v>-300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74164383"/>
        <axId val="574158143"/>
      </barChart>
      <dateAx>
        <axId val="574164383"/>
        <scaling>
          <orientation val="minMax"/>
        </scaling>
        <delete val="0"/>
        <axPos val="b"/>
        <numFmt formatCode="mmm\-yy" sourceLinked="1"/>
        <majorTickMark val="none"/>
        <minorTickMark val="none"/>
        <tickLblPos val="high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58143"/>
        <crosses val="autoZero"/>
        <lblOffset val="100"/>
        <baseTimeUnit val="months"/>
      </dateAx>
      <valAx>
        <axId val="5741581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,##0_-;\-* #,##0_-;_-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7416438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Expectativa de distribuição nos dois primeiros anos (R$ 000)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377669234141148"/>
          <y val="0.4211280628756358"/>
          <w val="0.972446615317177"/>
          <h val="0.471621508476489"/>
        </manualLayout>
      </layout>
      <lineChart>
        <grouping val="standard"/>
        <varyColors val="0"/>
        <ser>
          <idx val="0"/>
          <order val="0"/>
          <spPr>
            <a:ln w="22225" cap="rnd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  <marker>
            <symbol val="diamond"/>
            <size val="6"/>
            <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Distribuição!$C$16:$AL$16</f>
              <numCache>
                <formatCode>mmm\-yy</formatCode>
                <ptCount val="36"/>
                <pt idx="0">
                  <v>46419</v>
                </pt>
                <pt idx="1">
                  <v>46447</v>
                </pt>
                <pt idx="2">
                  <v>46478</v>
                </pt>
                <pt idx="3">
                  <v>46508</v>
                </pt>
                <pt idx="4">
                  <v>46539</v>
                </pt>
                <pt idx="5">
                  <v>46569</v>
                </pt>
                <pt idx="6">
                  <v>46600</v>
                </pt>
                <pt idx="7">
                  <v>46631</v>
                </pt>
                <pt idx="8">
                  <v>46661</v>
                </pt>
                <pt idx="9">
                  <v>46692</v>
                </pt>
                <pt idx="10">
                  <v>46722</v>
                </pt>
                <pt idx="11">
                  <v>46753</v>
                </pt>
                <pt idx="12">
                  <v>46784</v>
                </pt>
                <pt idx="13">
                  <v>46813</v>
                </pt>
                <pt idx="14">
                  <v>46844</v>
                </pt>
                <pt idx="15">
                  <v>46874</v>
                </pt>
                <pt idx="16">
                  <v>46905</v>
                </pt>
                <pt idx="17">
                  <v>46935</v>
                </pt>
                <pt idx="18">
                  <v>46966</v>
                </pt>
                <pt idx="19">
                  <v>46997</v>
                </pt>
                <pt idx="20">
                  <v>47027</v>
                </pt>
                <pt idx="21">
                  <v>47058</v>
                </pt>
                <pt idx="22">
                  <v>47088</v>
                </pt>
                <pt idx="23">
                  <v>47119</v>
                </pt>
                <pt idx="24">
                  <v>47150</v>
                </pt>
                <pt idx="25">
                  <v>47178</v>
                </pt>
                <pt idx="26">
                  <v>47209</v>
                </pt>
                <pt idx="27">
                  <v>47239</v>
                </pt>
                <pt idx="28">
                  <v>47270</v>
                </pt>
                <pt idx="29">
                  <v>47300</v>
                </pt>
                <pt idx="30">
                  <v>47331</v>
                </pt>
                <pt idx="31">
                  <v>47362</v>
                </pt>
                <pt idx="32">
                  <v>47392</v>
                </pt>
                <pt idx="33">
                  <v>47423</v>
                </pt>
                <pt idx="34">
                  <v>47453</v>
                </pt>
                <pt idx="35">
                  <v>47484</v>
                </pt>
              </numCache>
            </numRef>
          </cat>
          <val>
            <numRef>
              <f>Distribuição!$C$17:$AL$17</f>
              <numCache>
                <formatCode>_-* #,##0_-;\-* #,##0_-;_-* "-"??_-;_-@_-</formatCode>
                <ptCount val="36"/>
                <pt idx="0">
                  <v>450</v>
                </pt>
                <pt idx="1">
                  <v>1200</v>
                </pt>
                <pt idx="2">
                  <v>1800</v>
                </pt>
                <pt idx="3">
                  <v>1800</v>
                </pt>
                <pt idx="4">
                  <v>1400</v>
                </pt>
                <pt idx="5">
                  <v>2500</v>
                </pt>
                <pt idx="6">
                  <v>2400</v>
                </pt>
                <pt idx="7">
                  <v>1700</v>
                </pt>
                <pt idx="8">
                  <v>1750</v>
                </pt>
                <pt idx="9">
                  <v>2000</v>
                </pt>
                <pt idx="10">
                  <v>2500</v>
                </pt>
                <pt idx="11">
                  <v>2000</v>
                </pt>
                <pt idx="12">
                  <v>800</v>
                </pt>
                <pt idx="13">
                  <v>500</v>
                </pt>
                <pt idx="14">
                  <v>500</v>
                </pt>
                <pt idx="15">
                  <v>350</v>
                </pt>
                <pt idx="16">
                  <v>2700</v>
                </pt>
                <pt idx="17">
                  <v>2780</v>
                </pt>
                <pt idx="18">
                  <v>2820</v>
                </pt>
                <pt idx="19">
                  <v>2850</v>
                </pt>
                <pt idx="20">
                  <v>2900</v>
                </pt>
                <pt idx="21">
                  <v>3000</v>
                </pt>
                <pt idx="22">
                  <v>2900</v>
                </pt>
                <pt idx="23">
                  <v>2900</v>
                </pt>
                <pt idx="24">
                  <v>2900</v>
                </pt>
                <pt idx="25">
                  <v>3000</v>
                </pt>
                <pt idx="26">
                  <v>3200</v>
                </pt>
                <pt idx="27">
                  <v>3300</v>
                </pt>
                <pt idx="28">
                  <v>3100</v>
                </pt>
                <pt idx="29">
                  <v>3090</v>
                </pt>
                <pt idx="30">
                  <v>3150</v>
                </pt>
                <pt idx="31">
                  <v>3100</v>
                </pt>
                <pt idx="32">
                  <v>3100</v>
                </pt>
                <pt idx="33">
                  <v>3150</v>
                </pt>
                <pt idx="34">
                  <v>3100</v>
                </pt>
                <pt idx="35">
                  <v>3200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76992671"/>
        <axId val="1076227183"/>
      </lineChart>
      <dateAx>
        <axId val="1076992671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227183"/>
        <crosses val="autoZero"/>
        <lblOffset val="100"/>
        <baseTimeUnit val="months"/>
      </dateAx>
      <valAx>
        <axId val="1076227183"/>
        <scaling>
          <orientation val="minMax"/>
        </scaling>
        <delete val="0"/>
        <axPos val="l"/>
        <numFmt formatCode="_-* #,##0_-;\-* #,##0_-;_-* &quot;-&quot;??_-;_-@_-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992671"/>
        <crosses val="autoZero"/>
        <crossBetween val="between"/>
      </valAx>
    </plotArea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Expectativa de distribuição nos dois primeiros anos (R$ 000)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377669234141148"/>
          <y val="0.4211280628756358"/>
          <w val="0.972446615317177"/>
          <h val="0.471621508476489"/>
        </manualLayout>
      </layout>
      <lineChart>
        <grouping val="standard"/>
        <varyColors val="0"/>
        <ser>
          <idx val="0"/>
          <order val="0"/>
          <spPr>
            <a:ln w="22225" cap="rnd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  <marker>
            <symbol val="diamond"/>
            <size val="6"/>
            <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Distribuição!$C$20:$AL$20</f>
              <numCache>
                <formatCode>mmm\-yy</formatCode>
                <ptCount val="36"/>
                <pt idx="0">
                  <v>46388</v>
                </pt>
                <pt idx="1">
                  <v>46419</v>
                </pt>
                <pt idx="2">
                  <v>46447</v>
                </pt>
                <pt idx="3">
                  <v>46478</v>
                </pt>
                <pt idx="4">
                  <v>46508</v>
                </pt>
                <pt idx="5">
                  <v>46539</v>
                </pt>
                <pt idx="6">
                  <v>46569</v>
                </pt>
                <pt idx="7">
                  <v>46600</v>
                </pt>
                <pt idx="8">
                  <v>46631</v>
                </pt>
                <pt idx="9">
                  <v>46661</v>
                </pt>
                <pt idx="10">
                  <v>46692</v>
                </pt>
                <pt idx="11">
                  <v>46722</v>
                </pt>
                <pt idx="12">
                  <v>46753</v>
                </pt>
                <pt idx="13">
                  <v>46784</v>
                </pt>
                <pt idx="14">
                  <v>46813</v>
                </pt>
                <pt idx="15">
                  <v>46844</v>
                </pt>
                <pt idx="16">
                  <v>46874</v>
                </pt>
                <pt idx="17">
                  <v>46905</v>
                </pt>
                <pt idx="18">
                  <v>46935</v>
                </pt>
                <pt idx="19">
                  <v>46966</v>
                </pt>
                <pt idx="20">
                  <v>46997</v>
                </pt>
                <pt idx="21">
                  <v>47027</v>
                </pt>
                <pt idx="22">
                  <v>47058</v>
                </pt>
                <pt idx="23">
                  <v>47088</v>
                </pt>
                <pt idx="24">
                  <v>47119</v>
                </pt>
                <pt idx="25">
                  <v>47150</v>
                </pt>
                <pt idx="26">
                  <v>47178</v>
                </pt>
                <pt idx="27">
                  <v>47209</v>
                </pt>
                <pt idx="28">
                  <v>47239</v>
                </pt>
                <pt idx="29">
                  <v>47270</v>
                </pt>
                <pt idx="30">
                  <v>47300</v>
                </pt>
                <pt idx="31">
                  <v>47331</v>
                </pt>
                <pt idx="32">
                  <v>47362</v>
                </pt>
                <pt idx="33">
                  <v>47392</v>
                </pt>
                <pt idx="34">
                  <v>47423</v>
                </pt>
                <pt idx="35">
                  <v>47453</v>
                </pt>
              </numCache>
            </numRef>
          </cat>
          <val>
            <numRef>
              <f>Distribuição!$C$21:$AL$21</f>
              <numCache>
                <formatCode>_-* #,##0_-;\-* #,##0_-;_-* "-"??_-;_-@_-</formatCode>
                <ptCount val="36"/>
                <pt idx="0">
                  <v>880</v>
                </pt>
                <pt idx="1">
                  <v>2000</v>
                </pt>
                <pt idx="2">
                  <v>2400</v>
                </pt>
                <pt idx="3">
                  <v>2800</v>
                </pt>
                <pt idx="4">
                  <v>1400</v>
                </pt>
                <pt idx="5">
                  <v>1600</v>
                </pt>
                <pt idx="6">
                  <v>3300</v>
                </pt>
                <pt idx="7">
                  <v>3400</v>
                </pt>
                <pt idx="8">
                  <v>2800</v>
                </pt>
                <pt idx="9">
                  <v>2700</v>
                </pt>
                <pt idx="10">
                  <v>3200</v>
                </pt>
                <pt idx="11">
                  <v>3300</v>
                </pt>
                <pt idx="12">
                  <v>2800</v>
                </pt>
                <pt idx="13">
                  <v>2500</v>
                </pt>
                <pt idx="14">
                  <v>1400</v>
                </pt>
                <pt idx="15">
                  <v>1300</v>
                </pt>
                <pt idx="16">
                  <v>1150</v>
                </pt>
                <pt idx="17">
                  <v>3850</v>
                </pt>
                <pt idx="18">
                  <v>4000</v>
                </pt>
                <pt idx="19">
                  <v>4050</v>
                </pt>
                <pt idx="20">
                  <v>4000</v>
                </pt>
                <pt idx="21">
                  <v>4000</v>
                </pt>
                <pt idx="22">
                  <v>4100</v>
                </pt>
                <pt idx="23">
                  <v>4100</v>
                </pt>
                <pt idx="24">
                  <v>4150</v>
                </pt>
                <pt idx="25">
                  <v>4150</v>
                </pt>
                <pt idx="26">
                  <v>4200</v>
                </pt>
                <pt idx="27">
                  <v>4450</v>
                </pt>
                <pt idx="28">
                  <v>4650</v>
                </pt>
                <pt idx="29">
                  <v>4380</v>
                </pt>
                <pt idx="30">
                  <v>4350</v>
                </pt>
                <pt idx="31">
                  <v>4500</v>
                </pt>
                <pt idx="32">
                  <v>4450</v>
                </pt>
                <pt idx="33">
                  <v>4500</v>
                </pt>
                <pt idx="34">
                  <v>4500</v>
                </pt>
                <pt idx="35">
                  <v>4500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76992671"/>
        <axId val="1076227183"/>
      </lineChart>
      <dateAx>
        <axId val="1076992671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227183"/>
        <crosses val="autoZero"/>
        <lblOffset val="100"/>
        <baseTimeUnit val="months"/>
      </dateAx>
      <valAx>
        <axId val="1076227183"/>
        <scaling>
          <orientation val="minMax"/>
        </scaling>
        <delete val="0"/>
        <axPos val="l"/>
        <numFmt formatCode="_-* #,##0_-;\-* #,##0_-;_-* &quot;-&quot;??_-;_-@_-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992671"/>
        <crosses val="autoZero"/>
        <crossBetween val="between"/>
      </valAx>
    </plotArea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Expectativa de distribuição nos dois primeiros anos (R$ 000)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377669234141148"/>
          <y val="0.4211280628756358"/>
          <w val="0.972446615317177"/>
          <h val="0.471621508476489"/>
        </manualLayout>
      </layout>
      <lineChart>
        <grouping val="standard"/>
        <varyColors val="0"/>
        <ser>
          <idx val="0"/>
          <order val="0"/>
          <spPr>
            <a:ln w="22225" cap="rnd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  <marker>
            <symbol val="diamond"/>
            <size val="6"/>
            <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Distribuição!$C$24:$AL$24</f>
              <numCache>
                <formatCode>mmm\-yy</formatCode>
                <ptCount val="36"/>
                <pt idx="0">
                  <v>46357</v>
                </pt>
                <pt idx="1">
                  <v>46388</v>
                </pt>
                <pt idx="2">
                  <v>46419</v>
                </pt>
                <pt idx="3">
                  <v>46447</v>
                </pt>
                <pt idx="4">
                  <v>46478</v>
                </pt>
                <pt idx="5">
                  <v>46508</v>
                </pt>
                <pt idx="6">
                  <v>46539</v>
                </pt>
                <pt idx="7">
                  <v>46569</v>
                </pt>
                <pt idx="8">
                  <v>46600</v>
                </pt>
                <pt idx="9">
                  <v>46631</v>
                </pt>
                <pt idx="10">
                  <v>46661</v>
                </pt>
                <pt idx="11">
                  <v>46692</v>
                </pt>
                <pt idx="12">
                  <v>46722</v>
                </pt>
                <pt idx="13">
                  <v>46753</v>
                </pt>
                <pt idx="14">
                  <v>46784</v>
                </pt>
                <pt idx="15">
                  <v>46813</v>
                </pt>
                <pt idx="16">
                  <v>46844</v>
                </pt>
                <pt idx="17">
                  <v>46874</v>
                </pt>
                <pt idx="18">
                  <v>46905</v>
                </pt>
                <pt idx="19">
                  <v>46935</v>
                </pt>
                <pt idx="20">
                  <v>46966</v>
                </pt>
                <pt idx="21">
                  <v>46997</v>
                </pt>
                <pt idx="22">
                  <v>47027</v>
                </pt>
                <pt idx="23">
                  <v>47058</v>
                </pt>
                <pt idx="24">
                  <v>47088</v>
                </pt>
                <pt idx="25">
                  <v>47119</v>
                </pt>
                <pt idx="26">
                  <v>47150</v>
                </pt>
                <pt idx="27">
                  <v>47178</v>
                </pt>
                <pt idx="28">
                  <v>47209</v>
                </pt>
                <pt idx="29">
                  <v>47239</v>
                </pt>
                <pt idx="30">
                  <v>47270</v>
                </pt>
                <pt idx="31">
                  <v>47300</v>
                </pt>
                <pt idx="32">
                  <v>47331</v>
                </pt>
                <pt idx="33">
                  <v>47362</v>
                </pt>
                <pt idx="34">
                  <v>47392</v>
                </pt>
                <pt idx="35">
                  <v>47423</v>
                </pt>
              </numCache>
            </numRef>
          </cat>
          <val>
            <numRef>
              <f>Distribuição!$C$25:$AL$25</f>
              <numCache>
                <formatCode>_-* #,##0_-;\-* #,##0_-;_-* "-"??_-;_-@_-</formatCode>
                <ptCount val="36"/>
                <pt idx="0">
                  <v>1000</v>
                </pt>
                <pt idx="1">
                  <v>3600</v>
                </pt>
                <pt idx="2">
                  <v>2900</v>
                </pt>
                <pt idx="3">
                  <v>3000</v>
                </pt>
                <pt idx="4">
                  <v>4000</v>
                </pt>
                <pt idx="5">
                  <v>2300</v>
                </pt>
                <pt idx="6">
                  <v>3000</v>
                </pt>
                <pt idx="7">
                  <v>5000</v>
                </pt>
                <pt idx="8">
                  <v>4000</v>
                </pt>
                <pt idx="9">
                  <v>4000</v>
                </pt>
                <pt idx="10">
                  <v>4800</v>
                </pt>
                <pt idx="11">
                  <v>4500</v>
                </pt>
                <pt idx="12">
                  <v>5000</v>
                </pt>
                <pt idx="13">
                  <v>4700</v>
                </pt>
                <pt idx="14">
                  <v>4400</v>
                </pt>
                <pt idx="15">
                  <v>3000</v>
                </pt>
                <pt idx="16">
                  <v>3200</v>
                </pt>
                <pt idx="17">
                  <v>3000</v>
                </pt>
                <pt idx="18">
                  <v>5650</v>
                </pt>
                <pt idx="19">
                  <v>6050</v>
                </pt>
                <pt idx="20">
                  <v>5900</v>
                </pt>
                <pt idx="21">
                  <v>6200</v>
                </pt>
                <pt idx="22">
                  <v>6100</v>
                </pt>
                <pt idx="23">
                  <v>6180</v>
                </pt>
                <pt idx="24">
                  <v>6200</v>
                </pt>
                <pt idx="25">
                  <v>6250</v>
                </pt>
                <pt idx="26">
                  <v>6300</v>
                </pt>
                <pt idx="27">
                  <v>6350</v>
                </pt>
                <pt idx="28">
                  <v>6700</v>
                </pt>
                <pt idx="29">
                  <v>7000</v>
                </pt>
                <pt idx="30">
                  <v>6540</v>
                </pt>
                <pt idx="31">
                  <v>6700</v>
                </pt>
                <pt idx="32">
                  <v>6800</v>
                </pt>
                <pt idx="33">
                  <v>6500</v>
                </pt>
                <pt idx="34">
                  <v>5500</v>
                </pt>
                <pt idx="35">
                  <v>5400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76992671"/>
        <axId val="1076227183"/>
      </lineChart>
      <dateAx>
        <axId val="1076992671"/>
        <scaling>
          <orientation val="minMax"/>
        </scaling>
        <delete val="0"/>
        <axPos val="b"/>
        <numFmt formatCode="mmm\-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227183"/>
        <crosses val="autoZero"/>
        <lblOffset val="100"/>
        <baseTimeUnit val="months"/>
      </dateAx>
      <valAx>
        <axId val="1076227183"/>
        <scaling>
          <orientation val="minMax"/>
        </scaling>
        <delete val="0"/>
        <axPos val="l"/>
        <numFmt formatCode="_-* #,##0_-;\-* #,##0_-;_-* &quot;-&quot;??_-;_-@_-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1076992671"/>
        <crosses val="autoZero"/>
        <crossBetween val="between"/>
      </valAx>
    </plotArea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Gabriela Pereira</author>
  </authors>
  <commentList>
    <comment ref="L60" authorId="0" shapeId="0">
      <text>
        <t>Gabriela Pereira:
Pagto comissão Wilton Boldrini 55.468,40
Distrato C-08 81.131,20</t>
      </text>
    </comment>
  </commentList>
</comments>
</file>

<file path=xl/comments/comment2.xml><?xml version="1.0" encoding="utf-8"?>
<comments xmlns="http://schemas.openxmlformats.org/spreadsheetml/2006/main">
  <authors>
    <author>Caio Perretti</author>
    <author>Gabriela Pereira</author>
  </authors>
  <commentList>
    <comment ref="AC8" authorId="0" shapeId="0">
      <text>
        <t>Caio Perretti:
Ajustado manualmente conforme controle do Bruno e Sienge.</t>
      </text>
    </comment>
    <comment ref="AC26" authorId="0" shapeId="0">
      <text>
        <t xml:space="preserve"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
</t>
      </text>
    </comment>
    <comment ref="AC38" authorId="0" shapeId="0">
      <text>
        <t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</t>
      </text>
    </comment>
    <comment ref="AV38" authorId="0" shapeId="0">
      <text>
        <t>Caio Perretti:
Economia de Abril/26 foi somada nesse mês para manter o total do custo da obra na revisão feita pelo Ricardo em Abril/26.
Previsto para Abril no fechamento de Março.......R$ 2.200.000,00
Realizado em Abril.........................................................R$ 1.975.027,38
                                                                    ----------------------
Variação abaixo do previsto para Abril...................R$   224.972,62
(+)  "Economia" em Maio:
Previsto para Maio no fechamento de Abril...........R$ 3.747.210,95
Realizado em Maio.........................................................R$ 3.609.373,31
                                                                    ----------------------
Variação abaixo do previsto para Maio..................R$   137.837,64</t>
      </text>
    </comment>
    <comment ref="AF47" authorId="0" shapeId="0">
      <text>
        <t>Caio Perretti:
Acerto manual para ajustar saldo retroativo</t>
      </text>
    </comment>
    <comment ref="L62" authorId="1" shapeId="0">
      <text>
        <t>Gabriela Pereira:
Pagto comissão Wilton Boldrini 55.468,40
Distrato C-08 81.131,20</t>
      </text>
    </comment>
    <comment ref="AT62" authorId="0" shapeId="0">
      <text>
        <t>Caio Perretti:
Distrato Lucilene</t>
      </text>
    </comment>
  </commentList>
</comments>
</file>

<file path=xl/comments/comment3.xml><?xml version="1.0" encoding="utf-8"?>
<comments xmlns="http://schemas.openxmlformats.org/spreadsheetml/2006/main">
  <authors>
    <author>Caio Perretti</author>
    <author>Gabriela Pereira</author>
  </authors>
  <commentList>
    <comment ref="AC8" authorId="0" shapeId="0">
      <text>
        <t>Caio Perretti:
Ajustado manualmente conforme controle do Bruno e Sienge.</t>
      </text>
    </comment>
    <comment ref="AC26" authorId="0" shapeId="0">
      <text>
        <t xml:space="preserve"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
</t>
      </text>
    </comment>
    <comment ref="AC38" authorId="0" shapeId="0">
      <text>
        <t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</t>
      </text>
    </comment>
    <comment ref="AV38" authorId="0" shapeId="0">
      <text>
        <t>Caio Perretti:
Economia de Abril/26 foi somada nesse mês para manter o total do custo da obra na revisão feita pelo Ricardo em Abril/26.
Previsto para Abril no fechamento de Março.......R$ 2.200.000,00
Realizado em Abril.........................................................R$ 1.975.027,38
                                                                    ----------------------
Variação abaixo do previsto para Abril...................R$   224.972,62
(+)  "Economia" em Maio:
Previsto para Maio no fechamento de Abril...........R$ 3.747.210,95
Realizado em Maio.........................................................R$ 3.609.373,31
                                                                    ----------------------
Variação abaixo do previsto para Maio..................R$   137.837,64</t>
      </text>
    </comment>
    <comment ref="AF47" authorId="0" shapeId="0">
      <text>
        <t>Caio Perretti:
Acerto manual para ajustar saldo retroativo</t>
      </text>
    </comment>
    <comment ref="L62" authorId="1" shapeId="0">
      <text>
        <t>Gabriela Pereira:
Pagto comissão Wilton Boldrini 55.468,40
Distrato C-08 81.131,20</t>
      </text>
    </comment>
    <comment ref="AT62" authorId="0" shapeId="0">
      <text>
        <t>Caio Perretti:
Distrato Lucilene</t>
      </text>
    </comment>
  </commentList>
</comments>
</file>

<file path=xl/comments/comment4.xml><?xml version="1.0" encoding="utf-8"?>
<comments xmlns="http://schemas.openxmlformats.org/spreadsheetml/2006/main">
  <authors>
    <author>Caio Perretti</author>
    <author>Gabriela Pereira</author>
  </authors>
  <commentList>
    <comment ref="AC8" authorId="0" shapeId="0">
      <text>
        <t>Caio Perretti:
Ajustado manualmente conforme controle do Bruno e Sienge.</t>
      </text>
    </comment>
    <comment ref="AC26" authorId="0" shapeId="0">
      <text>
        <t xml:space="preserve"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
</t>
      </text>
    </comment>
    <comment ref="AC38" authorId="0" shapeId="0">
      <text>
        <t>Caio Perretti:
RECLASSIFICAÇÃO DE OBRA PARA STAND:
NF 22102 - MATERIAS P/ LIMPEZA STAND DE DE VENDAS.......................R$ 1.155,54
NF 2236 - Pedras/Pedrisco para estacionamento - STAND - PARC 1-2.....R$ 5.138,00
NF 24 - PLANTIO GRAMA – STAND...........................................................R$ 19.400,00
NF 1271 - MATERIAIS E M.O PARA OBRA DO STAND DE VENDAS..............R$ 31.058,76
NF 54 - EXECUÇÃO DE ACESSO PARC 3/3............................................ ...R$ 51.000,00
TOTAL R$ 107.752,30</t>
      </text>
    </comment>
    <comment ref="AV38" authorId="0" shapeId="0">
      <text>
        <t>Caio Perretti:
Economia de Abril/26 foi somada nesse mês para manter o total do custo da obra na revisão feita pelo Ricardo em Abril/26.
Previsto para Abril no fechamento de Março.......R$ 2.200.000,00
Realizado em Abril.........................................................R$ 1.975.027,38
                                                                    ----------------------
Variação abaixo do previsto para Abril...................R$   224.972,62
(+)  "Economia" em Maio:
Previsto para Maio no fechamento de Abril...........R$ 3.747.210,95
Realizado em Maio.........................................................R$ 3.609.373,31
                                                                    ----------------------
Variação abaixo do previsto para Maio..................R$   137.837,64</t>
      </text>
    </comment>
    <comment ref="AF47" authorId="0" shapeId="0">
      <text>
        <t>Caio Perretti:
Acerto manual para ajustar saldo retroativo</t>
      </text>
    </comment>
    <comment ref="L62" authorId="1" shapeId="0">
      <text>
        <t>Gabriela Pereira:
Pagto comissão Wilton Boldrini 55.468,40
Distrato C-08 81.131,20</t>
      </text>
    </comment>
    <comment ref="AT62" authorId="0" shapeId="0">
      <text>
        <t>Caio Perretti:
Distrato Lucilene</t>
      </text>
    </comment>
  </commentList>
</comments>
</file>

<file path=xl/comments/comment5.xml><?xml version="1.0" encoding="utf-8"?>
<comments xmlns="http://schemas.openxmlformats.org/spreadsheetml/2006/main">
  <authors>
    <author>Caio Perretti</author>
    <author>Gabriela Pereira</author>
  </authors>
  <commentList>
    <comment ref="AC8" authorId="0" shapeId="0">
      <text>
        <t>Caio Perretti:
Ajustado manualmente conforme controle do Bruno e Sienge.</t>
      </text>
    </comment>
    <comment ref="AK9" authorId="0" shapeId="0">
      <text>
        <t>Caio Perretti:
Adicionar os contratos assinados no final do mês na projeção da carteira.</t>
      </text>
    </comment>
    <comment ref="AK32" authorId="0" shapeId="0">
      <text>
        <t>Caio Perretti:
Saldo do recebido e pago dividido por três meses</t>
      </text>
    </comment>
    <comment ref="AF46" authorId="0" shapeId="0">
      <text>
        <t>Caio Perretti:
Acerto manual para ajustar saldo retroativo</t>
      </text>
    </comment>
    <comment ref="L61" authorId="1" shapeId="0">
      <text>
        <t>Gabriela Pereira:
Pagto comissão Wilton Boldrini 55.468,40
Distrato C-08 81.131,20</t>
      </text>
    </comment>
    <comment ref="AC92" authorId="0" shapeId="0">
      <text>
        <t>Caio Perretti:
Ajustado manualmente conforme controle do Bruno e Sienge.</t>
      </text>
    </comment>
    <comment ref="AK93" authorId="0" shapeId="0">
      <text>
        <t>Caio Perretti:
Adicionar os contratos assinados no final do mês na projeção da carteira.</t>
      </text>
    </comment>
    <comment ref="AK116" authorId="0" shapeId="0">
      <text>
        <t>Caio Perretti:
Saldo do recebido e pago dividido por três meses</t>
      </text>
    </comment>
    <comment ref="AF130" authorId="0" shapeId="0">
      <text>
        <t>Caio Perretti:
Acerto manual para ajustar saldo retroativo</t>
      </text>
    </comment>
    <comment ref="L145" authorId="1" shapeId="0">
      <text>
        <t>Gabriela Pereira:
Pagto comissão Wilton Boldrini 55.468,40
Distrato C-08 81.131,20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31</col>
      <colOff>265815</colOff>
      <row>83</row>
      <rowOff>74073</rowOff>
    </from>
    <to>
      <col>41</col>
      <colOff>778570</colOff>
      <row>107</row>
      <rowOff>96578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617821" y="15203317"/>
          <a:ext cx="8718210" cy="3189413"/>
        </a:xfrm>
        <a:prstGeom prst="rect">
          <avLst/>
        </a:prstGeom>
        <a:ln w="38100">
          <a:solidFill>
            <a:schemeClr val="tx1"/>
          </a:solidFill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31</col>
      <colOff>265815</colOff>
      <row>83</row>
      <rowOff>74073</rowOff>
    </from>
    <to>
      <col>41</col>
      <colOff>778570</colOff>
      <row>107</row>
      <rowOff>96578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573740" y="15104523"/>
          <a:ext cx="8704255" cy="3222905"/>
        </a:xfrm>
        <a:prstGeom prst="rect">
          <avLst/>
        </a:prstGeom>
        <a:ln w="38100">
          <a:solidFill>
            <a:schemeClr val="tx1"/>
          </a:solidFill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31</col>
      <colOff>265815</colOff>
      <row>83</row>
      <rowOff>74073</rowOff>
    </from>
    <to>
      <col>41</col>
      <colOff>778570</colOff>
      <row>107</row>
      <rowOff>96578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5573740" y="15104523"/>
          <a:ext cx="8708065" cy="3219095"/>
        </a:xfrm>
        <a:prstGeom prst="rect">
          <avLst/>
        </a:prstGeom>
        <a:ln w="38100">
          <a:solidFill>
            <a:schemeClr val="tx1"/>
          </a:solidFill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20</col>
      <colOff>1241259</colOff>
      <row>47</row>
      <rowOff>171699</rowOff>
    </from>
    <to>
      <col>24</col>
      <colOff>968844</colOff>
      <row>63</row>
      <rowOff>19962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382905</colOff>
      <row>44</row>
      <rowOff>91854</rowOff>
    </from>
    <to>
      <col>13</col>
      <colOff>170125</colOff>
      <row>60</row>
      <rowOff>82826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365125</colOff>
      <row>62</row>
      <rowOff>127000</rowOff>
    </from>
    <to>
      <col>13</col>
      <colOff>156155</colOff>
      <row>78</row>
      <rowOff>117972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349250</colOff>
      <row>82</row>
      <rowOff>79375</rowOff>
    </from>
    <to>
      <col>13</col>
      <colOff>142185</colOff>
      <row>98</row>
      <rowOff>70347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24</col>
      <colOff>1254125</colOff>
      <row>48</row>
      <rowOff>15875</rowOff>
    </from>
    <to>
      <col>28</col>
      <colOff>389890</colOff>
      <row>63</row>
      <rowOff>34953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28</col>
      <colOff>664845</colOff>
      <row>48</row>
      <rowOff>17780</rowOff>
    </from>
    <to>
      <col>32</col>
      <colOff>167640</colOff>
      <row>63</row>
      <rowOff>31143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169543</colOff>
      <row>27</row>
      <rowOff>54292</rowOff>
    </from>
    <to>
      <col>21</col>
      <colOff>52915</colOff>
      <row>42</row>
      <rowOff>86677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45</row>
      <rowOff>0</rowOff>
    </from>
    <to>
      <col>20</col>
      <colOff>539539</colOff>
      <row>60</row>
      <rowOff>30480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747608</colOff>
      <row>63</row>
      <rowOff>59691</rowOff>
    </from>
    <to>
      <col>20</col>
      <colOff>543350</colOff>
      <row>78</row>
      <rowOff>90171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Bkoserver\informacoes_bko\Lu&#237;s\Biomin\Planilha%20or&#231;amento%20Biomin%20R00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Bkoserver\informacoes_bko\Lu&#237;s\P&#225;teo%20S&#227;o%20Paulo\or&#231;amento%20P&#225;teo%20S&#227;o%20Paulo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Luis\lu&#237;s\Proposta%20F&#225;tima\Lu&#237;s\Terra%20Brasilis\or&#231;amento%20Terra%20Brasilis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Alessandra\trabalho\TRABALHO\EXCEL\MO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ilha Custo - OP1"/>
      <sheetName val="Planilha Custo - OP1 (Fator)"/>
      <sheetName val="Planilha Custo - OP2"/>
      <sheetName val="Planilha Custo - OP2 (FATOR)"/>
      <sheetName val="Planilha Custo - OP3"/>
      <sheetName val="Planilha Custo - OP3 (FATOR)"/>
      <sheetName val="comp de preço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lanilha Custo 1"/>
      <sheetName val="Planilha Custo 2 "/>
      <sheetName val="Planilha Custo 3"/>
      <sheetName val="cronograma fin preliminar"/>
      <sheetName val="CONCRETO USINADO PSP"/>
      <sheetName val="áreas"/>
      <sheetName val="controle tecnológico"/>
      <sheetName val="Planilha Custo 2 A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lanilha Custo "/>
      <sheetName val="ESTUDO 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M.O."/>
      <sheetName val="Encargos Sociais"/>
      <sheetName val="BDI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78"/>
  <sheetViews>
    <sheetView showGridLines="0" zoomScale="85" zoomScaleNormal="85" workbookViewId="0">
      <pane xSplit="1" topLeftCell="T1" activePane="topRight" state="frozen"/>
      <selection activeCell="A32" sqref="A32"/>
      <selection pane="topRight" activeCell="BF74" sqref="BF74"/>
    </sheetView>
  </sheetViews>
  <sheetFormatPr baseColWidth="8" defaultColWidth="8.88671875" defaultRowHeight="10.2"/>
  <cols>
    <col width="39.44140625" bestFit="1" customWidth="1" style="252" min="1" max="1"/>
    <col width="13" customWidth="1" style="252" min="2" max="2"/>
    <col outlineLevel="1" width="10.5546875" bestFit="1" customWidth="1" style="252" min="3" max="3"/>
    <col outlineLevel="1" width="10" bestFit="1" customWidth="1" style="252" min="4" max="4"/>
    <col width="10.21875" bestFit="1" customWidth="1" style="252" min="5" max="5"/>
    <col width="10" bestFit="1" customWidth="1" style="252" min="6" max="6"/>
    <col width="10.44140625" bestFit="1" customWidth="1" style="252" min="7" max="11"/>
    <col width="10.6640625" bestFit="1" customWidth="1" style="252" min="12" max="13"/>
    <col width="10.44140625" bestFit="1" customWidth="1" style="252" min="14" max="15"/>
    <col width="10.6640625" bestFit="1" customWidth="1" style="252" min="16" max="16"/>
    <col width="10.44140625" bestFit="1" customWidth="1" style="252" min="17" max="17"/>
    <col width="10.6640625" bestFit="1" customWidth="1" style="252" min="18" max="19"/>
    <col width="10.44140625" bestFit="1" customWidth="1" style="252" min="20" max="20"/>
    <col width="10.6640625" bestFit="1" customWidth="1" style="252" min="21" max="23"/>
    <col width="11.88671875" bestFit="1" customWidth="1" style="252" min="24" max="24"/>
    <col width="12.21875" bestFit="1" customWidth="1" style="252" min="25" max="26"/>
    <col width="11.88671875" bestFit="1" customWidth="1" style="252" min="27" max="27"/>
    <col width="12.21875" bestFit="1" customWidth="1" style="252" min="28" max="28"/>
    <col width="11.88671875" bestFit="1" customWidth="1" style="252" min="29" max="29"/>
    <col width="2" customWidth="1" style="252" min="30" max="30"/>
    <col width="14.88671875" customWidth="1" style="252" min="31" max="31"/>
    <col width="2" customWidth="1" style="252" min="32" max="32"/>
    <col width="12.21875" bestFit="1" customWidth="1" style="252" min="33" max="33"/>
    <col width="11.88671875" bestFit="1" customWidth="1" style="252" min="34" max="34"/>
    <col width="12.21875" bestFit="1" customWidth="1" style="252" min="35" max="35"/>
    <col width="12.44140625" bestFit="1" customWidth="1" style="252" min="36" max="37"/>
    <col width="12.88671875" bestFit="1" customWidth="1" style="252" min="38" max="38"/>
    <col width="12.44140625" bestFit="1" customWidth="1" style="252" min="39" max="39"/>
    <col width="12.88671875" bestFit="1" customWidth="1" style="252" min="40" max="40"/>
    <col width="13.21875" bestFit="1" customWidth="1" style="252" min="41" max="41"/>
    <col width="12.88671875" bestFit="1" customWidth="1" style="252" min="42" max="42"/>
    <col width="13.21875" bestFit="1" customWidth="1" style="252" min="43" max="46"/>
    <col width="12.88671875" bestFit="1" customWidth="1" style="252" min="47" max="47"/>
    <col width="12.44140625" bestFit="1" customWidth="1" style="252" min="48" max="48"/>
    <col width="12.88671875" bestFit="1" customWidth="1" style="252" min="49" max="49"/>
    <col width="13.21875" bestFit="1" customWidth="1" style="252" min="50" max="50"/>
    <col width="12.88671875" bestFit="1" customWidth="1" style="252" min="51" max="51"/>
    <col width="13.21875" bestFit="1" customWidth="1" style="252" min="52" max="52"/>
    <col width="12.88671875" bestFit="1" customWidth="1" style="252" min="53" max="53"/>
    <col width="13.21875" bestFit="1" customWidth="1" style="252" min="54" max="54"/>
    <col width="12.88671875" bestFit="1" customWidth="1" style="252" min="55" max="55"/>
    <col width="13.88671875" bestFit="1" customWidth="1" style="252" min="56" max="56"/>
    <col width="12.88671875" bestFit="1" customWidth="1" style="252" min="57" max="58"/>
    <col width="12.44140625" bestFit="1" customWidth="1" style="252" min="59" max="59"/>
    <col width="13.44140625" bestFit="1" customWidth="1" style="252" min="60" max="62"/>
    <col width="14" bestFit="1" customWidth="1" style="252" min="63" max="63"/>
    <col width="13.44140625" bestFit="1" customWidth="1" style="252" min="64" max="66"/>
    <col width="13.21875" bestFit="1" customWidth="1" style="252" min="67" max="67"/>
    <col width="14.109375" bestFit="1" customWidth="1" style="252" min="68" max="68"/>
    <col width="13.21875" bestFit="1" customWidth="1" style="252" min="69" max="69"/>
    <col width="13.44140625" bestFit="1" customWidth="1" style="252" min="70" max="72"/>
    <col width="14" bestFit="1" customWidth="1" style="252" min="73" max="73"/>
    <col width="13.21875" bestFit="1" customWidth="1" style="252" min="74" max="75"/>
    <col width="13.44140625" bestFit="1" customWidth="1" style="252" min="76" max="77"/>
    <col width="14" bestFit="1" customWidth="1" style="252" min="78" max="78"/>
    <col width="13.21875" bestFit="1" customWidth="1" style="252" min="79" max="79"/>
    <col width="14.109375" bestFit="1" customWidth="1" style="252" min="80" max="80"/>
    <col width="14" bestFit="1" customWidth="1" style="252" min="81" max="81"/>
    <col width="13.44140625" bestFit="1" customWidth="1" style="252" min="82" max="82"/>
    <col width="13.21875" bestFit="1" customWidth="1" style="252" min="83" max="83"/>
    <col width="13.44140625" bestFit="1" customWidth="1" style="252" min="84" max="84"/>
    <col width="14" bestFit="1" customWidth="1" style="252" min="85" max="85"/>
    <col width="13.21875" bestFit="1" customWidth="1" style="252" min="86" max="86"/>
    <col width="14" bestFit="1" customWidth="1" style="252" min="87" max="89"/>
    <col width="13.21875" bestFit="1" customWidth="1" style="252" min="90" max="90"/>
    <col width="13.44140625" bestFit="1" customWidth="1" style="252" min="91" max="91"/>
    <col width="14.109375" bestFit="1" customWidth="1" style="252" min="92" max="92"/>
    <col width="14" bestFit="1" customWidth="1" style="252" min="93" max="94"/>
    <col width="13.44140625" bestFit="1" customWidth="1" style="252" min="95" max="95"/>
    <col width="13.21875" bestFit="1" customWidth="1" style="252" min="96" max="96"/>
    <col width="13.44140625" bestFit="1" customWidth="1" style="252" min="97" max="97"/>
    <col width="14" bestFit="1" customWidth="1" style="252" min="98" max="98"/>
    <col width="13.21875" bestFit="1" customWidth="1" style="252" min="99" max="99"/>
    <col width="13.44140625" bestFit="1" customWidth="1" style="252" min="100" max="101"/>
    <col width="14" bestFit="1" customWidth="1" style="252" min="102" max="103"/>
    <col width="14.109375" bestFit="1" customWidth="1" style="252" min="104" max="104"/>
    <col width="13.21875" bestFit="1" customWidth="1" style="252" min="105" max="105"/>
    <col width="13.44140625" bestFit="1" customWidth="1" style="252" min="106" max="108"/>
    <col width="14" bestFit="1" customWidth="1" style="252" min="109" max="109"/>
    <col width="13.44140625" bestFit="1" customWidth="1" style="252" min="110" max="110"/>
    <col width="14" bestFit="1" customWidth="1" style="252" min="111" max="111"/>
    <col width="13.44140625" bestFit="1" customWidth="1" style="252" min="112" max="112"/>
    <col width="13.21875" bestFit="1" customWidth="1" style="252" min="113" max="116"/>
    <col width="14" bestFit="1" customWidth="1" style="252" min="117" max="118"/>
    <col width="13.44140625" bestFit="1" customWidth="1" style="252" min="119" max="119"/>
    <col width="14" bestFit="1" customWidth="1" style="252" min="120" max="122"/>
    <col width="13.44140625" bestFit="1" customWidth="1" style="252" min="123" max="123"/>
    <col width="14" bestFit="1" customWidth="1" style="252" min="124" max="124"/>
    <col width="13.44140625" bestFit="1" customWidth="1" style="252" min="125" max="126"/>
    <col width="13.21875" bestFit="1" customWidth="1" style="252" min="127" max="129"/>
    <col width="13.44140625" bestFit="1" customWidth="1" style="252" min="130" max="130"/>
    <col width="13.21875" bestFit="1" customWidth="1" style="252" min="131" max="131"/>
    <col width="14" bestFit="1" customWidth="1" style="252" min="132" max="132"/>
    <col width="13.44140625" bestFit="1" customWidth="1" style="252" min="133" max="133"/>
    <col width="13.21875" bestFit="1" customWidth="1" style="252" min="134" max="134"/>
    <col width="14" bestFit="1" customWidth="1" style="252" min="135" max="136"/>
    <col width="13.21875" bestFit="1" customWidth="1" style="252" min="137" max="138"/>
    <col width="13.44140625" bestFit="1" customWidth="1" style="252" min="139" max="143"/>
    <col width="14" bestFit="1" customWidth="1" style="252" min="144" max="144"/>
    <col width="13.44140625" bestFit="1" customWidth="1" style="252" min="145" max="146"/>
    <col width="12.88671875" bestFit="1" customWidth="1" style="252" min="147" max="147"/>
    <col width="13.44140625" bestFit="1" customWidth="1" style="252" min="148" max="148"/>
    <col width="14" bestFit="1" customWidth="1" style="252" min="149" max="149"/>
    <col width="13.44140625" bestFit="1" customWidth="1" style="252" min="150" max="150"/>
    <col width="13.21875" bestFit="1" customWidth="1" style="252" min="151" max="151"/>
    <col width="14" bestFit="1" customWidth="1" style="252" min="152" max="154"/>
    <col width="13.44140625" bestFit="1" customWidth="1" style="252" min="155" max="155"/>
    <col width="14" bestFit="1" customWidth="1" style="252" min="156" max="156"/>
    <col width="13.44140625" bestFit="1" customWidth="1" style="252" min="157" max="157"/>
    <col width="14" bestFit="1" customWidth="1" style="252" min="158" max="158"/>
    <col width="13.44140625" bestFit="1" customWidth="1" style="252" min="159" max="159"/>
    <col width="13.21875" bestFit="1" customWidth="1" style="252" min="160" max="160"/>
    <col width="14" bestFit="1" customWidth="1" style="252" min="161" max="162"/>
    <col width="13.44140625" bestFit="1" customWidth="1" style="252" min="163" max="163"/>
    <col width="14" bestFit="1" customWidth="1" style="252" min="164" max="168"/>
    <col width="13.44140625" bestFit="1" customWidth="1" style="252" min="169" max="169"/>
    <col width="14" bestFit="1" customWidth="1" style="252" min="170" max="171"/>
    <col width="13.44140625" bestFit="1" customWidth="1" style="252" min="172" max="172"/>
    <col width="13.21875" bestFit="1" customWidth="1" style="252" min="173" max="173"/>
    <col width="14" bestFit="1" customWidth="1" style="252" min="174" max="175"/>
    <col width="13.21875" bestFit="1" customWidth="1" style="252" min="176" max="176"/>
    <col width="13.44140625" bestFit="1" customWidth="1" style="252" min="177" max="179"/>
    <col width="14" bestFit="1" customWidth="1" style="252" min="180" max="180"/>
    <col width="13.44140625" bestFit="1" customWidth="1" style="252" min="181" max="181"/>
    <col width="14" bestFit="1" customWidth="1" style="252" min="182" max="185"/>
    <col width="13.44140625" bestFit="1" customWidth="1" style="252" min="186" max="186"/>
    <col width="14" bestFit="1" customWidth="1" style="252" min="187" max="187"/>
    <col width="13.21875" bestFit="1" customWidth="1" style="252" min="188" max="188"/>
    <col width="13.44140625" bestFit="1" customWidth="1" style="252" min="189" max="191"/>
    <col width="13.21875" bestFit="1" customWidth="1" style="252" min="192" max="194"/>
    <col width="14" bestFit="1" customWidth="1" style="252" min="195" max="196"/>
    <col width="13.21875" bestFit="1" customWidth="1" style="252" min="197" max="198"/>
    <col width="14" bestFit="1" customWidth="1" style="252" min="199" max="202"/>
    <col width="13.44140625" bestFit="1" customWidth="1" style="252" min="203" max="204"/>
    <col width="14" bestFit="1" customWidth="1" style="252" min="205" max="209"/>
    <col width="13.44140625" bestFit="1" customWidth="1" style="252" min="210" max="210"/>
    <col width="13.21875" bestFit="1" customWidth="1" style="252" min="211" max="211"/>
    <col width="14" bestFit="1" customWidth="1" style="252" min="212" max="217"/>
    <col width="13.21875" bestFit="1" customWidth="1" style="252" min="218" max="218"/>
    <col width="14" bestFit="1" customWidth="1" style="252" min="219" max="221"/>
    <col width="13.44140625" bestFit="1" customWidth="1" style="252" min="222" max="222"/>
    <col width="13.21875" bestFit="1" customWidth="1" style="252" min="223" max="223"/>
    <col width="13.44140625" bestFit="1" customWidth="1" style="252" min="224" max="224"/>
    <col width="14" bestFit="1" customWidth="1" style="252" min="225" max="228"/>
    <col width="13.44140625" bestFit="1" customWidth="1" style="252" min="229" max="229"/>
    <col width="8.88671875" customWidth="1" style="252" min="230" max="16384"/>
  </cols>
  <sheetData>
    <row r="1" ht="18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506" t="inlineStr">
        <is>
          <t>Total | Previsão</t>
        </is>
      </c>
      <c r="AF1" s="1" t="n"/>
      <c r="AH1" s="1" t="n"/>
      <c r="AI1" s="1" t="n"/>
      <c r="AJ1" s="1" t="n"/>
      <c r="AK1" s="503" t="n"/>
      <c r="AL1" s="1" t="n"/>
      <c r="AM1" s="1" t="n"/>
      <c r="AN1" s="1" t="n"/>
      <c r="AO1" s="1" t="n"/>
      <c r="AP1" s="1" t="n"/>
      <c r="AR1" s="503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EC1" s="343" t="inlineStr">
        <is>
          <t>FIM DAS VENDAS</t>
        </is>
      </c>
    </row>
    <row r="2" ht="18" customHeight="1">
      <c r="A2" s="2" t="inlineStr">
        <is>
          <t>Ville de Provence</t>
        </is>
      </c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507" t="n"/>
      <c r="AF2" s="1" t="n"/>
      <c r="AH2" s="1" t="n"/>
      <c r="AI2" s="1" t="n"/>
      <c r="AJ2" s="1" t="n"/>
      <c r="AL2" s="1" t="n"/>
      <c r="AM2" s="1" t="n"/>
      <c r="AN2" s="1" t="n"/>
      <c r="AO2" s="1" t="inlineStr"/>
      <c r="AP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32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321" t="inlineStr">
        <is>
          <t>24 meses pós obra</t>
        </is>
      </c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32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283" t="inlineStr">
        <is>
          <t>48 meses pós obra</t>
        </is>
      </c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321" t="inlineStr">
        <is>
          <t>60 meses pós obra</t>
        </is>
      </c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EC2" s="343" t="n"/>
    </row>
    <row r="3" ht="10.8" customHeight="1" thickBot="1">
      <c r="A3" s="2" t="n"/>
      <c r="B3" s="2" t="n"/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1" t="n">
        <v>11</v>
      </c>
      <c r="N3" s="51" t="n">
        <v>12</v>
      </c>
      <c r="O3" s="51" t="n">
        <v>13</v>
      </c>
      <c r="P3" s="51" t="n">
        <v>14</v>
      </c>
      <c r="Q3" s="51" t="n">
        <v>15</v>
      </c>
      <c r="R3" s="51" t="n">
        <v>16</v>
      </c>
      <c r="S3" s="51" t="n">
        <v>17</v>
      </c>
      <c r="T3" s="51" t="n">
        <v>18</v>
      </c>
      <c r="U3" s="51" t="n">
        <v>19</v>
      </c>
      <c r="V3" s="51" t="n">
        <v>20</v>
      </c>
      <c r="W3" s="51" t="n">
        <v>21</v>
      </c>
      <c r="X3" s="51" t="n">
        <v>22</v>
      </c>
      <c r="Y3" s="51" t="n">
        <v>23</v>
      </c>
      <c r="Z3" s="51" t="n">
        <v>24</v>
      </c>
      <c r="AA3" s="51" t="n">
        <v>25</v>
      </c>
      <c r="AB3" s="51" t="n">
        <v>26</v>
      </c>
      <c r="AC3" s="51" t="n">
        <v>27</v>
      </c>
      <c r="AD3" s="51" t="n"/>
      <c r="AE3" s="508" t="n"/>
      <c r="AF3" s="51" t="n"/>
      <c r="AG3" s="51" t="n">
        <v>28</v>
      </c>
      <c r="AH3" s="51" t="n">
        <v>29</v>
      </c>
      <c r="AI3" s="51" t="n">
        <v>30</v>
      </c>
      <c r="AJ3" s="51" t="n">
        <v>31</v>
      </c>
      <c r="AK3" s="51" t="n">
        <v>32</v>
      </c>
      <c r="AL3" s="51" t="n">
        <v>33</v>
      </c>
      <c r="AM3" s="51" t="n">
        <v>34</v>
      </c>
      <c r="AN3" s="51" t="n">
        <v>35</v>
      </c>
      <c r="AO3" s="51" t="n">
        <v>36</v>
      </c>
      <c r="AP3" s="51" t="n">
        <v>37</v>
      </c>
      <c r="AQ3" s="51" t="n">
        <v>38</v>
      </c>
      <c r="AR3" s="51" t="n">
        <v>39</v>
      </c>
      <c r="AS3" s="51" t="n">
        <v>40</v>
      </c>
      <c r="AT3" s="51" t="n">
        <v>41</v>
      </c>
      <c r="AU3" s="51" t="n">
        <v>42</v>
      </c>
      <c r="AV3" s="51" t="n">
        <v>43</v>
      </c>
      <c r="AW3" s="51" t="n">
        <v>44</v>
      </c>
      <c r="AX3" s="51" t="n">
        <v>45</v>
      </c>
      <c r="AY3" s="51" t="n">
        <v>46</v>
      </c>
      <c r="AZ3" s="51" t="n">
        <v>47</v>
      </c>
      <c r="BA3" s="51" t="n">
        <v>48</v>
      </c>
      <c r="BB3" s="51" t="n">
        <v>49</v>
      </c>
      <c r="BC3" s="51" t="n">
        <v>50</v>
      </c>
      <c r="BD3" s="51" t="n">
        <v>51</v>
      </c>
      <c r="BE3" s="51" t="n">
        <v>52</v>
      </c>
      <c r="BF3" s="51" t="n">
        <v>53</v>
      </c>
      <c r="BG3" s="51" t="n">
        <v>54</v>
      </c>
      <c r="BH3" s="51" t="n">
        <v>55</v>
      </c>
      <c r="BI3" s="51" t="n">
        <v>56</v>
      </c>
      <c r="BJ3" s="51" t="n">
        <v>57</v>
      </c>
      <c r="BK3" s="51" t="n">
        <v>58</v>
      </c>
      <c r="BL3" s="51" t="n">
        <v>59</v>
      </c>
      <c r="BM3" s="51" t="n">
        <v>60</v>
      </c>
      <c r="BN3" s="51" t="n">
        <v>61</v>
      </c>
      <c r="BO3" s="51" t="n">
        <v>62</v>
      </c>
      <c r="BP3" s="51" t="n">
        <v>63</v>
      </c>
      <c r="BQ3" s="51" t="n">
        <v>64</v>
      </c>
      <c r="BR3" s="51" t="n">
        <v>65</v>
      </c>
      <c r="BS3" s="51" t="n">
        <v>66</v>
      </c>
      <c r="BT3" s="51" t="n">
        <v>67</v>
      </c>
      <c r="BU3" s="51" t="n">
        <v>68</v>
      </c>
      <c r="BV3" s="51" t="n">
        <v>69</v>
      </c>
      <c r="BW3" s="51" t="n">
        <v>70</v>
      </c>
      <c r="BX3" s="51" t="n">
        <v>71</v>
      </c>
      <c r="BY3" s="51" t="n">
        <v>72</v>
      </c>
      <c r="BZ3" s="51" t="n">
        <v>73</v>
      </c>
      <c r="CA3" s="51" t="n">
        <v>74</v>
      </c>
      <c r="CB3" s="51" t="n">
        <v>75</v>
      </c>
      <c r="CC3" s="51" t="n">
        <v>76</v>
      </c>
      <c r="CD3" s="51" t="n">
        <v>77</v>
      </c>
      <c r="CE3" s="51" t="n">
        <v>78</v>
      </c>
      <c r="CF3" s="51" t="n">
        <v>79</v>
      </c>
      <c r="CG3" s="51" t="n">
        <v>80</v>
      </c>
      <c r="CH3" s="51" t="n">
        <v>81</v>
      </c>
      <c r="CI3" s="51" t="n">
        <v>82</v>
      </c>
      <c r="CJ3" s="51" t="n">
        <v>83</v>
      </c>
      <c r="CK3" s="51" t="n">
        <v>84</v>
      </c>
      <c r="CL3" s="51" t="n">
        <v>85</v>
      </c>
      <c r="CM3" s="51" t="n">
        <v>86</v>
      </c>
      <c r="CN3" s="51" t="n">
        <v>87</v>
      </c>
      <c r="CO3" s="51" t="n">
        <v>88</v>
      </c>
      <c r="CP3" s="51" t="n">
        <v>89</v>
      </c>
      <c r="CQ3" s="51" t="n">
        <v>90</v>
      </c>
      <c r="CR3" s="51" t="n">
        <v>91</v>
      </c>
      <c r="CS3" s="51" t="n">
        <v>92</v>
      </c>
      <c r="CT3" s="51" t="n">
        <v>93</v>
      </c>
      <c r="CU3" s="51" t="n">
        <v>94</v>
      </c>
      <c r="CV3" s="51" t="n">
        <v>95</v>
      </c>
      <c r="CW3" s="51" t="n">
        <v>96</v>
      </c>
      <c r="CX3" s="51" t="n">
        <v>97</v>
      </c>
      <c r="CY3" s="51" t="n">
        <v>98</v>
      </c>
      <c r="CZ3" s="51" t="n">
        <v>99</v>
      </c>
      <c r="DA3" s="51" t="n">
        <v>100</v>
      </c>
      <c r="DB3" s="51" t="n">
        <v>101</v>
      </c>
      <c r="DC3" s="51" t="n">
        <v>102</v>
      </c>
      <c r="DD3" s="51" t="n">
        <v>103</v>
      </c>
      <c r="DE3" s="51" t="n">
        <v>104</v>
      </c>
      <c r="DF3" s="51" t="n">
        <v>105</v>
      </c>
      <c r="DG3" s="51" t="n">
        <v>106</v>
      </c>
      <c r="DH3" s="51" t="n">
        <v>107</v>
      </c>
      <c r="DI3" s="51" t="n">
        <v>108</v>
      </c>
      <c r="DJ3" s="51" t="n">
        <v>109</v>
      </c>
      <c r="DK3" s="51" t="n">
        <v>110</v>
      </c>
      <c r="DL3" s="51" t="n">
        <v>111</v>
      </c>
      <c r="DM3" s="51" t="n">
        <v>112</v>
      </c>
      <c r="DN3" s="51" t="n">
        <v>113</v>
      </c>
      <c r="DO3" s="51" t="n">
        <v>114</v>
      </c>
      <c r="DP3" s="51" t="n">
        <v>115</v>
      </c>
      <c r="DQ3" s="51" t="n">
        <v>116</v>
      </c>
      <c r="DR3" s="51" t="n">
        <v>117</v>
      </c>
      <c r="DS3" s="51" t="n">
        <v>118</v>
      </c>
      <c r="DT3" s="51" t="n">
        <v>119</v>
      </c>
      <c r="DU3" s="51" t="n">
        <v>120</v>
      </c>
      <c r="DV3" s="51" t="n">
        <v>121</v>
      </c>
      <c r="DW3" s="51" t="n">
        <v>122</v>
      </c>
      <c r="DX3" s="51" t="n">
        <v>123</v>
      </c>
      <c r="DY3" s="51" t="n">
        <v>124</v>
      </c>
      <c r="DZ3" s="51" t="n">
        <v>125</v>
      </c>
      <c r="EA3" s="51" t="n">
        <v>126</v>
      </c>
      <c r="EB3" s="51" t="n">
        <v>127</v>
      </c>
      <c r="EC3" s="344" t="n">
        <v>128</v>
      </c>
      <c r="ED3" s="51" t="n">
        <v>129</v>
      </c>
      <c r="EE3" s="51" t="n">
        <v>130</v>
      </c>
      <c r="EF3" s="51" t="n">
        <v>131</v>
      </c>
      <c r="EG3" s="51" t="n">
        <v>132</v>
      </c>
      <c r="EH3" s="51" t="n">
        <v>133</v>
      </c>
      <c r="EI3" s="51" t="n">
        <v>134</v>
      </c>
      <c r="EJ3" s="51" t="n">
        <v>135</v>
      </c>
      <c r="EK3" s="51" t="n">
        <v>136</v>
      </c>
      <c r="EL3" s="51" t="n">
        <v>137</v>
      </c>
      <c r="EM3" s="51" t="n">
        <v>138</v>
      </c>
      <c r="EN3" s="51" t="n">
        <v>139</v>
      </c>
      <c r="EO3" s="51" t="n">
        <v>140</v>
      </c>
      <c r="EP3" s="51" t="n">
        <v>141</v>
      </c>
      <c r="EQ3" s="51" t="n">
        <v>142</v>
      </c>
      <c r="ER3" s="51" t="n">
        <v>143</v>
      </c>
      <c r="ES3" s="51" t="n">
        <v>144</v>
      </c>
      <c r="ET3" s="51" t="n">
        <v>145</v>
      </c>
      <c r="EU3" s="51" t="n">
        <v>146</v>
      </c>
      <c r="EV3" s="51" t="n">
        <v>147</v>
      </c>
      <c r="EW3" s="51" t="n">
        <v>148</v>
      </c>
      <c r="EX3" s="51" t="n">
        <v>149</v>
      </c>
      <c r="EY3" s="51" t="n">
        <v>150</v>
      </c>
      <c r="EZ3" s="51" t="n">
        <v>151</v>
      </c>
      <c r="FA3" s="51" t="n">
        <v>152</v>
      </c>
      <c r="FB3" s="51" t="n">
        <v>153</v>
      </c>
      <c r="FC3" s="51" t="n">
        <v>154</v>
      </c>
      <c r="FD3" s="51" t="n">
        <v>155</v>
      </c>
      <c r="FE3" s="51" t="n">
        <v>156</v>
      </c>
      <c r="FF3" s="51" t="n">
        <v>157</v>
      </c>
      <c r="FG3" s="51" t="n">
        <v>158</v>
      </c>
      <c r="FH3" s="51" t="n">
        <v>159</v>
      </c>
      <c r="FI3" s="51" t="n">
        <v>160</v>
      </c>
      <c r="FJ3" s="51" t="n">
        <v>161</v>
      </c>
      <c r="FK3" s="51" t="n">
        <v>162</v>
      </c>
      <c r="FL3" s="51" t="n">
        <v>163</v>
      </c>
      <c r="FM3" s="51" t="n">
        <v>164</v>
      </c>
      <c r="FN3" s="51" t="n">
        <v>165</v>
      </c>
      <c r="FO3" s="51" t="n">
        <v>166</v>
      </c>
      <c r="FP3" s="51" t="n">
        <v>167</v>
      </c>
      <c r="FQ3" s="51" t="n">
        <v>168</v>
      </c>
      <c r="FR3" s="51" t="n">
        <v>169</v>
      </c>
      <c r="FS3" s="51" t="n">
        <v>170</v>
      </c>
      <c r="FT3" s="51" t="n">
        <v>171</v>
      </c>
      <c r="FU3" s="51" t="n">
        <v>172</v>
      </c>
      <c r="FV3" s="51" t="n">
        <v>173</v>
      </c>
      <c r="FW3" s="51" t="n">
        <v>174</v>
      </c>
      <c r="FX3" s="51" t="n">
        <v>175</v>
      </c>
      <c r="FY3" s="51" t="n">
        <v>176</v>
      </c>
      <c r="FZ3" s="51" t="n">
        <v>177</v>
      </c>
      <c r="GA3" s="51" t="n">
        <v>178</v>
      </c>
      <c r="GB3" s="51" t="n">
        <v>179</v>
      </c>
      <c r="GC3" s="51" t="n">
        <v>180</v>
      </c>
      <c r="GD3" s="51" t="n">
        <v>181</v>
      </c>
      <c r="GE3" s="51" t="n">
        <v>182</v>
      </c>
      <c r="GF3" s="51" t="n">
        <v>183</v>
      </c>
      <c r="GG3" s="51" t="n">
        <v>184</v>
      </c>
      <c r="GH3" s="51" t="n">
        <v>185</v>
      </c>
      <c r="GI3" s="51" t="n">
        <v>186</v>
      </c>
      <c r="GJ3" s="51" t="n">
        <v>187</v>
      </c>
      <c r="GK3" s="51" t="n">
        <v>188</v>
      </c>
      <c r="GL3" s="51" t="n">
        <v>189</v>
      </c>
      <c r="GM3" s="51" t="n">
        <v>190</v>
      </c>
      <c r="GN3" s="51" t="n">
        <v>191</v>
      </c>
      <c r="GO3" s="51" t="n">
        <v>192</v>
      </c>
      <c r="GP3" s="51" t="n">
        <v>193</v>
      </c>
      <c r="GQ3" s="51" t="n">
        <v>194</v>
      </c>
      <c r="GR3" s="51" t="n">
        <v>195</v>
      </c>
      <c r="GS3" s="51" t="n">
        <v>196</v>
      </c>
      <c r="GT3" s="51" t="n">
        <v>197</v>
      </c>
      <c r="GU3" s="51" t="n">
        <v>198</v>
      </c>
      <c r="GV3" s="51" t="n">
        <v>199</v>
      </c>
      <c r="GW3" s="51" t="n">
        <v>200</v>
      </c>
      <c r="GX3" s="51" t="n">
        <v>201</v>
      </c>
      <c r="GY3" s="51" t="n">
        <v>202</v>
      </c>
      <c r="GZ3" s="51" t="n">
        <v>203</v>
      </c>
      <c r="HA3" s="51" t="n">
        <v>204</v>
      </c>
      <c r="HB3" s="51" t="n">
        <v>205</v>
      </c>
      <c r="HC3" s="51" t="n">
        <v>206</v>
      </c>
      <c r="HD3" s="51" t="n">
        <v>207</v>
      </c>
      <c r="HE3" s="51" t="n">
        <v>208</v>
      </c>
      <c r="HF3" s="51" t="n">
        <v>209</v>
      </c>
      <c r="HG3" s="51" t="n">
        <v>210</v>
      </c>
      <c r="HH3" s="51" t="n">
        <v>211</v>
      </c>
      <c r="HI3" s="51" t="n">
        <v>212</v>
      </c>
      <c r="HJ3" s="51" t="n">
        <v>213</v>
      </c>
      <c r="HK3" s="51" t="n">
        <v>214</v>
      </c>
      <c r="HL3" s="51" t="n">
        <v>215</v>
      </c>
      <c r="HM3" s="51" t="n">
        <v>216</v>
      </c>
      <c r="HN3" s="51" t="n">
        <v>217</v>
      </c>
      <c r="HO3" s="51" t="n">
        <v>218</v>
      </c>
      <c r="HP3" s="51" t="n">
        <v>219</v>
      </c>
      <c r="HQ3" s="51" t="n">
        <v>220</v>
      </c>
      <c r="HR3" s="51" t="n">
        <v>221</v>
      </c>
      <c r="HS3" s="51" t="n">
        <v>222</v>
      </c>
      <c r="HT3" s="51" t="n">
        <v>223</v>
      </c>
      <c r="HU3" s="51" t="n">
        <v>224</v>
      </c>
    </row>
    <row r="4" ht="15" customHeight="1" thickBot="1">
      <c r="A4" s="3" t="inlineStr">
        <is>
          <t xml:space="preserve">Fluxo de Caixa </t>
        </is>
      </c>
      <c r="B4" s="509" t="inlineStr">
        <is>
          <t>REALIZADO</t>
        </is>
      </c>
      <c r="C4" s="4" t="n"/>
      <c r="D4" s="107" t="n"/>
      <c r="E4" s="107" t="n"/>
      <c r="F4" s="107" t="n"/>
      <c r="G4" s="107" t="n"/>
      <c r="H4" s="107" t="n"/>
      <c r="I4" s="107" t="n"/>
      <c r="J4" s="253" t="n"/>
      <c r="K4" s="254" t="n"/>
      <c r="L4" s="258" t="n"/>
      <c r="M4" s="501" t="inlineStr">
        <is>
          <t>REALIZADO</t>
        </is>
      </c>
      <c r="X4" s="502" t="n"/>
      <c r="Y4" s="502" t="n"/>
      <c r="Z4" s="502" t="n"/>
      <c r="AA4" s="502" t="n"/>
      <c r="AB4" s="502" t="n"/>
      <c r="AC4" s="502" t="n"/>
      <c r="AD4" s="51" t="n"/>
      <c r="AE4" s="230" t="n"/>
      <c r="AF4" s="5" t="n"/>
      <c r="AG4" s="152" t="n"/>
      <c r="AH4" s="152" t="n"/>
      <c r="AI4" s="152" t="n"/>
      <c r="AJ4" s="152" t="n"/>
      <c r="AK4" s="152" t="n"/>
      <c r="AL4" s="152" t="n"/>
      <c r="AM4" s="152" t="n"/>
      <c r="AN4" s="152" t="n"/>
      <c r="AO4" s="152" t="n"/>
      <c r="AP4" s="152" t="n"/>
      <c r="AQ4" s="152" t="n"/>
      <c r="AR4" s="152" t="n"/>
      <c r="AS4" s="152" t="n"/>
      <c r="AT4" s="152" t="n"/>
      <c r="AU4" s="152" t="n"/>
      <c r="AV4" s="152" t="n"/>
      <c r="AW4" s="152" t="n"/>
      <c r="AX4" s="152" t="n"/>
      <c r="AY4" s="152" t="n"/>
      <c r="AZ4" s="152" t="n"/>
      <c r="BA4" s="152" t="n"/>
      <c r="BB4" s="152" t="n"/>
      <c r="BC4" s="152" t="n"/>
      <c r="BD4" s="285" t="n"/>
      <c r="BE4" s="152" t="n"/>
      <c r="BF4" s="152" t="n"/>
      <c r="BG4" s="152" t="n"/>
      <c r="BH4" s="152" t="n"/>
      <c r="BI4" s="152" t="n"/>
      <c r="BJ4" s="152" t="n"/>
      <c r="BK4" s="152" t="n"/>
      <c r="BL4" s="152" t="n"/>
      <c r="BM4" s="152" t="n"/>
      <c r="BN4" s="152" t="n"/>
      <c r="BO4" s="152" t="n"/>
      <c r="BP4" s="285" t="n"/>
      <c r="BQ4" s="152" t="n"/>
      <c r="BR4" s="152" t="n"/>
      <c r="BS4" s="152" t="n"/>
      <c r="BT4" s="152" t="n"/>
      <c r="BU4" s="152" t="n"/>
      <c r="BV4" s="152" t="n"/>
      <c r="BW4" s="152" t="n"/>
      <c r="BX4" s="152" t="n"/>
      <c r="BY4" s="152" t="n"/>
      <c r="BZ4" s="152" t="n"/>
      <c r="CA4" s="152" t="n"/>
      <c r="CB4" s="285" t="n"/>
      <c r="CC4" s="152" t="n"/>
      <c r="CD4" s="152" t="n"/>
      <c r="CE4" s="152" t="n"/>
      <c r="CF4" s="152" t="n"/>
      <c r="CG4" s="152" t="n"/>
      <c r="CH4" s="152" t="n"/>
      <c r="CI4" s="152" t="n"/>
      <c r="CJ4" s="152" t="n"/>
      <c r="CK4" s="152" t="n"/>
      <c r="CL4" s="152" t="n"/>
      <c r="CM4" s="152" t="n"/>
      <c r="CN4" s="285" t="n"/>
      <c r="CO4" s="152" t="n"/>
      <c r="CP4" s="152" t="n"/>
      <c r="CQ4" s="152" t="n"/>
      <c r="CR4" s="152" t="n"/>
      <c r="CS4" s="152" t="n"/>
      <c r="CT4" s="152" t="n"/>
      <c r="CU4" s="152" t="n"/>
      <c r="CV4" s="152" t="n"/>
      <c r="CW4" s="152" t="n"/>
      <c r="CX4" s="152" t="n"/>
      <c r="CY4" s="152" t="n"/>
      <c r="CZ4" s="285" t="n"/>
      <c r="DA4" s="152" t="n"/>
      <c r="DB4" s="152" t="n"/>
      <c r="DC4" s="152" t="n"/>
      <c r="DD4" s="152" t="n"/>
      <c r="DE4" s="152" t="n"/>
      <c r="DF4" s="152" t="n"/>
      <c r="DG4" s="152" t="n"/>
      <c r="DH4" s="152" t="n"/>
      <c r="DI4" s="152" t="n"/>
      <c r="DJ4" s="152" t="n"/>
      <c r="DK4" s="152" t="n"/>
      <c r="DL4" s="152" t="n"/>
      <c r="DM4" s="152" t="n"/>
      <c r="DN4" s="152" t="n"/>
      <c r="DO4" s="152" t="n"/>
      <c r="DP4" s="152" t="n"/>
      <c r="DQ4" s="152" t="n"/>
      <c r="DR4" s="152" t="n"/>
      <c r="DS4" s="152" t="n"/>
      <c r="DT4" s="152" t="n"/>
      <c r="DU4" s="152" t="n"/>
      <c r="DV4" s="152" t="n"/>
      <c r="DW4" s="152" t="n"/>
      <c r="DX4" s="152" t="n"/>
      <c r="DY4" s="152" t="n"/>
      <c r="DZ4" s="152" t="n"/>
      <c r="EA4" s="152" t="n"/>
      <c r="EB4" s="152" t="n"/>
      <c r="EC4" s="152" t="n"/>
      <c r="ED4" s="152" t="n"/>
      <c r="EE4" s="152" t="n"/>
      <c r="EF4" s="152" t="n"/>
      <c r="EG4" s="152" t="n"/>
      <c r="EH4" s="152" t="n"/>
      <c r="EI4" s="152" t="n"/>
      <c r="EJ4" s="152" t="n"/>
      <c r="EK4" s="152" t="n"/>
      <c r="EL4" s="152" t="n"/>
      <c r="EM4" s="152" t="n"/>
      <c r="EN4" s="152" t="n"/>
      <c r="EO4" s="152" t="n"/>
      <c r="EP4" s="152" t="n"/>
      <c r="EQ4" s="152" t="n"/>
      <c r="ER4" s="152" t="n"/>
      <c r="ES4" s="152" t="n"/>
      <c r="ET4" s="152" t="n"/>
      <c r="EU4" s="152" t="n"/>
      <c r="EV4" s="152" t="n"/>
      <c r="EW4" s="152" t="n"/>
      <c r="EX4" s="152" t="n"/>
      <c r="EY4" s="152" t="n"/>
      <c r="EZ4" s="152" t="n"/>
      <c r="FA4" s="152" t="n"/>
      <c r="FB4" s="152" t="n"/>
      <c r="FC4" s="152" t="n"/>
      <c r="FD4" s="152" t="n"/>
      <c r="FE4" s="152" t="n"/>
      <c r="FF4" s="152" t="n"/>
      <c r="FG4" s="152" t="n"/>
      <c r="FH4" s="152" t="n"/>
      <c r="FI4" s="152" t="n"/>
      <c r="FJ4" s="152" t="n"/>
      <c r="FK4" s="152" t="n"/>
      <c r="FL4" s="152" t="n"/>
      <c r="FM4" s="152" t="n"/>
      <c r="FN4" s="152" t="n"/>
      <c r="FO4" s="152" t="n"/>
      <c r="FP4" s="152" t="n"/>
      <c r="FQ4" s="152" t="n"/>
      <c r="FR4" s="152" t="n"/>
      <c r="FS4" s="152" t="n"/>
      <c r="FT4" s="152" t="n"/>
      <c r="FU4" s="152" t="n"/>
      <c r="FV4" s="152" t="n"/>
      <c r="FW4" s="152" t="n"/>
      <c r="FX4" s="152" t="n"/>
      <c r="FY4" s="152" t="n"/>
      <c r="FZ4" s="152" t="n"/>
      <c r="GA4" s="152" t="n"/>
      <c r="GB4" s="152" t="n"/>
      <c r="GC4" s="152" t="n"/>
      <c r="GD4" s="152" t="n"/>
      <c r="GE4" s="152" t="n"/>
      <c r="GF4" s="152" t="n"/>
      <c r="GG4" s="152" t="n"/>
      <c r="GH4" s="152" t="n"/>
      <c r="GI4" s="152" t="n"/>
      <c r="GJ4" s="152" t="n"/>
      <c r="GK4" s="152" t="n"/>
      <c r="GL4" s="152" t="n"/>
      <c r="GM4" s="152" t="n"/>
      <c r="GN4" s="152" t="n"/>
      <c r="GO4" s="152" t="n"/>
      <c r="GP4" s="152" t="n"/>
      <c r="GQ4" s="152" t="n"/>
      <c r="GR4" s="152" t="n"/>
      <c r="GS4" s="152" t="n"/>
      <c r="GT4" s="152" t="n"/>
      <c r="GU4" s="152" t="n"/>
      <c r="GV4" s="152" t="n"/>
      <c r="GW4" s="152" t="n"/>
      <c r="GX4" s="152" t="n"/>
      <c r="GY4" s="152" t="n"/>
      <c r="GZ4" s="152" t="n"/>
      <c r="HA4" s="152" t="n"/>
      <c r="HB4" s="152" t="n"/>
      <c r="HC4" s="152" t="n"/>
      <c r="HD4" s="152" t="n"/>
      <c r="HE4" s="152" t="n"/>
      <c r="HF4" s="152" t="n"/>
      <c r="HG4" s="152" t="n"/>
      <c r="HH4" s="152" t="n"/>
      <c r="HI4" s="152" t="n"/>
      <c r="HJ4" s="152" t="n"/>
      <c r="HK4" s="152" t="n"/>
      <c r="HL4" s="152" t="n"/>
      <c r="HM4" s="152" t="n"/>
      <c r="HN4" s="152" t="n"/>
      <c r="HO4" s="152" t="n"/>
      <c r="HP4" s="152" t="n"/>
      <c r="HQ4" s="152" t="n"/>
      <c r="HR4" s="152" t="n"/>
      <c r="HS4" s="152" t="n"/>
      <c r="HT4" s="152" t="n"/>
      <c r="HU4" s="152" t="n"/>
    </row>
    <row r="5" ht="10.8" customHeight="1" thickTop="1">
      <c r="A5" s="1" t="n"/>
      <c r="B5" s="510" t="n"/>
      <c r="C5" s="6" t="n">
        <v>44958</v>
      </c>
      <c r="D5" s="6" t="n">
        <v>44986</v>
      </c>
      <c r="E5" s="6" t="n">
        <v>45017</v>
      </c>
      <c r="F5" s="6" t="n">
        <v>45047</v>
      </c>
      <c r="G5" s="6" t="n">
        <v>45078</v>
      </c>
      <c r="H5" s="6" t="n">
        <v>45108</v>
      </c>
      <c r="I5" s="6" t="n">
        <v>45139</v>
      </c>
      <c r="J5" s="206" t="n">
        <v>45170</v>
      </c>
      <c r="K5" s="6" t="n">
        <v>45200</v>
      </c>
      <c r="L5" s="6" t="n">
        <v>45231</v>
      </c>
      <c r="M5" s="207" t="n">
        <v>45261</v>
      </c>
      <c r="N5" s="207" t="n">
        <v>45292</v>
      </c>
      <c r="O5" s="207" t="n">
        <v>45323</v>
      </c>
      <c r="P5" s="207" t="n">
        <v>45352</v>
      </c>
      <c r="Q5" s="207" t="n">
        <v>45383</v>
      </c>
      <c r="R5" s="207" t="n">
        <v>45413</v>
      </c>
      <c r="S5" s="207" t="n">
        <v>45444</v>
      </c>
      <c r="T5" s="207" t="n">
        <v>45474</v>
      </c>
      <c r="U5" s="207" t="n">
        <v>45505</v>
      </c>
      <c r="V5" s="207" t="n">
        <v>45536</v>
      </c>
      <c r="W5" s="207" t="n">
        <v>45566</v>
      </c>
      <c r="X5" s="207" t="n">
        <v>45597</v>
      </c>
      <c r="Y5" s="207" t="n">
        <v>45627</v>
      </c>
      <c r="Z5" s="207" t="n">
        <v>45658</v>
      </c>
      <c r="AA5" s="207" t="n">
        <v>45689</v>
      </c>
      <c r="AB5" s="207" t="n">
        <v>45717</v>
      </c>
      <c r="AC5" s="207" t="n">
        <v>45748</v>
      </c>
      <c r="AD5" s="199" t="n"/>
      <c r="AE5" s="231" t="inlineStr">
        <is>
          <t>Total | Previsão</t>
        </is>
      </c>
      <c r="AF5" s="199" t="n"/>
      <c r="AG5" s="270" t="n">
        <v>45778</v>
      </c>
      <c r="AH5" s="270" t="n">
        <v>45809</v>
      </c>
      <c r="AI5" s="270" t="n">
        <v>45839</v>
      </c>
      <c r="AJ5" s="270" t="n">
        <v>45870</v>
      </c>
      <c r="AK5" s="270" t="n">
        <v>45901</v>
      </c>
      <c r="AL5" s="270" t="n">
        <v>45931</v>
      </c>
      <c r="AM5" s="270" t="n">
        <v>45962</v>
      </c>
      <c r="AN5" s="270" t="n">
        <v>45992</v>
      </c>
      <c r="AO5" s="270" t="n">
        <v>46023</v>
      </c>
      <c r="AP5" s="270" t="n">
        <v>46054</v>
      </c>
      <c r="AQ5" s="270" t="n">
        <v>46082</v>
      </c>
      <c r="AR5" s="270" t="n">
        <v>46113</v>
      </c>
      <c r="AS5" s="270" t="n">
        <v>46143</v>
      </c>
      <c r="AT5" s="270" t="n">
        <v>46174</v>
      </c>
      <c r="AU5" s="270" t="n">
        <v>46204</v>
      </c>
      <c r="AV5" s="270" t="n">
        <v>46235</v>
      </c>
      <c r="AW5" s="270" t="n">
        <v>46266</v>
      </c>
      <c r="AX5" s="270" t="n">
        <v>46296</v>
      </c>
      <c r="AY5" s="270" t="n">
        <v>46327</v>
      </c>
      <c r="AZ5" s="270" t="n">
        <v>46357</v>
      </c>
      <c r="BA5" s="270" t="n">
        <v>46388</v>
      </c>
      <c r="BB5" s="270" t="n">
        <v>46419</v>
      </c>
      <c r="BC5" s="270" t="n">
        <v>46447</v>
      </c>
      <c r="BD5" s="270" t="n">
        <v>46478</v>
      </c>
      <c r="BE5" s="270" t="n">
        <v>46508</v>
      </c>
      <c r="BF5" s="270" t="n">
        <v>46539</v>
      </c>
      <c r="BG5" s="270" t="n">
        <v>46569</v>
      </c>
      <c r="BH5" s="270" t="n">
        <v>46600</v>
      </c>
      <c r="BI5" s="270" t="n">
        <v>46631</v>
      </c>
      <c r="BJ5" s="270" t="n">
        <v>46661</v>
      </c>
      <c r="BK5" s="270" t="n">
        <v>46692</v>
      </c>
      <c r="BL5" s="270" t="n">
        <v>46722</v>
      </c>
      <c r="BM5" s="270" t="n">
        <v>46753</v>
      </c>
      <c r="BN5" s="270" t="n">
        <v>46784</v>
      </c>
      <c r="BO5" s="270" t="n">
        <v>46813</v>
      </c>
      <c r="BP5" s="270" t="n">
        <v>46844</v>
      </c>
      <c r="BQ5" s="270" t="n">
        <v>46874</v>
      </c>
      <c r="BR5" s="270" t="n">
        <v>46905</v>
      </c>
      <c r="BS5" s="270" t="n">
        <v>46935</v>
      </c>
      <c r="BT5" s="270" t="n">
        <v>46966</v>
      </c>
      <c r="BU5" s="270" t="n">
        <v>46997</v>
      </c>
      <c r="BV5" s="270" t="n">
        <v>47027</v>
      </c>
      <c r="BW5" s="270" t="n">
        <v>47058</v>
      </c>
      <c r="BX5" s="270" t="n">
        <v>47088</v>
      </c>
      <c r="BY5" s="270" t="n">
        <v>47119</v>
      </c>
      <c r="BZ5" s="270" t="n">
        <v>47150</v>
      </c>
      <c r="CA5" s="270" t="n">
        <v>47178</v>
      </c>
      <c r="CB5" s="270" t="n">
        <v>47209</v>
      </c>
      <c r="CC5" s="270" t="n">
        <v>47239</v>
      </c>
      <c r="CD5" s="270" t="n">
        <v>47270</v>
      </c>
      <c r="CE5" s="270" t="n">
        <v>47300</v>
      </c>
      <c r="CF5" s="270" t="n">
        <v>47331</v>
      </c>
      <c r="CG5" s="270" t="n">
        <v>47362</v>
      </c>
      <c r="CH5" s="270" t="n">
        <v>47392</v>
      </c>
      <c r="CI5" s="270" t="n">
        <v>47423</v>
      </c>
      <c r="CJ5" s="270" t="n">
        <v>47453</v>
      </c>
      <c r="CK5" s="270" t="n">
        <v>47484</v>
      </c>
      <c r="CL5" s="270" t="n">
        <v>47515</v>
      </c>
      <c r="CM5" s="270" t="n">
        <v>47543</v>
      </c>
      <c r="CN5" s="270" t="n">
        <v>47574</v>
      </c>
      <c r="CO5" s="270" t="n">
        <v>47604</v>
      </c>
      <c r="CP5" s="270" t="n">
        <v>47635</v>
      </c>
      <c r="CQ5" s="270" t="n">
        <v>47665</v>
      </c>
      <c r="CR5" s="270" t="n">
        <v>47696</v>
      </c>
      <c r="CS5" s="270" t="n">
        <v>47727</v>
      </c>
      <c r="CT5" s="270" t="n">
        <v>47757</v>
      </c>
      <c r="CU5" s="270" t="n">
        <v>47788</v>
      </c>
      <c r="CV5" s="270" t="n">
        <v>47818</v>
      </c>
      <c r="CW5" s="270" t="n">
        <v>47849</v>
      </c>
      <c r="CX5" s="270" t="n">
        <v>47880</v>
      </c>
      <c r="CY5" s="270" t="n">
        <v>47908</v>
      </c>
      <c r="CZ5" s="270" t="n">
        <v>47939</v>
      </c>
      <c r="DA5" s="270" t="n">
        <v>47969</v>
      </c>
      <c r="DB5" s="270" t="n">
        <v>48000</v>
      </c>
      <c r="DC5" s="270" t="n">
        <v>48030</v>
      </c>
      <c r="DD5" s="270" t="n">
        <v>48061</v>
      </c>
      <c r="DE5" s="270" t="n">
        <v>48092</v>
      </c>
      <c r="DF5" s="270" t="n">
        <v>48122</v>
      </c>
      <c r="DG5" s="270" t="n">
        <v>48153</v>
      </c>
      <c r="DH5" s="270" t="n">
        <v>48183</v>
      </c>
      <c r="DI5" s="270" t="n">
        <v>48214</v>
      </c>
      <c r="DJ5" s="270" t="n">
        <v>48245</v>
      </c>
      <c r="DK5" s="270" t="n">
        <v>48274</v>
      </c>
      <c r="DL5" s="270" t="n">
        <v>48305</v>
      </c>
      <c r="DM5" s="270" t="n">
        <v>48335</v>
      </c>
      <c r="DN5" s="270" t="n">
        <v>48366</v>
      </c>
      <c r="DO5" s="270" t="n">
        <v>48396</v>
      </c>
      <c r="DP5" s="270" t="n">
        <v>48427</v>
      </c>
      <c r="DQ5" s="270" t="n">
        <v>48458</v>
      </c>
      <c r="DR5" s="270" t="n">
        <v>48488</v>
      </c>
      <c r="DS5" s="270" t="n">
        <v>48519</v>
      </c>
      <c r="DT5" s="270" t="n">
        <v>48549</v>
      </c>
      <c r="DU5" s="270" t="n">
        <v>48580</v>
      </c>
      <c r="DV5" s="270" t="n">
        <v>48611</v>
      </c>
      <c r="DW5" s="270" t="n">
        <v>48639</v>
      </c>
      <c r="DX5" s="270" t="n">
        <v>48670</v>
      </c>
      <c r="DY5" s="270" t="n">
        <v>48700</v>
      </c>
      <c r="DZ5" s="270" t="n">
        <v>48731</v>
      </c>
      <c r="EA5" s="270" t="n">
        <v>48761</v>
      </c>
      <c r="EB5" s="270" t="n">
        <v>48792</v>
      </c>
      <c r="EC5" s="270" t="n">
        <v>48823</v>
      </c>
      <c r="ED5" s="270" t="n">
        <v>48853</v>
      </c>
      <c r="EE5" s="270" t="n">
        <v>48884</v>
      </c>
      <c r="EF5" s="270" t="n">
        <v>48914</v>
      </c>
      <c r="EG5" s="270" t="n">
        <v>48945</v>
      </c>
      <c r="EH5" s="270" t="n">
        <v>48976</v>
      </c>
      <c r="EI5" s="270" t="n">
        <v>49004</v>
      </c>
      <c r="EJ5" s="270" t="n">
        <v>49035</v>
      </c>
      <c r="EK5" s="270" t="n">
        <v>49065</v>
      </c>
      <c r="EL5" s="270" t="n">
        <v>49096</v>
      </c>
      <c r="EM5" s="270" t="n">
        <v>49126</v>
      </c>
      <c r="EN5" s="270" t="n">
        <v>49157</v>
      </c>
      <c r="EO5" s="270" t="n">
        <v>49188</v>
      </c>
      <c r="EP5" s="270" t="n">
        <v>49218</v>
      </c>
      <c r="EQ5" s="270" t="n">
        <v>49249</v>
      </c>
      <c r="ER5" s="270" t="n">
        <v>49279</v>
      </c>
      <c r="ES5" s="270" t="n">
        <v>49310</v>
      </c>
      <c r="ET5" s="270" t="n">
        <v>49341</v>
      </c>
      <c r="EU5" s="270" t="n">
        <v>49369</v>
      </c>
      <c r="EV5" s="270" t="n">
        <v>49400</v>
      </c>
      <c r="EW5" s="270" t="n">
        <v>49430</v>
      </c>
      <c r="EX5" s="270" t="n">
        <v>49461</v>
      </c>
      <c r="EY5" s="270" t="n">
        <v>49491</v>
      </c>
      <c r="EZ5" s="270" t="n">
        <v>49522</v>
      </c>
      <c r="FA5" s="270" t="n">
        <v>49553</v>
      </c>
      <c r="FB5" s="270" t="n">
        <v>49583</v>
      </c>
      <c r="FC5" s="270" t="n">
        <v>49614</v>
      </c>
      <c r="FD5" s="270" t="n">
        <v>49644</v>
      </c>
      <c r="FE5" s="270" t="n">
        <v>49675</v>
      </c>
      <c r="FF5" s="270" t="n">
        <v>49706</v>
      </c>
      <c r="FG5" s="270" t="n">
        <v>49735</v>
      </c>
      <c r="FH5" s="270" t="n">
        <v>49766</v>
      </c>
      <c r="FI5" s="270" t="n">
        <v>49796</v>
      </c>
      <c r="FJ5" s="270" t="n">
        <v>49827</v>
      </c>
      <c r="FK5" s="270" t="n">
        <v>49857</v>
      </c>
      <c r="FL5" s="270" t="n">
        <v>49888</v>
      </c>
      <c r="FM5" s="270" t="n">
        <v>49919</v>
      </c>
      <c r="FN5" s="270" t="n">
        <v>49949</v>
      </c>
      <c r="FO5" s="270" t="n">
        <v>49980</v>
      </c>
      <c r="FP5" s="270" t="n">
        <v>50010</v>
      </c>
      <c r="FQ5" s="270" t="n">
        <v>50041</v>
      </c>
      <c r="FR5" s="270" t="n">
        <v>50072</v>
      </c>
      <c r="FS5" s="270" t="n">
        <v>50100</v>
      </c>
      <c r="FT5" s="270" t="n">
        <v>50131</v>
      </c>
      <c r="FU5" s="270" t="n">
        <v>50161</v>
      </c>
      <c r="FV5" s="270" t="n">
        <v>50192</v>
      </c>
      <c r="FW5" s="270" t="n">
        <v>50222</v>
      </c>
      <c r="FX5" s="270" t="n">
        <v>50253</v>
      </c>
      <c r="FY5" s="270" t="n">
        <v>50284</v>
      </c>
      <c r="FZ5" s="270" t="n">
        <v>50314</v>
      </c>
      <c r="GA5" s="270" t="n">
        <v>50345</v>
      </c>
      <c r="GB5" s="270" t="n">
        <v>50375</v>
      </c>
      <c r="GC5" s="270" t="n">
        <v>50406</v>
      </c>
      <c r="GD5" s="270" t="n">
        <v>50437</v>
      </c>
      <c r="GE5" s="270" t="n">
        <v>50465</v>
      </c>
      <c r="GF5" s="270" t="n">
        <v>50496</v>
      </c>
      <c r="GG5" s="270" t="n">
        <v>50526</v>
      </c>
      <c r="GH5" s="270" t="n">
        <v>50557</v>
      </c>
      <c r="GI5" s="270" t="n">
        <v>50587</v>
      </c>
      <c r="GJ5" s="270" t="n">
        <v>50618</v>
      </c>
      <c r="GK5" s="270" t="n">
        <v>50649</v>
      </c>
      <c r="GL5" s="270" t="n">
        <v>50679</v>
      </c>
      <c r="GM5" s="270" t="n">
        <v>50710</v>
      </c>
      <c r="GN5" s="270" t="n">
        <v>50740</v>
      </c>
      <c r="GO5" s="270" t="n">
        <v>50771</v>
      </c>
      <c r="GP5" s="270" t="n">
        <v>50802</v>
      </c>
      <c r="GQ5" s="270" t="n">
        <v>50830</v>
      </c>
      <c r="GR5" s="270" t="n">
        <v>50861</v>
      </c>
      <c r="GS5" s="270" t="n">
        <v>50891</v>
      </c>
      <c r="GT5" s="270" t="n">
        <v>50922</v>
      </c>
      <c r="GU5" s="270" t="n">
        <v>50952</v>
      </c>
      <c r="GV5" s="270" t="n">
        <v>50983</v>
      </c>
      <c r="GW5" s="270" t="n">
        <v>51014</v>
      </c>
      <c r="GX5" s="270" t="n">
        <v>51044</v>
      </c>
      <c r="GY5" s="270" t="n">
        <v>51075</v>
      </c>
      <c r="GZ5" s="270" t="n">
        <v>51105</v>
      </c>
      <c r="HA5" s="270" t="n">
        <v>51136</v>
      </c>
      <c r="HB5" s="270" t="n">
        <v>51167</v>
      </c>
      <c r="HC5" s="270" t="n">
        <v>51196</v>
      </c>
      <c r="HD5" s="270" t="n">
        <v>51227</v>
      </c>
      <c r="HE5" s="270" t="n">
        <v>51257</v>
      </c>
      <c r="HF5" s="270" t="n">
        <v>51288</v>
      </c>
      <c r="HG5" s="270" t="n">
        <v>51318</v>
      </c>
      <c r="HH5" s="270" t="n">
        <v>51349</v>
      </c>
      <c r="HI5" s="270" t="n">
        <v>51380</v>
      </c>
      <c r="HJ5" s="270" t="n">
        <v>51410</v>
      </c>
      <c r="HK5" s="270" t="n">
        <v>51441</v>
      </c>
      <c r="HL5" s="270" t="n">
        <v>51471</v>
      </c>
      <c r="HM5" s="270" t="n">
        <v>51502</v>
      </c>
      <c r="HN5" s="270" t="n">
        <v>51533</v>
      </c>
      <c r="HO5" s="270" t="n">
        <v>51561</v>
      </c>
      <c r="HP5" s="270" t="n">
        <v>51592</v>
      </c>
      <c r="HQ5" s="270" t="n">
        <v>51622</v>
      </c>
      <c r="HR5" s="270" t="n">
        <v>51653</v>
      </c>
      <c r="HS5" s="270" t="n">
        <v>51683</v>
      </c>
      <c r="HT5" s="270" t="n">
        <v>51714</v>
      </c>
      <c r="HU5" s="270" t="n">
        <v>51745</v>
      </c>
    </row>
    <row r="6">
      <c r="A6" s="1" t="n"/>
      <c r="B6" s="128" t="n"/>
      <c r="C6" s="66" t="n"/>
      <c r="D6" s="66" t="n"/>
      <c r="E6" s="66" t="n"/>
      <c r="F6" s="66" t="n"/>
      <c r="G6" s="66" t="n"/>
      <c r="H6" s="66" t="n"/>
      <c r="I6" s="66" t="n"/>
      <c r="J6" s="153" t="n"/>
      <c r="K6" s="66" t="n"/>
      <c r="L6" s="66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" t="n"/>
      <c r="AE6" s="232" t="n"/>
      <c r="AF6" s="1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90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286" t="n"/>
      <c r="BE6" s="66" t="n"/>
      <c r="BF6" s="66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28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286" t="n"/>
      <c r="CC6" s="66" t="n"/>
      <c r="CD6" s="66" t="n"/>
      <c r="CE6" s="66" t="n"/>
      <c r="CF6" s="66" t="n"/>
      <c r="CG6" s="66" t="n"/>
      <c r="CH6" s="66" t="n"/>
      <c r="CI6" s="66" t="n"/>
      <c r="CJ6" s="66" t="n"/>
      <c r="CK6" s="66" t="n"/>
      <c r="CL6" s="66" t="n"/>
      <c r="CM6" s="66" t="n"/>
      <c r="CN6" s="286" t="n"/>
      <c r="CO6" s="66" t="n"/>
      <c r="CP6" s="66" t="n"/>
      <c r="CQ6" s="66" t="n"/>
      <c r="CR6" s="66" t="n"/>
      <c r="CS6" s="66" t="n"/>
      <c r="CT6" s="66" t="n"/>
      <c r="CU6" s="66" t="n"/>
      <c r="CV6" s="66" t="n"/>
      <c r="CW6" s="66" t="n"/>
      <c r="CX6" s="66" t="n"/>
      <c r="CY6" s="66" t="n"/>
      <c r="CZ6" s="286" t="n"/>
      <c r="DA6" s="66" t="n"/>
      <c r="DB6" s="66" t="n"/>
      <c r="DC6" s="66" t="n"/>
      <c r="DD6" s="66" t="n"/>
      <c r="DE6" s="66" t="n"/>
      <c r="DF6" s="66" t="n"/>
      <c r="DG6" s="66" t="n"/>
      <c r="DH6" s="66" t="n"/>
      <c r="DI6" s="66" t="n"/>
      <c r="DJ6" s="66" t="n"/>
      <c r="DK6" s="66" t="n"/>
      <c r="DL6" s="66" t="n"/>
      <c r="DM6" s="66" t="n"/>
      <c r="DN6" s="66" t="n"/>
      <c r="DO6" s="66" t="n"/>
      <c r="DP6" s="66" t="n"/>
      <c r="DQ6" s="66" t="n"/>
      <c r="DR6" s="66" t="n"/>
      <c r="DS6" s="66" t="n"/>
      <c r="DT6" s="66" t="n"/>
      <c r="DU6" s="66" t="n"/>
      <c r="DV6" s="66" t="n"/>
      <c r="DW6" s="66" t="n"/>
      <c r="DX6" s="66" t="n"/>
      <c r="DY6" s="66" t="n"/>
      <c r="DZ6" s="66" t="n"/>
      <c r="EA6" s="66" t="n"/>
      <c r="EB6" s="66" t="n"/>
      <c r="EC6" s="66" t="n"/>
      <c r="ED6" s="66" t="n"/>
      <c r="EE6" s="66" t="n"/>
      <c r="EF6" s="66" t="n"/>
      <c r="EG6" s="66" t="n"/>
      <c r="EH6" s="66" t="n"/>
      <c r="EI6" s="66" t="n"/>
      <c r="EJ6" s="66" t="n"/>
      <c r="EK6" s="66" t="n"/>
      <c r="EL6" s="66" t="n"/>
      <c r="EM6" s="66" t="n"/>
      <c r="EN6" s="66" t="n"/>
      <c r="EO6" s="66" t="n"/>
      <c r="EP6" s="66" t="n"/>
      <c r="EQ6" s="66" t="n"/>
      <c r="ER6" s="66" t="n"/>
      <c r="ES6" s="66" t="n"/>
      <c r="ET6" s="66" t="n"/>
      <c r="EU6" s="66" t="n"/>
      <c r="EV6" s="66" t="n"/>
      <c r="EW6" s="66" t="n"/>
      <c r="EX6" s="66" t="n"/>
      <c r="EY6" s="66" t="n"/>
      <c r="EZ6" s="66" t="n"/>
      <c r="FA6" s="66" t="n"/>
      <c r="FB6" s="66" t="n"/>
      <c r="FC6" s="66" t="n"/>
      <c r="FD6" s="66" t="n"/>
      <c r="FE6" s="66" t="n"/>
      <c r="FF6" s="66" t="n"/>
      <c r="FG6" s="66" t="n"/>
      <c r="FH6" s="66" t="n"/>
      <c r="FI6" s="66" t="n"/>
      <c r="FJ6" s="66" t="n"/>
      <c r="FK6" s="66" t="n"/>
      <c r="FL6" s="66" t="n"/>
      <c r="FM6" s="66" t="n"/>
      <c r="FN6" s="66" t="n"/>
      <c r="FO6" s="66" t="n"/>
      <c r="FP6" s="66" t="n"/>
      <c r="FQ6" s="66" t="n"/>
      <c r="FR6" s="66" t="n"/>
      <c r="FS6" s="66" t="n"/>
      <c r="FT6" s="66" t="n"/>
      <c r="FU6" s="66" t="n"/>
      <c r="FV6" s="66" t="n"/>
      <c r="FW6" s="66" t="n"/>
      <c r="FX6" s="66" t="n"/>
      <c r="FY6" s="66" t="n"/>
      <c r="FZ6" s="66" t="n"/>
      <c r="GA6" s="66" t="n"/>
      <c r="GB6" s="66" t="n"/>
      <c r="GC6" s="66" t="n"/>
      <c r="GD6" s="66" t="n"/>
      <c r="GE6" s="66" t="n"/>
      <c r="GF6" s="66" t="n"/>
      <c r="GG6" s="66" t="n"/>
      <c r="GH6" s="66" t="n"/>
      <c r="GI6" s="66" t="n"/>
      <c r="GJ6" s="66" t="n"/>
      <c r="GK6" s="66" t="n"/>
      <c r="GL6" s="66" t="n"/>
      <c r="GM6" s="66" t="n"/>
      <c r="GN6" s="66" t="n"/>
      <c r="GO6" s="66" t="n"/>
      <c r="GP6" s="66" t="n"/>
      <c r="GQ6" s="66" t="n"/>
      <c r="GR6" s="66" t="n"/>
      <c r="GS6" s="66" t="n"/>
      <c r="GT6" s="66" t="n"/>
      <c r="GU6" s="66" t="n"/>
      <c r="GV6" s="66" t="n"/>
      <c r="GW6" s="66" t="n"/>
      <c r="GX6" s="66" t="n"/>
      <c r="GY6" s="66" t="n"/>
      <c r="GZ6" s="66" t="n"/>
      <c r="HA6" s="66" t="n"/>
      <c r="HB6" s="66" t="n"/>
      <c r="HC6" s="66" t="n"/>
      <c r="HD6" s="66" t="n"/>
      <c r="HE6" s="66" t="n"/>
      <c r="HF6" s="66" t="n"/>
      <c r="HG6" s="66" t="n"/>
      <c r="HH6" s="66" t="n"/>
      <c r="HI6" s="66" t="n"/>
      <c r="HJ6" s="66" t="n"/>
      <c r="HK6" s="66" t="n"/>
      <c r="HL6" s="66" t="n"/>
      <c r="HM6" s="66" t="n"/>
      <c r="HN6" s="66" t="n"/>
      <c r="HO6" s="66" t="n"/>
      <c r="HP6" s="66" t="n"/>
      <c r="HQ6" s="66" t="n"/>
      <c r="HR6" s="66" t="n"/>
      <c r="HS6" s="66" t="n"/>
      <c r="HT6" s="66" t="n"/>
      <c r="HU6" s="66" t="n"/>
    </row>
    <row r="7" ht="16.2" customFormat="1" customHeight="1" s="259">
      <c r="A7" s="65" t="inlineStr">
        <is>
          <t>RECEITAS</t>
        </is>
      </c>
      <c r="B7" s="129" t="n"/>
      <c r="C7" s="70" t="n"/>
      <c r="D7" s="70" t="n"/>
      <c r="E7" s="70" t="n"/>
      <c r="F7" s="70" t="n"/>
      <c r="G7" s="70" t="n"/>
      <c r="H7" s="70" t="n"/>
      <c r="I7" s="70" t="n"/>
      <c r="J7" s="155" t="n"/>
      <c r="K7" s="70" t="n"/>
      <c r="L7" s="70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198" t="n"/>
      <c r="AE7" s="233" t="n"/>
      <c r="AF7" s="198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0" t="n"/>
      <c r="AR7" s="70" t="n"/>
      <c r="AS7" s="70" t="n"/>
      <c r="AT7" s="70" t="n"/>
      <c r="AU7" s="70" t="n"/>
      <c r="AV7" s="70" t="n"/>
      <c r="AW7" s="70" t="n"/>
      <c r="AX7" s="70" t="n"/>
      <c r="AY7" s="70" t="n"/>
      <c r="AZ7" s="70" t="n"/>
      <c r="BA7" s="70" t="n"/>
      <c r="BB7" s="70" t="n"/>
      <c r="BC7" s="70" t="n"/>
      <c r="BD7" s="287" t="n"/>
      <c r="BE7" s="70" t="n"/>
      <c r="BF7" s="70" t="n"/>
      <c r="BG7" s="70" t="n"/>
      <c r="BH7" s="70" t="n"/>
      <c r="BI7" s="70" t="n"/>
      <c r="BJ7" s="70" t="n"/>
      <c r="BK7" s="70" t="n"/>
      <c r="BL7" s="70" t="n"/>
      <c r="BM7" s="70" t="n"/>
      <c r="BN7" s="70" t="n"/>
      <c r="BO7" s="70" t="n"/>
      <c r="BP7" s="287" t="n"/>
      <c r="BQ7" s="70" t="n"/>
      <c r="BR7" s="70" t="n"/>
      <c r="BS7" s="70" t="n"/>
      <c r="BT7" s="70" t="n"/>
      <c r="BU7" s="70" t="n"/>
      <c r="BV7" s="70" t="n"/>
      <c r="BW7" s="70" t="n"/>
      <c r="BX7" s="70" t="n"/>
      <c r="BY7" s="70" t="n"/>
      <c r="BZ7" s="70" t="n"/>
      <c r="CA7" s="70" t="n"/>
      <c r="CB7" s="287" t="n"/>
      <c r="CC7" s="70" t="n"/>
      <c r="CD7" s="70" t="n"/>
      <c r="CE7" s="70" t="n"/>
      <c r="CF7" s="70" t="n"/>
      <c r="CG7" s="70" t="n"/>
      <c r="CH7" s="70" t="n"/>
      <c r="CI7" s="70" t="n"/>
      <c r="CJ7" s="70" t="n"/>
      <c r="CK7" s="70" t="n"/>
      <c r="CL7" s="70" t="n"/>
      <c r="CM7" s="70" t="n"/>
      <c r="CN7" s="287" t="n"/>
      <c r="CO7" s="70" t="n"/>
      <c r="CP7" s="70" t="n"/>
      <c r="CQ7" s="70" t="n"/>
      <c r="CR7" s="70" t="n"/>
      <c r="CS7" s="70" t="n"/>
      <c r="CT7" s="70" t="n"/>
      <c r="CU7" s="70" t="n"/>
      <c r="CV7" s="70" t="n"/>
      <c r="CW7" s="70" t="n"/>
      <c r="CX7" s="70" t="n"/>
      <c r="CY7" s="70" t="n"/>
      <c r="CZ7" s="287" t="n"/>
      <c r="DA7" s="70" t="n"/>
      <c r="DB7" s="70" t="n"/>
      <c r="DC7" s="70" t="n"/>
      <c r="DD7" s="70" t="n"/>
      <c r="DE7" s="70" t="n"/>
      <c r="DF7" s="70" t="n"/>
      <c r="DG7" s="70" t="n"/>
      <c r="DH7" s="70" t="n"/>
      <c r="DI7" s="70" t="n"/>
      <c r="DJ7" s="70" t="n"/>
      <c r="DK7" s="70" t="n"/>
      <c r="DL7" s="70" t="n"/>
      <c r="DM7" s="70" t="n"/>
      <c r="DN7" s="70" t="n"/>
      <c r="DO7" s="70" t="n"/>
      <c r="DP7" s="70" t="n"/>
      <c r="DQ7" s="70" t="n"/>
      <c r="DR7" s="70" t="n"/>
      <c r="DS7" s="70" t="n"/>
      <c r="DT7" s="70" t="n"/>
      <c r="DU7" s="70" t="n"/>
      <c r="DV7" s="70" t="n"/>
      <c r="DW7" s="70" t="n"/>
      <c r="DX7" s="70" t="n"/>
      <c r="DY7" s="70" t="n"/>
      <c r="DZ7" s="70" t="n"/>
      <c r="EA7" s="70" t="n"/>
      <c r="EB7" s="70" t="n"/>
      <c r="EC7" s="70" t="n"/>
      <c r="ED7" s="70" t="n"/>
      <c r="EE7" s="70" t="n"/>
      <c r="EF7" s="70" t="n"/>
      <c r="EG7" s="70" t="n"/>
      <c r="EH7" s="70" t="n"/>
      <c r="EI7" s="70" t="n"/>
      <c r="EJ7" s="70" t="n"/>
      <c r="EK7" s="70" t="n"/>
      <c r="EL7" s="70" t="n"/>
      <c r="EM7" s="70" t="n"/>
      <c r="EN7" s="70" t="n"/>
      <c r="EO7" s="70" t="n"/>
      <c r="EP7" s="70" t="n"/>
      <c r="EQ7" s="70" t="n"/>
      <c r="ER7" s="70" t="n"/>
      <c r="ES7" s="70" t="n"/>
      <c r="ET7" s="70" t="n"/>
      <c r="EU7" s="70" t="n"/>
      <c r="EV7" s="70" t="n"/>
      <c r="EW7" s="70" t="n"/>
      <c r="EX7" s="70" t="n"/>
      <c r="EY7" s="70" t="n"/>
      <c r="EZ7" s="70" t="n"/>
      <c r="FA7" s="70" t="n"/>
      <c r="FB7" s="70" t="n"/>
      <c r="FC7" s="70" t="n"/>
      <c r="FD7" s="70" t="n"/>
      <c r="FE7" s="70" t="n"/>
      <c r="FF7" s="70" t="n"/>
      <c r="FG7" s="70" t="n"/>
      <c r="FH7" s="70" t="n"/>
      <c r="FI7" s="70" t="n"/>
      <c r="FJ7" s="70" t="n"/>
      <c r="FK7" s="70" t="n"/>
      <c r="FL7" s="70" t="n"/>
      <c r="FM7" s="70" t="n"/>
      <c r="FN7" s="70" t="n"/>
      <c r="FO7" s="70" t="n"/>
      <c r="FP7" s="70" t="n"/>
      <c r="FQ7" s="70" t="n"/>
      <c r="FR7" s="70" t="n"/>
      <c r="FS7" s="70" t="n"/>
      <c r="FT7" s="70" t="n"/>
      <c r="FU7" s="70" t="n"/>
      <c r="FV7" s="70" t="n"/>
      <c r="FW7" s="70" t="n"/>
      <c r="FX7" s="70" t="n"/>
      <c r="FY7" s="70" t="n"/>
      <c r="FZ7" s="70" t="n"/>
      <c r="GA7" s="70" t="n"/>
      <c r="GB7" s="70" t="n"/>
      <c r="GC7" s="70" t="n"/>
      <c r="GD7" s="70" t="n"/>
      <c r="GE7" s="70" t="n"/>
      <c r="GF7" s="70" t="n"/>
      <c r="GG7" s="70" t="n"/>
      <c r="GH7" s="70" t="n"/>
      <c r="GI7" s="70" t="n"/>
      <c r="GJ7" s="70" t="n"/>
      <c r="GK7" s="70" t="n"/>
      <c r="GL7" s="70" t="n"/>
      <c r="GM7" s="70" t="n"/>
      <c r="GN7" s="70" t="n"/>
      <c r="GO7" s="70" t="n"/>
      <c r="GP7" s="70" t="n"/>
      <c r="GQ7" s="70" t="n"/>
      <c r="GR7" s="70" t="n"/>
      <c r="GS7" s="70" t="n"/>
      <c r="GT7" s="70" t="n"/>
      <c r="GU7" s="70" t="n"/>
      <c r="GV7" s="70" t="n"/>
      <c r="GW7" s="70" t="n"/>
      <c r="GX7" s="70" t="n"/>
      <c r="GY7" s="70" t="n"/>
      <c r="GZ7" s="70" t="n"/>
      <c r="HA7" s="70" t="n"/>
      <c r="HB7" s="70" t="n"/>
      <c r="HC7" s="70" t="n"/>
      <c r="HD7" s="70" t="n"/>
      <c r="HE7" s="70" t="n"/>
      <c r="HF7" s="70" t="n"/>
      <c r="HG7" s="70" t="n"/>
      <c r="HH7" s="70" t="n"/>
      <c r="HI7" s="70" t="n"/>
      <c r="HJ7" s="70" t="n"/>
      <c r="HK7" s="70" t="n"/>
      <c r="HL7" s="70" t="n"/>
      <c r="HM7" s="70" t="n"/>
      <c r="HN7" s="70" t="n"/>
      <c r="HO7" s="70" t="n"/>
      <c r="HP7" s="70" t="n"/>
      <c r="HQ7" s="70" t="n"/>
      <c r="HR7" s="70" t="n"/>
      <c r="HS7" s="70" t="n"/>
      <c r="HT7" s="70" t="n"/>
      <c r="HU7" s="70" t="n"/>
    </row>
    <row r="8" ht="16.2" customHeight="1">
      <c r="A8" s="54" t="inlineStr">
        <is>
          <t>ITBI</t>
        </is>
      </c>
      <c r="B8" s="130">
        <f>SUM(C8:Z8)</f>
        <v/>
      </c>
      <c r="C8" s="67" t="n"/>
      <c r="D8" s="69" t="n"/>
      <c r="E8" s="67" t="n"/>
      <c r="F8" s="67" t="n"/>
      <c r="G8" s="67" t="n"/>
      <c r="H8" s="67" t="n"/>
      <c r="I8" s="68" t="n"/>
      <c r="J8" s="209" t="n"/>
      <c r="K8" s="120" t="n"/>
      <c r="L8" s="511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>
        <v>338614.6800000001</v>
      </c>
      <c r="AC8" s="210" t="n">
        <v>391548.5</v>
      </c>
      <c r="AD8" s="71" t="n"/>
      <c r="AE8" s="342">
        <f>SUM(AG8:FN8)</f>
        <v/>
      </c>
      <c r="AF8" s="71" t="n"/>
      <c r="AG8" s="330" t="n"/>
      <c r="AH8" s="330" t="n"/>
      <c r="AI8" s="330" t="n"/>
      <c r="AJ8" s="330" t="n"/>
      <c r="AK8" s="330" t="n"/>
      <c r="AL8" s="330" t="n"/>
      <c r="AM8" s="330" t="n"/>
      <c r="AN8" s="330" t="n"/>
      <c r="AO8" s="330" t="n"/>
      <c r="AP8" s="330" t="n"/>
      <c r="AQ8" s="330" t="n"/>
      <c r="AR8" s="330" t="n"/>
      <c r="AS8" s="330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0" t="n"/>
      <c r="BC8" s="330" t="n"/>
      <c r="BD8" s="330" t="n"/>
      <c r="BE8" s="330" t="n"/>
      <c r="BF8" s="330" t="n"/>
      <c r="BG8" s="330" t="n"/>
      <c r="BH8" s="330" t="n"/>
      <c r="BI8" s="330" t="n"/>
      <c r="BJ8" s="330" t="n"/>
      <c r="BK8" s="330" t="n"/>
      <c r="BL8" s="330" t="n"/>
      <c r="BM8" s="330" t="n"/>
      <c r="BN8" s="330" t="n"/>
      <c r="BO8" s="330" t="n"/>
      <c r="BP8" s="330" t="n"/>
      <c r="BQ8" s="330" t="n"/>
      <c r="BR8" s="330" t="n"/>
      <c r="BS8" s="330" t="n"/>
      <c r="BT8" s="330" t="n"/>
      <c r="BU8" s="330" t="n"/>
      <c r="BV8" s="330" t="n"/>
      <c r="BW8" s="330" t="n"/>
      <c r="BX8" s="330" t="n"/>
      <c r="BY8" s="330" t="n"/>
      <c r="BZ8" s="330" t="n"/>
      <c r="CA8" s="330" t="n"/>
      <c r="CB8" s="330" t="n"/>
      <c r="CC8" s="330" t="n"/>
      <c r="CD8" s="330" t="n"/>
      <c r="CE8" s="330" t="n"/>
      <c r="CF8" s="330" t="n"/>
      <c r="CG8" s="330" t="n"/>
      <c r="CH8" s="330" t="n"/>
      <c r="CI8" s="330" t="n"/>
      <c r="CJ8" s="330" t="n"/>
      <c r="CK8" s="330" t="n"/>
      <c r="CL8" s="330" t="n"/>
      <c r="CM8" s="330" t="n"/>
      <c r="CN8" s="330" t="n"/>
      <c r="CO8" s="330" t="n"/>
      <c r="CP8" s="330" t="n"/>
      <c r="CQ8" s="330" t="n"/>
      <c r="CR8" s="330" t="n"/>
      <c r="CS8" s="330" t="n"/>
      <c r="CT8" s="330" t="n"/>
      <c r="CU8" s="330" t="n"/>
      <c r="CV8" s="330" t="n"/>
      <c r="CW8" s="330" t="n"/>
      <c r="CX8" s="330" t="n"/>
      <c r="CY8" s="330" t="n"/>
      <c r="CZ8" s="330" t="n"/>
      <c r="DA8" s="330" t="n"/>
      <c r="DB8" s="330" t="n"/>
      <c r="DC8" s="330" t="n"/>
      <c r="DD8" s="330" t="n"/>
      <c r="DE8" s="330" t="n"/>
      <c r="DF8" s="330" t="n"/>
      <c r="DG8" s="330" t="n"/>
      <c r="DH8" s="330" t="n"/>
      <c r="DI8" s="330" t="n"/>
      <c r="DJ8" s="330" t="n"/>
      <c r="DK8" s="330" t="n"/>
      <c r="DL8" s="330" t="n"/>
      <c r="DM8" s="330" t="n"/>
      <c r="DN8" s="330" t="n"/>
      <c r="DO8" s="330" t="n"/>
      <c r="DP8" s="330" t="n"/>
      <c r="DQ8" s="330" t="n"/>
      <c r="DR8" s="330" t="n"/>
      <c r="DS8" s="330" t="n"/>
      <c r="DT8" s="330" t="n"/>
      <c r="DU8" s="330" t="n"/>
      <c r="DV8" s="330" t="n"/>
      <c r="DW8" s="330" t="n"/>
      <c r="DX8" s="330" t="n"/>
      <c r="DY8" s="330" t="n"/>
      <c r="DZ8" s="330" t="n"/>
      <c r="EA8" s="330" t="n"/>
      <c r="EB8" s="330" t="n"/>
      <c r="EC8" s="330" t="n"/>
      <c r="ED8" s="330" t="n"/>
      <c r="EE8" s="330" t="n"/>
      <c r="EF8" s="330" t="n"/>
      <c r="EG8" s="330" t="n"/>
      <c r="EH8" s="330" t="n"/>
      <c r="EI8" s="330" t="n"/>
      <c r="EJ8" s="330" t="n"/>
      <c r="EK8" s="330" t="n"/>
      <c r="EL8" s="330" t="n"/>
      <c r="EM8" s="330" t="n"/>
      <c r="EN8" s="330" t="n"/>
      <c r="EO8" s="330" t="n"/>
      <c r="EP8" s="330" t="n"/>
      <c r="EQ8" s="330" t="n"/>
      <c r="ER8" s="330" t="n"/>
      <c r="ES8" s="330" t="n"/>
      <c r="ET8" s="330" t="n"/>
      <c r="EU8" s="330" t="n"/>
      <c r="EV8" s="330" t="n"/>
      <c r="EW8" s="330" t="n"/>
      <c r="EX8" s="330" t="n"/>
      <c r="EY8" s="330" t="n"/>
      <c r="EZ8" s="330" t="n"/>
      <c r="FA8" s="330" t="n"/>
      <c r="FB8" s="330" t="n"/>
      <c r="FC8" s="330" t="n"/>
      <c r="FD8" s="330" t="n"/>
      <c r="FE8" s="330" t="n"/>
      <c r="FF8" s="330" t="n"/>
      <c r="FG8" s="330" t="n"/>
      <c r="FH8" s="330" t="n"/>
      <c r="FI8" s="330" t="n"/>
      <c r="FJ8" s="330" t="n"/>
      <c r="FK8" s="330" t="n"/>
      <c r="FL8" s="330" t="n"/>
      <c r="FM8" s="330" t="n"/>
      <c r="FN8" s="330" t="n"/>
      <c r="FO8" s="330" t="n"/>
      <c r="FP8" s="330" t="n"/>
      <c r="FQ8" s="330" t="n"/>
      <c r="FR8" s="330" t="n"/>
      <c r="FS8" s="330" t="n"/>
      <c r="FT8" s="330" t="n"/>
      <c r="FU8" s="330" t="n"/>
      <c r="FV8" s="330" t="n"/>
      <c r="FW8" s="330" t="n"/>
      <c r="FX8" s="330" t="n"/>
      <c r="FY8" s="330" t="n"/>
      <c r="FZ8" s="330" t="n"/>
      <c r="GA8" s="330" t="n"/>
      <c r="GB8" s="330" t="n"/>
      <c r="GC8" s="330" t="n"/>
      <c r="GD8" s="330" t="n"/>
      <c r="GE8" s="330" t="n"/>
      <c r="GF8" s="330" t="n"/>
      <c r="GG8" s="330" t="n"/>
      <c r="GH8" s="330" t="n"/>
      <c r="GI8" s="330" t="n"/>
      <c r="GJ8" s="330" t="n"/>
      <c r="GK8" s="330" t="n"/>
      <c r="GL8" s="330" t="n"/>
      <c r="GM8" s="330" t="n"/>
      <c r="GN8" s="330" t="n"/>
      <c r="GO8" s="330" t="n"/>
      <c r="GP8" s="330" t="n"/>
      <c r="GQ8" s="330" t="n"/>
      <c r="GR8" s="330" t="n"/>
      <c r="GS8" s="330" t="n"/>
      <c r="GT8" s="330" t="n"/>
      <c r="GU8" s="330" t="n"/>
      <c r="GV8" s="330" t="n"/>
      <c r="GW8" s="330" t="n"/>
      <c r="GX8" s="330" t="n"/>
      <c r="GY8" s="330" t="n"/>
      <c r="GZ8" s="330" t="n"/>
      <c r="HA8" s="330" t="n"/>
      <c r="HB8" s="330" t="n"/>
      <c r="HC8" s="330" t="n"/>
      <c r="HD8" s="330" t="n"/>
      <c r="HE8" s="330" t="n"/>
      <c r="HF8" s="330" t="n"/>
      <c r="HG8" s="330" t="n"/>
      <c r="HH8" s="330" t="n"/>
      <c r="HI8" s="330" t="n"/>
      <c r="HJ8" s="330" t="n"/>
      <c r="HK8" s="330" t="n"/>
      <c r="HL8" s="330" t="n"/>
      <c r="HM8" s="330" t="n"/>
      <c r="HN8" s="330" t="n"/>
      <c r="HO8" s="330" t="n"/>
      <c r="HP8" s="330" t="n"/>
      <c r="HQ8" s="330" t="n"/>
      <c r="HR8" s="330" t="n"/>
      <c r="HS8" s="330" t="n"/>
      <c r="HT8" s="330" t="n"/>
      <c r="HU8" s="330" t="n"/>
    </row>
    <row r="9" ht="16.2" customHeight="1">
      <c r="A9" s="329" t="inlineStr">
        <is>
          <t>Receitas Contratadas</t>
        </is>
      </c>
      <c r="B9" s="130">
        <f>SUM(C9:AB9)</f>
        <v/>
      </c>
      <c r="C9" s="85" t="n"/>
      <c r="D9" s="87" t="n"/>
      <c r="E9" s="85" t="n"/>
      <c r="F9" s="85" t="n"/>
      <c r="G9" s="85" t="n"/>
      <c r="H9" s="85" t="n"/>
      <c r="I9" s="86" t="n"/>
      <c r="J9" s="211" t="n"/>
      <c r="K9" s="117" t="n"/>
      <c r="L9" s="117" t="n"/>
      <c r="M9" s="212" t="n"/>
      <c r="N9" s="212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>
        <v>2857997.660000001</v>
      </c>
      <c r="AC9" s="212" t="n">
        <v>3156158.31</v>
      </c>
      <c r="AD9" s="71" t="n"/>
      <c r="AE9" s="342">
        <f>SUM(AG9:HU9)</f>
        <v/>
      </c>
      <c r="AF9" s="71" t="n"/>
      <c r="AG9" s="330" t="n">
        <v>1198605.36</v>
      </c>
      <c r="AH9" s="330" t="n">
        <v>1028029.55</v>
      </c>
      <c r="AI9" s="330" t="n">
        <v>1028028.61</v>
      </c>
      <c r="AJ9" s="330" t="n">
        <v>1241129.9</v>
      </c>
      <c r="AK9" s="330" t="n">
        <v>1090966.83</v>
      </c>
      <c r="AL9" s="330" t="n">
        <v>1028028.61</v>
      </c>
      <c r="AM9" s="330" t="n">
        <v>1028028.61</v>
      </c>
      <c r="AN9" s="330" t="n">
        <v>1121274.7</v>
      </c>
      <c r="AO9" s="330" t="n">
        <v>994547.37</v>
      </c>
      <c r="AP9" s="330" t="n">
        <v>994547.39</v>
      </c>
      <c r="AQ9" s="330" t="n">
        <v>6631742.83</v>
      </c>
      <c r="AR9" s="330" t="n">
        <v>3022467.75</v>
      </c>
      <c r="AS9" s="330" t="n">
        <v>618470.15</v>
      </c>
      <c r="AT9" s="330" t="n">
        <v>618470.02</v>
      </c>
      <c r="AU9" s="330" t="n">
        <v>1033077.05</v>
      </c>
      <c r="AV9" s="330" t="n">
        <v>618470.02</v>
      </c>
      <c r="AW9" s="330" t="n">
        <v>618470.02</v>
      </c>
      <c r="AX9" s="330" t="n">
        <v>732035</v>
      </c>
      <c r="AY9" s="330" t="n">
        <v>618470.02</v>
      </c>
      <c r="AZ9" s="330" t="n">
        <v>677753.1</v>
      </c>
      <c r="BA9" s="330" t="n">
        <v>619601.51</v>
      </c>
      <c r="BB9" s="330" t="n">
        <v>619601.53</v>
      </c>
      <c r="BC9" s="330" t="n">
        <v>644682.5600000001</v>
      </c>
      <c r="BD9" s="330" t="n">
        <v>1365576.93</v>
      </c>
      <c r="BE9" s="330" t="n">
        <v>289576.23</v>
      </c>
      <c r="BF9" s="330" t="n">
        <v>197087.28</v>
      </c>
      <c r="BG9" s="330" t="n">
        <v>197087.28</v>
      </c>
      <c r="BH9" s="330" t="n">
        <v>197087.28</v>
      </c>
      <c r="BI9" s="330" t="n">
        <v>197087.28</v>
      </c>
      <c r="BJ9" s="330" t="n">
        <v>197087.28</v>
      </c>
      <c r="BK9" s="330" t="n">
        <v>197087.28</v>
      </c>
      <c r="BL9" s="330" t="n">
        <v>255238.85</v>
      </c>
      <c r="BM9" s="330" t="n">
        <v>197960.48</v>
      </c>
      <c r="BN9" s="330" t="n">
        <v>197960.48</v>
      </c>
      <c r="BO9" s="330" t="n">
        <v>223012.69</v>
      </c>
      <c r="BP9" s="330" t="n">
        <v>734638.11</v>
      </c>
      <c r="BQ9" s="330" t="n">
        <v>129621.61</v>
      </c>
      <c r="BR9" s="330" t="n">
        <v>112417.25</v>
      </c>
      <c r="BS9" s="330" t="n">
        <v>112417.25</v>
      </c>
      <c r="BT9" s="330" t="n">
        <v>112417.25</v>
      </c>
      <c r="BU9" s="330" t="n">
        <v>112417.25</v>
      </c>
      <c r="BV9" s="330" t="n">
        <v>112417.25</v>
      </c>
      <c r="BW9" s="330" t="n">
        <v>112417.25</v>
      </c>
      <c r="BX9" s="330" t="n">
        <v>112417.25</v>
      </c>
      <c r="BY9" s="330" t="n">
        <v>112417.25</v>
      </c>
      <c r="BZ9" s="330" t="n">
        <v>112417.25</v>
      </c>
      <c r="CA9" s="330" t="n">
        <v>137477.17</v>
      </c>
      <c r="CB9" s="330" t="n">
        <v>378997.8</v>
      </c>
      <c r="CC9" s="330" t="n">
        <v>100986.26</v>
      </c>
      <c r="CD9" s="330" t="n">
        <v>100986.33</v>
      </c>
      <c r="CE9" s="330" t="n">
        <v>100986.33</v>
      </c>
      <c r="CF9" s="330" t="n">
        <v>100986.33</v>
      </c>
      <c r="CG9" s="330" t="n">
        <v>100986.33</v>
      </c>
      <c r="CH9" s="330" t="n">
        <v>100986.33</v>
      </c>
      <c r="CI9" s="330" t="n">
        <v>100986.33</v>
      </c>
      <c r="CJ9" s="330" t="n">
        <v>100986.33</v>
      </c>
      <c r="CK9" s="330" t="n">
        <v>100986.33</v>
      </c>
      <c r="CL9" s="330" t="n">
        <v>100986.33</v>
      </c>
      <c r="CM9" s="330" t="n">
        <v>126208.8</v>
      </c>
      <c r="CN9" s="330" t="n">
        <v>394315.24</v>
      </c>
      <c r="CO9" s="330" t="n">
        <v>90222.75</v>
      </c>
      <c r="CP9" s="330" t="n">
        <v>90222.81</v>
      </c>
      <c r="CQ9" s="330" t="n">
        <v>90222.81</v>
      </c>
      <c r="CR9" s="330" t="n">
        <v>90222.81</v>
      </c>
      <c r="CS9" s="330" t="n">
        <v>90222.81</v>
      </c>
      <c r="CT9" s="330" t="n">
        <v>90222.81</v>
      </c>
      <c r="CU9" s="330" t="n">
        <v>90222.81</v>
      </c>
      <c r="CV9" s="330" t="n">
        <v>90222.81</v>
      </c>
      <c r="CW9" s="330" t="n">
        <v>90222.81</v>
      </c>
      <c r="CX9" s="330" t="n">
        <v>90222.81</v>
      </c>
      <c r="CY9" s="330" t="n">
        <v>115388.14</v>
      </c>
      <c r="CZ9" s="330" t="n">
        <v>412983.94</v>
      </c>
      <c r="DA9" s="330" t="n">
        <v>70627.87</v>
      </c>
      <c r="DB9" s="330" t="n">
        <v>70627.86</v>
      </c>
      <c r="DC9" s="330" t="n">
        <v>70627.86</v>
      </c>
      <c r="DD9" s="330" t="n">
        <v>70627.86</v>
      </c>
      <c r="DE9" s="330" t="n">
        <v>70627.86</v>
      </c>
      <c r="DF9" s="330" t="n">
        <v>70627.86</v>
      </c>
      <c r="DG9" s="330" t="n">
        <v>70627.86</v>
      </c>
      <c r="DH9" s="330" t="n">
        <v>70627.86</v>
      </c>
      <c r="DI9" s="330" t="n">
        <v>70627.86</v>
      </c>
      <c r="DJ9" s="330" t="n">
        <v>70627.86</v>
      </c>
      <c r="DK9" s="330" t="n">
        <v>95765.25</v>
      </c>
      <c r="DL9" s="330" t="n">
        <v>425774.43</v>
      </c>
      <c r="DM9" s="330" t="n">
        <v>71382.89</v>
      </c>
      <c r="DN9" s="330" t="n">
        <v>71382.92</v>
      </c>
      <c r="DO9" s="330" t="n">
        <v>71382.92</v>
      </c>
      <c r="DP9" s="330" t="n">
        <v>71382.92</v>
      </c>
      <c r="DQ9" s="330" t="n">
        <v>71382.92</v>
      </c>
      <c r="DR9" s="330" t="n">
        <v>71382.92</v>
      </c>
      <c r="DS9" s="330" t="n">
        <v>71382.92</v>
      </c>
      <c r="DT9" s="330" t="n">
        <v>71382.92</v>
      </c>
      <c r="DU9" s="330" t="n">
        <v>71382.92</v>
      </c>
      <c r="DV9" s="330" t="n">
        <v>71382.92</v>
      </c>
      <c r="DW9" s="330" t="n">
        <v>96449.45</v>
      </c>
      <c r="DX9" s="330" t="n">
        <v>324486.21</v>
      </c>
      <c r="DY9" s="330" t="n"/>
      <c r="DZ9" s="330" t="n"/>
      <c r="EA9" s="330" t="n"/>
      <c r="EB9" s="330" t="n"/>
      <c r="EC9" s="330" t="n"/>
      <c r="ED9" s="330" t="n"/>
      <c r="EE9" s="330" t="n"/>
      <c r="EF9" s="330" t="n"/>
      <c r="EG9" s="330" t="n"/>
      <c r="EH9" s="330" t="n"/>
      <c r="EI9" s="330" t="n"/>
      <c r="EJ9" s="330" t="n"/>
      <c r="EK9" s="330" t="n"/>
      <c r="EL9" s="330" t="n"/>
      <c r="EM9" s="330" t="n"/>
      <c r="EN9" s="330" t="n"/>
      <c r="EO9" s="330" t="n"/>
      <c r="EP9" s="330" t="n"/>
      <c r="EQ9" s="330" t="n"/>
      <c r="ER9" s="330" t="n"/>
      <c r="ES9" s="330" t="n"/>
      <c r="ET9" s="330" t="n"/>
      <c r="EU9" s="330" t="n"/>
      <c r="EV9" s="330" t="n"/>
      <c r="EW9" s="330" t="n"/>
      <c r="EX9" s="330" t="n"/>
      <c r="EY9" s="330" t="n"/>
      <c r="EZ9" s="330" t="n"/>
      <c r="FA9" s="330" t="n"/>
      <c r="FB9" s="330" t="n"/>
      <c r="FC9" s="330" t="n"/>
      <c r="FD9" s="330" t="n"/>
      <c r="FE9" s="330" t="n"/>
      <c r="FF9" s="330" t="n"/>
      <c r="FG9" s="330" t="n"/>
      <c r="FH9" s="330" t="n"/>
      <c r="FI9" s="330" t="n"/>
      <c r="FJ9" s="330" t="n"/>
      <c r="FK9" s="330" t="n"/>
      <c r="FL9" s="330" t="n"/>
      <c r="FM9" s="330" t="n"/>
      <c r="FN9" s="330" t="n"/>
      <c r="FO9" s="330" t="n"/>
      <c r="FP9" s="330" t="n"/>
      <c r="FQ9" s="330" t="n"/>
      <c r="FR9" s="330" t="n"/>
      <c r="FS9" s="330" t="n"/>
      <c r="FT9" s="330" t="n"/>
      <c r="FU9" s="330" t="n"/>
      <c r="FV9" s="330" t="n"/>
      <c r="FW9" s="330" t="n"/>
      <c r="FX9" s="330" t="n"/>
      <c r="FY9" s="330" t="n"/>
      <c r="FZ9" s="330" t="n"/>
      <c r="GA9" s="330" t="n"/>
      <c r="GB9" s="330" t="n"/>
      <c r="GC9" s="330" t="n"/>
      <c r="GD9" s="330" t="n"/>
      <c r="GE9" s="330" t="n"/>
      <c r="GF9" s="330" t="n"/>
      <c r="GG9" s="330" t="n"/>
      <c r="GH9" s="330" t="n"/>
      <c r="GI9" s="330" t="n"/>
      <c r="GJ9" s="330" t="n"/>
      <c r="GK9" s="330" t="n"/>
      <c r="GL9" s="330" t="n"/>
      <c r="GM9" s="330" t="n"/>
      <c r="GN9" s="330" t="n"/>
      <c r="GO9" s="330" t="n"/>
      <c r="GP9" s="330" t="n"/>
      <c r="GQ9" s="330" t="n"/>
      <c r="GR9" s="330" t="n"/>
      <c r="GS9" s="330" t="n"/>
      <c r="GT9" s="330" t="n"/>
      <c r="GU9" s="330" t="n"/>
      <c r="GV9" s="330" t="n"/>
      <c r="GW9" s="330" t="n"/>
      <c r="GX9" s="330" t="n"/>
      <c r="GY9" s="330" t="n"/>
      <c r="GZ9" s="330" t="n"/>
      <c r="HA9" s="330" t="n"/>
      <c r="HB9" s="330" t="n"/>
      <c r="HC9" s="330" t="n"/>
      <c r="HD9" s="330" t="n"/>
      <c r="HE9" s="330" t="n"/>
      <c r="HF9" s="330" t="n"/>
      <c r="HG9" s="330" t="n"/>
      <c r="HH9" s="330" t="n"/>
      <c r="HI9" s="330" t="n"/>
      <c r="HJ9" s="330" t="n"/>
      <c r="HK9" s="330" t="n"/>
      <c r="HL9" s="330" t="n"/>
      <c r="HM9" s="330" t="n"/>
      <c r="HN9" s="330" t="n"/>
      <c r="HO9" s="330" t="n"/>
      <c r="HP9" s="330" t="n"/>
      <c r="HQ9" s="330" t="n"/>
      <c r="HR9" s="330" t="n"/>
      <c r="HS9" s="330" t="n"/>
      <c r="HT9" s="330" t="n"/>
      <c r="HU9" s="330" t="n"/>
    </row>
    <row r="10" ht="7.2" customHeight="1">
      <c r="A10" s="1" t="n"/>
      <c r="B10" s="128" t="n"/>
      <c r="C10" s="1" t="n"/>
      <c r="D10" s="1" t="n"/>
      <c r="E10" s="1" t="n"/>
      <c r="F10" s="1" t="n"/>
      <c r="G10" s="1" t="n"/>
      <c r="H10" s="1" t="n"/>
      <c r="I10" s="1" t="n"/>
      <c r="J10" s="156" t="n"/>
      <c r="K10" s="1" t="n"/>
      <c r="L10" s="1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  <c r="W10" s="157" t="n"/>
      <c r="X10" s="157" t="n"/>
      <c r="Y10" s="157" t="n"/>
      <c r="Z10" s="157" t="n"/>
      <c r="AA10" s="157" t="n"/>
      <c r="AB10" s="157" t="n"/>
      <c r="AC10" s="157" t="n"/>
      <c r="AD10" s="1" t="n"/>
      <c r="AE10" s="128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289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89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289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289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289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</row>
    <row r="11" ht="16.2" customFormat="1" customHeight="1" s="259">
      <c r="A11" s="65" t="inlineStr">
        <is>
          <t>PREVISÃO DE RECEITAS(ESTOQUE)</t>
        </is>
      </c>
      <c r="B11" s="129" t="n"/>
      <c r="C11" s="70" t="n"/>
      <c r="D11" s="70" t="n"/>
      <c r="E11" s="70" t="n"/>
      <c r="F11" s="70" t="n"/>
      <c r="G11" s="70" t="n"/>
      <c r="H11" s="70" t="n"/>
      <c r="I11" s="70" t="n"/>
      <c r="J11" s="155" t="n"/>
      <c r="K11" s="70" t="n"/>
      <c r="L11" s="70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198" t="n"/>
      <c r="AE11" s="233" t="n"/>
      <c r="AF11" s="198" t="n"/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  <c r="AQ11" s="70" t="n"/>
      <c r="AR11" s="70" t="n"/>
      <c r="AS11" s="70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287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0" t="n"/>
      <c r="BP11" s="287" t="n"/>
      <c r="BQ11" s="70" t="n"/>
      <c r="BR11" s="70" t="n"/>
      <c r="BS11" s="70" t="n"/>
      <c r="BT11" s="70" t="n"/>
      <c r="BU11" s="70" t="n"/>
      <c r="BV11" s="70" t="n"/>
      <c r="BW11" s="70" t="n"/>
      <c r="BX11" s="70" t="n"/>
      <c r="BY11" s="70" t="n"/>
      <c r="BZ11" s="70" t="n"/>
      <c r="CA11" s="70" t="n"/>
      <c r="CB11" s="287" t="n"/>
      <c r="CC11" s="70" t="n"/>
      <c r="CD11" s="70" t="n"/>
      <c r="CE11" s="70" t="n"/>
      <c r="CF11" s="70" t="n"/>
      <c r="CG11" s="70" t="n"/>
      <c r="CH11" s="70" t="n"/>
      <c r="CI11" s="70" t="n"/>
      <c r="CJ11" s="70" t="n"/>
      <c r="CK11" s="70" t="n"/>
      <c r="CL11" s="70" t="n"/>
      <c r="CM11" s="70" t="n"/>
      <c r="CN11" s="287" t="n"/>
      <c r="CO11" s="70" t="n"/>
      <c r="CP11" s="70" t="n"/>
      <c r="CQ11" s="70" t="n"/>
      <c r="CR11" s="70" t="n"/>
      <c r="CS11" s="70" t="n"/>
      <c r="CT11" s="70" t="n"/>
      <c r="CU11" s="70" t="n"/>
      <c r="CV11" s="70" t="n"/>
      <c r="CW11" s="70" t="n"/>
      <c r="CX11" s="70" t="n"/>
      <c r="CY11" s="70" t="n"/>
      <c r="CZ11" s="287" t="n"/>
      <c r="DA11" s="70" t="n"/>
      <c r="DB11" s="70" t="n"/>
      <c r="DC11" s="70" t="n"/>
      <c r="DD11" s="70" t="n"/>
      <c r="DE11" s="70" t="n"/>
      <c r="DF11" s="70" t="n"/>
      <c r="DG11" s="70" t="n"/>
      <c r="DH11" s="70" t="n"/>
      <c r="DI11" s="70" t="n"/>
      <c r="DJ11" s="70" t="n"/>
      <c r="DK11" s="70" t="n"/>
      <c r="DL11" s="70" t="n"/>
      <c r="DM11" s="70" t="n"/>
      <c r="DN11" s="70" t="n"/>
      <c r="DO11" s="70" t="n"/>
      <c r="DP11" s="70" t="n"/>
      <c r="DQ11" s="70" t="n"/>
      <c r="DR11" s="70" t="n"/>
      <c r="DS11" s="70" t="n"/>
      <c r="DT11" s="70" t="n"/>
      <c r="DU11" s="70" t="n"/>
      <c r="DV11" s="70" t="n"/>
      <c r="DW11" s="70" t="n"/>
      <c r="DX11" s="70" t="n"/>
      <c r="DY11" s="70" t="n"/>
      <c r="DZ11" s="70" t="n"/>
      <c r="EA11" s="70" t="n"/>
      <c r="EB11" s="70" t="n"/>
      <c r="EC11" s="70" t="n"/>
      <c r="ED11" s="70" t="n"/>
      <c r="EE11" s="70" t="n"/>
      <c r="EF11" s="70" t="n"/>
      <c r="EG11" s="70" t="n"/>
      <c r="EH11" s="70" t="n"/>
      <c r="EI11" s="70" t="n"/>
      <c r="EJ11" s="70" t="n"/>
      <c r="EK11" s="70" t="n"/>
      <c r="EL11" s="70" t="n"/>
      <c r="EM11" s="70" t="n"/>
      <c r="EN11" s="70" t="n"/>
      <c r="EO11" s="70" t="n"/>
      <c r="EP11" s="70" t="n"/>
      <c r="EQ11" s="70" t="n"/>
      <c r="ER11" s="70" t="n"/>
      <c r="ES11" s="70" t="n"/>
      <c r="ET11" s="70" t="n"/>
      <c r="EU11" s="70" t="n"/>
      <c r="EV11" s="70" t="n"/>
      <c r="EW11" s="70" t="n"/>
      <c r="EX11" s="70" t="n"/>
      <c r="EY11" s="70" t="n"/>
      <c r="EZ11" s="70" t="n"/>
      <c r="FA11" s="70" t="n"/>
      <c r="FB11" s="70" t="n"/>
      <c r="FC11" s="70" t="n"/>
      <c r="FD11" s="70" t="n"/>
      <c r="FE11" s="70" t="n"/>
      <c r="FF11" s="70" t="n"/>
      <c r="FG11" s="70" t="n"/>
      <c r="FH11" s="70" t="n"/>
      <c r="FI11" s="70" t="n"/>
      <c r="FJ11" s="70" t="n"/>
      <c r="FK11" s="70" t="n"/>
      <c r="FL11" s="70" t="n"/>
      <c r="FM11" s="70" t="n"/>
      <c r="FN11" s="70" t="n"/>
      <c r="FO11" s="70" t="n"/>
      <c r="FP11" s="70" t="n"/>
      <c r="FQ11" s="70" t="n"/>
      <c r="FR11" s="70" t="n"/>
      <c r="FS11" s="70" t="n"/>
      <c r="FT11" s="70" t="n"/>
      <c r="FU11" s="70" t="n"/>
      <c r="FV11" s="70" t="n"/>
      <c r="FW11" s="70" t="n"/>
      <c r="FX11" s="70" t="n"/>
      <c r="FY11" s="70" t="n"/>
      <c r="FZ11" s="70" t="n"/>
      <c r="GA11" s="70" t="n"/>
      <c r="GB11" s="70" t="n"/>
      <c r="GC11" s="70" t="n"/>
      <c r="GD11" s="70" t="n"/>
      <c r="GE11" s="70" t="n"/>
      <c r="GF11" s="70" t="n"/>
      <c r="GG11" s="70" t="n"/>
      <c r="GH11" s="70" t="n"/>
      <c r="GI11" s="70" t="n"/>
      <c r="GJ11" s="70" t="n"/>
      <c r="GK11" s="70" t="n"/>
      <c r="GL11" s="70" t="n"/>
      <c r="GM11" s="70" t="n"/>
      <c r="GN11" s="70" t="n"/>
      <c r="GO11" s="70" t="n"/>
      <c r="GP11" s="70" t="n"/>
      <c r="GQ11" s="70" t="n"/>
      <c r="GR11" s="70" t="n"/>
      <c r="GS11" s="70" t="n"/>
      <c r="GT11" s="70" t="n"/>
      <c r="GU11" s="70" t="n"/>
      <c r="GV11" s="70" t="n"/>
      <c r="GW11" s="70" t="n"/>
      <c r="GX11" s="70" t="n"/>
      <c r="GY11" s="70" t="n"/>
      <c r="GZ11" s="70" t="n"/>
      <c r="HA11" s="70" t="n"/>
      <c r="HB11" s="70" t="n"/>
      <c r="HC11" s="70" t="n"/>
      <c r="HD11" s="70" t="n"/>
      <c r="HE11" s="70" t="n"/>
      <c r="HF11" s="70" t="n"/>
      <c r="HG11" s="70" t="n"/>
      <c r="HH11" s="70" t="n"/>
      <c r="HI11" s="70" t="n"/>
      <c r="HJ11" s="70" t="n"/>
      <c r="HK11" s="70" t="n"/>
      <c r="HL11" s="70" t="n"/>
      <c r="HM11" s="70" t="n"/>
      <c r="HN11" s="70" t="n"/>
      <c r="HO11" s="70" t="n"/>
      <c r="HP11" s="70" t="n"/>
      <c r="HQ11" s="70" t="n"/>
      <c r="HR11" s="70" t="n"/>
      <c r="HS11" s="70" t="n"/>
      <c r="HT11" s="70" t="n"/>
      <c r="HU11" s="70" t="n"/>
    </row>
    <row r="12" ht="16.2" customHeight="1" thickBot="1">
      <c r="A12" s="54" t="inlineStr">
        <is>
          <t>Vendas 06 Lotes a.m.</t>
        </is>
      </c>
      <c r="B12" s="130">
        <f>SUM(C12:W12)</f>
        <v/>
      </c>
      <c r="C12" s="214" t="n"/>
      <c r="D12" s="69" t="n">
        <v>0</v>
      </c>
      <c r="E12" s="67" t="n">
        <v>0</v>
      </c>
      <c r="F12" s="67" t="n">
        <v>0</v>
      </c>
      <c r="G12" s="67" t="n">
        <v>0</v>
      </c>
      <c r="H12" s="67" t="n">
        <v>0</v>
      </c>
      <c r="I12" s="68" t="n">
        <v>0</v>
      </c>
      <c r="J12" s="213" t="n">
        <v>0</v>
      </c>
      <c r="K12" s="112" t="n">
        <v>0</v>
      </c>
      <c r="L12" s="112" t="n">
        <v>0</v>
      </c>
      <c r="M12" s="214" t="n">
        <v>0</v>
      </c>
      <c r="N12" s="214" t="n">
        <v>0</v>
      </c>
      <c r="O12" s="214" t="n">
        <v>0</v>
      </c>
      <c r="P12" s="214" t="n">
        <v>0</v>
      </c>
      <c r="Q12" s="214" t="n">
        <v>0</v>
      </c>
      <c r="R12" s="214" t="n">
        <v>0</v>
      </c>
      <c r="S12" s="214" t="n">
        <v>0</v>
      </c>
      <c r="T12" s="214" t="n">
        <v>0</v>
      </c>
      <c r="U12" s="214" t="n">
        <v>0</v>
      </c>
      <c r="V12" s="214" t="n">
        <v>0</v>
      </c>
      <c r="W12" s="214" t="n"/>
      <c r="X12" s="214" t="n"/>
      <c r="Y12" s="214" t="n"/>
      <c r="Z12" s="214" t="n"/>
      <c r="AA12" s="214" t="n"/>
      <c r="AB12" s="214" t="n"/>
      <c r="AC12" s="214" t="n"/>
      <c r="AD12" s="71" t="n"/>
      <c r="AE12" s="342">
        <f>SUM(AG12:HU12)</f>
        <v/>
      </c>
      <c r="AF12" s="71" t="n"/>
      <c r="AG12" s="330" t="n">
        <v>550415.8024615385</v>
      </c>
      <c r="AH12" s="69" t="n">
        <v>662771.1452278846</v>
      </c>
      <c r="AI12" s="67" t="n">
        <v>775126.4879942308</v>
      </c>
      <c r="AJ12" s="67" t="n">
        <v>887481.8307605769</v>
      </c>
      <c r="AK12" s="67" t="n">
        <v>999837.1735269231</v>
      </c>
      <c r="AL12" s="67" t="n">
        <v>1112192.516293269</v>
      </c>
      <c r="AM12" s="67" t="n">
        <v>1224547.859059616</v>
      </c>
      <c r="AN12" s="67" t="n">
        <v>1336903.201825962</v>
      </c>
      <c r="AO12" s="67" t="n">
        <v>1449258.544592308</v>
      </c>
      <c r="AP12" s="67" t="n">
        <v>1561613.887358654</v>
      </c>
      <c r="AQ12" s="68" t="n">
        <v>1673969.230125</v>
      </c>
      <c r="AR12" s="68" t="n">
        <v>1786324.572891347</v>
      </c>
      <c r="AS12" s="67" t="n">
        <v>2363217.589903847</v>
      </c>
      <c r="AT12" s="67" t="n">
        <v>2446015.319870193</v>
      </c>
      <c r="AU12" s="67" t="n">
        <v>2528813.049836539</v>
      </c>
      <c r="AV12" s="67" t="n">
        <v>2611610.779802885</v>
      </c>
      <c r="AW12" s="67" t="n">
        <v>2694408.509769232</v>
      </c>
      <c r="AX12" s="67" t="n">
        <v>2777206.239735578</v>
      </c>
      <c r="AY12" s="67" t="n">
        <v>2860003.969701923</v>
      </c>
      <c r="AZ12" s="67" t="n">
        <v>2942801.699668271</v>
      </c>
      <c r="BA12" s="67" t="n">
        <v>3025599.429634617</v>
      </c>
      <c r="BB12" s="67" t="n">
        <v>3108397.159600962</v>
      </c>
      <c r="BC12" s="67" t="n">
        <v>3207723.892644232</v>
      </c>
      <c r="BD12" s="67" t="n">
        <v>3293895.656927885</v>
      </c>
      <c r="BE12" s="67" t="n">
        <v>3380067.421211539</v>
      </c>
      <c r="BF12" s="67" t="n">
        <v>3406377.914379808</v>
      </c>
      <c r="BG12" s="67" t="n">
        <v>3432688.407548077</v>
      </c>
      <c r="BH12" s="67" t="n">
        <v>3458998.900716346</v>
      </c>
      <c r="BI12" s="67" t="n">
        <v>3485309.393884615</v>
      </c>
      <c r="BJ12" s="67" t="n">
        <v>3511619.887052884</v>
      </c>
      <c r="BK12" s="67" t="n">
        <v>3554459.383298076</v>
      </c>
      <c r="BL12" s="67" t="n">
        <v>3584143.910783653</v>
      </c>
      <c r="BM12" s="67" t="n">
        <v>3613828.43826923</v>
      </c>
      <c r="BN12" s="67" t="n">
        <v>3643512.965754807</v>
      </c>
      <c r="BO12" s="67" t="n">
        <v>3687147.573548077</v>
      </c>
      <c r="BP12" s="67" t="n">
        <v>3715944.485033653</v>
      </c>
      <c r="BQ12" s="67" t="n">
        <v>3744741.39651923</v>
      </c>
      <c r="BR12" s="67" t="n">
        <v>3773538.308004807</v>
      </c>
      <c r="BS12" s="67" t="n">
        <v>3802335.219490384</v>
      </c>
      <c r="BT12" s="67" t="n">
        <v>3847661.134052885</v>
      </c>
      <c r="BU12" s="67" t="n">
        <v>3879832.07985577</v>
      </c>
      <c r="BV12" s="67" t="n">
        <v>3912003.025658654</v>
      </c>
      <c r="BW12" s="67" t="n">
        <v>3958124.051769231</v>
      </c>
      <c r="BX12" s="67" t="n">
        <v>3989407.381572116</v>
      </c>
      <c r="BY12" s="67" t="n">
        <v>4020690.711375001</v>
      </c>
      <c r="BZ12" s="67" t="n">
        <v>4051974.041177886</v>
      </c>
      <c r="CA12" s="67" t="n">
        <v>4083257.37098077</v>
      </c>
      <c r="CB12" s="67" t="n">
        <v>4129272.068091347</v>
      </c>
      <c r="CC12" s="67" t="n">
        <v>4162131.796442308</v>
      </c>
      <c r="CD12" s="67" t="n">
        <v>4177672.61104327</v>
      </c>
      <c r="CE12" s="67" t="n">
        <v>4193213.425644231</v>
      </c>
      <c r="CF12" s="67" t="n">
        <v>4222704.320552885</v>
      </c>
      <c r="CG12" s="67" t="n">
        <v>4237357.519153846</v>
      </c>
      <c r="CH12" s="67" t="n">
        <v>4252010.717754807</v>
      </c>
      <c r="CI12" s="67" t="n">
        <v>4266663.916355769</v>
      </c>
      <c r="CJ12" s="67" t="n">
        <v>4296048.482264422</v>
      </c>
      <c r="CK12" s="67" t="n">
        <v>4312278.079413461</v>
      </c>
      <c r="CL12" s="67" t="n">
        <v>4328507.676562499</v>
      </c>
      <c r="CM12" s="67" t="n">
        <v>4344737.273711537</v>
      </c>
      <c r="CN12" s="67" t="n">
        <v>4374916.951168268</v>
      </c>
      <c r="CO12" s="67" t="n">
        <v>4390258.932317307</v>
      </c>
      <c r="CP12" s="67" t="n">
        <v>4405600.913466346</v>
      </c>
      <c r="CQ12" s="67" t="n">
        <v>4420942.894615385</v>
      </c>
      <c r="CR12" s="67" t="n">
        <v>4452813.878841346</v>
      </c>
      <c r="CS12" s="67" t="n">
        <v>4469732.258538461</v>
      </c>
      <c r="CT12" s="67" t="n">
        <v>4486650.638235576</v>
      </c>
      <c r="CU12" s="67" t="n">
        <v>4503569.017932691</v>
      </c>
      <c r="CV12" s="67" t="n">
        <v>4534437.4779375</v>
      </c>
      <c r="CW12" s="67" t="n">
        <v>4550468.241634615</v>
      </c>
      <c r="CX12" s="67" t="n">
        <v>4566499.00533173</v>
      </c>
      <c r="CY12" s="67" t="n">
        <v>4582529.769028845</v>
      </c>
      <c r="CZ12" s="67" t="n">
        <v>4598040.445225961</v>
      </c>
      <c r="DA12" s="67" t="n">
        <v>4628282.488730768</v>
      </c>
      <c r="DB12" s="67" t="n">
        <v>4645369.563475961</v>
      </c>
      <c r="DC12" s="67" t="n">
        <v>4662456.638221152</v>
      </c>
      <c r="DD12" s="67" t="n">
        <v>4693493.793274038</v>
      </c>
      <c r="DE12" s="67" t="n">
        <v>4709693.25201923</v>
      </c>
      <c r="DF12" s="67" t="n">
        <v>4725892.710764422</v>
      </c>
      <c r="DG12" s="67" t="n">
        <v>4742092.169509616</v>
      </c>
      <c r="DH12" s="67" t="n">
        <v>4757771.540754807</v>
      </c>
      <c r="DI12" s="67" t="n">
        <v>4788182.279307692</v>
      </c>
      <c r="DJ12" s="67" t="n">
        <v>4805438.049100962</v>
      </c>
      <c r="DK12" s="67" t="n">
        <v>4822693.818894232</v>
      </c>
      <c r="DL12" s="67" t="n">
        <v>4839949.588687501</v>
      </c>
      <c r="DM12" s="67" t="n">
        <v>4529831.525250001</v>
      </c>
      <c r="DN12" s="67" t="n">
        <v>4135201.956852405</v>
      </c>
      <c r="DO12" s="266" t="n">
        <v>4012222.493340867</v>
      </c>
      <c r="DP12" s="266" t="n">
        <v>3889243.029829328</v>
      </c>
      <c r="DQ12" s="266" t="n">
        <v>3763945.843048559</v>
      </c>
      <c r="DR12" s="266" t="n">
        <v>3638648.65626779</v>
      </c>
      <c r="DS12" s="266" t="n">
        <v>3513351.46948702</v>
      </c>
      <c r="DT12" s="266" t="n">
        <v>3388054.282706251</v>
      </c>
      <c r="DU12" s="266" t="n">
        <v>3276707.176233174</v>
      </c>
      <c r="DV12" s="266" t="n">
        <v>3150522.373452405</v>
      </c>
      <c r="DW12" s="266" t="n">
        <v>3024337.570671636</v>
      </c>
      <c r="DX12" s="266" t="n">
        <v>2898152.767890866</v>
      </c>
      <c r="DY12" s="266" t="n">
        <v>2483378.719256251</v>
      </c>
      <c r="DZ12" s="266" t="n">
        <v>2079518.760151443</v>
      </c>
      <c r="EA12" s="266" t="n">
        <v>1982057.229800482</v>
      </c>
      <c r="EB12" s="266" t="n">
        <v>1884595.69944952</v>
      </c>
      <c r="EC12" s="266" t="n">
        <v>1787134.169098558</v>
      </c>
      <c r="ED12" s="266" t="n">
        <v>1689672.638747597</v>
      </c>
      <c r="EE12" s="266" t="n">
        <v>1592211.108396635</v>
      </c>
      <c r="EF12" s="266" t="n">
        <v>1494749.578045673</v>
      </c>
      <c r="EG12" s="266" t="n">
        <v>1396767.960194712</v>
      </c>
      <c r="EH12" s="266" t="n">
        <v>1296988.70657452</v>
      </c>
      <c r="EI12" s="266" t="n">
        <v>1197209.452954327</v>
      </c>
      <c r="EJ12" s="266" t="n">
        <v>1097430.199334135</v>
      </c>
      <c r="EK12" s="266" t="n">
        <v>997650.9457139428</v>
      </c>
      <c r="EL12" s="266" t="n">
        <v>934992.8707283658</v>
      </c>
      <c r="EM12" s="266" t="n">
        <v>909455.9743774043</v>
      </c>
      <c r="EN12" s="266" t="n">
        <v>883919.0780264427</v>
      </c>
      <c r="EO12" s="266" t="n">
        <v>857862.0941754811</v>
      </c>
      <c r="EP12" s="266" t="n">
        <v>831805.1103245196</v>
      </c>
      <c r="EQ12" s="266" t="n">
        <v>805748.1264735579</v>
      </c>
      <c r="ER12" s="266" t="n">
        <v>779691.1426225964</v>
      </c>
      <c r="ES12" s="266" t="n">
        <v>753634.1587716349</v>
      </c>
      <c r="ET12" s="266" t="n">
        <v>727577.1749206734</v>
      </c>
      <c r="EU12" s="266" t="n">
        <v>701520.1910697117</v>
      </c>
      <c r="EV12" s="266" t="n">
        <v>675294.5121706733</v>
      </c>
      <c r="EW12" s="266" t="n">
        <v>649068.8332716348</v>
      </c>
      <c r="EX12" s="266" t="n">
        <v>622323.0668725963</v>
      </c>
      <c r="EY12" s="266" t="n">
        <v>595577.3004735578</v>
      </c>
      <c r="EZ12" s="266" t="n">
        <v>568831.5340745192</v>
      </c>
      <c r="FA12" s="266" t="n">
        <v>542085.7676754809</v>
      </c>
      <c r="FB12" s="266" t="n">
        <v>515340.0012764423</v>
      </c>
      <c r="FC12" s="266" t="n">
        <v>488594.2348774039</v>
      </c>
      <c r="FD12" s="266" t="n">
        <v>461679.7734302884</v>
      </c>
      <c r="FE12" s="266" t="n">
        <v>434765.3119831731</v>
      </c>
      <c r="FF12" s="266" t="n">
        <v>407330.7630360577</v>
      </c>
      <c r="FG12" s="266" t="n">
        <v>379896.2140889424</v>
      </c>
      <c r="FH12" s="266" t="n">
        <v>352461.6651418269</v>
      </c>
      <c r="FI12" s="266" t="n">
        <v>325027.1161947115</v>
      </c>
      <c r="FJ12" s="266" t="n">
        <v>308332.3741225961</v>
      </c>
      <c r="FK12" s="266" t="n">
        <v>302377.4389254807</v>
      </c>
      <c r="FL12" s="266" t="n">
        <v>296422.5037283654</v>
      </c>
      <c r="FM12" s="266" t="n">
        <v>290298.8734831731</v>
      </c>
      <c r="FN12" s="266" t="n">
        <v>284175.2432379808</v>
      </c>
      <c r="FO12" s="266" t="n">
        <v>278051.6129927885</v>
      </c>
      <c r="FP12" s="266" t="n">
        <v>271927.9827475962</v>
      </c>
      <c r="FQ12" s="266" t="n">
        <v>265804.3525024039</v>
      </c>
      <c r="FR12" s="266" t="n">
        <v>259680.7222572116</v>
      </c>
      <c r="FS12" s="266" t="n">
        <v>253557.0920120193</v>
      </c>
      <c r="FT12" s="266" t="n">
        <v>247433.4617668269</v>
      </c>
      <c r="FU12" s="266" t="n">
        <v>241141.1364735577</v>
      </c>
      <c r="FV12" s="266" t="n">
        <v>234848.8111802885</v>
      </c>
      <c r="FW12" s="266" t="n">
        <v>228556.4858870192</v>
      </c>
      <c r="FX12" s="266" t="n">
        <v>222264.16059375</v>
      </c>
      <c r="FY12" s="266" t="n">
        <v>215971.8353004807</v>
      </c>
      <c r="FZ12" s="266" t="n">
        <v>209679.5100072115</v>
      </c>
      <c r="GA12" s="266" t="n">
        <v>203387.1847139423</v>
      </c>
      <c r="GB12" s="266" t="n">
        <v>197094.859420673</v>
      </c>
      <c r="GC12" s="266" t="n">
        <v>190633.8390793269</v>
      </c>
      <c r="GD12" s="266" t="n">
        <v>184172.8187379808</v>
      </c>
      <c r="GE12" s="266" t="n">
        <v>177711.7983966346</v>
      </c>
      <c r="GF12" s="266" t="n">
        <v>171250.7780552885</v>
      </c>
      <c r="GG12" s="266" t="n">
        <v>164789.7577139423</v>
      </c>
      <c r="GH12" s="266" t="n">
        <v>158328.7373725961</v>
      </c>
      <c r="GI12" s="266" t="n">
        <v>151867.71703125</v>
      </c>
      <c r="GJ12" s="266" t="n">
        <v>145406.6966899039</v>
      </c>
      <c r="GK12" s="266" t="n">
        <v>138776.9813004808</v>
      </c>
      <c r="GL12" s="266" t="n">
        <v>132147.2659110577</v>
      </c>
      <c r="GM12" s="266" t="n">
        <v>125517.5505216346</v>
      </c>
      <c r="GN12" s="266" t="n">
        <v>118887.8351322115</v>
      </c>
      <c r="GO12" s="266" t="n">
        <v>112258.1197427885</v>
      </c>
      <c r="GP12" s="266" t="n">
        <v>105628.4043533654</v>
      </c>
      <c r="GQ12" s="266" t="n">
        <v>98998.68896394232</v>
      </c>
      <c r="GR12" s="266" t="n">
        <v>92368.97357451924</v>
      </c>
      <c r="GS12" s="266" t="n">
        <v>85739.25818509617</v>
      </c>
      <c r="GT12" s="266" t="n">
        <v>78940.84774759617</v>
      </c>
      <c r="GU12" s="266" t="n">
        <v>72142.43731009617</v>
      </c>
      <c r="GV12" s="266" t="n">
        <v>65344.02687259617</v>
      </c>
      <c r="GW12" s="266" t="n">
        <v>58545.61643509617</v>
      </c>
      <c r="GX12" s="266" t="n">
        <v>51747.20599759615</v>
      </c>
      <c r="GY12" s="266" t="n">
        <v>44948.79556009616</v>
      </c>
      <c r="GZ12" s="266" t="n">
        <v>38150.38512259616</v>
      </c>
      <c r="HA12" s="266" t="n">
        <v>31351.97468509616</v>
      </c>
      <c r="HB12" s="266" t="n">
        <v>24384.86919951923</v>
      </c>
      <c r="HC12" s="266" t="n">
        <v>17417.76371394231</v>
      </c>
      <c r="HD12" s="266" t="n">
        <v>10450.65822836538</v>
      </c>
      <c r="HE12" s="266" t="n">
        <v>3483.552742788462</v>
      </c>
      <c r="HF12" s="266" t="n">
        <v>91207.78932692308</v>
      </c>
      <c r="HG12" s="266" t="n">
        <v>85683.02650240385</v>
      </c>
      <c r="HH12" s="266" t="n">
        <v>80017.68447115386</v>
      </c>
      <c r="HI12" s="266" t="n">
        <v>74352.34243990385</v>
      </c>
      <c r="HJ12" s="266" t="n">
        <v>68687.00040865387</v>
      </c>
      <c r="HK12" s="266" t="n">
        <v>63021.65837740386</v>
      </c>
      <c r="HL12" s="266" t="n">
        <v>57356.31634615386</v>
      </c>
      <c r="HM12" s="266" t="n">
        <v>51690.97431490385</v>
      </c>
      <c r="HN12" s="266" t="n">
        <v>46025.63228365385</v>
      </c>
      <c r="HO12" s="266" t="n">
        <v>40360.29025240384</v>
      </c>
      <c r="HP12" s="266" t="n">
        <v>34694.94822115384</v>
      </c>
      <c r="HQ12" s="266" t="n">
        <v>29029.60618990384</v>
      </c>
      <c r="HR12" s="266" t="n">
        <v>23223.68495192307</v>
      </c>
      <c r="HS12" s="266" t="n">
        <v>17417.76371394231</v>
      </c>
      <c r="HT12" s="266" t="n">
        <v>11611.84247596154</v>
      </c>
      <c r="HU12" s="266" t="n">
        <v>5805.921237980769</v>
      </c>
    </row>
    <row r="13" ht="7.2" customHeight="1" thickTop="1">
      <c r="A13" s="1" t="n"/>
      <c r="B13" s="128" t="n"/>
      <c r="C13" s="1" t="n"/>
      <c r="D13" s="1" t="n"/>
      <c r="E13" s="14" t="n"/>
      <c r="F13" s="14" t="n"/>
      <c r="G13" s="14" t="n"/>
      <c r="H13" s="14" t="n"/>
      <c r="I13" s="14" t="n"/>
      <c r="J13" s="156" t="n"/>
      <c r="K13" s="1" t="n"/>
      <c r="L13" s="1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" t="n"/>
      <c r="AE13" s="128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289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289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289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289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289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</row>
    <row r="14" ht="16.2" customFormat="1" customHeight="1" s="259">
      <c r="A14" s="65" t="inlineStr">
        <is>
          <t>APORTE DE SÓCIOS</t>
        </is>
      </c>
      <c r="B14" s="129" t="n"/>
      <c r="C14" s="70" t="n"/>
      <c r="D14" s="70" t="n"/>
      <c r="E14" s="70" t="n"/>
      <c r="F14" s="70" t="n"/>
      <c r="G14" s="70" t="n"/>
      <c r="H14" s="70" t="n"/>
      <c r="I14" s="70" t="n"/>
      <c r="J14" s="155" t="n"/>
      <c r="K14" s="70" t="n"/>
      <c r="L14" s="70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198" t="n"/>
      <c r="AE14" s="233" t="n"/>
      <c r="AF14" s="198" t="n"/>
      <c r="AG14" s="70" t="n"/>
      <c r="AH14" s="70" t="n"/>
      <c r="AI14" s="70" t="n"/>
      <c r="AJ14" s="70" t="n"/>
      <c r="AK14" s="70" t="n"/>
      <c r="AL14" s="70" t="n"/>
      <c r="AM14" s="70" t="n"/>
      <c r="AN14" s="70" t="n"/>
      <c r="AO14" s="70" t="n"/>
      <c r="AP14" s="70" t="n"/>
      <c r="AQ14" s="70" t="n"/>
      <c r="AR14" s="70" t="n"/>
      <c r="AS14" s="70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  <c r="BC14" s="70" t="n"/>
      <c r="BD14" s="287" t="n"/>
      <c r="BE14" s="70" t="n"/>
      <c r="BF14" s="70" t="n"/>
      <c r="BG14" s="70" t="n"/>
      <c r="BH14" s="70" t="n"/>
      <c r="BI14" s="70" t="n"/>
      <c r="BJ14" s="70" t="n"/>
      <c r="BK14" s="70" t="n"/>
      <c r="BL14" s="70" t="n"/>
      <c r="BM14" s="70" t="n"/>
      <c r="BN14" s="70" t="n"/>
      <c r="BO14" s="70" t="n"/>
      <c r="BP14" s="287" t="n"/>
      <c r="BQ14" s="70" t="n"/>
      <c r="BR14" s="70" t="n"/>
      <c r="BS14" s="70" t="n"/>
      <c r="BT14" s="70" t="n"/>
      <c r="BU14" s="70" t="n"/>
      <c r="BV14" s="70" t="n"/>
      <c r="BW14" s="70" t="n"/>
      <c r="BX14" s="70" t="n"/>
      <c r="BY14" s="70" t="n"/>
      <c r="BZ14" s="70" t="n"/>
      <c r="CA14" s="70" t="n"/>
      <c r="CB14" s="287" t="n"/>
      <c r="CC14" s="70" t="n"/>
      <c r="CD14" s="70" t="n"/>
      <c r="CE14" s="70" t="n"/>
      <c r="CF14" s="70" t="n"/>
      <c r="CG14" s="70" t="n"/>
      <c r="CH14" s="70" t="n"/>
      <c r="CI14" s="70" t="n"/>
      <c r="CJ14" s="70" t="n"/>
      <c r="CK14" s="70" t="n"/>
      <c r="CL14" s="70" t="n"/>
      <c r="CM14" s="70" t="n"/>
      <c r="CN14" s="287" t="n"/>
      <c r="CO14" s="70" t="n"/>
      <c r="CP14" s="70" t="n"/>
      <c r="CQ14" s="70" t="n"/>
      <c r="CR14" s="70" t="n"/>
      <c r="CS14" s="70" t="n"/>
      <c r="CT14" s="70" t="n"/>
      <c r="CU14" s="70" t="n"/>
      <c r="CV14" s="70" t="n"/>
      <c r="CW14" s="70" t="n"/>
      <c r="CX14" s="70" t="n"/>
      <c r="CY14" s="70" t="n"/>
      <c r="CZ14" s="287" t="n"/>
      <c r="DA14" s="70" t="n"/>
      <c r="DB14" s="70" t="n"/>
      <c r="DC14" s="70" t="n"/>
      <c r="DD14" s="70" t="n"/>
      <c r="DE14" s="70" t="n"/>
      <c r="DF14" s="70" t="n"/>
      <c r="DG14" s="70" t="n"/>
      <c r="DH14" s="70" t="n"/>
      <c r="DI14" s="70" t="n"/>
      <c r="DJ14" s="70" t="n"/>
      <c r="DK14" s="70" t="n"/>
      <c r="DL14" s="70" t="n"/>
      <c r="DM14" s="70" t="n"/>
      <c r="DN14" s="70" t="n"/>
      <c r="DO14" s="70" t="n"/>
      <c r="DP14" s="70" t="n"/>
      <c r="DQ14" s="70" t="n"/>
      <c r="DR14" s="70" t="n"/>
      <c r="DS14" s="70" t="n"/>
      <c r="DT14" s="70" t="n"/>
      <c r="DU14" s="70" t="n"/>
      <c r="DV14" s="70" t="n"/>
      <c r="DW14" s="70" t="n"/>
      <c r="DX14" s="70" t="n"/>
      <c r="DY14" s="70" t="n"/>
      <c r="DZ14" s="70" t="n"/>
      <c r="EA14" s="70" t="n"/>
      <c r="EB14" s="70" t="n"/>
      <c r="EC14" s="70" t="n"/>
      <c r="ED14" s="70" t="n"/>
      <c r="EE14" s="70" t="n"/>
      <c r="EF14" s="70" t="n"/>
      <c r="EG14" s="70" t="n"/>
      <c r="EH14" s="70" t="n"/>
      <c r="EI14" s="70" t="n"/>
      <c r="EJ14" s="70" t="n"/>
      <c r="EK14" s="70" t="n"/>
      <c r="EL14" s="70" t="n"/>
      <c r="EM14" s="70" t="n"/>
      <c r="EN14" s="70" t="n"/>
      <c r="EO14" s="70" t="n"/>
      <c r="EP14" s="70" t="n"/>
      <c r="EQ14" s="70" t="n"/>
      <c r="ER14" s="70" t="n"/>
      <c r="ES14" s="70" t="n"/>
      <c r="ET14" s="70" t="n"/>
      <c r="EU14" s="70" t="n"/>
      <c r="EV14" s="70" t="n"/>
      <c r="EW14" s="70" t="n"/>
      <c r="EX14" s="70" t="n"/>
      <c r="EY14" s="70" t="n"/>
      <c r="EZ14" s="70" t="n"/>
      <c r="FA14" s="70" t="n"/>
      <c r="FB14" s="70" t="n"/>
      <c r="FC14" s="70" t="n"/>
      <c r="FD14" s="70" t="n"/>
      <c r="FE14" s="70" t="n"/>
      <c r="FF14" s="70" t="n"/>
      <c r="FG14" s="70" t="n"/>
      <c r="FH14" s="70" t="n"/>
      <c r="FI14" s="70" t="n"/>
      <c r="FJ14" s="70" t="n"/>
      <c r="FK14" s="70" t="n"/>
      <c r="FL14" s="70" t="n"/>
      <c r="FM14" s="70" t="n"/>
      <c r="FN14" s="70" t="n"/>
      <c r="FO14" s="70" t="n"/>
      <c r="FP14" s="70" t="n"/>
      <c r="FQ14" s="70" t="n"/>
      <c r="FR14" s="70" t="n"/>
      <c r="FS14" s="70" t="n"/>
      <c r="FT14" s="70" t="n"/>
      <c r="FU14" s="70" t="n"/>
      <c r="FV14" s="70" t="n"/>
      <c r="FW14" s="70" t="n"/>
      <c r="FX14" s="70" t="n"/>
      <c r="FY14" s="70" t="n"/>
      <c r="FZ14" s="70" t="n"/>
      <c r="GA14" s="70" t="n"/>
      <c r="GB14" s="70" t="n"/>
      <c r="GC14" s="70" t="n"/>
      <c r="GD14" s="70" t="n"/>
      <c r="GE14" s="70" t="n"/>
      <c r="GF14" s="70" t="n"/>
      <c r="GG14" s="70" t="n"/>
      <c r="GH14" s="70" t="n"/>
      <c r="GI14" s="70" t="n"/>
      <c r="GJ14" s="70" t="n"/>
      <c r="GK14" s="70" t="n"/>
      <c r="GL14" s="70" t="n"/>
      <c r="GM14" s="70" t="n"/>
      <c r="GN14" s="70" t="n"/>
      <c r="GO14" s="70" t="n"/>
      <c r="GP14" s="70" t="n"/>
      <c r="GQ14" s="70" t="n"/>
      <c r="GR14" s="70" t="n"/>
      <c r="GS14" s="70" t="n"/>
      <c r="GT14" s="70" t="n"/>
      <c r="GU14" s="70" t="n"/>
      <c r="GV14" s="70" t="n"/>
      <c r="GW14" s="70" t="n"/>
      <c r="GX14" s="70" t="n"/>
      <c r="GY14" s="70" t="n"/>
      <c r="GZ14" s="70" t="n"/>
      <c r="HA14" s="70" t="n"/>
      <c r="HB14" s="70" t="n"/>
      <c r="HC14" s="70" t="n"/>
      <c r="HD14" s="70" t="n"/>
      <c r="HE14" s="70" t="n"/>
      <c r="HF14" s="70" t="n"/>
      <c r="HG14" s="70" t="n"/>
      <c r="HH14" s="70" t="n"/>
      <c r="HI14" s="70" t="n"/>
      <c r="HJ14" s="70" t="n"/>
      <c r="HK14" s="70" t="n"/>
      <c r="HL14" s="70" t="n"/>
      <c r="HM14" s="70" t="n"/>
      <c r="HN14" s="70" t="n"/>
      <c r="HO14" s="70" t="n"/>
      <c r="HP14" s="70" t="n"/>
      <c r="HQ14" s="70" t="n"/>
      <c r="HR14" s="70" t="n"/>
      <c r="HS14" s="70" t="n"/>
      <c r="HT14" s="70" t="n"/>
      <c r="HU14" s="70" t="n"/>
    </row>
    <row r="15" ht="16.2" customHeight="1" thickBot="1">
      <c r="A15" s="54" t="inlineStr">
        <is>
          <t>Aportes</t>
        </is>
      </c>
      <c r="B15" s="130">
        <f>SUM(C15:Z15)</f>
        <v/>
      </c>
      <c r="C15" s="214" t="n">
        <v>2004788.24</v>
      </c>
      <c r="D15" s="69" t="n"/>
      <c r="E15" s="67" t="n"/>
      <c r="F15" s="67" t="n"/>
      <c r="G15" s="67" t="n"/>
      <c r="H15" s="67" t="n"/>
      <c r="I15" s="68" t="n"/>
      <c r="J15" s="189" t="n"/>
      <c r="K15" s="34" t="n"/>
      <c r="L15" s="34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159" t="n"/>
      <c r="Y15" s="214" t="n">
        <v>1000000</v>
      </c>
      <c r="Z15" s="214" t="n">
        <v>1000000</v>
      </c>
      <c r="AA15" s="214" t="n"/>
      <c r="AB15" s="214" t="n">
        <v>1000000</v>
      </c>
      <c r="AC15" s="214" t="n"/>
      <c r="AD15" s="71" t="n"/>
      <c r="AE15" s="342">
        <f>SUM(AG15:HU15)</f>
        <v/>
      </c>
      <c r="AF15" s="71" t="n"/>
      <c r="AG15" s="69" t="n">
        <v>0</v>
      </c>
      <c r="AH15" s="69" t="n">
        <v>0</v>
      </c>
      <c r="AI15" s="67" t="n">
        <v>0</v>
      </c>
      <c r="AJ15" s="67" t="n">
        <v>0</v>
      </c>
      <c r="AK15" s="67" t="n">
        <v>0</v>
      </c>
      <c r="AL15" s="67" t="n">
        <v>0</v>
      </c>
      <c r="AM15" s="67" t="n">
        <v>0</v>
      </c>
      <c r="AN15" s="67" t="n">
        <v>0</v>
      </c>
      <c r="AO15" s="67" t="n">
        <v>0</v>
      </c>
      <c r="AP15" s="67" t="n">
        <v>0</v>
      </c>
      <c r="AQ15" s="68" t="n">
        <v>0</v>
      </c>
      <c r="AR15" s="68" t="n">
        <v>0</v>
      </c>
      <c r="AS15" s="67" t="n">
        <v>0</v>
      </c>
      <c r="AT15" s="67" t="n">
        <v>0</v>
      </c>
      <c r="AU15" s="67" t="n">
        <v>0</v>
      </c>
      <c r="AV15" s="67" t="n">
        <v>0</v>
      </c>
      <c r="AW15" s="67" t="n">
        <v>0</v>
      </c>
      <c r="AX15" s="67" t="n">
        <v>0</v>
      </c>
      <c r="AY15" s="67" t="n">
        <v>0</v>
      </c>
      <c r="AZ15" s="67" t="n">
        <v>0</v>
      </c>
      <c r="BA15" s="67" t="n">
        <v>0</v>
      </c>
      <c r="BB15" s="67" t="n">
        <v>0</v>
      </c>
      <c r="BC15" s="67" t="n"/>
      <c r="BD15" s="288" t="n">
        <v>0</v>
      </c>
      <c r="BE15" s="69" t="n">
        <v>0</v>
      </c>
      <c r="BF15" s="67" t="n">
        <v>0</v>
      </c>
      <c r="BG15" s="67" t="n">
        <v>0</v>
      </c>
      <c r="BH15" s="67" t="n">
        <v>0</v>
      </c>
      <c r="BI15" s="67" t="n">
        <v>0</v>
      </c>
      <c r="BJ15" s="67" t="n">
        <v>0</v>
      </c>
      <c r="BK15" s="67" t="n">
        <v>0</v>
      </c>
      <c r="BL15" s="67" t="n">
        <v>0</v>
      </c>
      <c r="BM15" s="67" t="n">
        <v>0</v>
      </c>
      <c r="BN15" s="67" t="n">
        <v>0</v>
      </c>
      <c r="BO15" s="67" t="n">
        <v>0</v>
      </c>
      <c r="BP15" s="288" t="n">
        <v>0</v>
      </c>
      <c r="BQ15" s="69" t="n">
        <v>0</v>
      </c>
      <c r="BR15" s="67" t="n">
        <v>0</v>
      </c>
      <c r="BS15" s="67" t="n">
        <v>0</v>
      </c>
      <c r="BT15" s="67" t="n">
        <v>0</v>
      </c>
      <c r="BU15" s="67" t="n">
        <v>0</v>
      </c>
      <c r="BV15" s="67" t="n">
        <v>0</v>
      </c>
      <c r="BW15" s="67" t="n">
        <v>0</v>
      </c>
      <c r="BX15" s="67" t="n">
        <v>0</v>
      </c>
      <c r="BY15" s="67" t="n">
        <v>0</v>
      </c>
      <c r="BZ15" s="67" t="n">
        <v>0</v>
      </c>
      <c r="CA15" s="67" t="n">
        <v>0</v>
      </c>
      <c r="CB15" s="288" t="n">
        <v>0</v>
      </c>
      <c r="CC15" s="69" t="n">
        <v>0</v>
      </c>
      <c r="CD15" s="67" t="n">
        <v>0</v>
      </c>
      <c r="CE15" s="67" t="n">
        <v>0</v>
      </c>
      <c r="CF15" s="67" t="n">
        <v>0</v>
      </c>
      <c r="CG15" s="67" t="n">
        <v>0</v>
      </c>
      <c r="CH15" s="67" t="n">
        <v>0</v>
      </c>
      <c r="CI15" s="67" t="n">
        <v>0</v>
      </c>
      <c r="CJ15" s="67" t="n">
        <v>0</v>
      </c>
      <c r="CK15" s="67" t="n">
        <v>0</v>
      </c>
      <c r="CL15" s="67" t="n">
        <v>0</v>
      </c>
      <c r="CM15" s="67" t="n">
        <v>0</v>
      </c>
      <c r="CN15" s="288" t="n">
        <v>0</v>
      </c>
      <c r="CO15" s="69" t="n">
        <v>0</v>
      </c>
      <c r="CP15" s="67" t="n">
        <v>0</v>
      </c>
      <c r="CQ15" s="67" t="n">
        <v>0</v>
      </c>
      <c r="CR15" s="67" t="n">
        <v>0</v>
      </c>
      <c r="CS15" s="67" t="n">
        <v>0</v>
      </c>
      <c r="CT15" s="67" t="n">
        <v>0</v>
      </c>
      <c r="CU15" s="67" t="n">
        <v>0</v>
      </c>
      <c r="CV15" s="67" t="n">
        <v>0</v>
      </c>
      <c r="CW15" s="67" t="n">
        <v>0</v>
      </c>
      <c r="CX15" s="67" t="n">
        <v>0</v>
      </c>
      <c r="CY15" s="67" t="n">
        <v>0</v>
      </c>
      <c r="CZ15" s="288" t="n">
        <v>0</v>
      </c>
      <c r="DA15" s="69" t="n">
        <v>0</v>
      </c>
      <c r="DB15" s="67" t="n">
        <v>0</v>
      </c>
      <c r="DC15" s="67" t="n">
        <v>0</v>
      </c>
      <c r="DD15" s="67" t="n">
        <v>0</v>
      </c>
      <c r="DE15" s="67" t="n">
        <v>0</v>
      </c>
      <c r="DF15" s="67" t="n">
        <v>0</v>
      </c>
      <c r="DG15" s="67" t="n">
        <v>0</v>
      </c>
      <c r="DH15" s="67" t="n">
        <v>0</v>
      </c>
      <c r="DI15" s="67" t="n">
        <v>0</v>
      </c>
      <c r="DJ15" s="68" t="n">
        <v>0</v>
      </c>
      <c r="DK15" s="67" t="n">
        <v>0</v>
      </c>
      <c r="DL15" s="68" t="n">
        <v>0</v>
      </c>
      <c r="DM15" s="67" t="n">
        <v>0</v>
      </c>
      <c r="DN15" s="68" t="n">
        <v>0</v>
      </c>
      <c r="DO15" s="68" t="n">
        <v>0</v>
      </c>
      <c r="DP15" s="68" t="n">
        <v>0</v>
      </c>
      <c r="DQ15" s="68" t="n">
        <v>0</v>
      </c>
      <c r="DR15" s="68" t="n">
        <v>0</v>
      </c>
      <c r="DS15" s="68" t="n">
        <v>0</v>
      </c>
      <c r="DT15" s="68" t="n">
        <v>0</v>
      </c>
      <c r="DU15" s="68" t="n">
        <v>0</v>
      </c>
      <c r="DV15" s="68" t="n">
        <v>0</v>
      </c>
      <c r="DW15" s="68" t="n">
        <v>0</v>
      </c>
      <c r="DX15" s="68" t="n">
        <v>0</v>
      </c>
      <c r="DY15" s="68" t="n">
        <v>0</v>
      </c>
      <c r="DZ15" s="68" t="n">
        <v>0</v>
      </c>
      <c r="EA15" s="68" t="n">
        <v>0</v>
      </c>
      <c r="EB15" s="68" t="n">
        <v>0</v>
      </c>
      <c r="EC15" s="68" t="n">
        <v>0</v>
      </c>
      <c r="ED15" s="68" t="n">
        <v>0</v>
      </c>
      <c r="EE15" s="68" t="n">
        <v>0</v>
      </c>
      <c r="EF15" s="68" t="n">
        <v>0</v>
      </c>
      <c r="EG15" s="68" t="n">
        <v>0</v>
      </c>
      <c r="EH15" s="68" t="n">
        <v>0</v>
      </c>
      <c r="EI15" s="68" t="n">
        <v>0</v>
      </c>
      <c r="EJ15" s="68" t="n">
        <v>0</v>
      </c>
      <c r="EK15" s="68" t="n">
        <v>0</v>
      </c>
      <c r="EL15" s="68" t="n">
        <v>0</v>
      </c>
      <c r="EM15" s="68" t="n">
        <v>0</v>
      </c>
      <c r="EN15" s="68" t="n">
        <v>0</v>
      </c>
      <c r="EO15" s="68" t="n">
        <v>0</v>
      </c>
      <c r="EP15" s="68" t="n">
        <v>0</v>
      </c>
      <c r="EQ15" s="68" t="n">
        <v>0</v>
      </c>
      <c r="ER15" s="68" t="n">
        <v>0</v>
      </c>
      <c r="ES15" s="68" t="n">
        <v>0</v>
      </c>
      <c r="ET15" s="68" t="n">
        <v>0</v>
      </c>
      <c r="EU15" s="68" t="n">
        <v>0</v>
      </c>
      <c r="EV15" s="68" t="n">
        <v>0</v>
      </c>
      <c r="EW15" s="68" t="n">
        <v>0</v>
      </c>
      <c r="EX15" s="68" t="n">
        <v>0</v>
      </c>
      <c r="EY15" s="68" t="n">
        <v>0</v>
      </c>
      <c r="EZ15" s="68" t="n">
        <v>0</v>
      </c>
      <c r="FA15" s="68" t="n">
        <v>0</v>
      </c>
      <c r="FB15" s="68" t="n">
        <v>0</v>
      </c>
      <c r="FC15" s="68" t="n">
        <v>0</v>
      </c>
      <c r="FD15" s="68" t="n">
        <v>0</v>
      </c>
      <c r="FE15" s="68" t="n">
        <v>0</v>
      </c>
      <c r="FF15" s="68" t="n">
        <v>0</v>
      </c>
      <c r="FG15" s="68" t="n">
        <v>0</v>
      </c>
      <c r="FH15" s="68" t="n">
        <v>0</v>
      </c>
      <c r="FI15" s="68" t="n">
        <v>0</v>
      </c>
      <c r="FJ15" s="68" t="n">
        <v>0</v>
      </c>
      <c r="FK15" s="68" t="n">
        <v>0</v>
      </c>
      <c r="FL15" s="68" t="n">
        <v>0</v>
      </c>
      <c r="FM15" s="68" t="n">
        <v>0</v>
      </c>
      <c r="FN15" s="68" t="n">
        <v>0</v>
      </c>
      <c r="FO15" s="68" t="n">
        <v>0</v>
      </c>
      <c r="FP15" s="68" t="n">
        <v>0</v>
      </c>
      <c r="FQ15" s="68" t="n">
        <v>0</v>
      </c>
      <c r="FR15" s="68" t="n">
        <v>0</v>
      </c>
      <c r="FS15" s="68" t="n">
        <v>0</v>
      </c>
      <c r="FT15" s="68" t="n">
        <v>0</v>
      </c>
      <c r="FU15" s="68" t="n">
        <v>0</v>
      </c>
      <c r="FV15" s="68" t="n">
        <v>0</v>
      </c>
      <c r="FW15" s="68" t="n">
        <v>0</v>
      </c>
      <c r="FX15" s="68" t="n">
        <v>0</v>
      </c>
      <c r="FY15" s="68" t="n">
        <v>0</v>
      </c>
      <c r="FZ15" s="68" t="n">
        <v>0</v>
      </c>
      <c r="GA15" s="68" t="n">
        <v>0</v>
      </c>
      <c r="GB15" s="68" t="n">
        <v>0</v>
      </c>
      <c r="GC15" s="68" t="n">
        <v>0</v>
      </c>
      <c r="GD15" s="68" t="n">
        <v>0</v>
      </c>
      <c r="GE15" s="68" t="n">
        <v>0</v>
      </c>
      <c r="GF15" s="68" t="n">
        <v>0</v>
      </c>
      <c r="GG15" s="68" t="n">
        <v>0</v>
      </c>
      <c r="GH15" s="68" t="n">
        <v>0</v>
      </c>
      <c r="GI15" s="68" t="n">
        <v>0</v>
      </c>
      <c r="GJ15" s="68" t="n">
        <v>0</v>
      </c>
      <c r="GK15" s="68" t="n">
        <v>0</v>
      </c>
      <c r="GL15" s="68" t="n">
        <v>0</v>
      </c>
      <c r="GM15" s="68" t="n">
        <v>0</v>
      </c>
      <c r="GN15" s="68" t="n">
        <v>0</v>
      </c>
      <c r="GO15" s="68" t="n">
        <v>0</v>
      </c>
      <c r="GP15" s="68" t="n">
        <v>0</v>
      </c>
      <c r="GQ15" s="68" t="n">
        <v>0</v>
      </c>
      <c r="GR15" s="68" t="n">
        <v>0</v>
      </c>
      <c r="GS15" s="68" t="n">
        <v>0</v>
      </c>
      <c r="GT15" s="68" t="n">
        <v>0</v>
      </c>
      <c r="GU15" s="68" t="n">
        <v>0</v>
      </c>
      <c r="GV15" s="68" t="n">
        <v>0</v>
      </c>
      <c r="GW15" s="68" t="n">
        <v>0</v>
      </c>
      <c r="GX15" s="68" t="n">
        <v>0</v>
      </c>
      <c r="GY15" s="68" t="n">
        <v>0</v>
      </c>
      <c r="GZ15" s="68" t="n">
        <v>0</v>
      </c>
      <c r="HA15" s="68" t="n">
        <v>0</v>
      </c>
      <c r="HB15" s="68" t="n">
        <v>0</v>
      </c>
      <c r="HC15" s="68" t="n">
        <v>0</v>
      </c>
      <c r="HD15" s="68" t="n">
        <v>0</v>
      </c>
      <c r="HE15" s="68" t="n">
        <v>0</v>
      </c>
      <c r="HF15" s="68" t="n">
        <v>0</v>
      </c>
      <c r="HG15" s="68" t="n">
        <v>0</v>
      </c>
      <c r="HH15" s="68" t="n">
        <v>0</v>
      </c>
      <c r="HI15" s="68" t="n">
        <v>0</v>
      </c>
      <c r="HJ15" s="68" t="n">
        <v>0</v>
      </c>
      <c r="HK15" s="68" t="n">
        <v>0</v>
      </c>
      <c r="HL15" s="68" t="n">
        <v>0</v>
      </c>
      <c r="HM15" s="68" t="n">
        <v>0</v>
      </c>
      <c r="HN15" s="68" t="n">
        <v>0</v>
      </c>
      <c r="HO15" s="68" t="n">
        <v>0</v>
      </c>
      <c r="HP15" s="68" t="n">
        <v>0</v>
      </c>
      <c r="HQ15" s="68" t="n">
        <v>0</v>
      </c>
      <c r="HR15" s="68" t="n">
        <v>0</v>
      </c>
      <c r="HS15" s="68" t="n">
        <v>0</v>
      </c>
      <c r="HT15" s="68" t="n">
        <v>0</v>
      </c>
      <c r="HU15" s="68" t="n">
        <v>0</v>
      </c>
    </row>
    <row r="16" ht="7.2" customHeight="1" thickTop="1">
      <c r="A16" s="1" t="n"/>
      <c r="B16" s="128" t="n"/>
      <c r="C16" s="512" t="n"/>
      <c r="D16" s="512" t="n"/>
      <c r="E16" s="512" t="n"/>
      <c r="F16" s="512" t="n"/>
      <c r="G16" s="512" t="n"/>
      <c r="H16" s="512" t="n"/>
      <c r="I16" s="512" t="n"/>
      <c r="J16" s="513" t="n"/>
      <c r="K16" s="512" t="n"/>
      <c r="L16" s="512" t="n"/>
      <c r="M16" s="514" t="n"/>
      <c r="N16" s="514" t="n"/>
      <c r="O16" s="514" t="n"/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3" t="n"/>
      <c r="AE16" s="235" t="n"/>
      <c r="AF16" s="53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5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5" t="n"/>
      <c r="BQ16" s="512" t="n"/>
      <c r="BR16" s="512" t="n"/>
      <c r="BS16" s="512" t="n"/>
      <c r="BT16" s="512" t="n"/>
      <c r="BU16" s="512" t="n"/>
      <c r="BV16" s="512" t="n"/>
      <c r="BW16" s="512" t="n"/>
      <c r="BX16" s="512" t="n"/>
      <c r="BY16" s="512" t="n"/>
      <c r="BZ16" s="512" t="n"/>
      <c r="CA16" s="512" t="n"/>
      <c r="CB16" s="515" t="n"/>
      <c r="CC16" s="512" t="n"/>
      <c r="CD16" s="512" t="n"/>
      <c r="CE16" s="512" t="n"/>
      <c r="CF16" s="512" t="n"/>
      <c r="CG16" s="512" t="n"/>
      <c r="CH16" s="512" t="n"/>
      <c r="CI16" s="512" t="n"/>
      <c r="CJ16" s="512" t="n"/>
      <c r="CK16" s="512" t="n"/>
      <c r="CL16" s="512" t="n"/>
      <c r="CM16" s="512" t="n"/>
      <c r="CN16" s="515" t="n"/>
      <c r="CO16" s="512" t="n"/>
      <c r="CP16" s="512" t="n"/>
      <c r="CQ16" s="512" t="n"/>
      <c r="CR16" s="512" t="n"/>
      <c r="CS16" s="512" t="n"/>
      <c r="CT16" s="512" t="n"/>
      <c r="CU16" s="512" t="n"/>
      <c r="CV16" s="512" t="n"/>
      <c r="CW16" s="512" t="n"/>
      <c r="CX16" s="512" t="n"/>
      <c r="CY16" s="512" t="n"/>
      <c r="CZ16" s="515" t="n"/>
      <c r="DA16" s="512" t="n"/>
      <c r="DB16" s="512" t="n"/>
      <c r="DC16" s="512" t="n"/>
      <c r="DD16" s="512" t="n"/>
      <c r="DE16" s="512" t="n"/>
      <c r="DF16" s="512" t="n"/>
      <c r="DG16" s="512" t="n"/>
      <c r="DH16" s="512" t="n"/>
      <c r="DI16" s="512" t="n"/>
      <c r="DJ16" s="512" t="n"/>
      <c r="DK16" s="512" t="n"/>
      <c r="DL16" s="512" t="n"/>
      <c r="DM16" s="512" t="n"/>
      <c r="DN16" s="512" t="n"/>
      <c r="DO16" s="512" t="n"/>
      <c r="DP16" s="512" t="n"/>
      <c r="DQ16" s="512" t="n"/>
      <c r="DR16" s="512" t="n"/>
      <c r="DS16" s="512" t="n"/>
      <c r="DT16" s="512" t="n"/>
      <c r="DU16" s="512" t="n"/>
      <c r="DV16" s="512" t="n"/>
      <c r="DW16" s="512" t="n"/>
      <c r="DX16" s="512" t="n"/>
      <c r="DY16" s="512" t="n"/>
      <c r="DZ16" s="512" t="n"/>
      <c r="EA16" s="512" t="n"/>
      <c r="EB16" s="512" t="n"/>
      <c r="EC16" s="512" t="n"/>
      <c r="ED16" s="512" t="n"/>
      <c r="EE16" s="512" t="n"/>
      <c r="EF16" s="512" t="n"/>
      <c r="EG16" s="512" t="n"/>
      <c r="EH16" s="512" t="n"/>
      <c r="EI16" s="512" t="n"/>
      <c r="EJ16" s="512" t="n"/>
      <c r="EK16" s="512" t="n"/>
      <c r="EL16" s="512" t="n"/>
      <c r="EM16" s="512" t="n"/>
      <c r="EN16" s="512" t="n"/>
      <c r="EO16" s="512" t="n"/>
      <c r="EP16" s="512" t="n"/>
      <c r="EQ16" s="512" t="n"/>
      <c r="ER16" s="512" t="n"/>
      <c r="ES16" s="512" t="n"/>
      <c r="ET16" s="512" t="n"/>
      <c r="EU16" s="512" t="n"/>
      <c r="EV16" s="512" t="n"/>
      <c r="EW16" s="512" t="n"/>
      <c r="EX16" s="512" t="n"/>
      <c r="EY16" s="512" t="n"/>
      <c r="EZ16" s="512" t="n"/>
      <c r="FA16" s="512" t="n"/>
      <c r="FB16" s="512" t="n"/>
      <c r="FC16" s="512" t="n"/>
      <c r="FD16" s="512" t="n"/>
      <c r="FE16" s="512" t="n"/>
      <c r="FF16" s="512" t="n"/>
      <c r="FG16" s="512" t="n"/>
      <c r="FH16" s="512" t="n"/>
      <c r="FI16" s="512" t="n"/>
      <c r="FJ16" s="512" t="n"/>
      <c r="FK16" s="512" t="n"/>
      <c r="FL16" s="512" t="n"/>
      <c r="FM16" s="512" t="n"/>
      <c r="FN16" s="512" t="n"/>
      <c r="FO16" s="512" t="n"/>
      <c r="FP16" s="512" t="n"/>
      <c r="FQ16" s="512" t="n"/>
      <c r="FR16" s="512" t="n"/>
      <c r="FS16" s="512" t="n"/>
      <c r="FT16" s="512" t="n"/>
      <c r="FU16" s="512" t="n"/>
      <c r="FV16" s="512" t="n"/>
      <c r="FW16" s="512" t="n"/>
      <c r="FX16" s="512" t="n"/>
      <c r="FY16" s="512" t="n"/>
      <c r="FZ16" s="512" t="n"/>
      <c r="GA16" s="512" t="n"/>
      <c r="GB16" s="512" t="n"/>
      <c r="GC16" s="512" t="n"/>
      <c r="GD16" s="512" t="n"/>
      <c r="GE16" s="512" t="n"/>
      <c r="GF16" s="512" t="n"/>
      <c r="GG16" s="512" t="n"/>
      <c r="GH16" s="512" t="n"/>
      <c r="GI16" s="512" t="n"/>
      <c r="GJ16" s="512" t="n"/>
      <c r="GK16" s="512" t="n"/>
      <c r="GL16" s="512" t="n"/>
      <c r="GM16" s="512" t="n"/>
      <c r="GN16" s="512" t="n"/>
      <c r="GO16" s="512" t="n"/>
      <c r="GP16" s="512" t="n"/>
      <c r="GQ16" s="512" t="n"/>
      <c r="GR16" s="512" t="n"/>
      <c r="GS16" s="512" t="n"/>
      <c r="GT16" s="512" t="n"/>
      <c r="GU16" s="512" t="n"/>
      <c r="GV16" s="512" t="n"/>
      <c r="GW16" s="512" t="n"/>
      <c r="GX16" s="512" t="n"/>
      <c r="GY16" s="512" t="n"/>
      <c r="GZ16" s="512" t="n"/>
      <c r="HA16" s="512" t="n"/>
      <c r="HB16" s="512" t="n"/>
      <c r="HC16" s="512" t="n"/>
      <c r="HD16" s="512" t="n"/>
      <c r="HE16" s="512" t="n"/>
      <c r="HF16" s="512" t="n"/>
      <c r="HG16" s="512" t="n"/>
      <c r="HH16" s="512" t="n"/>
      <c r="HI16" s="512" t="n"/>
      <c r="HJ16" s="512" t="n"/>
      <c r="HK16" s="512" t="n"/>
      <c r="HL16" s="512" t="n"/>
      <c r="HM16" s="512" t="n"/>
      <c r="HN16" s="512" t="n"/>
      <c r="HO16" s="512" t="n"/>
      <c r="HP16" s="512" t="n"/>
      <c r="HQ16" s="512" t="n"/>
      <c r="HR16" s="512" t="n"/>
      <c r="HS16" s="512" t="n"/>
      <c r="HT16" s="512" t="n"/>
      <c r="HU16" s="512" t="n"/>
    </row>
    <row r="17" ht="16.2" customFormat="1" customHeight="1" s="259">
      <c r="A17" s="65" t="inlineStr">
        <is>
          <t>RECEITA FINANCEIRA (+)</t>
        </is>
      </c>
      <c r="B17" s="129" t="n"/>
      <c r="C17" s="70" t="n"/>
      <c r="D17" s="70" t="n"/>
      <c r="E17" s="70" t="n"/>
      <c r="F17" s="70" t="n"/>
      <c r="G17" s="70" t="n"/>
      <c r="H17" s="70" t="n"/>
      <c r="I17" s="70" t="n"/>
      <c r="J17" s="155" t="n"/>
      <c r="K17" s="70" t="n"/>
      <c r="L17" s="70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198" t="n"/>
      <c r="AE17" s="233" t="n"/>
      <c r="AF17" s="198" t="n"/>
      <c r="AG17" s="70" t="n"/>
      <c r="AH17" s="70" t="n"/>
      <c r="AI17" s="70" t="n"/>
      <c r="AJ17" s="70" t="n"/>
      <c r="AK17" s="70" t="n"/>
      <c r="AL17" s="70" t="n"/>
      <c r="AM17" s="70" t="n"/>
      <c r="AN17" s="70" t="n"/>
      <c r="AO17" s="70" t="n"/>
      <c r="AP17" s="70" t="n"/>
      <c r="AQ17" s="70" t="n"/>
      <c r="AR17" s="70" t="n"/>
      <c r="AS17" s="70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  <c r="BC17" s="70" t="n"/>
      <c r="BD17" s="287" t="n"/>
      <c r="BE17" s="70" t="n"/>
      <c r="BF17" s="70" t="n"/>
      <c r="BG17" s="70" t="n"/>
      <c r="BH17" s="70" t="n"/>
      <c r="BI17" s="70" t="n"/>
      <c r="BJ17" s="70" t="n"/>
      <c r="BK17" s="70" t="n"/>
      <c r="BL17" s="70" t="n"/>
      <c r="BM17" s="70" t="n"/>
      <c r="BN17" s="70" t="n"/>
      <c r="BO17" s="70" t="n"/>
      <c r="BP17" s="287" t="n"/>
      <c r="BQ17" s="70" t="n"/>
      <c r="BR17" s="70" t="n"/>
      <c r="BS17" s="70" t="n"/>
      <c r="BT17" s="70" t="n"/>
      <c r="BU17" s="70" t="n"/>
      <c r="BV17" s="70" t="n"/>
      <c r="BW17" s="70" t="n"/>
      <c r="BX17" s="70" t="n"/>
      <c r="BY17" s="70" t="n"/>
      <c r="BZ17" s="70" t="n"/>
      <c r="CA17" s="70" t="n"/>
      <c r="CB17" s="287" t="n"/>
      <c r="CC17" s="70" t="n"/>
      <c r="CD17" s="70" t="n"/>
      <c r="CE17" s="70" t="n"/>
      <c r="CF17" s="70" t="n"/>
      <c r="CG17" s="70" t="n"/>
      <c r="CH17" s="70" t="n"/>
      <c r="CI17" s="70" t="n"/>
      <c r="CJ17" s="70" t="n"/>
      <c r="CK17" s="70" t="n"/>
      <c r="CL17" s="70" t="n"/>
      <c r="CM17" s="70" t="n"/>
      <c r="CN17" s="287" t="n"/>
      <c r="CO17" s="70" t="n"/>
      <c r="CP17" s="70" t="n"/>
      <c r="CQ17" s="70" t="n"/>
      <c r="CR17" s="70" t="n"/>
      <c r="CS17" s="70" t="n"/>
      <c r="CT17" s="70" t="n"/>
      <c r="CU17" s="70" t="n"/>
      <c r="CV17" s="70" t="n"/>
      <c r="CW17" s="70" t="n"/>
      <c r="CX17" s="70" t="n"/>
      <c r="CY17" s="70" t="n"/>
      <c r="CZ17" s="287" t="n"/>
      <c r="DA17" s="70" t="n"/>
      <c r="DB17" s="70" t="n"/>
      <c r="DC17" s="70" t="n"/>
      <c r="DD17" s="70" t="n"/>
      <c r="DE17" s="70" t="n"/>
      <c r="DF17" s="70" t="n"/>
      <c r="DG17" s="70" t="n"/>
      <c r="DH17" s="70" t="n"/>
      <c r="DI17" s="70" t="n"/>
      <c r="DJ17" s="70" t="n"/>
      <c r="DK17" s="70" t="n"/>
      <c r="DL17" s="70" t="n"/>
      <c r="DM17" s="70" t="n"/>
      <c r="DN17" s="70" t="n"/>
      <c r="DO17" s="70" t="n"/>
      <c r="DP17" s="70" t="n"/>
      <c r="DQ17" s="70" t="n"/>
      <c r="DR17" s="70" t="n"/>
      <c r="DS17" s="70" t="n"/>
      <c r="DT17" s="70" t="n"/>
      <c r="DU17" s="70" t="n"/>
      <c r="DV17" s="70" t="n"/>
      <c r="DW17" s="70" t="n"/>
      <c r="DX17" s="70" t="n"/>
      <c r="DY17" s="70" t="n"/>
      <c r="DZ17" s="70" t="n"/>
      <c r="EA17" s="70" t="n"/>
      <c r="EB17" s="70" t="n"/>
      <c r="EC17" s="70" t="n"/>
      <c r="ED17" s="70" t="n"/>
      <c r="EE17" s="70" t="n"/>
      <c r="EF17" s="70" t="n"/>
      <c r="EG17" s="70" t="n"/>
      <c r="EH17" s="70" t="n"/>
      <c r="EI17" s="70" t="n"/>
      <c r="EJ17" s="70" t="n"/>
      <c r="EK17" s="70" t="n"/>
      <c r="EL17" s="70" t="n"/>
      <c r="EM17" s="70" t="n"/>
      <c r="EN17" s="70" t="n"/>
      <c r="EO17" s="70" t="n"/>
      <c r="EP17" s="70" t="n"/>
      <c r="EQ17" s="70" t="n"/>
      <c r="ER17" s="70" t="n"/>
      <c r="ES17" s="70" t="n"/>
      <c r="ET17" s="70" t="n"/>
      <c r="EU17" s="70" t="n"/>
      <c r="EV17" s="70" t="n"/>
      <c r="EW17" s="70" t="n"/>
      <c r="EX17" s="70" t="n"/>
      <c r="EY17" s="70" t="n"/>
      <c r="EZ17" s="70" t="n"/>
      <c r="FA17" s="70" t="n"/>
      <c r="FB17" s="70" t="n"/>
      <c r="FC17" s="70" t="n"/>
      <c r="FD17" s="70" t="n"/>
      <c r="FE17" s="70" t="n"/>
      <c r="FF17" s="70" t="n"/>
      <c r="FG17" s="70" t="n"/>
      <c r="FH17" s="70" t="n"/>
      <c r="FI17" s="70" t="n"/>
      <c r="FJ17" s="70" t="n"/>
      <c r="FK17" s="70" t="n"/>
      <c r="FL17" s="70" t="n"/>
      <c r="FM17" s="70" t="n"/>
      <c r="FN17" s="70" t="n"/>
      <c r="FO17" s="70" t="n"/>
      <c r="FP17" s="70" t="n"/>
      <c r="FQ17" s="70" t="n"/>
      <c r="FR17" s="70" t="n"/>
      <c r="FS17" s="70" t="n"/>
      <c r="FT17" s="70" t="n"/>
      <c r="FU17" s="70" t="n"/>
      <c r="FV17" s="70" t="n"/>
      <c r="FW17" s="70" t="n"/>
      <c r="FX17" s="70" t="n"/>
      <c r="FY17" s="70" t="n"/>
      <c r="FZ17" s="70" t="n"/>
      <c r="GA17" s="70" t="n"/>
      <c r="GB17" s="70" t="n"/>
      <c r="GC17" s="70" t="n"/>
      <c r="GD17" s="70" t="n"/>
      <c r="GE17" s="70" t="n"/>
      <c r="GF17" s="70" t="n"/>
      <c r="GG17" s="70" t="n"/>
      <c r="GH17" s="70" t="n"/>
      <c r="GI17" s="70" t="n"/>
      <c r="GJ17" s="70" t="n"/>
      <c r="GK17" s="70" t="n"/>
      <c r="GL17" s="70" t="n"/>
      <c r="GM17" s="70" t="n"/>
      <c r="GN17" s="70" t="n"/>
      <c r="GO17" s="70" t="n"/>
      <c r="GP17" s="70" t="n"/>
      <c r="GQ17" s="70" t="n"/>
      <c r="GR17" s="70" t="n"/>
      <c r="GS17" s="70" t="n"/>
      <c r="GT17" s="70" t="n"/>
      <c r="GU17" s="70" t="n"/>
      <c r="GV17" s="70" t="n"/>
      <c r="GW17" s="70" t="n"/>
      <c r="GX17" s="70" t="n"/>
      <c r="GY17" s="70" t="n"/>
      <c r="GZ17" s="70" t="n"/>
      <c r="HA17" s="70" t="n"/>
      <c r="HB17" s="70" t="n"/>
      <c r="HC17" s="70" t="n"/>
      <c r="HD17" s="70" t="n"/>
      <c r="HE17" s="70" t="n"/>
      <c r="HF17" s="70" t="n"/>
      <c r="HG17" s="70" t="n"/>
      <c r="HH17" s="70" t="n"/>
      <c r="HI17" s="70" t="n"/>
      <c r="HJ17" s="70" t="n"/>
      <c r="HK17" s="70" t="n"/>
      <c r="HL17" s="70" t="n"/>
      <c r="HM17" s="70" t="n"/>
      <c r="HN17" s="70" t="n"/>
      <c r="HO17" s="70" t="n"/>
      <c r="HP17" s="70" t="n"/>
      <c r="HQ17" s="70" t="n"/>
      <c r="HR17" s="70" t="n"/>
      <c r="HS17" s="70" t="n"/>
      <c r="HT17" s="70" t="n"/>
      <c r="HU17" s="70" t="n"/>
    </row>
    <row r="18" ht="16.2" customHeight="1">
      <c r="A18" s="54" t="inlineStr">
        <is>
          <t>Rendimento Financeiro</t>
        </is>
      </c>
      <c r="B18" s="130">
        <f>SUM(C18:Z18)</f>
        <v/>
      </c>
      <c r="C18" s="67" t="n"/>
      <c r="D18" s="69" t="n"/>
      <c r="E18" s="67" t="n"/>
      <c r="F18" s="67" t="n"/>
      <c r="G18" s="67" t="n"/>
      <c r="H18" s="67" t="n"/>
      <c r="I18" s="68" t="n"/>
      <c r="J18" s="216" t="n"/>
      <c r="K18" s="116" t="n"/>
      <c r="L18" s="116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7" t="n"/>
      <c r="AA18" s="217" t="n"/>
      <c r="AB18" s="217" t="n">
        <v>12646.02</v>
      </c>
      <c r="AC18" s="217" t="n">
        <v>38113.26</v>
      </c>
      <c r="AD18" s="71" t="n"/>
      <c r="AE18" s="342">
        <f>SUM(AG18:HU18)</f>
        <v/>
      </c>
      <c r="AF18" s="71" t="n"/>
      <c r="AG18" s="69">
        <f>IF(AC74&gt;0, AC74*0.5%,0)</f>
        <v/>
      </c>
      <c r="AH18" s="69">
        <f>IF(AG74&gt;0, AG74*0.5%,0)</f>
        <v/>
      </c>
      <c r="AI18" s="67">
        <f>IF(AH74&gt;0, AH74*0.5%,0)</f>
        <v/>
      </c>
      <c r="AJ18" s="67">
        <f>IF(AI74&gt;0, AI74*0.5%,0)</f>
        <v/>
      </c>
      <c r="AK18" s="67">
        <f>IF(AJ74&gt;0, AJ74*0.5%,0)</f>
        <v/>
      </c>
      <c r="AL18" s="67">
        <f>IF(AK74&gt;0, AK74*0.5%,0)</f>
        <v/>
      </c>
      <c r="AM18" s="67">
        <f>IF(AL74&gt;0, AL74*0.5%,0)</f>
        <v/>
      </c>
      <c r="AN18" s="67">
        <f>IF(AM74&gt;0, AM74*0.5%,0)</f>
        <v/>
      </c>
      <c r="AO18" s="67">
        <f>IF(AN74&gt;0, AN74*0.5%,0)</f>
        <v/>
      </c>
      <c r="AP18" s="67">
        <f>IF(AO74&gt;0, AO74*0.5%,0)</f>
        <v/>
      </c>
      <c r="AQ18" s="68">
        <f>IF(AP74&gt;0, AP74*0.5%,0)</f>
        <v/>
      </c>
      <c r="AR18" s="68">
        <f>IF(AQ74&gt;0, AQ74*0.5%,0)</f>
        <v/>
      </c>
      <c r="AS18" s="67">
        <f>IF(AR74&gt;0, AR74*0.5%,0)</f>
        <v/>
      </c>
      <c r="AT18" s="67">
        <f>IF(AS74&gt;0, AS74*0.5%,0)</f>
        <v/>
      </c>
      <c r="AU18" s="67">
        <f>IF(AT74&gt;0, AT74*0.5%,0)</f>
        <v/>
      </c>
      <c r="AV18" s="67">
        <f>IF(AU74&gt;0, AU74*0.5%,0)</f>
        <v/>
      </c>
      <c r="AW18" s="67">
        <f>IF(AV74&gt;0, AV74*0.5%,0)</f>
        <v/>
      </c>
      <c r="AX18" s="67">
        <f>IF(AW74&gt;0, AW74*0.5%,0)</f>
        <v/>
      </c>
      <c r="AY18" s="67">
        <f>IF(AX74&gt;0, AX74*0.5%,0)</f>
        <v/>
      </c>
      <c r="AZ18" s="67">
        <f>IF(AY74&gt;0, AY74*0.5%,0)</f>
        <v/>
      </c>
      <c r="BA18" s="67">
        <f>IF(AZ74&gt;0, AZ74*0.5%,0)</f>
        <v/>
      </c>
      <c r="BB18" s="67">
        <f>IF(BA74&gt;0, BA74*0.5%,0)</f>
        <v/>
      </c>
      <c r="BC18" s="67">
        <f>IF(BB74&gt;0, BB74*0.5%,0)</f>
        <v/>
      </c>
      <c r="BD18" s="67">
        <f>IF(BC74&gt;0, BC74*0.5%,0)</f>
        <v/>
      </c>
      <c r="BE18" s="67">
        <f>IF(BD74&gt;0, BD74*0.5%,0)</f>
        <v/>
      </c>
      <c r="BF18" s="67">
        <f>IF(BE74&gt;0, BE74*0.5%,0)</f>
        <v/>
      </c>
      <c r="BG18" s="67">
        <f>IF(BF74&gt;0, BF74*0.5%,0)</f>
        <v/>
      </c>
      <c r="BH18" s="67">
        <f>IF(BG74&gt;0, BG74*0.5%,0)</f>
        <v/>
      </c>
      <c r="BI18" s="67">
        <f>IF(BH74&gt;0, BH74*0.5%,0)</f>
        <v/>
      </c>
      <c r="BJ18" s="67">
        <f>IF(BI74&gt;0, BI74*0.5%,0)</f>
        <v/>
      </c>
      <c r="BK18" s="67">
        <f>IF(BJ74&gt;0, BJ74*0.5%,0)</f>
        <v/>
      </c>
      <c r="BL18" s="67">
        <f>IF(BK74&gt;0, BK74*0.5%,0)</f>
        <v/>
      </c>
      <c r="BM18" s="67">
        <f>IF(BL74&gt;0, BL74*0.5%,0)</f>
        <v/>
      </c>
      <c r="BN18" s="67">
        <f>IF(BM74&gt;0, BM74*0.5%,0)</f>
        <v/>
      </c>
      <c r="BO18" s="67">
        <f>IF(BN74&gt;0, BN74*0.5%,0)</f>
        <v/>
      </c>
      <c r="BP18" s="67">
        <f>IF(BO74&gt;0, BO74*0.5%,0)</f>
        <v/>
      </c>
      <c r="BQ18" s="67">
        <f>IF(BP74&gt;0, BP74*0.5%,0)</f>
        <v/>
      </c>
      <c r="BR18" s="67">
        <f>IF(BQ74&gt;0, BQ74*0.5%,0)</f>
        <v/>
      </c>
      <c r="BS18" s="67">
        <f>IF(BR74&gt;0, BR74*0.5%,0)</f>
        <v/>
      </c>
      <c r="BT18" s="67">
        <f>IF(BS74&gt;0, BS74*0.5%,0)</f>
        <v/>
      </c>
      <c r="BU18" s="67">
        <f>IF(BT74&gt;0, BT74*0.5%,0)</f>
        <v/>
      </c>
      <c r="BV18" s="67">
        <f>IF(BU74&gt;0, BU74*0.5%,0)</f>
        <v/>
      </c>
      <c r="BW18" s="67">
        <f>IF(BV74&gt;0, BV74*0.5%,0)</f>
        <v/>
      </c>
      <c r="BX18" s="67">
        <f>IF(BW74&gt;0, BW74*0.5%,0)</f>
        <v/>
      </c>
      <c r="BY18" s="67">
        <f>IF(BX74&gt;0, BX74*0.5%,0)</f>
        <v/>
      </c>
      <c r="BZ18" s="67">
        <f>IF(BY74&gt;0, BY74*0.5%,0)</f>
        <v/>
      </c>
      <c r="CA18" s="67">
        <f>IF(BZ74&gt;0, BZ74*0.5%,0)</f>
        <v/>
      </c>
      <c r="CB18" s="67">
        <f>IF(CA74&gt;0, CA74*0.5%,0)</f>
        <v/>
      </c>
      <c r="CC18" s="67">
        <f>IF(CB74&gt;0, CB74*0.5%,0)</f>
        <v/>
      </c>
      <c r="CD18" s="67">
        <f>IF(CC74&gt;0, CC74*0.5%,0)</f>
        <v/>
      </c>
      <c r="CE18" s="67">
        <f>IF(CD74&gt;0, CD74*0.5%,0)</f>
        <v/>
      </c>
      <c r="CF18" s="67">
        <f>IF(CE74&gt;0, CE74*0.5%,0)</f>
        <v/>
      </c>
      <c r="CG18" s="67">
        <f>IF(CF74&gt;0, CF74*0.5%,0)</f>
        <v/>
      </c>
      <c r="CH18" s="67">
        <f>IF(CG74&gt;0, CG74*0.5%,0)</f>
        <v/>
      </c>
      <c r="CI18" s="67">
        <f>IF(CH74&gt;0, CH74*0.5%,0)</f>
        <v/>
      </c>
      <c r="CJ18" s="67">
        <f>IF(CI74&gt;0, CI74*0.5%,0)</f>
        <v/>
      </c>
      <c r="CK18" s="67">
        <f>IF(CJ74&gt;0, CJ74*0.5%,0)</f>
        <v/>
      </c>
      <c r="CL18" s="67">
        <f>IF(CK74&gt;0, CK74*0.5%,0)</f>
        <v/>
      </c>
      <c r="CM18" s="67">
        <f>IF(CL74&gt;0, CL74*0.5%,0)</f>
        <v/>
      </c>
      <c r="CN18" s="67">
        <f>IF(CM74&gt;0, CM74*0.5%,0)</f>
        <v/>
      </c>
      <c r="CO18" s="67">
        <f>IF(CN74&gt;0, CN74*0.5%,0)</f>
        <v/>
      </c>
      <c r="CP18" s="67">
        <f>IF(CO74&gt;0, CO74*0.5%,0)</f>
        <v/>
      </c>
      <c r="CQ18" s="67">
        <f>IF(CP74&gt;0, CP74*0.5%,0)</f>
        <v/>
      </c>
      <c r="CR18" s="67">
        <f>IF(CQ74&gt;0, CQ74*0.5%,0)</f>
        <v/>
      </c>
      <c r="CS18" s="67">
        <f>IF(CR74&gt;0, CR74*0.5%,0)</f>
        <v/>
      </c>
      <c r="CT18" s="67">
        <f>IF(CS74&gt;0, CS74*0.5%,0)</f>
        <v/>
      </c>
      <c r="CU18" s="67">
        <f>IF(CT74&gt;0, CT74*0.5%,0)</f>
        <v/>
      </c>
      <c r="CV18" s="67">
        <f>IF(CU74&gt;0, CU74*0.5%,0)</f>
        <v/>
      </c>
      <c r="CW18" s="67">
        <f>IF(CV74&gt;0, CV74*0.5%,0)</f>
        <v/>
      </c>
      <c r="CX18" s="67">
        <f>IF(CW74&gt;0, CW74*0.5%,0)</f>
        <v/>
      </c>
      <c r="CY18" s="67">
        <f>IF(CX74&gt;0, CX74*0.5%,0)</f>
        <v/>
      </c>
      <c r="CZ18" s="67">
        <f>IF(CY74&gt;0, CY74*0.5%,0)</f>
        <v/>
      </c>
      <c r="DA18" s="67">
        <f>IF(CZ74&gt;0, CZ74*0.5%,0)</f>
        <v/>
      </c>
      <c r="DB18" s="67">
        <f>IF(DA74&gt;0, DA74*0.5%,0)</f>
        <v/>
      </c>
      <c r="DC18" s="67">
        <f>IF(DB74&gt;0, DB74*0.5%,0)</f>
        <v/>
      </c>
      <c r="DD18" s="67">
        <f>IF(DC74&gt;0, DC74*0.5%,0)</f>
        <v/>
      </c>
      <c r="DE18" s="67">
        <f>IF(DD74&gt;0, DD74*0.5%,0)</f>
        <v/>
      </c>
      <c r="DF18" s="67">
        <f>IF(DE74&gt;0, DE74*0.5%,0)</f>
        <v/>
      </c>
      <c r="DG18" s="67">
        <f>IF(DF74&gt;0, DF74*0.5%,0)</f>
        <v/>
      </c>
      <c r="DH18" s="67">
        <f>IF(DG74&gt;0, DG74*0.5%,0)</f>
        <v/>
      </c>
      <c r="DI18" s="67">
        <f>IF(DH74&gt;0, DH74*0.5%,0)</f>
        <v/>
      </c>
      <c r="DJ18" s="67">
        <f>IF(DI74&gt;0, DI74*0.5%,0)</f>
        <v/>
      </c>
      <c r="DK18" s="67">
        <f>IF(DJ74&gt;0, DJ74*0.5%,0)</f>
        <v/>
      </c>
      <c r="DL18" s="67">
        <f>IF(DK74&gt;0, DK74*0.5%,0)</f>
        <v/>
      </c>
      <c r="DM18" s="67">
        <f>IF(DL74&gt;0, DL74*0.5%,0)</f>
        <v/>
      </c>
      <c r="DN18" s="67">
        <f>IF(DM74&gt;0, DM74*0.5%,0)</f>
        <v/>
      </c>
      <c r="DO18" s="67">
        <f>IF(DN74&gt;0, DN74*0.5%,0)</f>
        <v/>
      </c>
      <c r="DP18" s="67">
        <f>IF(DO74&gt;0, DO74*0.5%,0)</f>
        <v/>
      </c>
      <c r="DQ18" s="67">
        <f>IF(DP74&gt;0, DP74*0.5%,0)</f>
        <v/>
      </c>
      <c r="DR18" s="67">
        <f>IF(DQ74&gt;0, DQ74*0.5%,0)</f>
        <v/>
      </c>
      <c r="DS18" s="67">
        <f>IF(DR74&gt;0, DR74*0.5%,0)</f>
        <v/>
      </c>
      <c r="DT18" s="67">
        <f>IF(DS74&gt;0, DS74*0.5%,0)</f>
        <v/>
      </c>
      <c r="DU18" s="67">
        <f>IF(DT74&gt;0, DT74*0.5%,0)</f>
        <v/>
      </c>
      <c r="DV18" s="67">
        <f>IF(DU74&gt;0, DU74*0.5%,0)</f>
        <v/>
      </c>
      <c r="DW18" s="67">
        <f>IF(DV74&gt;0, DV74*0.5%,0)</f>
        <v/>
      </c>
      <c r="DX18" s="67">
        <f>IF(DW74&gt;0, DW74*0.5%,0)</f>
        <v/>
      </c>
      <c r="DY18" s="67">
        <f>IF(DX74&gt;0, DX74*0.5%,0)</f>
        <v/>
      </c>
      <c r="DZ18" s="67">
        <f>IF(DY74&gt;0, DY74*0.5%,0)</f>
        <v/>
      </c>
      <c r="EA18" s="67">
        <f>IF(DZ74&gt;0, DZ74*0.5%,0)</f>
        <v/>
      </c>
      <c r="EB18" s="67">
        <f>IF(EA74&gt;0, EA74*0.5%,0)</f>
        <v/>
      </c>
      <c r="EC18" s="67">
        <f>IF(EB74&gt;0, EB74*0.5%,0)</f>
        <v/>
      </c>
      <c r="ED18" s="67">
        <f>IF(EC74&gt;0, EC74*0.5%,0)</f>
        <v/>
      </c>
      <c r="EE18" s="67">
        <f>IF(ED74&gt;0, ED74*0.5%,0)</f>
        <v/>
      </c>
      <c r="EF18" s="67">
        <f>IF(EE74&gt;0, EE74*0.5%,0)</f>
        <v/>
      </c>
      <c r="EG18" s="67">
        <f>IF(EF74&gt;0, EF74*0.5%,0)</f>
        <v/>
      </c>
      <c r="EH18" s="67">
        <f>IF(EG74&gt;0, EG74*0.5%,0)</f>
        <v/>
      </c>
      <c r="EI18" s="67">
        <f>IF(EH74&gt;0, EH74*0.5%,0)</f>
        <v/>
      </c>
      <c r="EJ18" s="67">
        <f>IF(EI74&gt;0, EI74*0.5%,0)</f>
        <v/>
      </c>
      <c r="EK18" s="67">
        <f>IF(EJ74&gt;0, EJ74*0.5%,0)</f>
        <v/>
      </c>
      <c r="EL18" s="67">
        <f>IF(EK74&gt;0, EK74*0.5%,0)</f>
        <v/>
      </c>
      <c r="EM18" s="67">
        <f>IF(EL74&gt;0, EL74*0.5%,0)</f>
        <v/>
      </c>
      <c r="EN18" s="67">
        <f>IF(EM74&gt;0, EM74*0.5%,0)</f>
        <v/>
      </c>
      <c r="EO18" s="67">
        <f>IF(EN74&gt;0, EN74*0.5%,0)</f>
        <v/>
      </c>
      <c r="EP18" s="67">
        <f>IF(EO74&gt;0, EO74*0.5%,0)</f>
        <v/>
      </c>
      <c r="EQ18" s="67">
        <f>IF(EP74&gt;0, EP74*0.5%,0)</f>
        <v/>
      </c>
      <c r="ER18" s="67">
        <f>IF(EQ74&gt;0, EQ74*0.5%,0)</f>
        <v/>
      </c>
      <c r="ES18" s="67">
        <f>IF(ER74&gt;0, ER74*0.5%,0)</f>
        <v/>
      </c>
      <c r="ET18" s="67">
        <f>IF(ES74&gt;0, ES74*0.5%,0)</f>
        <v/>
      </c>
      <c r="EU18" s="67">
        <f>IF(ET74&gt;0, ET74*0.5%,0)</f>
        <v/>
      </c>
      <c r="EV18" s="67">
        <f>IF(EU74&gt;0, EU74*0.5%,0)</f>
        <v/>
      </c>
      <c r="EW18" s="67">
        <f>IF(EV74&gt;0, EV74*0.5%,0)</f>
        <v/>
      </c>
      <c r="EX18" s="67">
        <f>IF(EW74&gt;0, EW74*0.5%,0)</f>
        <v/>
      </c>
      <c r="EY18" s="67">
        <f>IF(EX74&gt;0, EX74*0.5%,0)</f>
        <v/>
      </c>
      <c r="EZ18" s="67">
        <f>IF(EY74&gt;0, EY74*0.5%,0)</f>
        <v/>
      </c>
      <c r="FA18" s="67">
        <f>IF(EZ74&gt;0, EZ74*0.5%,0)</f>
        <v/>
      </c>
      <c r="FB18" s="67">
        <f>IF(FA74&gt;0, FA74*0.5%,0)</f>
        <v/>
      </c>
      <c r="FC18" s="67">
        <f>IF(FB74&gt;0, FB74*0.5%,0)</f>
        <v/>
      </c>
      <c r="FD18" s="67">
        <f>IF(FC74&gt;0, FC74*0.5%,0)</f>
        <v/>
      </c>
      <c r="FE18" s="67">
        <f>IF(FD74&gt;0, FD74*0.5%,0)</f>
        <v/>
      </c>
      <c r="FF18" s="67">
        <f>IF(FE74&gt;0, FE74*0.5%,0)</f>
        <v/>
      </c>
      <c r="FG18" s="67">
        <f>IF(FF74&gt;0, FF74*0.5%,0)</f>
        <v/>
      </c>
      <c r="FH18" s="67">
        <f>IF(FG74&gt;0, FG74*0.5%,0)</f>
        <v/>
      </c>
      <c r="FI18" s="67">
        <f>IF(FH74&gt;0, FH74*0.5%,0)</f>
        <v/>
      </c>
      <c r="FJ18" s="67">
        <f>IF(FI74&gt;0, FI74*0.5%,0)</f>
        <v/>
      </c>
      <c r="FK18" s="67">
        <f>IF(FJ74&gt;0, FJ74*0.5%,0)</f>
        <v/>
      </c>
      <c r="FL18" s="67">
        <f>IF(FK74&gt;0, FK74*0.5%,0)</f>
        <v/>
      </c>
      <c r="FM18" s="67">
        <f>IF(FL74&gt;0, FL74*0.5%,0)</f>
        <v/>
      </c>
      <c r="FN18" s="67">
        <f>IF(FM74&gt;0, FM74*0.5%,0)</f>
        <v/>
      </c>
      <c r="FO18" s="67">
        <f>IF(FN74&gt;0, FN74*0.5%,0)</f>
        <v/>
      </c>
      <c r="FP18" s="67">
        <f>IF(FO74&gt;0, FO74*0.5%,0)</f>
        <v/>
      </c>
      <c r="FQ18" s="67">
        <f>IF(FP74&gt;0, FP74*0.5%,0)</f>
        <v/>
      </c>
      <c r="FR18" s="67">
        <f>IF(FQ74&gt;0, FQ74*0.5%,0)</f>
        <v/>
      </c>
      <c r="FS18" s="67">
        <f>IF(FR74&gt;0, FR74*0.5%,0)</f>
        <v/>
      </c>
      <c r="FT18" s="67">
        <f>IF(FS74&gt;0, FS74*0.5%,0)</f>
        <v/>
      </c>
      <c r="FU18" s="67">
        <f>IF(FT74&gt;0, FT74*0.5%,0)</f>
        <v/>
      </c>
      <c r="FV18" s="67">
        <f>IF(FU74&gt;0, FU74*0.5%,0)</f>
        <v/>
      </c>
      <c r="FW18" s="67">
        <f>IF(FV74&gt;0, FV74*0.5%,0)</f>
        <v/>
      </c>
      <c r="FX18" s="67">
        <f>IF(FW74&gt;0, FW74*0.5%,0)</f>
        <v/>
      </c>
      <c r="FY18" s="67">
        <f>IF(FX74&gt;0, FX74*0.5%,0)</f>
        <v/>
      </c>
      <c r="FZ18" s="67">
        <f>IF(FY74&gt;0, FY74*0.5%,0)</f>
        <v/>
      </c>
      <c r="GA18" s="67">
        <f>IF(FZ74&gt;0, FZ74*0.5%,0)</f>
        <v/>
      </c>
      <c r="GB18" s="67">
        <f>IF(GA74&gt;0, GA74*0.5%,0)</f>
        <v/>
      </c>
      <c r="GC18" s="67">
        <f>IF(GB74&gt;0, GB74*0.5%,0)</f>
        <v/>
      </c>
      <c r="GD18" s="67">
        <f>IF(GC74&gt;0, GC74*0.5%,0)</f>
        <v/>
      </c>
      <c r="GE18" s="67">
        <f>IF(GD74&gt;0, GD74*0.5%,0)</f>
        <v/>
      </c>
      <c r="GF18" s="67">
        <f>IF(GE74&gt;0, GE74*0.5%,0)</f>
        <v/>
      </c>
      <c r="GG18" s="67">
        <f>IF(GF74&gt;0, GF74*0.5%,0)</f>
        <v/>
      </c>
      <c r="GH18" s="67">
        <f>IF(GG74&gt;0, GG74*0.5%,0)</f>
        <v/>
      </c>
      <c r="GI18" s="67">
        <f>IF(GH74&gt;0, GH74*0.5%,0)</f>
        <v/>
      </c>
      <c r="GJ18" s="67">
        <f>IF(GI74&gt;0, GI74*0.5%,0)</f>
        <v/>
      </c>
      <c r="GK18" s="67">
        <f>IF(GJ74&gt;0, GJ74*0.5%,0)</f>
        <v/>
      </c>
      <c r="GL18" s="67">
        <f>IF(GK74&gt;0, GK74*0.5%,0)</f>
        <v/>
      </c>
      <c r="GM18" s="67">
        <f>IF(GL74&gt;0, GL74*0.5%,0)</f>
        <v/>
      </c>
      <c r="GN18" s="67">
        <f>IF(GM74&gt;0, GM74*0.5%,0)</f>
        <v/>
      </c>
      <c r="GO18" s="67">
        <f>IF(GN74&gt;0, GN74*0.5%,0)</f>
        <v/>
      </c>
      <c r="GP18" s="67">
        <f>IF(GO74&gt;0, GO74*0.5%,0)</f>
        <v/>
      </c>
      <c r="GQ18" s="67">
        <f>IF(GP74&gt;0, GP74*0.5%,0)</f>
        <v/>
      </c>
      <c r="GR18" s="67">
        <f>IF(GQ74&gt;0, GQ74*0.5%,0)</f>
        <v/>
      </c>
      <c r="GS18" s="67">
        <f>IF(GR74&gt;0, GR74*0.5%,0)</f>
        <v/>
      </c>
      <c r="GT18" s="67">
        <f>IF(GS74&gt;0, GS74*0.5%,0)</f>
        <v/>
      </c>
      <c r="GU18" s="67">
        <f>IF(GT74&gt;0, GT74*0.5%,0)</f>
        <v/>
      </c>
      <c r="GV18" s="67">
        <f>IF(GU74&gt;0, GU74*0.5%,0)</f>
        <v/>
      </c>
      <c r="GW18" s="67">
        <f>IF(GV74&gt;0, GV74*0.5%,0)</f>
        <v/>
      </c>
      <c r="GX18" s="67">
        <f>IF(GW74&gt;0, GW74*0.5%,0)</f>
        <v/>
      </c>
      <c r="GY18" s="67">
        <f>IF(GX74&gt;0, GX74*0.5%,0)</f>
        <v/>
      </c>
      <c r="GZ18" s="67">
        <f>IF(GY74&gt;0, GY74*0.5%,0)</f>
        <v/>
      </c>
      <c r="HA18" s="67">
        <f>IF(GZ74&gt;0, GZ74*0.5%,0)</f>
        <v/>
      </c>
      <c r="HB18" s="67">
        <f>IF(HA74&gt;0, HA74*0.5%,0)</f>
        <v/>
      </c>
      <c r="HC18" s="67">
        <f>IF(HB74&gt;0, HB74*0.5%,0)</f>
        <v/>
      </c>
      <c r="HD18" s="67">
        <f>IF(HC74&gt;0, HC74*0.5%,0)</f>
        <v/>
      </c>
      <c r="HE18" s="67">
        <f>IF(HD74&gt;0, HD74*0.5%,0)</f>
        <v/>
      </c>
      <c r="HF18" s="67">
        <f>IF(HE74&gt;0, HE74*0.5%,0)</f>
        <v/>
      </c>
      <c r="HG18" s="67">
        <f>IF(HF74&gt;0, HF74*0.5%,0)</f>
        <v/>
      </c>
      <c r="HH18" s="67">
        <f>IF(HG74&gt;0, HG74*0.5%,0)</f>
        <v/>
      </c>
      <c r="HI18" s="67">
        <f>IF(HH74&gt;0, HH74*0.5%,0)</f>
        <v/>
      </c>
      <c r="HJ18" s="67">
        <f>IF(HI74&gt;0, HI74*0.5%,0)</f>
        <v/>
      </c>
      <c r="HK18" s="67">
        <f>IF(HJ74&gt;0, HJ74*0.5%,0)</f>
        <v/>
      </c>
      <c r="HL18" s="67">
        <f>IF(HK74&gt;0, HK74*0.5%,0)</f>
        <v/>
      </c>
      <c r="HM18" s="67">
        <f>IF(HL74&gt;0, HL74*0.5%,0)</f>
        <v/>
      </c>
      <c r="HN18" s="67">
        <f>IF(HM74&gt;0, HM74*0.5%,0)</f>
        <v/>
      </c>
      <c r="HO18" s="67">
        <f>IF(HN74&gt;0, HN74*0.5%,0)</f>
        <v/>
      </c>
      <c r="HP18" s="67">
        <f>IF(HO74&gt;0, HO74*0.5%,0)</f>
        <v/>
      </c>
      <c r="HQ18" s="67">
        <f>IF(HP74&gt;0, HP74*0.5%,0)</f>
        <v/>
      </c>
      <c r="HR18" s="67">
        <f>IF(HQ74&gt;0, HQ74*0.5%,0)</f>
        <v/>
      </c>
      <c r="HS18" s="67">
        <f>IF(HR74&gt;0, HR74*0.5%,0)</f>
        <v/>
      </c>
      <c r="HT18" s="67">
        <f>IF(HS74&gt;0, HS74*0.5%,0)</f>
        <v/>
      </c>
      <c r="HU18" s="67">
        <f>IF(HT74&gt;0, HT74*0.5%,0)</f>
        <v/>
      </c>
    </row>
    <row r="19" ht="7.2" customHeight="1">
      <c r="A19" s="1" t="n"/>
      <c r="B19" s="128" t="n"/>
      <c r="C19" s="1" t="n"/>
      <c r="D19" s="1" t="n"/>
      <c r="E19" s="1" t="n"/>
      <c r="F19" s="1" t="n"/>
      <c r="G19" s="1" t="n"/>
      <c r="H19" s="1" t="n"/>
      <c r="I19" s="1" t="n"/>
      <c r="J19" s="156" t="n"/>
      <c r="K19" s="1" t="n"/>
      <c r="L19" s="1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93" t="n"/>
      <c r="AE19" s="236" t="n"/>
      <c r="AF19" s="93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289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289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289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289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289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</row>
    <row r="20" ht="16.2" customFormat="1" customHeight="1" s="259">
      <c r="A20" s="96" t="inlineStr">
        <is>
          <t>TOTAL RECEITAS REAL (+)</t>
        </is>
      </c>
      <c r="B20" s="131">
        <f>SUM(C20:W20)</f>
        <v/>
      </c>
      <c r="C20" s="72">
        <f>SUM(C8+C9+C15+C18)</f>
        <v/>
      </c>
      <c r="D20" s="72">
        <f>SUM(D8+D9+D15+D18)</f>
        <v/>
      </c>
      <c r="E20" s="72">
        <f>SUM(E8+E9+E15+E18)</f>
        <v/>
      </c>
      <c r="F20" s="72">
        <f>SUM(F8+F9+F12+F15+F18)</f>
        <v/>
      </c>
      <c r="G20" s="72">
        <f>SUM(G8+G9+G12+G15+G18)</f>
        <v/>
      </c>
      <c r="H20" s="72">
        <f>SUM(H8+H9+H12+H15+H18)</f>
        <v/>
      </c>
      <c r="I20" s="72">
        <f>SUM(I8+I9+I12+I15+I18)</f>
        <v/>
      </c>
      <c r="J20" s="160">
        <f>SUM(J8+J9+J15+J18)</f>
        <v/>
      </c>
      <c r="K20" s="72">
        <f>SUM(K8+K9+K15+K18)</f>
        <v/>
      </c>
      <c r="L20" s="72">
        <f>SUM(L8+L9+L15+L18)</f>
        <v/>
      </c>
      <c r="M20" s="161">
        <f>SUM(M8+M9+M15+M18)</f>
        <v/>
      </c>
      <c r="N20" s="161">
        <f>SUM(N8+N9+N15+N18)</f>
        <v/>
      </c>
      <c r="O20" s="161">
        <f>SUM(O8+O9+O15+O18)</f>
        <v/>
      </c>
      <c r="P20" s="161">
        <f>SUM(P8+P9+P15+P18)</f>
        <v/>
      </c>
      <c r="Q20" s="161">
        <f>SUM(Q8+Q9+Q15+Q18)</f>
        <v/>
      </c>
      <c r="R20" s="161">
        <f>SUM(R8+R9+R15+R18)</f>
        <v/>
      </c>
      <c r="S20" s="161">
        <f>SUM(S8+S9+S15+S18)</f>
        <v/>
      </c>
      <c r="T20" s="161">
        <f>SUM(T8+T9+T15+T18)</f>
        <v/>
      </c>
      <c r="U20" s="161">
        <f>SUM(U8+U9+U15+U18)</f>
        <v/>
      </c>
      <c r="V20" s="161">
        <f>SUM(V8+V9+V15+V18)</f>
        <v/>
      </c>
      <c r="W20" s="161">
        <f>SUM(W8+W9+W15+W18)</f>
        <v/>
      </c>
      <c r="X20" s="161">
        <f>SUM(X8+X9+X15+X18)</f>
        <v/>
      </c>
      <c r="Y20" s="161">
        <f>SUM(Y8+Y9+Y15+Y18)</f>
        <v/>
      </c>
      <c r="Z20" s="161">
        <f>SUM(Z8+Z9+Z15+Z18)</f>
        <v/>
      </c>
      <c r="AA20" s="161">
        <f>SUM(AA8+AA9+AA15+AA18)</f>
        <v/>
      </c>
      <c r="AB20" s="161">
        <f>SUM(AB8+AB9+AB15+AB18)</f>
        <v/>
      </c>
      <c r="AC20" s="161">
        <f>SUM(AC8+AC9+AC15+AC18)</f>
        <v/>
      </c>
      <c r="AD20" s="71" t="n"/>
      <c r="AE20" s="131">
        <f>SUM(AG20:DN20)</f>
        <v/>
      </c>
      <c r="AF20" s="71" t="n"/>
      <c r="AG20" s="98">
        <f>SUM(AG8+AG9+AG15+AG18)</f>
        <v/>
      </c>
      <c r="AH20" s="98">
        <f>SUM(AH8+AH9+AH15+AH18)</f>
        <v/>
      </c>
      <c r="AI20" s="72">
        <f>SUM(AI8+AI9+AI15+AI18)</f>
        <v/>
      </c>
      <c r="AJ20" s="72">
        <f>SUM(AJ8+AJ9+AJ15+AJ18)</f>
        <v/>
      </c>
      <c r="AK20" s="72">
        <f>SUM(AK8+AK9+AK15+AK18)</f>
        <v/>
      </c>
      <c r="AL20" s="72">
        <f>SUM(AL8+AL9+AL15+AL18)</f>
        <v/>
      </c>
      <c r="AM20" s="72">
        <f>SUM(AM8+AM9+AM15+AM18)</f>
        <v/>
      </c>
      <c r="AN20" s="72">
        <f>SUM(AN8+AN9+AN15+AN18)</f>
        <v/>
      </c>
      <c r="AO20" s="72">
        <f>SUM(AO8+AO9+AO15+AO18)</f>
        <v/>
      </c>
      <c r="AP20" s="72">
        <f>SUM(AP8+AP9+AP15+AP18)</f>
        <v/>
      </c>
      <c r="AQ20" s="72">
        <f>SUM(AQ8+AQ9+AQ15+AQ18)</f>
        <v/>
      </c>
      <c r="AR20" s="72">
        <f>SUM(AR8+AR9+AR15+AR18)</f>
        <v/>
      </c>
      <c r="AS20" s="72">
        <f>SUM(AS8+AS9+AS15+AS18)</f>
        <v/>
      </c>
      <c r="AT20" s="72">
        <f>SUM(AT8+AT9+AT15+AT18)</f>
        <v/>
      </c>
      <c r="AU20" s="72">
        <f>SUM(AU8+AU9+AU15+AU18)</f>
        <v/>
      </c>
      <c r="AV20" s="72">
        <f>SUM(AV8+AV9+AV15+AV18)</f>
        <v/>
      </c>
      <c r="AW20" s="72">
        <f>SUM(AW8+AW9+AW15+AW18)</f>
        <v/>
      </c>
      <c r="AX20" s="72">
        <f>SUM(AX8+AX9+AX15+AX18)</f>
        <v/>
      </c>
      <c r="AY20" s="72">
        <f>SUM(AY8+AY9+AY15+AY18)</f>
        <v/>
      </c>
      <c r="AZ20" s="72">
        <f>SUM(AZ8+AZ9+AZ15+AZ18)</f>
        <v/>
      </c>
      <c r="BA20" s="72">
        <f>SUM(BA8+BA9+BA15+BA18)</f>
        <v/>
      </c>
      <c r="BB20" s="72">
        <f>SUM(BB8+BB9+BB15+BB18)</f>
        <v/>
      </c>
      <c r="BC20" s="72">
        <f>SUM(BC8+BC9+BC15+BC18)</f>
        <v/>
      </c>
      <c r="BD20" s="291">
        <f>SUM(BD8+BD9+BD15+BD18)</f>
        <v/>
      </c>
      <c r="BE20" s="98">
        <f>SUM(BE8+BE9+BE15+BE18)</f>
        <v/>
      </c>
      <c r="BF20" s="72">
        <f>SUM(BF8+BF9+BF15+BF18)</f>
        <v/>
      </c>
      <c r="BG20" s="72">
        <f>SUM(BG8+BG9+BG15+BG18)</f>
        <v/>
      </c>
      <c r="BH20" s="72">
        <f>SUM(BH8+BH9+BH15+BH18)</f>
        <v/>
      </c>
      <c r="BI20" s="72">
        <f>SUM(BI8+BI9+BI15+BI18)</f>
        <v/>
      </c>
      <c r="BJ20" s="72">
        <f>SUM(BJ8+BJ9+BJ15+BJ18)</f>
        <v/>
      </c>
      <c r="BK20" s="72">
        <f>SUM(BK8+BK9+BK15+BK18)</f>
        <v/>
      </c>
      <c r="BL20" s="72">
        <f>SUM(BL8+BL9+BL15+BL18)</f>
        <v/>
      </c>
      <c r="BM20" s="72">
        <f>SUM(BM8+BM9+BM15+BM18)</f>
        <v/>
      </c>
      <c r="BN20" s="72">
        <f>SUM(BN8+BN9+BN15+BN18)</f>
        <v/>
      </c>
      <c r="BO20" s="72">
        <f>SUM(BO8+BO9+BO15+BO18)</f>
        <v/>
      </c>
      <c r="BP20" s="291">
        <f>SUM(BP8+BP9+BP15+BP18)</f>
        <v/>
      </c>
      <c r="BQ20" s="98">
        <f>SUM(BQ8+BQ9+BQ15+BQ18)</f>
        <v/>
      </c>
      <c r="BR20" s="72">
        <f>SUM(BR8+BR9+BR15+BR18)</f>
        <v/>
      </c>
      <c r="BS20" s="72">
        <f>SUM(BS8+BS9+BS15+BS18)</f>
        <v/>
      </c>
      <c r="BT20" s="72">
        <f>SUM(BT8+BT9+BT15+BT18)</f>
        <v/>
      </c>
      <c r="BU20" s="72">
        <f>SUM(BU8+BU9+BU15+BU18)</f>
        <v/>
      </c>
      <c r="BV20" s="72">
        <f>SUM(BV8+BV9+BV15+BV18)</f>
        <v/>
      </c>
      <c r="BW20" s="72">
        <f>SUM(BW8+BW9+BW15+BW18)</f>
        <v/>
      </c>
      <c r="BX20" s="72">
        <f>SUM(BX8+BX9+BX15+BX18)</f>
        <v/>
      </c>
      <c r="BY20" s="72">
        <f>SUM(BY8+BY9+BY15+BY18)</f>
        <v/>
      </c>
      <c r="BZ20" s="72">
        <f>SUM(BZ8+BZ9+BZ15+BZ18)</f>
        <v/>
      </c>
      <c r="CA20" s="72">
        <f>SUM(CA8+CA9+CA15+CA18)</f>
        <v/>
      </c>
      <c r="CB20" s="291">
        <f>SUM(CB8+CB9+CB15+CB18)</f>
        <v/>
      </c>
      <c r="CC20" s="98">
        <f>SUM(CC8+CC9+CC15+CC18)</f>
        <v/>
      </c>
      <c r="CD20" s="72">
        <f>SUM(CD8+CD9+CD15+CD18)</f>
        <v/>
      </c>
      <c r="CE20" s="72">
        <f>SUM(CE8+CE9+CE15+CE18)</f>
        <v/>
      </c>
      <c r="CF20" s="72">
        <f>SUM(CF8+CF9+CF15+CF18)</f>
        <v/>
      </c>
      <c r="CG20" s="72">
        <f>SUM(CG8+CG9+CG15+CG18)</f>
        <v/>
      </c>
      <c r="CH20" s="72">
        <f>SUM(CH8+CH9+CH15+CH18)</f>
        <v/>
      </c>
      <c r="CI20" s="72">
        <f>SUM(CI8+CI9+CI15+CI18)</f>
        <v/>
      </c>
      <c r="CJ20" s="72">
        <f>SUM(CJ8+CJ9+CJ15+CJ18)</f>
        <v/>
      </c>
      <c r="CK20" s="72">
        <f>SUM(CK8+CK9+CK15+CK18)</f>
        <v/>
      </c>
      <c r="CL20" s="72">
        <f>SUM(CL8+CL9+CL15+CL18)</f>
        <v/>
      </c>
      <c r="CM20" s="72">
        <f>SUM(CM8+CM9+CM15+CM18)</f>
        <v/>
      </c>
      <c r="CN20" s="291">
        <f>SUM(CN8+CN9+CN15+CN18)</f>
        <v/>
      </c>
      <c r="CO20" s="98">
        <f>SUM(CO8+CO9+CO15+CO18)</f>
        <v/>
      </c>
      <c r="CP20" s="72">
        <f>SUM(CP8+CP9+CP15+CP18)</f>
        <v/>
      </c>
      <c r="CQ20" s="72">
        <f>SUM(CQ8+CQ9+CQ15+CQ18)</f>
        <v/>
      </c>
      <c r="CR20" s="72">
        <f>SUM(CR8+CR9+CR15+CR18)</f>
        <v/>
      </c>
      <c r="CS20" s="72">
        <f>SUM(CS8+CS9+CS15+CS18)</f>
        <v/>
      </c>
      <c r="CT20" s="72">
        <f>SUM(CT8+CT9+CT15+CT18)</f>
        <v/>
      </c>
      <c r="CU20" s="72">
        <f>SUM(CU8+CU9+CU15+CU18)</f>
        <v/>
      </c>
      <c r="CV20" s="72">
        <f>SUM(CV8+CV9+CV15+CV18)</f>
        <v/>
      </c>
      <c r="CW20" s="72">
        <f>SUM(CW8+CW9+CW15+CW18)</f>
        <v/>
      </c>
      <c r="CX20" s="72">
        <f>SUM(CX8+CX9+CX15+CX18)</f>
        <v/>
      </c>
      <c r="CY20" s="72">
        <f>SUM(CY8+CY9+CY15+CY18)</f>
        <v/>
      </c>
      <c r="CZ20" s="291">
        <f>SUM(CZ8+CZ9+CZ15+CZ18)</f>
        <v/>
      </c>
      <c r="DA20" s="98">
        <f>SUM(DA8+DA9+DA15+DA18)</f>
        <v/>
      </c>
      <c r="DB20" s="72">
        <f>SUM(DB8+DB9+DB15+DB18)</f>
        <v/>
      </c>
      <c r="DC20" s="72">
        <f>SUM(DC8+DC9+DC15+DC18)</f>
        <v/>
      </c>
      <c r="DD20" s="72">
        <f>SUM(DD8+DD9+DD15+DD18)</f>
        <v/>
      </c>
      <c r="DE20" s="72">
        <f>SUM(DE8+DE9+DE15+DE18)</f>
        <v/>
      </c>
      <c r="DF20" s="72">
        <f>SUM(DF8+DF9+DF15+DF18)</f>
        <v/>
      </c>
      <c r="DG20" s="72">
        <f>SUM(DG8+DG9+DG15+DG18)</f>
        <v/>
      </c>
      <c r="DH20" s="72">
        <f>SUM(DH8+DH9+DH15+DH18)</f>
        <v/>
      </c>
      <c r="DI20" s="72">
        <f>SUM(DI8+DI9+DI15+DI18)</f>
        <v/>
      </c>
      <c r="DJ20" s="72">
        <f>SUM(DJ8+DJ9+DJ15+DJ18)</f>
        <v/>
      </c>
      <c r="DK20" s="72">
        <f>SUM(DK8+DK9+DK15+DK18)</f>
        <v/>
      </c>
      <c r="DL20" s="72">
        <f>SUM(DL8+DL9+DL15+DL18)</f>
        <v/>
      </c>
      <c r="DM20" s="72">
        <f>SUM(DM8+DM9+DM15+DM18)</f>
        <v/>
      </c>
      <c r="DN20" s="72">
        <f>SUM(DN8+DN9+DN15+DN18)</f>
        <v/>
      </c>
      <c r="DO20" s="72">
        <f>SUM(DO8+DO9+DO15+DO18)</f>
        <v/>
      </c>
      <c r="DP20" s="72">
        <f>SUM(DP8+DP9+DP15+DP18)</f>
        <v/>
      </c>
      <c r="DQ20" s="72">
        <f>SUM(DQ8+DQ9+DQ15+DQ18)</f>
        <v/>
      </c>
      <c r="DR20" s="72">
        <f>SUM(DR8+DR9+DR15+DR18)</f>
        <v/>
      </c>
      <c r="DS20" s="72">
        <f>SUM(DS8+DS9+DS15+DS18)</f>
        <v/>
      </c>
      <c r="DT20" s="72">
        <f>SUM(DT8+DT9+DT15+DT18)</f>
        <v/>
      </c>
      <c r="DU20" s="72">
        <f>SUM(DU8+DU9+DU15+DU18)</f>
        <v/>
      </c>
      <c r="DV20" s="72">
        <f>SUM(DV8+DV9+DV15+DV18)</f>
        <v/>
      </c>
      <c r="DW20" s="72">
        <f>SUM(DW8+DW9+DW15+DW18)</f>
        <v/>
      </c>
      <c r="DX20" s="72">
        <f>SUM(DX8+DX9+DX15+DX18)</f>
        <v/>
      </c>
      <c r="DY20" s="72">
        <f>SUM(DY8+DY9+DY15+DY18)</f>
        <v/>
      </c>
      <c r="DZ20" s="72">
        <f>SUM(DZ8+DZ9+DZ15+DZ18)</f>
        <v/>
      </c>
      <c r="EA20" s="72">
        <f>SUM(EA8+EA9+EA15+EA18)</f>
        <v/>
      </c>
      <c r="EB20" s="72">
        <f>SUM(EB8+EB9+EB15+EB18)</f>
        <v/>
      </c>
      <c r="EC20" s="72">
        <f>SUM(EC8+EC9+EC15+EC18)</f>
        <v/>
      </c>
      <c r="ED20" s="72">
        <f>SUM(ED8+ED9+ED15+ED18)</f>
        <v/>
      </c>
      <c r="EE20" s="72">
        <f>SUM(EE8+EE9+EE15+EE18)</f>
        <v/>
      </c>
      <c r="EF20" s="72">
        <f>SUM(EF8+EF9+EF15+EF18)</f>
        <v/>
      </c>
      <c r="EG20" s="72">
        <f>SUM(EG8+EG9+EG15+EG18)</f>
        <v/>
      </c>
      <c r="EH20" s="72">
        <f>SUM(EH8+EH9+EH15+EH18)</f>
        <v/>
      </c>
      <c r="EI20" s="72">
        <f>SUM(EI8+EI9+EI15+EI18)</f>
        <v/>
      </c>
      <c r="EJ20" s="72">
        <f>SUM(EJ8+EJ9+EJ15+EJ18)</f>
        <v/>
      </c>
      <c r="EK20" s="72">
        <f>SUM(EK8+EK9+EK15+EK18)</f>
        <v/>
      </c>
      <c r="EL20" s="72">
        <f>SUM(EL8+EL9+EL15+EL18)</f>
        <v/>
      </c>
      <c r="EM20" s="72">
        <f>SUM(EM8+EM9+EM15+EM18)</f>
        <v/>
      </c>
      <c r="EN20" s="72">
        <f>SUM(EN8+EN9+EN15+EN18)</f>
        <v/>
      </c>
      <c r="EO20" s="72">
        <f>SUM(EO8+EO9+EO15+EO18)</f>
        <v/>
      </c>
      <c r="EP20" s="72">
        <f>SUM(EP8+EP9+EP15+EP18)</f>
        <v/>
      </c>
      <c r="EQ20" s="72">
        <f>SUM(EQ8+EQ9+EQ15+EQ18)</f>
        <v/>
      </c>
      <c r="ER20" s="72">
        <f>SUM(ER8+ER9+ER15+ER18)</f>
        <v/>
      </c>
      <c r="ES20" s="72">
        <f>SUM(ES8+ES9+ES15+ES18)</f>
        <v/>
      </c>
      <c r="ET20" s="72">
        <f>SUM(ET8+ET9+ET15+ET18)</f>
        <v/>
      </c>
      <c r="EU20" s="72">
        <f>SUM(EU8+EU9+EU15+EU18)</f>
        <v/>
      </c>
      <c r="EV20" s="72">
        <f>SUM(EV8+EV9+EV15+EV18)</f>
        <v/>
      </c>
      <c r="EW20" s="72">
        <f>SUM(EW8+EW9+EW15+EW18)</f>
        <v/>
      </c>
      <c r="EX20" s="72">
        <f>SUM(EX8+EX9+EX15+EX18)</f>
        <v/>
      </c>
      <c r="EY20" s="72">
        <f>SUM(EY8+EY9+EY15+EY18)</f>
        <v/>
      </c>
      <c r="EZ20" s="72">
        <f>SUM(EZ8+EZ9+EZ15+EZ18)</f>
        <v/>
      </c>
      <c r="FA20" s="72">
        <f>SUM(FA8+FA9+FA15+FA18)</f>
        <v/>
      </c>
      <c r="FB20" s="72">
        <f>SUM(FB8+FB9+FB15+FB18)</f>
        <v/>
      </c>
      <c r="FC20" s="72">
        <f>SUM(FC8+FC9+FC15+FC18)</f>
        <v/>
      </c>
      <c r="FD20" s="72">
        <f>SUM(FD8+FD9+FD15+FD18)</f>
        <v/>
      </c>
      <c r="FE20" s="72">
        <f>SUM(FE8+FE9+FE15+FE18)</f>
        <v/>
      </c>
      <c r="FF20" s="72">
        <f>SUM(FF8+FF9+FF15+FF18)</f>
        <v/>
      </c>
      <c r="FG20" s="72">
        <f>SUM(FG8+FG9+FG15+FG18)</f>
        <v/>
      </c>
      <c r="FH20" s="72">
        <f>SUM(FH8+FH9+FH15+FH18)</f>
        <v/>
      </c>
      <c r="FI20" s="72">
        <f>SUM(FI8+FI9+FI15+FI18)</f>
        <v/>
      </c>
      <c r="FJ20" s="72">
        <f>SUM(FJ8+FJ9+FJ15+FJ18)</f>
        <v/>
      </c>
      <c r="FK20" s="72">
        <f>SUM(FK8+FK9+FK15+FK18)</f>
        <v/>
      </c>
      <c r="FL20" s="72">
        <f>SUM(FL8+FL9+FL15+FL18)</f>
        <v/>
      </c>
      <c r="FM20" s="72">
        <f>SUM(FM8+FM9+FM15+FM18)</f>
        <v/>
      </c>
      <c r="FN20" s="72">
        <f>SUM(FN8+FN9+FN15+FN18)</f>
        <v/>
      </c>
      <c r="FO20" s="72">
        <f>SUM(FO8+FO9+FO15+FO18)</f>
        <v/>
      </c>
      <c r="FP20" s="72">
        <f>SUM(FP8+FP9+FP15+FP18)</f>
        <v/>
      </c>
      <c r="FQ20" s="72">
        <f>SUM(FQ8+FQ9+FQ15+FQ18)</f>
        <v/>
      </c>
      <c r="FR20" s="72">
        <f>SUM(FR8+FR9+FR15+FR18)</f>
        <v/>
      </c>
      <c r="FS20" s="72">
        <f>SUM(FS8+FS9+FS15+FS18)</f>
        <v/>
      </c>
      <c r="FT20" s="72">
        <f>SUM(FT8+FT9+FT15+FT18)</f>
        <v/>
      </c>
      <c r="FU20" s="72">
        <f>SUM(FU8+FU9+FU15+FU18)</f>
        <v/>
      </c>
      <c r="FV20" s="72">
        <f>SUM(FV8+FV9+FV15+FV18)</f>
        <v/>
      </c>
      <c r="FW20" s="72">
        <f>SUM(FW8+FW9+FW15+FW18)</f>
        <v/>
      </c>
      <c r="FX20" s="72">
        <f>SUM(FX8+FX9+FX15+FX18)</f>
        <v/>
      </c>
      <c r="FY20" s="72">
        <f>SUM(FY8+FY9+FY15+FY18)</f>
        <v/>
      </c>
      <c r="FZ20" s="72">
        <f>SUM(FZ8+FZ9+FZ15+FZ18)</f>
        <v/>
      </c>
      <c r="GA20" s="72">
        <f>SUM(GA8+GA9+GA15+GA18)</f>
        <v/>
      </c>
      <c r="GB20" s="72">
        <f>SUM(GB8+GB9+GB15+GB18)</f>
        <v/>
      </c>
      <c r="GC20" s="72">
        <f>SUM(GC8+GC9+GC15+GC18)</f>
        <v/>
      </c>
      <c r="GD20" s="72">
        <f>SUM(GD8+GD9+GD15+GD18)</f>
        <v/>
      </c>
      <c r="GE20" s="72">
        <f>SUM(GE8+GE9+GE15+GE18)</f>
        <v/>
      </c>
      <c r="GF20" s="72">
        <f>SUM(GF8+GF9+GF15+GF18)</f>
        <v/>
      </c>
      <c r="GG20" s="72">
        <f>SUM(GG8+GG9+GG15+GG18)</f>
        <v/>
      </c>
      <c r="GH20" s="72">
        <f>SUM(GH8+GH9+GH15+GH18)</f>
        <v/>
      </c>
      <c r="GI20" s="72">
        <f>SUM(GI8+GI9+GI15+GI18)</f>
        <v/>
      </c>
      <c r="GJ20" s="72">
        <f>SUM(GJ8+GJ9+GJ15+GJ18)</f>
        <v/>
      </c>
      <c r="GK20" s="72">
        <f>SUM(GK8+GK9+GK15+GK18)</f>
        <v/>
      </c>
      <c r="GL20" s="72">
        <f>SUM(GL8+GL9+GL15+GL18)</f>
        <v/>
      </c>
      <c r="GM20" s="72">
        <f>SUM(GM8+GM9+GM15+GM18)</f>
        <v/>
      </c>
      <c r="GN20" s="72">
        <f>SUM(GN8+GN9+GN15+GN18)</f>
        <v/>
      </c>
      <c r="GO20" s="72">
        <f>SUM(GO8+GO9+GO15+GO18)</f>
        <v/>
      </c>
      <c r="GP20" s="72">
        <f>SUM(GP8+GP9+GP15+GP18)</f>
        <v/>
      </c>
      <c r="GQ20" s="72">
        <f>SUM(GQ8+GQ9+GQ15+GQ18)</f>
        <v/>
      </c>
      <c r="GR20" s="72">
        <f>SUM(GR8+GR9+GR15+GR18)</f>
        <v/>
      </c>
      <c r="GS20" s="72">
        <f>SUM(GS8+GS9+GS15+GS18)</f>
        <v/>
      </c>
      <c r="GT20" s="72">
        <f>SUM(GT8+GT9+GT15+GT18)</f>
        <v/>
      </c>
      <c r="GU20" s="72">
        <f>SUM(GU8+GU9+GU15+GU18)</f>
        <v/>
      </c>
      <c r="GV20" s="72">
        <f>SUM(GV8+GV9+GV15+GV18)</f>
        <v/>
      </c>
      <c r="GW20" s="72">
        <f>SUM(GW8+GW9+GW15+GW18)</f>
        <v/>
      </c>
      <c r="GX20" s="72">
        <f>SUM(GX8+GX9+GX15+GX18)</f>
        <v/>
      </c>
      <c r="GY20" s="72">
        <f>SUM(GY8+GY9+GY15+GY18)</f>
        <v/>
      </c>
      <c r="GZ20" s="72">
        <f>SUM(GZ8+GZ9+GZ15+GZ18)</f>
        <v/>
      </c>
      <c r="HA20" s="72">
        <f>SUM(HA8+HA9+HA15+HA18)</f>
        <v/>
      </c>
      <c r="HB20" s="72">
        <f>SUM(HB8+HB9+HB15+HB18)</f>
        <v/>
      </c>
      <c r="HC20" s="72">
        <f>SUM(HC8+HC9+HC15+HC18)</f>
        <v/>
      </c>
      <c r="HD20" s="72">
        <f>SUM(HD8+HD9+HD15+HD18)</f>
        <v/>
      </c>
      <c r="HE20" s="72">
        <f>SUM(HE8+HE9+HE15+HE18)</f>
        <v/>
      </c>
      <c r="HF20" s="72">
        <f>SUM(HF8+HF9+HF15+HF18)</f>
        <v/>
      </c>
      <c r="HG20" s="72">
        <f>SUM(HG8+HG9+HG15+HG18)</f>
        <v/>
      </c>
      <c r="HH20" s="72">
        <f>SUM(HH8+HH9+HH15+HH18)</f>
        <v/>
      </c>
      <c r="HI20" s="72">
        <f>SUM(HI8+HI9+HI15+HI18)</f>
        <v/>
      </c>
      <c r="HJ20" s="72">
        <f>SUM(HJ8+HJ9+HJ15+HJ18)</f>
        <v/>
      </c>
      <c r="HK20" s="72">
        <f>SUM(HK8+HK9+HK15+HK18)</f>
        <v/>
      </c>
      <c r="HL20" s="72">
        <f>SUM(HL8+HL9+HL15+HL18)</f>
        <v/>
      </c>
      <c r="HM20" s="72">
        <f>SUM(HM8+HM9+HM15+HM18)</f>
        <v/>
      </c>
      <c r="HN20" s="72">
        <f>SUM(HN8+HN9+HN15+HN18)</f>
        <v/>
      </c>
      <c r="HO20" s="72">
        <f>SUM(HO8+HO9+HO15+HO18)</f>
        <v/>
      </c>
      <c r="HP20" s="72">
        <f>SUM(HP8+HP9+HP15+HP18)</f>
        <v/>
      </c>
      <c r="HQ20" s="72">
        <f>SUM(HQ8+HQ9+HQ15+HQ18)</f>
        <v/>
      </c>
      <c r="HR20" s="72">
        <f>SUM(HR8+HR9+HR15+HR18)</f>
        <v/>
      </c>
      <c r="HS20" s="72">
        <f>SUM(HS8+HS9+HS15+HS18)</f>
        <v/>
      </c>
      <c r="HT20" s="72">
        <f>SUM(HT8+HT9+HT15+HT18)</f>
        <v/>
      </c>
      <c r="HU20" s="72">
        <f>SUM(HU8+HU9+HU15+HU18)</f>
        <v/>
      </c>
    </row>
    <row r="21" ht="16.2" customHeight="1">
      <c r="A21" s="97" t="inlineStr">
        <is>
          <t>TOTAL DE RECEITAS + PREVISÃO VENDAS</t>
        </is>
      </c>
      <c r="B21" s="132">
        <f>SUM(C21:W21)</f>
        <v/>
      </c>
      <c r="C21" s="18">
        <f>C12+C20</f>
        <v/>
      </c>
      <c r="D21" s="18">
        <f>D12+D20</f>
        <v/>
      </c>
      <c r="E21" s="18">
        <f>E12+E20</f>
        <v/>
      </c>
      <c r="F21" s="18">
        <f>F12+F20</f>
        <v/>
      </c>
      <c r="G21" s="18">
        <f>G12+G20</f>
        <v/>
      </c>
      <c r="H21" s="18">
        <f>H12+H20</f>
        <v/>
      </c>
      <c r="I21" s="18">
        <f>I12+I20</f>
        <v/>
      </c>
      <c r="J21" s="162">
        <f>J12+J9+J18+J15+J8</f>
        <v/>
      </c>
      <c r="K21" s="18">
        <f>K12+K9+K18+K15+K8</f>
        <v/>
      </c>
      <c r="L21" s="18">
        <f>L12+L9+L18+L15+L8</f>
        <v/>
      </c>
      <c r="M21" s="163">
        <f>M12+M9+M18+M15+M8</f>
        <v/>
      </c>
      <c r="N21" s="163">
        <f>N12+N9+N18+N15+N8</f>
        <v/>
      </c>
      <c r="O21" s="163">
        <f>O12+O9+O18+O15+O8</f>
        <v/>
      </c>
      <c r="P21" s="163">
        <f>P12+P9+P18+P15+P8</f>
        <v/>
      </c>
      <c r="Q21" s="163">
        <f>Q12+Q9+Q18+Q15+Q8</f>
        <v/>
      </c>
      <c r="R21" s="163">
        <f>R12+R9+R18+R15+R8</f>
        <v/>
      </c>
      <c r="S21" s="163">
        <f>S12+S9+S18+S15+S8</f>
        <v/>
      </c>
      <c r="T21" s="163">
        <f>T12+T9+T18+T15+T8</f>
        <v/>
      </c>
      <c r="U21" s="163">
        <f>U12+U9+U18+U15+U8</f>
        <v/>
      </c>
      <c r="V21" s="163">
        <f>V12+V9+V18+V15+V8</f>
        <v/>
      </c>
      <c r="W21" s="163">
        <f>W12+W9+W18+W15+W8</f>
        <v/>
      </c>
      <c r="X21" s="163">
        <f>X12+X9+X18+X15+X8</f>
        <v/>
      </c>
      <c r="Y21" s="163">
        <f>Y12+Y9+Y18+Y15+Y8</f>
        <v/>
      </c>
      <c r="Z21" s="163">
        <f>Z12+Z9+Z18+Z15+Z8</f>
        <v/>
      </c>
      <c r="AA21" s="163">
        <f>AA12+AA9+AA18+AA15+AA8</f>
        <v/>
      </c>
      <c r="AB21" s="163">
        <f>AB12+AB9+AB18+AB15+AB8</f>
        <v/>
      </c>
      <c r="AC21" s="163">
        <f>AC12+AC9+AC18+AC15+AC8</f>
        <v/>
      </c>
      <c r="AD21" s="17" t="n"/>
      <c r="AE21" s="237">
        <f>SUM(AG21:DN21)</f>
        <v/>
      </c>
      <c r="AF21" s="17" t="n"/>
      <c r="AG21" s="99">
        <f>AG12+AG9+AG18+AG15+AG8</f>
        <v/>
      </c>
      <c r="AH21" s="99">
        <f>AH12+AH9+AH18+AH15+AH8</f>
        <v/>
      </c>
      <c r="AI21" s="18">
        <f>AI12+AI9+AI18+AI15+AI8</f>
        <v/>
      </c>
      <c r="AJ21" s="18">
        <f>AJ12+AJ9+AJ18+AJ15+AJ8</f>
        <v/>
      </c>
      <c r="AK21" s="18">
        <f>AK12+AK9+AK18+AK15+AK8</f>
        <v/>
      </c>
      <c r="AL21" s="18">
        <f>AL12+AL9+AL18+AL15+AL8</f>
        <v/>
      </c>
      <c r="AM21" s="18">
        <f>AM12+AM9+AM18+AM15+AM8</f>
        <v/>
      </c>
      <c r="AN21" s="18">
        <f>AN12+AN9+AN18+AN15+AN8</f>
        <v/>
      </c>
      <c r="AO21" s="18">
        <f>AO12+AO9+AO18+AO15+AO8</f>
        <v/>
      </c>
      <c r="AP21" s="18">
        <f>AP12+AP9+AP18+AP15+AP8</f>
        <v/>
      </c>
      <c r="AQ21" s="18">
        <f>AQ12+AQ9+AQ18+AQ15+AQ8</f>
        <v/>
      </c>
      <c r="AR21" s="18">
        <f>AR12+AR9+AR18+AR15+AR8</f>
        <v/>
      </c>
      <c r="AS21" s="18">
        <f>AS12+AS9+AS18+AS15+AS8</f>
        <v/>
      </c>
      <c r="AT21" s="18">
        <f>AT12+AT9+AT18+AT15+AT8</f>
        <v/>
      </c>
      <c r="AU21" s="18">
        <f>AU12+AU9+AU18+AU15+AU8</f>
        <v/>
      </c>
      <c r="AV21" s="18">
        <f>AV12+AV9+AV18+AV15+AV8</f>
        <v/>
      </c>
      <c r="AW21" s="18">
        <f>AW12+AW9+AW18+AW15+AW8</f>
        <v/>
      </c>
      <c r="AX21" s="18">
        <f>AX12+AX9+AX18+AX15+AX8</f>
        <v/>
      </c>
      <c r="AY21" s="18">
        <f>AY12+AY9+AY18+AY15+AY8</f>
        <v/>
      </c>
      <c r="AZ21" s="18">
        <f>AZ12+AZ9+AZ18+AZ15+AZ8</f>
        <v/>
      </c>
      <c r="BA21" s="18">
        <f>BA12+BA9+BA18+BA15+BA8</f>
        <v/>
      </c>
      <c r="BB21" s="18">
        <f>BB12+BB9+BB18+BB15+BB8</f>
        <v/>
      </c>
      <c r="BC21" s="18">
        <f>BC12+BC9+BC18+BC15+BC8</f>
        <v/>
      </c>
      <c r="BD21" s="292">
        <f>BD12+BD9+BD18+BD15+BD8</f>
        <v/>
      </c>
      <c r="BE21" s="99">
        <f>BE12+BE9+BE18+BE15+BE8</f>
        <v/>
      </c>
      <c r="BF21" s="18">
        <f>BF12+BF9+BF18+BF15+BF8</f>
        <v/>
      </c>
      <c r="BG21" s="18">
        <f>BG12+BG9+BG18+BG15+BG8</f>
        <v/>
      </c>
      <c r="BH21" s="18">
        <f>BH12+BH9+BH18+BH15+BH8</f>
        <v/>
      </c>
      <c r="BI21" s="18">
        <f>BI12+BI9+BI18+BI15+BI8</f>
        <v/>
      </c>
      <c r="BJ21" s="18">
        <f>BJ12+BJ9+BJ18+BJ15+BJ8</f>
        <v/>
      </c>
      <c r="BK21" s="18">
        <f>BK12+BK9+BK18+BK15+BK8</f>
        <v/>
      </c>
      <c r="BL21" s="18">
        <f>BL12+BL9+BL18+BL15+BL8</f>
        <v/>
      </c>
      <c r="BM21" s="18">
        <f>BM12+BM9+BM18+BM15+BM8</f>
        <v/>
      </c>
      <c r="BN21" s="18">
        <f>BN12+BN9+BN18+BN15+BN8</f>
        <v/>
      </c>
      <c r="BO21" s="18">
        <f>BO12+BO9+BO18+BO15+BO8</f>
        <v/>
      </c>
      <c r="BP21" s="292">
        <f>BP12+BP9+BP18+BP15+BP8</f>
        <v/>
      </c>
      <c r="BQ21" s="99">
        <f>BQ12+BQ9+BQ18+BQ15+BQ8</f>
        <v/>
      </c>
      <c r="BR21" s="18">
        <f>BR12+BR9+BR18+BR15+BR8</f>
        <v/>
      </c>
      <c r="BS21" s="18">
        <f>BS12+BS9+BS18+BS15+BS8</f>
        <v/>
      </c>
      <c r="BT21" s="18">
        <f>BT12+BT9+BT18+BT15+BT8</f>
        <v/>
      </c>
      <c r="BU21" s="18">
        <f>BU12+BU9+BU18+BU15+BU8</f>
        <v/>
      </c>
      <c r="BV21" s="18">
        <f>BV12+BV9+BV18+BV15+BV8</f>
        <v/>
      </c>
      <c r="BW21" s="18">
        <f>BW12+BW9+BW18+BW15+BW8</f>
        <v/>
      </c>
      <c r="BX21" s="18">
        <f>BX12+BX9+BX18+BX15+BX8</f>
        <v/>
      </c>
      <c r="BY21" s="18">
        <f>BY12+BY9+BY18+BY15+BY8</f>
        <v/>
      </c>
      <c r="BZ21" s="18">
        <f>BZ12+BZ9+BZ18+BZ15+BZ8</f>
        <v/>
      </c>
      <c r="CA21" s="18">
        <f>CA12+CA9+CA18+CA15+CA8</f>
        <v/>
      </c>
      <c r="CB21" s="292">
        <f>CB12+CB9+CB18+CB15+CB8</f>
        <v/>
      </c>
      <c r="CC21" s="99">
        <f>CC12+CC9+CC18+CC15+CC8</f>
        <v/>
      </c>
      <c r="CD21" s="18">
        <f>CD12+CD9+CD18+CD15+CD8</f>
        <v/>
      </c>
      <c r="CE21" s="18">
        <f>CE12+CE9+CE18+CE15+CE8</f>
        <v/>
      </c>
      <c r="CF21" s="18">
        <f>CF12+CF9+CF18+CF15+CF8</f>
        <v/>
      </c>
      <c r="CG21" s="18">
        <f>CG12+CG9+CG18+CG15+CG8</f>
        <v/>
      </c>
      <c r="CH21" s="18">
        <f>CH12+CH9+CH18+CH15+CH8</f>
        <v/>
      </c>
      <c r="CI21" s="18">
        <f>CI12+CI9+CI18+CI15+CI8</f>
        <v/>
      </c>
      <c r="CJ21" s="18">
        <f>CJ12+CJ9+CJ18+CJ15+CJ8</f>
        <v/>
      </c>
      <c r="CK21" s="18">
        <f>CK12+CK9+CK18+CK15+CK8</f>
        <v/>
      </c>
      <c r="CL21" s="18">
        <f>CL12+CL9+CL18+CL15+CL8</f>
        <v/>
      </c>
      <c r="CM21" s="18">
        <f>CM12+CM9+CM18+CM15+CM8</f>
        <v/>
      </c>
      <c r="CN21" s="292">
        <f>CN12+CN9+CN18+CN15+CN8</f>
        <v/>
      </c>
      <c r="CO21" s="99">
        <f>CO12+CO9+CO18+CO15+CO8</f>
        <v/>
      </c>
      <c r="CP21" s="18">
        <f>CP12+CP9+CP18+CP15+CP8</f>
        <v/>
      </c>
      <c r="CQ21" s="18">
        <f>CQ12+CQ9+CQ18+CQ15+CQ8</f>
        <v/>
      </c>
      <c r="CR21" s="18">
        <f>CR12+CR9+CR18+CR15+CR8</f>
        <v/>
      </c>
      <c r="CS21" s="18">
        <f>CS12+CS9+CS18+CS15+CS8</f>
        <v/>
      </c>
      <c r="CT21" s="18">
        <f>CT12+CT9+CT18+CT15+CT8</f>
        <v/>
      </c>
      <c r="CU21" s="18">
        <f>CU12+CU9+CU18+CU15+CU8</f>
        <v/>
      </c>
      <c r="CV21" s="18">
        <f>CV12+CV9+CV18+CV15+CV8</f>
        <v/>
      </c>
      <c r="CW21" s="18">
        <f>CW12+CW9+CW18+CW15+CW8</f>
        <v/>
      </c>
      <c r="CX21" s="18">
        <f>CX12+CX9+CX18+CX15+CX8</f>
        <v/>
      </c>
      <c r="CY21" s="18">
        <f>CY12+CY9+CY18+CY15+CY8</f>
        <v/>
      </c>
      <c r="CZ21" s="292">
        <f>CZ12+CZ9+CZ18+CZ15+CZ8</f>
        <v/>
      </c>
      <c r="DA21" s="99">
        <f>DA12+DA9+DA18+DA15+DA8</f>
        <v/>
      </c>
      <c r="DB21" s="18">
        <f>DB12+DB9+DB18+DB15+DB8</f>
        <v/>
      </c>
      <c r="DC21" s="18">
        <f>DC12+DC9+DC18+DC15+DC8</f>
        <v/>
      </c>
      <c r="DD21" s="18">
        <f>DD12+DD9+DD18+DD15+DD8</f>
        <v/>
      </c>
      <c r="DE21" s="18">
        <f>DE12+DE9+DE18+DE15+DE8</f>
        <v/>
      </c>
      <c r="DF21" s="18">
        <f>DF12+DF9+DF18+DF15+DF8</f>
        <v/>
      </c>
      <c r="DG21" s="18">
        <f>DG12+DG9+DG18+DG15+DG8</f>
        <v/>
      </c>
      <c r="DH21" s="18">
        <f>DH12+DH9+DH18+DH15+DH8</f>
        <v/>
      </c>
      <c r="DI21" s="18">
        <f>DI12+DI9+DI18+DI15+DI8</f>
        <v/>
      </c>
      <c r="DJ21" s="18">
        <f>DJ12+DJ9+DJ18+DJ15+DJ8</f>
        <v/>
      </c>
      <c r="DK21" s="18">
        <f>DK12+DK9+DK18+DK15+DK8</f>
        <v/>
      </c>
      <c r="DL21" s="18">
        <f>DL12+DL9+DL18+DL15+DL8</f>
        <v/>
      </c>
      <c r="DM21" s="18">
        <f>DM12+DM9+DM18+DM15+DM8</f>
        <v/>
      </c>
      <c r="DN21" s="18">
        <f>DN12+DN9+DN18+DN15+DN8</f>
        <v/>
      </c>
      <c r="DO21" s="18">
        <f>DO12+DO9+DO18+DO15+DO8</f>
        <v/>
      </c>
      <c r="DP21" s="18">
        <f>DP12+DP9+DP18+DP15+DP8</f>
        <v/>
      </c>
      <c r="DQ21" s="18">
        <f>DQ12+DQ9+DQ18+DQ15+DQ8</f>
        <v/>
      </c>
      <c r="DR21" s="18">
        <f>DR12+DR9+DR18+DR15+DR8</f>
        <v/>
      </c>
      <c r="DS21" s="18">
        <f>DS12+DS9+DS18+DS15+DS8</f>
        <v/>
      </c>
      <c r="DT21" s="18">
        <f>DT12+DT9+DT18+DT15+DT8</f>
        <v/>
      </c>
      <c r="DU21" s="18">
        <f>DU12+DU9+DU18+DU15+DU8</f>
        <v/>
      </c>
      <c r="DV21" s="18">
        <f>DV12+DV9+DV18+DV15+DV8</f>
        <v/>
      </c>
      <c r="DW21" s="18">
        <f>DW12+DW9+DW18+DW15+DW8</f>
        <v/>
      </c>
      <c r="DX21" s="18">
        <f>DX12+DX9+DX18+DX15+DX8</f>
        <v/>
      </c>
      <c r="DY21" s="18">
        <f>DY12+DY9+DY18+DY15+DY8</f>
        <v/>
      </c>
      <c r="DZ21" s="18">
        <f>DZ12+DZ9+DZ18+DZ15+DZ8</f>
        <v/>
      </c>
      <c r="EA21" s="18">
        <f>EA12+EA9+EA18+EA15+EA8</f>
        <v/>
      </c>
      <c r="EB21" s="18">
        <f>EB12+EB9+EB18+EB15+EB8</f>
        <v/>
      </c>
      <c r="EC21" s="18">
        <f>EC12+EC9+EC18+EC15+EC8</f>
        <v/>
      </c>
      <c r="ED21" s="18">
        <f>ED12+ED9+ED18+ED15+ED8</f>
        <v/>
      </c>
      <c r="EE21" s="18">
        <f>EE12+EE9+EE18+EE15+EE8</f>
        <v/>
      </c>
      <c r="EF21" s="18">
        <f>EF12+EF9+EF18+EF15+EF8</f>
        <v/>
      </c>
      <c r="EG21" s="18">
        <f>EG12+EG9+EG18+EG15+EG8</f>
        <v/>
      </c>
      <c r="EH21" s="18">
        <f>EH12+EH9+EH18+EH15+EH8</f>
        <v/>
      </c>
      <c r="EI21" s="18">
        <f>EI12+EI9+EI18+EI15+EI8</f>
        <v/>
      </c>
      <c r="EJ21" s="18">
        <f>EJ12+EJ9+EJ18+EJ15+EJ8</f>
        <v/>
      </c>
      <c r="EK21" s="18">
        <f>EK12+EK9+EK18+EK15+EK8</f>
        <v/>
      </c>
      <c r="EL21" s="18">
        <f>EL12+EL9+EL18+EL15+EL8</f>
        <v/>
      </c>
      <c r="EM21" s="18">
        <f>EM12+EM9+EM18+EM15+EM8</f>
        <v/>
      </c>
      <c r="EN21" s="18">
        <f>EN12+EN9+EN18+EN15+EN8</f>
        <v/>
      </c>
      <c r="EO21" s="18">
        <f>EO12+EO9+EO18+EO15+EO8</f>
        <v/>
      </c>
      <c r="EP21" s="18">
        <f>EP12+EP9+EP18+EP15+EP8</f>
        <v/>
      </c>
      <c r="EQ21" s="18">
        <f>EQ12+EQ9+EQ18+EQ15+EQ8</f>
        <v/>
      </c>
      <c r="ER21" s="18">
        <f>ER12+ER9+ER18+ER15+ER8</f>
        <v/>
      </c>
      <c r="ES21" s="18">
        <f>ES12+ES9+ES18+ES15+ES8</f>
        <v/>
      </c>
      <c r="ET21" s="18">
        <f>ET12+ET9+ET18+ET15+ET8</f>
        <v/>
      </c>
      <c r="EU21" s="18">
        <f>EU12+EU9+EU18+EU15+EU8</f>
        <v/>
      </c>
      <c r="EV21" s="18">
        <f>EV12+EV9+EV18+EV15+EV8</f>
        <v/>
      </c>
      <c r="EW21" s="18">
        <f>EW12+EW9+EW18+EW15+EW8</f>
        <v/>
      </c>
      <c r="EX21" s="18">
        <f>EX12+EX9+EX18+EX15+EX8</f>
        <v/>
      </c>
      <c r="EY21" s="18">
        <f>EY12+EY9+EY18+EY15+EY8</f>
        <v/>
      </c>
      <c r="EZ21" s="18">
        <f>EZ12+EZ9+EZ18+EZ15+EZ8</f>
        <v/>
      </c>
      <c r="FA21" s="18">
        <f>FA12+FA9+FA18+FA15+FA8</f>
        <v/>
      </c>
      <c r="FB21" s="18">
        <f>FB12+FB9+FB18+FB15+FB8</f>
        <v/>
      </c>
      <c r="FC21" s="18">
        <f>FC12+FC9+FC18+FC15+FC8</f>
        <v/>
      </c>
      <c r="FD21" s="18">
        <f>FD12+FD9+FD18+FD15+FD8</f>
        <v/>
      </c>
      <c r="FE21" s="18">
        <f>FE12+FE9+FE18+FE15+FE8</f>
        <v/>
      </c>
      <c r="FF21" s="18">
        <f>FF12+FF9+FF18+FF15+FF8</f>
        <v/>
      </c>
      <c r="FG21" s="18">
        <f>FG12+FG9+FG18+FG15+FG8</f>
        <v/>
      </c>
      <c r="FH21" s="18">
        <f>FH12+FH9+FH18+FH15+FH8</f>
        <v/>
      </c>
      <c r="FI21" s="18">
        <f>FI12+FI9+FI18+FI15+FI8</f>
        <v/>
      </c>
      <c r="FJ21" s="18">
        <f>FJ12+FJ9+FJ18+FJ15+FJ8</f>
        <v/>
      </c>
      <c r="FK21" s="18">
        <f>FK12+FK9+FK18+FK15+FK8</f>
        <v/>
      </c>
      <c r="FL21" s="18">
        <f>FL12+FL9+FL18+FL15+FL8</f>
        <v/>
      </c>
      <c r="FM21" s="18">
        <f>FM12+FM9+FM18+FM15+FM8</f>
        <v/>
      </c>
      <c r="FN21" s="18">
        <f>FN12+FN9+FN18+FN15+FN8</f>
        <v/>
      </c>
      <c r="FO21" s="18">
        <f>FO12+FO9+FO18+FO15+FO8</f>
        <v/>
      </c>
      <c r="FP21" s="18">
        <f>FP12+FP9+FP18+FP15+FP8</f>
        <v/>
      </c>
      <c r="FQ21" s="18">
        <f>FQ12+FQ9+FQ18+FQ15+FQ8</f>
        <v/>
      </c>
      <c r="FR21" s="18">
        <f>FR12+FR9+FR18+FR15+FR8</f>
        <v/>
      </c>
      <c r="FS21" s="18">
        <f>FS12+FS9+FS18+FS15+FS8</f>
        <v/>
      </c>
      <c r="FT21" s="18">
        <f>FT12+FT9+FT18+FT15+FT8</f>
        <v/>
      </c>
      <c r="FU21" s="18">
        <f>FU12+FU9+FU18+FU15+FU8</f>
        <v/>
      </c>
      <c r="FV21" s="18">
        <f>FV12+FV9+FV18+FV15+FV8</f>
        <v/>
      </c>
      <c r="FW21" s="18">
        <f>FW12+FW9+FW18+FW15+FW8</f>
        <v/>
      </c>
      <c r="FX21" s="18">
        <f>FX12+FX9+FX18+FX15+FX8</f>
        <v/>
      </c>
      <c r="FY21" s="18">
        <f>FY12+FY9+FY18+FY15+FY8</f>
        <v/>
      </c>
      <c r="FZ21" s="18">
        <f>FZ12+FZ9+FZ18+FZ15+FZ8</f>
        <v/>
      </c>
      <c r="GA21" s="18">
        <f>GA12+GA9+GA18+GA15+GA8</f>
        <v/>
      </c>
      <c r="GB21" s="18">
        <f>GB12+GB9+GB18+GB15+GB8</f>
        <v/>
      </c>
      <c r="GC21" s="18">
        <f>GC12+GC9+GC18+GC15+GC8</f>
        <v/>
      </c>
      <c r="GD21" s="18">
        <f>GD12+GD9+GD18+GD15+GD8</f>
        <v/>
      </c>
      <c r="GE21" s="18">
        <f>GE12+GE9+GE18+GE15+GE8</f>
        <v/>
      </c>
      <c r="GF21" s="18">
        <f>GF12+GF9+GF18+GF15+GF8</f>
        <v/>
      </c>
      <c r="GG21" s="18">
        <f>GG12+GG9+GG18+GG15+GG8</f>
        <v/>
      </c>
      <c r="GH21" s="18">
        <f>GH12+GH9+GH18+GH15+GH8</f>
        <v/>
      </c>
      <c r="GI21" s="18">
        <f>GI12+GI9+GI18+GI15+GI8</f>
        <v/>
      </c>
      <c r="GJ21" s="18">
        <f>GJ12+GJ9+GJ18+GJ15+GJ8</f>
        <v/>
      </c>
      <c r="GK21" s="18">
        <f>GK12+GK9+GK18+GK15+GK8</f>
        <v/>
      </c>
      <c r="GL21" s="18">
        <f>GL12+GL9+GL18+GL15+GL8</f>
        <v/>
      </c>
      <c r="GM21" s="18">
        <f>GM12+GM9+GM18+GM15+GM8</f>
        <v/>
      </c>
      <c r="GN21" s="18">
        <f>GN12+GN9+GN18+GN15+GN8</f>
        <v/>
      </c>
      <c r="GO21" s="18">
        <f>GO12+GO9+GO18+GO15+GO8</f>
        <v/>
      </c>
      <c r="GP21" s="18">
        <f>GP12+GP9+GP18+GP15+GP8</f>
        <v/>
      </c>
      <c r="GQ21" s="18">
        <f>GQ12+GQ9+GQ18+GQ15+GQ8</f>
        <v/>
      </c>
      <c r="GR21" s="18">
        <f>GR12+GR9+GR18+GR15+GR8</f>
        <v/>
      </c>
      <c r="GS21" s="18">
        <f>GS12+GS9+GS18+GS15+GS8</f>
        <v/>
      </c>
      <c r="GT21" s="18">
        <f>GT12+GT9+GT18+GT15+GT8</f>
        <v/>
      </c>
      <c r="GU21" s="18">
        <f>GU12+GU9+GU18+GU15+GU8</f>
        <v/>
      </c>
      <c r="GV21" s="18">
        <f>GV12+GV9+GV18+GV15+GV8</f>
        <v/>
      </c>
      <c r="GW21" s="18">
        <f>GW12+GW9+GW18+GW15+GW8</f>
        <v/>
      </c>
      <c r="GX21" s="18">
        <f>GX12+GX9+GX18+GX15+GX8</f>
        <v/>
      </c>
      <c r="GY21" s="18">
        <f>GY12+GY9+GY18+GY15+GY8</f>
        <v/>
      </c>
      <c r="GZ21" s="18">
        <f>GZ12+GZ9+GZ18+GZ15+GZ8</f>
        <v/>
      </c>
      <c r="HA21" s="18">
        <f>HA12+HA9+HA18+HA15+HA8</f>
        <v/>
      </c>
      <c r="HB21" s="18">
        <f>HB12+HB9+HB18+HB15+HB8</f>
        <v/>
      </c>
      <c r="HC21" s="18">
        <f>HC12+HC9+HC18+HC15+HC8</f>
        <v/>
      </c>
      <c r="HD21" s="18">
        <f>HD12+HD9+HD18+HD15+HD8</f>
        <v/>
      </c>
      <c r="HE21" s="18">
        <f>HE12+HE9+HE18+HE15+HE8</f>
        <v/>
      </c>
      <c r="HF21" s="18">
        <f>HF12+HF9+HF18+HF15+HF8</f>
        <v/>
      </c>
      <c r="HG21" s="18">
        <f>HG12+HG9+HG18+HG15+HG8</f>
        <v/>
      </c>
      <c r="HH21" s="18">
        <f>HH12+HH9+HH18+HH15+HH8</f>
        <v/>
      </c>
      <c r="HI21" s="18">
        <f>HI12+HI9+HI18+HI15+HI8</f>
        <v/>
      </c>
      <c r="HJ21" s="18">
        <f>HJ12+HJ9+HJ18+HJ15+HJ8</f>
        <v/>
      </c>
      <c r="HK21" s="18">
        <f>HK12+HK9+HK18+HK15+HK8</f>
        <v/>
      </c>
      <c r="HL21" s="18">
        <f>HL12+HL9+HL18+HL15+HL8</f>
        <v/>
      </c>
      <c r="HM21" s="18">
        <f>HM12+HM9+HM18+HM15+HM8</f>
        <v/>
      </c>
      <c r="HN21" s="18">
        <f>HN12+HN9+HN18+HN15+HN8</f>
        <v/>
      </c>
      <c r="HO21" s="18">
        <f>HO12+HO9+HO18+HO15+HO8</f>
        <v/>
      </c>
      <c r="HP21" s="18">
        <f>HP12+HP9+HP18+HP15+HP8</f>
        <v/>
      </c>
      <c r="HQ21" s="18">
        <f>HQ12+HQ9+HQ18+HQ15+HQ8</f>
        <v/>
      </c>
      <c r="HR21" s="18">
        <f>HR12+HR9+HR18+HR15+HR8</f>
        <v/>
      </c>
      <c r="HS21" s="18">
        <f>HS12+HS9+HS18+HS15+HS8</f>
        <v/>
      </c>
      <c r="HT21" s="18">
        <f>HT12+HT9+HT18+HT15+HT8</f>
        <v/>
      </c>
      <c r="HU21" s="18">
        <f>HU12+HU9+HU18+HU15+HU8</f>
        <v/>
      </c>
    </row>
    <row r="22" ht="6.75" customHeight="1" thickBot="1">
      <c r="A22" s="52" t="n"/>
      <c r="B22" s="133" t="n"/>
      <c r="C22" s="17" t="n"/>
      <c r="D22" s="17" t="n"/>
      <c r="E22" s="17" t="n"/>
      <c r="F22" s="17" t="n"/>
      <c r="G22" s="17" t="n"/>
      <c r="H22" s="17" t="n"/>
      <c r="I22" s="17" t="n"/>
      <c r="J22" s="164" t="n"/>
      <c r="K22" s="17" t="n"/>
      <c r="L22" s="17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7" t="n"/>
      <c r="AA22" s="17" t="n"/>
      <c r="AB22" s="17" t="n"/>
      <c r="AC22" s="17" t="n"/>
      <c r="AD22" s="17" t="n"/>
      <c r="AE22" s="238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293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293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293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293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293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</row>
    <row r="23" ht="16.5" customHeight="1">
      <c r="A23" s="63" t="inlineStr">
        <is>
          <t>DESPESAS OPERACIONAIS</t>
        </is>
      </c>
      <c r="B23" s="134" t="n"/>
      <c r="C23" s="64" t="n"/>
      <c r="D23" s="64" t="n"/>
      <c r="E23" s="64" t="n"/>
      <c r="F23" s="64" t="n"/>
      <c r="G23" s="64" t="n"/>
      <c r="H23" s="64" t="n"/>
      <c r="I23" s="64" t="n"/>
      <c r="J23" s="166" t="n"/>
      <c r="K23" s="64" t="n"/>
      <c r="L23" s="64" t="n"/>
      <c r="M23" s="167" t="n"/>
      <c r="N23" s="167" t="n"/>
      <c r="O23" s="167" t="n"/>
      <c r="P23" s="167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7" t="n"/>
      <c r="AC23" s="167" t="n"/>
      <c r="AD23" s="17" t="n"/>
      <c r="AE23" s="331" t="n"/>
      <c r="AF23" s="17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29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29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29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29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29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  <c r="DY23" s="64" t="n"/>
      <c r="DZ23" s="64" t="n"/>
      <c r="EA23" s="64" t="n"/>
      <c r="EB23" s="64" t="n"/>
      <c r="EC23" s="64" t="n"/>
      <c r="ED23" s="64" t="n"/>
      <c r="EE23" s="64" t="n"/>
      <c r="EF23" s="64" t="n"/>
      <c r="EG23" s="64" t="n"/>
      <c r="EH23" s="64" t="n"/>
      <c r="EI23" s="64" t="n"/>
      <c r="EJ23" s="64" t="n"/>
      <c r="EK23" s="64" t="n"/>
      <c r="EL23" s="64" t="n"/>
      <c r="EM23" s="64" t="n"/>
      <c r="EN23" s="64" t="n"/>
      <c r="EO23" s="64" t="n"/>
      <c r="EP23" s="64" t="n"/>
      <c r="EQ23" s="64" t="n"/>
      <c r="ER23" s="64" t="n"/>
      <c r="ES23" s="64" t="n"/>
      <c r="ET23" s="64" t="n"/>
      <c r="EU23" s="64" t="n"/>
      <c r="EV23" s="64" t="n"/>
      <c r="EW23" s="64" t="n"/>
      <c r="EX23" s="64" t="n"/>
      <c r="EY23" s="64" t="n"/>
      <c r="EZ23" s="64" t="n"/>
      <c r="FA23" s="64" t="n"/>
      <c r="FB23" s="64" t="n"/>
      <c r="FC23" s="64" t="n"/>
      <c r="FD23" s="64" t="n"/>
      <c r="FE23" s="64" t="n"/>
      <c r="FF23" s="64" t="n"/>
      <c r="FG23" s="64" t="n"/>
      <c r="FH23" s="64" t="n"/>
      <c r="FI23" s="64" t="n"/>
      <c r="FJ23" s="64" t="n"/>
      <c r="FK23" s="64" t="n"/>
      <c r="FL23" s="64" t="n"/>
      <c r="FM23" s="64" t="n"/>
      <c r="FN23" s="64" t="n"/>
      <c r="FO23" s="64" t="n"/>
      <c r="FP23" s="64" t="n"/>
      <c r="FQ23" s="64" t="n"/>
      <c r="FR23" s="64" t="n"/>
      <c r="FS23" s="64" t="n"/>
      <c r="FT23" s="64" t="n"/>
      <c r="FU23" s="64" t="n"/>
      <c r="FV23" s="64" t="n"/>
      <c r="FW23" s="64" t="n"/>
      <c r="FX23" s="64" t="n"/>
      <c r="FY23" s="64" t="n"/>
      <c r="FZ23" s="64" t="n"/>
      <c r="GA23" s="64" t="n"/>
      <c r="GB23" s="64" t="n"/>
      <c r="GC23" s="64" t="n"/>
      <c r="GD23" s="64" t="n"/>
      <c r="GE23" s="64" t="n"/>
      <c r="GF23" s="64" t="n"/>
      <c r="GG23" s="64" t="n"/>
      <c r="GH23" s="64" t="n"/>
      <c r="GI23" s="64" t="n"/>
      <c r="GJ23" s="64" t="n"/>
      <c r="GK23" s="64" t="n"/>
      <c r="GL23" s="64" t="n"/>
      <c r="GM23" s="64" t="n"/>
      <c r="GN23" s="64" t="n"/>
      <c r="GO23" s="64" t="n"/>
      <c r="GP23" s="64" t="n"/>
      <c r="GQ23" s="64" t="n"/>
      <c r="GR23" s="64" t="n"/>
      <c r="GS23" s="64" t="n"/>
      <c r="GT23" s="64" t="n"/>
      <c r="GU23" s="64" t="n"/>
      <c r="GV23" s="64" t="n"/>
      <c r="GW23" s="64" t="n"/>
      <c r="GX23" s="64" t="n"/>
      <c r="GY23" s="64" t="n"/>
      <c r="GZ23" s="64" t="n"/>
      <c r="HA23" s="64" t="n"/>
      <c r="HB23" s="64" t="n"/>
      <c r="HC23" s="64" t="n"/>
      <c r="HD23" s="64" t="n"/>
      <c r="HE23" s="64" t="n"/>
      <c r="HF23" s="64" t="n"/>
      <c r="HG23" s="64" t="n"/>
      <c r="HH23" s="64" t="n"/>
      <c r="HI23" s="64" t="n"/>
      <c r="HJ23" s="64" t="n"/>
      <c r="HK23" s="64" t="n"/>
      <c r="HL23" s="64" t="n"/>
      <c r="HM23" s="64" t="n"/>
      <c r="HN23" s="64" t="n"/>
      <c r="HO23" s="64" t="n"/>
      <c r="HP23" s="64" t="n"/>
      <c r="HQ23" s="64" t="n"/>
      <c r="HR23" s="64" t="n"/>
      <c r="HS23" s="64" t="n"/>
      <c r="HT23" s="64" t="n"/>
      <c r="HU23" s="64" t="n"/>
    </row>
    <row r="24" ht="16.2" customFormat="1" customHeight="1" s="259">
      <c r="A24" s="62" t="inlineStr">
        <is>
          <t>DESPESAS COMERCIAIS(-)</t>
        </is>
      </c>
      <c r="B24" s="135" t="n"/>
      <c r="C24" s="60" t="n"/>
      <c r="D24" s="60" t="n"/>
      <c r="E24" s="61" t="n"/>
      <c r="F24" s="61" t="n"/>
      <c r="G24" s="61" t="n"/>
      <c r="H24" s="61" t="n"/>
      <c r="I24" s="61" t="n"/>
      <c r="J24" s="168" t="n"/>
      <c r="K24" s="61" t="n"/>
      <c r="L24" s="61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202" t="n"/>
      <c r="AE24" s="239" t="n"/>
      <c r="AF24" s="202" t="n"/>
      <c r="AG24" s="61" t="n"/>
      <c r="AH24" s="61" t="n"/>
      <c r="AI24" s="61" t="n"/>
      <c r="AJ24" s="61" t="n"/>
      <c r="AK24" s="61" t="n"/>
      <c r="AL24" s="61" t="n"/>
      <c r="AM24" s="61" t="n"/>
      <c r="AN24" s="61" t="n"/>
      <c r="AO24" s="61" t="n"/>
      <c r="AP24" s="61" t="n"/>
      <c r="AQ24" s="61" t="n"/>
      <c r="AR24" s="61" t="n"/>
      <c r="AS24" s="61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295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295" t="n"/>
      <c r="BQ24" s="61" t="n"/>
      <c r="BR24" s="61" t="n"/>
      <c r="BS24" s="61" t="n"/>
      <c r="BT24" s="61" t="n"/>
      <c r="BU24" s="61" t="n"/>
      <c r="BV24" s="61" t="n"/>
      <c r="BW24" s="61" t="n"/>
      <c r="BX24" s="61" t="n"/>
      <c r="BY24" s="61" t="n"/>
      <c r="BZ24" s="61" t="n"/>
      <c r="CA24" s="61" t="n"/>
      <c r="CB24" s="295" t="n"/>
      <c r="CC24" s="61" t="n"/>
      <c r="CD24" s="61" t="n"/>
      <c r="CE24" s="61" t="n"/>
      <c r="CF24" s="61" t="n"/>
      <c r="CG24" s="61" t="n"/>
      <c r="CH24" s="61" t="n"/>
      <c r="CI24" s="61" t="n"/>
      <c r="CJ24" s="61" t="n"/>
      <c r="CK24" s="61" t="n"/>
      <c r="CL24" s="61" t="n"/>
      <c r="CM24" s="61" t="n"/>
      <c r="CN24" s="295" t="n"/>
      <c r="CO24" s="61" t="n"/>
      <c r="CP24" s="61" t="n"/>
      <c r="CQ24" s="61" t="n"/>
      <c r="CR24" s="61" t="n"/>
      <c r="CS24" s="61" t="n"/>
      <c r="CT24" s="61" t="n"/>
      <c r="CU24" s="61" t="n"/>
      <c r="CV24" s="61" t="n"/>
      <c r="CW24" s="61" t="n"/>
      <c r="CX24" s="61" t="n"/>
      <c r="CY24" s="61" t="n"/>
      <c r="CZ24" s="295" t="n"/>
      <c r="DA24" s="61" t="n"/>
      <c r="DB24" s="61" t="n"/>
      <c r="DC24" s="61" t="n"/>
      <c r="DD24" s="61" t="n"/>
      <c r="DE24" s="61" t="n"/>
      <c r="DF24" s="61" t="n"/>
      <c r="DG24" s="61" t="n"/>
      <c r="DH24" s="61" t="n"/>
      <c r="DI24" s="61" t="n"/>
      <c r="DJ24" s="61" t="n"/>
      <c r="DK24" s="61" t="n"/>
      <c r="DL24" s="61" t="n"/>
      <c r="DM24" s="61" t="n"/>
      <c r="DN24" s="61" t="n"/>
      <c r="DO24" s="61" t="n"/>
      <c r="DP24" s="61" t="n"/>
      <c r="DQ24" s="61" t="n"/>
      <c r="DR24" s="61" t="n"/>
      <c r="DS24" s="61" t="n"/>
      <c r="DT24" s="61" t="n"/>
      <c r="DU24" s="61" t="n"/>
      <c r="DV24" s="61" t="n"/>
      <c r="DW24" s="61" t="n"/>
      <c r="DX24" s="61" t="n"/>
      <c r="DY24" s="61" t="n"/>
      <c r="DZ24" s="61" t="n"/>
      <c r="EA24" s="61" t="n"/>
      <c r="EB24" s="61" t="n"/>
      <c r="EC24" s="61" t="n"/>
      <c r="ED24" s="61" t="n"/>
      <c r="EE24" s="61" t="n"/>
      <c r="EF24" s="61" t="n"/>
      <c r="EG24" s="61" t="n"/>
      <c r="EH24" s="61" t="n"/>
      <c r="EI24" s="61" t="n"/>
      <c r="EJ24" s="61" t="n"/>
      <c r="EK24" s="61" t="n"/>
      <c r="EL24" s="61" t="n"/>
      <c r="EM24" s="61" t="n"/>
      <c r="EN24" s="61" t="n"/>
      <c r="EO24" s="61" t="n"/>
      <c r="EP24" s="61" t="n"/>
      <c r="EQ24" s="61" t="n"/>
      <c r="ER24" s="61" t="n"/>
      <c r="ES24" s="61" t="n"/>
      <c r="ET24" s="61" t="n"/>
      <c r="EU24" s="61" t="n"/>
      <c r="EV24" s="61" t="n"/>
      <c r="EW24" s="61" t="n"/>
      <c r="EX24" s="61" t="n"/>
      <c r="EY24" s="61" t="n"/>
      <c r="EZ24" s="61" t="n"/>
      <c r="FA24" s="61" t="n"/>
      <c r="FB24" s="61" t="n"/>
      <c r="FC24" s="61" t="n"/>
      <c r="FD24" s="61" t="n"/>
      <c r="FE24" s="61" t="n"/>
      <c r="FF24" s="61" t="n"/>
      <c r="FG24" s="61" t="n"/>
      <c r="FH24" s="61" t="n"/>
      <c r="FI24" s="61" t="n"/>
      <c r="FJ24" s="61" t="n"/>
      <c r="FK24" s="61" t="n"/>
      <c r="FL24" s="61" t="n"/>
      <c r="FM24" s="61" t="n"/>
      <c r="FN24" s="61" t="n"/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  <c r="GA24" s="61" t="n"/>
      <c r="GB24" s="61" t="n"/>
      <c r="GC24" s="61" t="n"/>
      <c r="GD24" s="61" t="n"/>
      <c r="GE24" s="61" t="n"/>
      <c r="GF24" s="61" t="n"/>
      <c r="GG24" s="61" t="n"/>
      <c r="GH24" s="61" t="n"/>
      <c r="GI24" s="61" t="n"/>
      <c r="GJ24" s="61" t="n"/>
      <c r="GK24" s="61" t="n"/>
      <c r="GL24" s="61" t="n"/>
      <c r="GM24" s="61" t="n"/>
      <c r="GN24" s="61" t="n"/>
      <c r="GO24" s="61" t="n"/>
      <c r="GP24" s="61" t="n"/>
      <c r="GQ24" s="61" t="n"/>
      <c r="GR24" s="61" t="n"/>
      <c r="GS24" s="61" t="n"/>
      <c r="GT24" s="61" t="n"/>
      <c r="GU24" s="61" t="n"/>
      <c r="GV24" s="61" t="n"/>
      <c r="GW24" s="61" t="n"/>
      <c r="GX24" s="61" t="n"/>
      <c r="GY24" s="61" t="n"/>
      <c r="GZ24" s="61" t="n"/>
      <c r="HA24" s="61" t="n"/>
      <c r="HB24" s="61" t="n"/>
      <c r="HC24" s="61" t="n"/>
      <c r="HD24" s="61" t="n"/>
      <c r="HE24" s="61" t="n"/>
      <c r="HF24" s="61" t="n"/>
      <c r="HG24" s="61" t="n"/>
      <c r="HH24" s="61" t="n"/>
      <c r="HI24" s="61" t="n"/>
      <c r="HJ24" s="61" t="n"/>
      <c r="HK24" s="61" t="n"/>
      <c r="HL24" s="61" t="n"/>
      <c r="HM24" s="61" t="n"/>
      <c r="HN24" s="61" t="n"/>
      <c r="HO24" s="61" t="n"/>
      <c r="HP24" s="61" t="n"/>
      <c r="HQ24" s="61" t="n"/>
      <c r="HR24" s="61" t="n"/>
      <c r="HS24" s="61" t="n"/>
      <c r="HT24" s="61" t="n"/>
      <c r="HU24" s="61" t="n"/>
    </row>
    <row r="25" ht="16.2" customHeight="1">
      <c r="A25" s="7" t="inlineStr">
        <is>
          <t>Comissões S/ Venda (Equipe Interna)</t>
        </is>
      </c>
      <c r="B25" s="136">
        <f>SUM(C25:AA25)</f>
        <v/>
      </c>
      <c r="C25" s="85" t="n"/>
      <c r="D25" s="87" t="n"/>
      <c r="E25" s="85" t="n"/>
      <c r="F25" s="85" t="n"/>
      <c r="G25" s="85" t="n"/>
      <c r="H25" s="85" t="n"/>
      <c r="I25" s="86" t="n"/>
      <c r="J25" s="218" t="n"/>
      <c r="K25" s="114" t="n"/>
      <c r="L25" s="122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 t="n">
        <v>-128438.23</v>
      </c>
      <c r="AD25" s="53" t="n"/>
      <c r="AE25" s="342">
        <f>SUM(AG25:HU25)</f>
        <v/>
      </c>
      <c r="AF25" s="53" t="n"/>
      <c r="AG25" s="87" t="n">
        <v>-28685.08</v>
      </c>
      <c r="AH25" s="87" t="n">
        <v>-28685.08</v>
      </c>
      <c r="AI25" s="87" t="n">
        <v>-28685.08</v>
      </c>
      <c r="AJ25" s="87" t="n">
        <v>-28685.08</v>
      </c>
      <c r="AK25" s="87" t="n">
        <v>-28685.08</v>
      </c>
      <c r="AL25" s="87" t="n">
        <v>-28685.08</v>
      </c>
      <c r="AM25" s="87" t="n">
        <v>-28685.08</v>
      </c>
      <c r="AN25" s="87" t="n">
        <v>-28685.08</v>
      </c>
      <c r="AO25" s="87" t="n">
        <v>-28685.08</v>
      </c>
      <c r="AP25" s="87" t="n">
        <v>-28685.08</v>
      </c>
      <c r="AQ25" s="87" t="n">
        <v>-28685.08</v>
      </c>
      <c r="AR25" s="87" t="n">
        <v>-28685.08</v>
      </c>
      <c r="AS25" s="87" t="n">
        <v>-28685.08</v>
      </c>
      <c r="AT25" s="87" t="n">
        <v>-28685.08</v>
      </c>
      <c r="AU25" s="87" t="n">
        <v>-28685.08</v>
      </c>
      <c r="AV25" s="87" t="n">
        <v>-28685.08</v>
      </c>
      <c r="AW25" s="87" t="n">
        <v>-28685.08</v>
      </c>
      <c r="AX25" s="87" t="n">
        <v>-28685.08</v>
      </c>
      <c r="AY25" s="87" t="n">
        <v>-28685.08</v>
      </c>
      <c r="AZ25" s="87" t="n">
        <v>-28685.08</v>
      </c>
      <c r="BA25" s="87" t="n">
        <v>-28685.08</v>
      </c>
      <c r="BB25" s="87" t="n">
        <v>-28685.08</v>
      </c>
      <c r="BC25" s="87" t="n">
        <v>-28685.08</v>
      </c>
      <c r="BD25" s="87" t="n">
        <v>-28685.08</v>
      </c>
      <c r="BE25" s="87" t="n">
        <v>-28685.08</v>
      </c>
      <c r="BF25" s="87" t="n">
        <v>-28685.08</v>
      </c>
      <c r="BG25" s="87" t="n">
        <v>-28685.08</v>
      </c>
      <c r="BH25" s="87" t="n">
        <v>-28685.08</v>
      </c>
      <c r="BI25" s="87" t="n">
        <v>-28685.08</v>
      </c>
      <c r="BJ25" s="87" t="n">
        <v>-28685.08</v>
      </c>
      <c r="BK25" s="87" t="n">
        <v>-28685.08</v>
      </c>
      <c r="BL25" s="87" t="n">
        <v>-28685.08</v>
      </c>
      <c r="BM25" s="87" t="n">
        <v>-28685.08</v>
      </c>
      <c r="BN25" s="87" t="n">
        <v>-28685.08</v>
      </c>
      <c r="BO25" s="87" t="n">
        <v>-28685.08</v>
      </c>
      <c r="BP25" s="87" t="n">
        <v>-28685.08</v>
      </c>
      <c r="BQ25" s="87" t="n">
        <v>-28685.08</v>
      </c>
      <c r="BR25" s="87" t="n">
        <v>-28685.08</v>
      </c>
      <c r="BS25" s="87" t="n">
        <v>-28685.08</v>
      </c>
      <c r="BT25" s="87" t="n">
        <v>-28685.08</v>
      </c>
      <c r="BU25" s="87" t="n">
        <v>-28685.08</v>
      </c>
      <c r="BV25" s="87" t="n">
        <v>-28685.08</v>
      </c>
      <c r="BW25" s="87" t="n">
        <v>-28685.08</v>
      </c>
      <c r="BX25" s="87" t="n">
        <v>-28685.08</v>
      </c>
      <c r="BY25" s="87" t="n">
        <v>-28685.08</v>
      </c>
      <c r="BZ25" s="87" t="n">
        <v>-28685.08</v>
      </c>
      <c r="CA25" s="87" t="n">
        <v>-28685.08</v>
      </c>
      <c r="CB25" s="87" t="n">
        <v>-28685.08</v>
      </c>
      <c r="CC25" s="87" t="n">
        <v>-28685.08</v>
      </c>
      <c r="CD25" s="87" t="n">
        <v>-28685.08</v>
      </c>
      <c r="CE25" s="87" t="n">
        <v>-28685.08</v>
      </c>
      <c r="CF25" s="87" t="n">
        <v>-28685.08</v>
      </c>
      <c r="CG25" s="87" t="n">
        <v>-28685.08</v>
      </c>
      <c r="CH25" s="87" t="n">
        <v>-28685.08</v>
      </c>
      <c r="CI25" s="87" t="n">
        <v>-28685.08</v>
      </c>
      <c r="CJ25" s="87" t="n">
        <v>-28685.08</v>
      </c>
      <c r="CK25" s="87" t="n">
        <v>-28685.08</v>
      </c>
      <c r="CL25" s="87" t="n">
        <v>-28685.08</v>
      </c>
      <c r="CM25" s="87" t="n">
        <v>-28685.08</v>
      </c>
      <c r="CN25" s="87" t="n">
        <v>-28685.08</v>
      </c>
      <c r="CO25" s="87" t="n">
        <v>-28685.08</v>
      </c>
      <c r="CP25" s="87" t="n">
        <v>-28685.08</v>
      </c>
      <c r="CQ25" s="85" t="n"/>
      <c r="CR25" s="85" t="n"/>
      <c r="CS25" s="85" t="n"/>
      <c r="CT25" s="85" t="n"/>
      <c r="CU25" s="85" t="n"/>
      <c r="CV25" s="85" t="n"/>
      <c r="CW25" s="85" t="n"/>
      <c r="CX25" s="85" t="n"/>
      <c r="CY25" s="85" t="n"/>
      <c r="CZ25" s="296" t="n"/>
      <c r="DA25" s="87" t="n"/>
      <c r="DB25" s="85" t="n"/>
      <c r="DC25" s="85" t="n"/>
      <c r="DD25" s="85" t="n"/>
      <c r="DE25" s="85" t="n"/>
      <c r="DF25" s="85" t="n"/>
      <c r="DG25" s="85" t="n"/>
      <c r="DH25" s="85" t="n"/>
      <c r="DI25" s="85" t="n"/>
      <c r="DJ25" s="86" t="n"/>
      <c r="DK25" s="85" t="n"/>
      <c r="DL25" s="86" t="n">
        <v>0</v>
      </c>
      <c r="DM25" s="86" t="n">
        <v>0</v>
      </c>
      <c r="DN25" s="86" t="n">
        <v>0</v>
      </c>
      <c r="DO25" s="86" t="n">
        <v>0</v>
      </c>
      <c r="DP25" s="86" t="n">
        <v>0</v>
      </c>
      <c r="DQ25" s="86" t="n">
        <v>0</v>
      </c>
      <c r="DR25" s="86" t="n">
        <v>0</v>
      </c>
      <c r="DS25" s="86" t="n">
        <v>0</v>
      </c>
      <c r="DT25" s="86" t="n">
        <v>0</v>
      </c>
      <c r="DU25" s="86" t="n">
        <v>0</v>
      </c>
      <c r="DV25" s="86" t="n">
        <v>0</v>
      </c>
      <c r="DW25" s="86" t="n">
        <v>0</v>
      </c>
      <c r="DX25" s="86" t="n">
        <v>0</v>
      </c>
      <c r="DY25" s="86" t="n">
        <v>0</v>
      </c>
      <c r="DZ25" s="86" t="n">
        <v>0</v>
      </c>
      <c r="EA25" s="86" t="n">
        <v>0</v>
      </c>
      <c r="EB25" s="86" t="n">
        <v>0</v>
      </c>
      <c r="EC25" s="86" t="n">
        <v>0</v>
      </c>
      <c r="ED25" s="86" t="n">
        <v>0</v>
      </c>
      <c r="EE25" s="86" t="n">
        <v>0</v>
      </c>
      <c r="EF25" s="86" t="n">
        <v>0</v>
      </c>
      <c r="EG25" s="86" t="n">
        <v>0</v>
      </c>
      <c r="EH25" s="86" t="n">
        <v>0</v>
      </c>
      <c r="EI25" s="86" t="n">
        <v>0</v>
      </c>
      <c r="EJ25" s="86" t="n">
        <v>0</v>
      </c>
      <c r="EK25" s="86" t="n">
        <v>0</v>
      </c>
      <c r="EL25" s="86" t="n">
        <v>0</v>
      </c>
      <c r="EM25" s="86" t="n">
        <v>0</v>
      </c>
      <c r="EN25" s="86" t="n">
        <v>0</v>
      </c>
      <c r="EO25" s="86" t="n">
        <v>0</v>
      </c>
      <c r="EP25" s="86" t="n">
        <v>0</v>
      </c>
      <c r="EQ25" s="86" t="n">
        <v>0</v>
      </c>
      <c r="ER25" s="86" t="n">
        <v>0</v>
      </c>
      <c r="ES25" s="86" t="n">
        <v>0</v>
      </c>
      <c r="ET25" s="86" t="n">
        <v>0</v>
      </c>
      <c r="EU25" s="86" t="n">
        <v>0</v>
      </c>
      <c r="EV25" s="86" t="n">
        <v>0</v>
      </c>
      <c r="EW25" s="86" t="n">
        <v>0</v>
      </c>
      <c r="EX25" s="86" t="n">
        <v>0</v>
      </c>
      <c r="EY25" s="86" t="n">
        <v>0</v>
      </c>
      <c r="EZ25" s="86" t="n">
        <v>0</v>
      </c>
      <c r="FA25" s="86" t="n">
        <v>0</v>
      </c>
      <c r="FB25" s="86" t="n">
        <v>0</v>
      </c>
      <c r="FC25" s="86" t="n">
        <v>0</v>
      </c>
      <c r="FD25" s="86" t="n">
        <v>0</v>
      </c>
      <c r="FE25" s="86" t="n">
        <v>0</v>
      </c>
      <c r="FF25" s="86" t="n">
        <v>0</v>
      </c>
      <c r="FG25" s="86" t="n">
        <v>0</v>
      </c>
      <c r="FH25" s="86" t="n">
        <v>0</v>
      </c>
      <c r="FI25" s="86" t="n">
        <v>0</v>
      </c>
      <c r="FJ25" s="86" t="n">
        <v>0</v>
      </c>
      <c r="FK25" s="86" t="n">
        <v>0</v>
      </c>
      <c r="FL25" s="86" t="n">
        <v>0</v>
      </c>
      <c r="FM25" s="86" t="n">
        <v>0</v>
      </c>
      <c r="FN25" s="86" t="n">
        <v>0</v>
      </c>
      <c r="FO25" s="86" t="n">
        <v>0</v>
      </c>
      <c r="FP25" s="86" t="n">
        <v>0</v>
      </c>
      <c r="FQ25" s="86" t="n">
        <v>0</v>
      </c>
      <c r="FR25" s="86" t="n">
        <v>0</v>
      </c>
      <c r="FS25" s="86" t="n">
        <v>0</v>
      </c>
      <c r="FT25" s="86" t="n">
        <v>0</v>
      </c>
      <c r="FU25" s="86" t="n">
        <v>0</v>
      </c>
      <c r="FV25" s="86" t="n">
        <v>0</v>
      </c>
      <c r="FW25" s="86" t="n">
        <v>0</v>
      </c>
      <c r="FX25" s="86" t="n">
        <v>0</v>
      </c>
      <c r="FY25" s="86" t="n">
        <v>0</v>
      </c>
      <c r="FZ25" s="86" t="n">
        <v>0</v>
      </c>
      <c r="GA25" s="86" t="n">
        <v>0</v>
      </c>
      <c r="GB25" s="86" t="n">
        <v>0</v>
      </c>
      <c r="GC25" s="86" t="n">
        <v>0</v>
      </c>
      <c r="GD25" s="86" t="n">
        <v>0</v>
      </c>
      <c r="GE25" s="86" t="n">
        <v>0</v>
      </c>
      <c r="GF25" s="86" t="n">
        <v>0</v>
      </c>
      <c r="GG25" s="86" t="n">
        <v>0</v>
      </c>
      <c r="GH25" s="86" t="n">
        <v>0</v>
      </c>
      <c r="GI25" s="86" t="n">
        <v>0</v>
      </c>
      <c r="GJ25" s="86" t="n">
        <v>0</v>
      </c>
      <c r="GK25" s="86" t="n">
        <v>0</v>
      </c>
      <c r="GL25" s="86" t="n">
        <v>0</v>
      </c>
      <c r="GM25" s="86" t="n">
        <v>0</v>
      </c>
      <c r="GN25" s="86" t="n">
        <v>0</v>
      </c>
      <c r="GO25" s="86" t="n">
        <v>0</v>
      </c>
      <c r="GP25" s="86" t="n">
        <v>0</v>
      </c>
      <c r="GQ25" s="86" t="n">
        <v>0</v>
      </c>
      <c r="GR25" s="86" t="n">
        <v>0</v>
      </c>
      <c r="GS25" s="86" t="n">
        <v>0</v>
      </c>
      <c r="GT25" s="86" t="n">
        <v>0</v>
      </c>
      <c r="GU25" s="86" t="n">
        <v>0</v>
      </c>
      <c r="GV25" s="86" t="n">
        <v>0</v>
      </c>
      <c r="GW25" s="86" t="n">
        <v>0</v>
      </c>
      <c r="GX25" s="86" t="n">
        <v>0</v>
      </c>
      <c r="GY25" s="86" t="n">
        <v>0</v>
      </c>
      <c r="GZ25" s="86" t="n">
        <v>0</v>
      </c>
      <c r="HA25" s="86" t="n">
        <v>0</v>
      </c>
      <c r="HB25" s="86" t="n">
        <v>0</v>
      </c>
      <c r="HC25" s="86" t="n">
        <v>0</v>
      </c>
      <c r="HD25" s="86" t="n">
        <v>0</v>
      </c>
      <c r="HE25" s="86" t="n">
        <v>0</v>
      </c>
      <c r="HF25" s="86" t="n">
        <v>0</v>
      </c>
      <c r="HG25" s="86" t="n">
        <v>0</v>
      </c>
      <c r="HH25" s="86" t="n">
        <v>0</v>
      </c>
      <c r="HI25" s="86" t="n">
        <v>0</v>
      </c>
      <c r="HJ25" s="86" t="n">
        <v>0</v>
      </c>
      <c r="HK25" s="86" t="n">
        <v>0</v>
      </c>
      <c r="HL25" s="86" t="n">
        <v>0</v>
      </c>
      <c r="HM25" s="86" t="n">
        <v>0</v>
      </c>
      <c r="HN25" s="86" t="n">
        <v>0</v>
      </c>
      <c r="HO25" s="86" t="n">
        <v>0</v>
      </c>
      <c r="HP25" s="86" t="n">
        <v>0</v>
      </c>
      <c r="HQ25" s="86" t="n">
        <v>0</v>
      </c>
      <c r="HR25" s="86" t="n">
        <v>0</v>
      </c>
      <c r="HS25" s="86" t="n">
        <v>0</v>
      </c>
      <c r="HT25" s="86" t="n">
        <v>0</v>
      </c>
      <c r="HU25" s="86" t="n">
        <v>0</v>
      </c>
    </row>
    <row r="26" ht="16.2" customHeight="1">
      <c r="A26" s="7" t="inlineStr">
        <is>
          <t>Stand de Venda - Manutenção</t>
        </is>
      </c>
      <c r="B26" s="136">
        <f>SUM(C26:AA26)</f>
        <v/>
      </c>
      <c r="C26" s="85" t="n"/>
      <c r="D26" s="87" t="n"/>
      <c r="E26" s="85" t="n"/>
      <c r="F26" s="85" t="n"/>
      <c r="G26" s="85" t="n"/>
      <c r="H26" s="85" t="n"/>
      <c r="I26" s="86" t="n"/>
      <c r="J26" s="218" t="n"/>
      <c r="K26" s="114" t="n"/>
      <c r="L26" s="122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>
        <v>-34442.6</v>
      </c>
      <c r="X26" s="219" t="n">
        <v>-422668.9</v>
      </c>
      <c r="Y26" s="219" t="n">
        <v>-260275.15</v>
      </c>
      <c r="Z26" s="219" t="n">
        <v>-364851.06</v>
      </c>
      <c r="AA26" s="219" t="n">
        <v>-241871.81</v>
      </c>
      <c r="AB26" s="219" t="n">
        <v>-456303.01</v>
      </c>
      <c r="AC26" s="219">
        <f>-66426.55-83395.55</f>
        <v/>
      </c>
      <c r="AD26" s="53" t="n"/>
      <c r="AE26" s="342">
        <f>SUM(AG26:HU26)</f>
        <v/>
      </c>
      <c r="AF26" s="53" t="n"/>
      <c r="AG26" s="87" t="n">
        <v>-55000.0000044</v>
      </c>
      <c r="AH26" s="87" t="n">
        <v>-55000.0000044</v>
      </c>
      <c r="AI26" s="87" t="n">
        <v>-55000.0000044</v>
      </c>
      <c r="AJ26" s="87" t="n">
        <v>-55000.0000044</v>
      </c>
      <c r="AK26" s="87" t="n">
        <v>-55000.0000044</v>
      </c>
      <c r="AL26" s="87" t="n">
        <v>-55000.0000044</v>
      </c>
      <c r="AM26" s="87" t="n">
        <v>-55000.0000044</v>
      </c>
      <c r="AN26" s="87" t="n">
        <v>-55000.0000044</v>
      </c>
      <c r="AO26" s="87" t="n">
        <v>-55000.0000044</v>
      </c>
      <c r="AP26" s="87" t="n">
        <v>-55000.0000044</v>
      </c>
      <c r="AQ26" s="87" t="n">
        <v>-55000.0000044</v>
      </c>
      <c r="AR26" s="87" t="n">
        <v>-55000.0000044</v>
      </c>
      <c r="AS26" s="87" t="n">
        <v>-55000.0000044</v>
      </c>
      <c r="AT26" s="87" t="n">
        <v>-55000.0000044</v>
      </c>
      <c r="AU26" s="87" t="n">
        <v>-55000.0000044</v>
      </c>
      <c r="AV26" s="87" t="n">
        <v>-55000.0000044</v>
      </c>
      <c r="AW26" s="87" t="n">
        <v>-55000.0000044</v>
      </c>
      <c r="AX26" s="87" t="n">
        <v>-55000.0000044</v>
      </c>
      <c r="AY26" s="87" t="n">
        <v>-55000.0000044</v>
      </c>
      <c r="AZ26" s="87" t="n">
        <v>-55000.0000044</v>
      </c>
      <c r="BA26" s="87" t="n">
        <v>-55000.0000044</v>
      </c>
      <c r="BB26" s="87" t="n">
        <v>-55000.0000044</v>
      </c>
      <c r="BC26" s="87" t="n">
        <v>-55000.0000044</v>
      </c>
      <c r="BD26" s="87" t="n">
        <v>-55000.0000044</v>
      </c>
      <c r="BE26" s="87" t="n">
        <v>-55000.0000044</v>
      </c>
      <c r="BF26" s="87" t="n">
        <v>-55000.0000044</v>
      </c>
      <c r="BG26" s="87" t="n">
        <v>-55000.0000044</v>
      </c>
      <c r="BH26" s="87" t="n">
        <v>-55000.0000044</v>
      </c>
      <c r="BI26" s="87" t="n">
        <v>-55000.0000044</v>
      </c>
      <c r="BJ26" s="87" t="n">
        <v>-55000.0000044</v>
      </c>
      <c r="BK26" s="87" t="n">
        <v>-55000.0000044</v>
      </c>
      <c r="BL26" s="87" t="n">
        <v>-55000.0000044</v>
      </c>
      <c r="BM26" s="87" t="n">
        <v>-55000.0000044</v>
      </c>
      <c r="BN26" s="87" t="n">
        <v>-55000.0000044</v>
      </c>
      <c r="BO26" s="87" t="n">
        <v>-54999.999846</v>
      </c>
      <c r="BP26" s="87" t="n">
        <v>-54999.999846</v>
      </c>
      <c r="BQ26" s="87" t="n">
        <v>0</v>
      </c>
      <c r="BR26" s="87" t="n">
        <v>0</v>
      </c>
      <c r="BS26" s="87" t="n">
        <v>0</v>
      </c>
      <c r="BT26" s="87" t="n">
        <v>0</v>
      </c>
      <c r="BU26" s="87" t="n">
        <v>0</v>
      </c>
      <c r="BV26" s="87" t="n">
        <v>0</v>
      </c>
      <c r="BW26" s="87" t="n">
        <v>0</v>
      </c>
      <c r="BX26" s="87" t="n">
        <v>0</v>
      </c>
      <c r="BY26" s="87" t="n">
        <v>0</v>
      </c>
      <c r="BZ26" s="87" t="n">
        <v>0</v>
      </c>
      <c r="CA26" s="87" t="n">
        <v>0</v>
      </c>
      <c r="CB26" s="87" t="n">
        <v>0</v>
      </c>
      <c r="CC26" s="87" t="n">
        <v>0</v>
      </c>
      <c r="CD26" s="87" t="n">
        <v>0</v>
      </c>
      <c r="CE26" s="87" t="n">
        <v>0</v>
      </c>
      <c r="CF26" s="87" t="n">
        <v>0</v>
      </c>
      <c r="CG26" s="87" t="n">
        <v>0</v>
      </c>
      <c r="CH26" s="87" t="n">
        <v>0</v>
      </c>
      <c r="CI26" s="87" t="n">
        <v>0</v>
      </c>
      <c r="CJ26" s="87" t="n">
        <v>0</v>
      </c>
      <c r="CK26" s="87" t="n">
        <v>0</v>
      </c>
      <c r="CL26" s="87" t="n">
        <v>0</v>
      </c>
      <c r="CM26" s="87" t="n">
        <v>0</v>
      </c>
      <c r="CN26" s="87" t="n">
        <v>0</v>
      </c>
      <c r="CO26" s="87" t="n">
        <v>0</v>
      </c>
      <c r="CP26" s="87" t="n">
        <v>0</v>
      </c>
      <c r="CQ26" s="87" t="n">
        <v>0</v>
      </c>
      <c r="CR26" s="87" t="n">
        <v>0</v>
      </c>
      <c r="CS26" s="87" t="n">
        <v>0</v>
      </c>
      <c r="CT26" s="87" t="n">
        <v>0</v>
      </c>
      <c r="CU26" s="87" t="n">
        <v>0</v>
      </c>
      <c r="CV26" s="87" t="n">
        <v>0</v>
      </c>
      <c r="CW26" s="87" t="n">
        <v>0</v>
      </c>
      <c r="CX26" s="87" t="n">
        <v>0</v>
      </c>
      <c r="CY26" s="87" t="n">
        <v>0</v>
      </c>
      <c r="CZ26" s="87" t="n">
        <v>0</v>
      </c>
      <c r="DA26" s="87" t="n">
        <v>0</v>
      </c>
      <c r="DB26" s="87" t="n">
        <v>0</v>
      </c>
      <c r="DC26" s="87" t="n">
        <v>0</v>
      </c>
      <c r="DD26" s="87" t="n">
        <v>0</v>
      </c>
      <c r="DE26" s="87" t="n">
        <v>0</v>
      </c>
      <c r="DF26" s="87" t="n">
        <v>0</v>
      </c>
      <c r="DG26" s="87" t="n">
        <v>0</v>
      </c>
      <c r="DH26" s="87" t="n">
        <v>0</v>
      </c>
      <c r="DI26" s="87" t="n">
        <v>0</v>
      </c>
      <c r="DJ26" s="87" t="n">
        <v>0</v>
      </c>
      <c r="DK26" s="87" t="n">
        <v>0</v>
      </c>
      <c r="DL26" s="87" t="n">
        <v>0</v>
      </c>
      <c r="DM26" s="87" t="n">
        <v>0</v>
      </c>
      <c r="DN26" s="87" t="n">
        <v>0</v>
      </c>
      <c r="DO26" s="87" t="n">
        <v>0</v>
      </c>
      <c r="DP26" s="87" t="n">
        <v>0</v>
      </c>
      <c r="DQ26" s="87" t="n">
        <v>0</v>
      </c>
      <c r="DR26" s="87" t="n">
        <v>0</v>
      </c>
      <c r="DS26" s="87" t="n">
        <v>0</v>
      </c>
      <c r="DT26" s="87" t="n">
        <v>0</v>
      </c>
      <c r="DU26" s="87" t="n">
        <v>0</v>
      </c>
      <c r="DV26" s="87" t="n">
        <v>0</v>
      </c>
      <c r="DW26" s="87" t="n">
        <v>0</v>
      </c>
      <c r="DX26" s="87" t="n">
        <v>0</v>
      </c>
      <c r="DY26" s="87" t="n">
        <v>0</v>
      </c>
      <c r="DZ26" s="87" t="n">
        <v>0</v>
      </c>
      <c r="EA26" s="87" t="n">
        <v>0</v>
      </c>
      <c r="EB26" s="87" t="n">
        <v>0</v>
      </c>
      <c r="EC26" s="87" t="n">
        <v>0</v>
      </c>
      <c r="ED26" s="87" t="n">
        <v>0</v>
      </c>
      <c r="EE26" s="87" t="n">
        <v>0</v>
      </c>
      <c r="EF26" s="87" t="n">
        <v>0</v>
      </c>
      <c r="EG26" s="87" t="n">
        <v>0</v>
      </c>
      <c r="EH26" s="87" t="n">
        <v>0</v>
      </c>
      <c r="EI26" s="87" t="n">
        <v>0</v>
      </c>
      <c r="EJ26" s="87" t="n">
        <v>0</v>
      </c>
      <c r="EK26" s="87" t="n">
        <v>0</v>
      </c>
      <c r="EL26" s="87" t="n">
        <v>0</v>
      </c>
      <c r="EM26" s="87" t="n">
        <v>0</v>
      </c>
      <c r="EN26" s="87" t="n">
        <v>0</v>
      </c>
      <c r="EO26" s="87" t="n">
        <v>0</v>
      </c>
      <c r="EP26" s="87" t="n">
        <v>0</v>
      </c>
      <c r="EQ26" s="87" t="n">
        <v>0</v>
      </c>
      <c r="ER26" s="87" t="n">
        <v>0</v>
      </c>
      <c r="ES26" s="87" t="n">
        <v>0</v>
      </c>
      <c r="ET26" s="87" t="n">
        <v>0</v>
      </c>
      <c r="EU26" s="87" t="n">
        <v>0</v>
      </c>
      <c r="EV26" s="87" t="n">
        <v>0</v>
      </c>
      <c r="EW26" s="87" t="n">
        <v>0</v>
      </c>
      <c r="EX26" s="87" t="n">
        <v>0</v>
      </c>
      <c r="EY26" s="87" t="n">
        <v>0</v>
      </c>
      <c r="EZ26" s="87" t="n">
        <v>0</v>
      </c>
      <c r="FA26" s="87" t="n">
        <v>0</v>
      </c>
      <c r="FB26" s="87" t="n">
        <v>0</v>
      </c>
      <c r="FC26" s="87" t="n">
        <v>0</v>
      </c>
      <c r="FD26" s="87" t="n">
        <v>0</v>
      </c>
      <c r="FE26" s="87" t="n">
        <v>0</v>
      </c>
      <c r="FF26" s="87" t="n">
        <v>0</v>
      </c>
      <c r="FG26" s="87" t="n">
        <v>0</v>
      </c>
      <c r="FH26" s="87" t="n">
        <v>0</v>
      </c>
      <c r="FI26" s="87" t="n">
        <v>0</v>
      </c>
      <c r="FJ26" s="87" t="n">
        <v>0</v>
      </c>
      <c r="FK26" s="87" t="n">
        <v>0</v>
      </c>
      <c r="FL26" s="87" t="n">
        <v>0</v>
      </c>
      <c r="FM26" s="87" t="n">
        <v>0</v>
      </c>
      <c r="FN26" s="87" t="n">
        <v>0</v>
      </c>
      <c r="FO26" s="87" t="n">
        <v>0</v>
      </c>
      <c r="FP26" s="87" t="n">
        <v>0</v>
      </c>
      <c r="FQ26" s="87" t="n">
        <v>0</v>
      </c>
      <c r="FR26" s="87" t="n">
        <v>0</v>
      </c>
      <c r="FS26" s="87" t="n">
        <v>0</v>
      </c>
      <c r="FT26" s="87" t="n">
        <v>0</v>
      </c>
      <c r="FU26" s="87" t="n">
        <v>0</v>
      </c>
      <c r="FV26" s="87" t="n">
        <v>0</v>
      </c>
      <c r="FW26" s="87" t="n">
        <v>0</v>
      </c>
      <c r="FX26" s="87" t="n">
        <v>0</v>
      </c>
      <c r="FY26" s="87" t="n">
        <v>0</v>
      </c>
      <c r="FZ26" s="87" t="n">
        <v>0</v>
      </c>
      <c r="GA26" s="87" t="n">
        <v>0</v>
      </c>
      <c r="GB26" s="87" t="n">
        <v>0</v>
      </c>
      <c r="GC26" s="87" t="n">
        <v>0</v>
      </c>
      <c r="GD26" s="87" t="n">
        <v>0</v>
      </c>
      <c r="GE26" s="87" t="n">
        <v>0</v>
      </c>
      <c r="GF26" s="87" t="n">
        <v>0</v>
      </c>
      <c r="GG26" s="87" t="n">
        <v>0</v>
      </c>
      <c r="GH26" s="87" t="n">
        <v>0</v>
      </c>
      <c r="GI26" s="87" t="n">
        <v>0</v>
      </c>
      <c r="GJ26" s="87" t="n">
        <v>0</v>
      </c>
      <c r="GK26" s="87" t="n">
        <v>0</v>
      </c>
      <c r="GL26" s="87" t="n">
        <v>0</v>
      </c>
      <c r="GM26" s="87" t="n">
        <v>0</v>
      </c>
      <c r="GN26" s="87" t="n">
        <v>0</v>
      </c>
      <c r="GO26" s="87" t="n">
        <v>0</v>
      </c>
      <c r="GP26" s="87" t="n">
        <v>0</v>
      </c>
      <c r="GQ26" s="87" t="n">
        <v>0</v>
      </c>
      <c r="GR26" s="87" t="n">
        <v>0</v>
      </c>
      <c r="GS26" s="87" t="n">
        <v>0</v>
      </c>
      <c r="GT26" s="87" t="n">
        <v>0</v>
      </c>
      <c r="GU26" s="87" t="n">
        <v>0</v>
      </c>
      <c r="GV26" s="87" t="n">
        <v>0</v>
      </c>
      <c r="GW26" s="87" t="n">
        <v>0</v>
      </c>
      <c r="GX26" s="87" t="n">
        <v>0</v>
      </c>
      <c r="GY26" s="87" t="n">
        <v>0</v>
      </c>
      <c r="GZ26" s="87" t="n">
        <v>0</v>
      </c>
      <c r="HA26" s="87" t="n">
        <v>0</v>
      </c>
      <c r="HB26" s="87" t="n">
        <v>0</v>
      </c>
      <c r="HC26" s="87" t="n">
        <v>0</v>
      </c>
      <c r="HD26" s="87" t="n">
        <v>0</v>
      </c>
      <c r="HE26" s="87" t="n">
        <v>0</v>
      </c>
      <c r="HF26" s="87" t="n">
        <v>0</v>
      </c>
      <c r="HG26" s="87" t="n">
        <v>0</v>
      </c>
      <c r="HH26" s="87" t="n">
        <v>0</v>
      </c>
      <c r="HI26" s="87" t="n">
        <v>0</v>
      </c>
      <c r="HJ26" s="87" t="n">
        <v>0</v>
      </c>
      <c r="HK26" s="87" t="n">
        <v>0</v>
      </c>
      <c r="HL26" s="87" t="n">
        <v>0</v>
      </c>
      <c r="HM26" s="87" t="n">
        <v>0</v>
      </c>
      <c r="HN26" s="87" t="n">
        <v>0</v>
      </c>
      <c r="HO26" s="87" t="n">
        <v>0</v>
      </c>
      <c r="HP26" s="87" t="n">
        <v>0</v>
      </c>
      <c r="HQ26" s="87" t="n">
        <v>0</v>
      </c>
      <c r="HR26" s="87" t="n">
        <v>0</v>
      </c>
      <c r="HS26" s="87" t="n">
        <v>0</v>
      </c>
      <c r="HT26" s="87" t="n">
        <v>0</v>
      </c>
      <c r="HU26" s="87" t="n">
        <v>0</v>
      </c>
    </row>
    <row r="27" ht="16.2" customHeight="1">
      <c r="A27" s="7" t="inlineStr">
        <is>
          <t>Marketing</t>
        </is>
      </c>
      <c r="B27" s="136">
        <f>SUM(C27:AA27)</f>
        <v/>
      </c>
      <c r="C27" s="85" t="n"/>
      <c r="D27" s="87" t="n"/>
      <c r="E27" s="85" t="n"/>
      <c r="F27" s="85" t="n"/>
      <c r="G27" s="85" t="n"/>
      <c r="H27" s="85" t="n"/>
      <c r="I27" s="86" t="n"/>
      <c r="J27" s="218" t="n"/>
      <c r="K27" s="114" t="n"/>
      <c r="L27" s="122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>
        <v>-32159.95</v>
      </c>
      <c r="X27" s="219" t="n">
        <v>-30740</v>
      </c>
      <c r="Y27" s="219" t="n">
        <v>-18988.62</v>
      </c>
      <c r="Z27" s="219" t="n">
        <v>-196816.01</v>
      </c>
      <c r="AA27" s="219" t="n">
        <v>-308461.65</v>
      </c>
      <c r="AB27" s="219" t="n">
        <v>-387396.3</v>
      </c>
      <c r="AC27" s="219" t="n">
        <v>-264220.34</v>
      </c>
      <c r="AD27" s="53" t="n"/>
      <c r="AE27" s="342">
        <f>SUM(AG27:HU27)</f>
        <v/>
      </c>
      <c r="AF27" s="53" t="n"/>
      <c r="AG27" s="87" t="n">
        <v>-166659.2695133614</v>
      </c>
      <c r="AH27" s="87" t="n">
        <v>-166659.2695133614</v>
      </c>
      <c r="AI27" s="87" t="n">
        <v>-166659.2695133614</v>
      </c>
      <c r="AJ27" s="87" t="n">
        <v>-166659.2695133614</v>
      </c>
      <c r="AK27" s="87" t="n">
        <v>-166659.2695133614</v>
      </c>
      <c r="AL27" s="87" t="n">
        <v>-166659.2695133614</v>
      </c>
      <c r="AM27" s="87" t="n">
        <v>-166659.2695133614</v>
      </c>
      <c r="AN27" s="87" t="n">
        <v>-166659.2695133614</v>
      </c>
      <c r="AO27" s="87" t="n">
        <v>-166659.2695133614</v>
      </c>
      <c r="AP27" s="87" t="n">
        <v>-166659.2695133614</v>
      </c>
      <c r="AQ27" s="87" t="n">
        <v>-83329.63475668074</v>
      </c>
      <c r="AR27" s="87" t="n">
        <v>-83329.63475668074</v>
      </c>
      <c r="AS27" s="87" t="n">
        <v>-83329.63475668074</v>
      </c>
      <c r="AT27" s="87" t="n">
        <v>-83329.63475668074</v>
      </c>
      <c r="AU27" s="87" t="n">
        <v>-83329.63475668074</v>
      </c>
      <c r="AV27" s="87" t="n">
        <v>-83329.63475668074</v>
      </c>
      <c r="AW27" s="87" t="n">
        <v>-83329.63475668074</v>
      </c>
      <c r="AX27" s="87" t="n">
        <v>-83329.63475668074</v>
      </c>
      <c r="AY27" s="87" t="n">
        <v>-83329.63475668074</v>
      </c>
      <c r="AZ27" s="87" t="n">
        <v>-83329.63475668074</v>
      </c>
      <c r="BA27" s="87" t="n">
        <v>-83329.63475668074</v>
      </c>
      <c r="BB27" s="87" t="n">
        <v>-83329.63475668074</v>
      </c>
      <c r="BC27" s="87" t="n">
        <v>-83329.63475668074</v>
      </c>
      <c r="BD27" s="87" t="n">
        <v>-83329.63475668074</v>
      </c>
      <c r="BE27" s="87" t="n">
        <v>-83329.63475668074</v>
      </c>
      <c r="BF27" s="87" t="n">
        <v>-83329.63475668074</v>
      </c>
      <c r="BG27" s="87" t="n">
        <v>-83329.63475668074</v>
      </c>
      <c r="BH27" s="87" t="n">
        <v>-83329.63475668074</v>
      </c>
      <c r="BI27" s="87" t="n">
        <v>-83329.63475668074</v>
      </c>
      <c r="BJ27" s="87" t="n">
        <v>-83329.63475668074</v>
      </c>
      <c r="BK27" s="87" t="n">
        <v>-83329.63475668074</v>
      </c>
      <c r="BL27" s="87" t="n">
        <v>-83329.63475668074</v>
      </c>
      <c r="BM27" s="87" t="n">
        <v>-83329.63475668074</v>
      </c>
      <c r="BN27" s="87" t="n">
        <v>-83329.63475668074</v>
      </c>
      <c r="BO27" s="87" t="n">
        <v>-83329.63475668074</v>
      </c>
      <c r="BP27" s="87" t="n">
        <v>-83329.63475668074</v>
      </c>
      <c r="BQ27" s="87" t="n">
        <v>-83329.63475668074</v>
      </c>
      <c r="BR27" s="87" t="n">
        <v>-83329.63475668074</v>
      </c>
      <c r="BS27" s="87" t="n">
        <v>-83329.63475668074</v>
      </c>
      <c r="BT27" s="87" t="n">
        <v>-83329.63475668074</v>
      </c>
      <c r="BU27" s="87" t="n">
        <v>-83329.63475668074</v>
      </c>
      <c r="BV27" s="87" t="n">
        <v>-83329.63475668074</v>
      </c>
      <c r="BW27" s="87" t="n">
        <v>-83329.63475668074</v>
      </c>
      <c r="BX27" s="87" t="n">
        <v>-83329.63475668074</v>
      </c>
      <c r="BY27" s="87" t="n">
        <v>-83329.63475668074</v>
      </c>
      <c r="BZ27" s="87" t="n">
        <v>-83329.63475668074</v>
      </c>
      <c r="CA27" s="87" t="n">
        <v>-83329.63475668074</v>
      </c>
      <c r="CB27" s="87" t="n">
        <v>-83329.63475668074</v>
      </c>
      <c r="CC27" s="87" t="n">
        <v>-83329.63475668074</v>
      </c>
      <c r="CD27" s="87" t="n">
        <v>-83329.63475668074</v>
      </c>
      <c r="CE27" s="87" t="n">
        <v>-83329.63475668074</v>
      </c>
      <c r="CF27" s="87" t="n">
        <v>-83329.63475668074</v>
      </c>
      <c r="CG27" s="87" t="n">
        <v>-83329.63475668074</v>
      </c>
      <c r="CH27" s="87" t="n">
        <v>-83329.63475668074</v>
      </c>
      <c r="CI27" s="87" t="n">
        <v>-83329.63475668074</v>
      </c>
      <c r="CJ27" s="87" t="n">
        <v>-83329.63475668074</v>
      </c>
      <c r="CK27" s="87" t="n">
        <v>-83329.63475668074</v>
      </c>
      <c r="CL27" s="87" t="n">
        <v>-83329.63475668074</v>
      </c>
      <c r="CM27" s="87" t="n">
        <v>-83329.63475668074</v>
      </c>
      <c r="CN27" s="87" t="n">
        <v>-83329.63475668074</v>
      </c>
      <c r="CO27" s="87" t="n">
        <v>-83329.63475668074</v>
      </c>
      <c r="CP27" s="87" t="n">
        <v>-83329.63475668074</v>
      </c>
      <c r="CQ27" s="87" t="n">
        <v>-83329.63475668074</v>
      </c>
      <c r="CR27" s="87" t="n">
        <v>-83329.63475668074</v>
      </c>
      <c r="CS27" s="87" t="n">
        <v>-83329.63475668074</v>
      </c>
      <c r="CT27" s="87" t="n">
        <v>-83329.63475668074</v>
      </c>
      <c r="CU27" s="87" t="n">
        <v>-83329.63475668074</v>
      </c>
      <c r="CV27" s="87" t="n">
        <v>-83329.63475668074</v>
      </c>
      <c r="CW27" s="87" t="n">
        <v>-83329.63475668074</v>
      </c>
      <c r="CX27" s="87" t="n">
        <v>-83329.63475668074</v>
      </c>
      <c r="CY27" s="87" t="n">
        <v>-83329.63475668074</v>
      </c>
      <c r="CZ27" s="87" t="n">
        <v>-83329.63475668074</v>
      </c>
      <c r="DA27" s="87" t="n">
        <v>-83329.63475668074</v>
      </c>
      <c r="DB27" s="87" t="n">
        <v>-83329.63475668074</v>
      </c>
      <c r="DC27" s="87" t="n">
        <v>-83329.63475668074</v>
      </c>
      <c r="DD27" s="87" t="n">
        <v>-83329.63475668074</v>
      </c>
      <c r="DE27" s="87" t="n">
        <v>-83329.63475668074</v>
      </c>
      <c r="DF27" s="87" t="n">
        <v>-83329.63475668074</v>
      </c>
      <c r="DG27" s="87" t="n">
        <v>-83329.63475668074</v>
      </c>
      <c r="DH27" s="87" t="n">
        <v>-83329.63475668074</v>
      </c>
      <c r="DI27" s="87" t="n">
        <v>-83329.63475668074</v>
      </c>
      <c r="DJ27" s="87" t="n">
        <v>-83329.63475668074</v>
      </c>
      <c r="DK27" s="87" t="n">
        <v>-83329.63475668074</v>
      </c>
      <c r="DL27" s="87" t="n">
        <v>-83329.63475668074</v>
      </c>
      <c r="DM27" s="87" t="n">
        <v>-83329.63475668069</v>
      </c>
      <c r="DN27" s="87" t="n">
        <v>-83329.63475668069</v>
      </c>
      <c r="DO27" s="87" t="n">
        <v>-83329.63475668069</v>
      </c>
      <c r="DP27" s="87" t="n">
        <v>-83329.63475668069</v>
      </c>
      <c r="DQ27" s="87" t="n">
        <v>-83329.63475668069</v>
      </c>
      <c r="DR27" s="87" t="n">
        <v>-83329.63475668069</v>
      </c>
      <c r="DS27" s="87" t="n">
        <v>0</v>
      </c>
      <c r="DT27" s="87" t="n">
        <v>0</v>
      </c>
      <c r="DU27" s="87" t="n">
        <v>0</v>
      </c>
      <c r="DV27" s="87" t="n">
        <v>0</v>
      </c>
      <c r="DW27" s="87" t="n">
        <v>0</v>
      </c>
      <c r="DX27" s="87" t="n">
        <v>0</v>
      </c>
      <c r="DY27" s="87" t="n">
        <v>0</v>
      </c>
      <c r="DZ27" s="87" t="n">
        <v>0</v>
      </c>
      <c r="EA27" s="87" t="n">
        <v>0</v>
      </c>
      <c r="EB27" s="87" t="n"/>
      <c r="EC27" s="87" t="n">
        <v>0</v>
      </c>
      <c r="ED27" s="87" t="n">
        <v>0</v>
      </c>
      <c r="EE27" s="87" t="n">
        <v>0</v>
      </c>
      <c r="EF27" s="87" t="n">
        <v>0</v>
      </c>
      <c r="EG27" s="87" t="n">
        <v>0</v>
      </c>
      <c r="EH27" s="87" t="n">
        <v>0</v>
      </c>
      <c r="EI27" s="87" t="n">
        <v>0</v>
      </c>
      <c r="EJ27" s="87" t="n">
        <v>0</v>
      </c>
      <c r="EK27" s="87" t="n">
        <v>0</v>
      </c>
      <c r="EL27" s="87" t="n">
        <v>0</v>
      </c>
      <c r="EM27" s="87" t="n">
        <v>0</v>
      </c>
      <c r="EN27" s="87" t="n">
        <v>0</v>
      </c>
      <c r="EO27" s="87" t="n">
        <v>0</v>
      </c>
      <c r="EP27" s="87" t="n">
        <v>0</v>
      </c>
      <c r="EQ27" s="87" t="n">
        <v>0</v>
      </c>
      <c r="ER27" s="87" t="n">
        <v>0</v>
      </c>
      <c r="ES27" s="87" t="n">
        <v>0</v>
      </c>
      <c r="ET27" s="87" t="n">
        <v>0</v>
      </c>
      <c r="EU27" s="87" t="n">
        <v>0</v>
      </c>
      <c r="EV27" s="87" t="n">
        <v>0</v>
      </c>
      <c r="EW27" s="87" t="n">
        <v>0</v>
      </c>
      <c r="EX27" s="87" t="n">
        <v>0</v>
      </c>
      <c r="EY27" s="87" t="n">
        <v>0</v>
      </c>
      <c r="EZ27" s="87" t="n">
        <v>0</v>
      </c>
      <c r="FA27" s="87" t="n">
        <v>0</v>
      </c>
      <c r="FB27" s="87" t="n">
        <v>0</v>
      </c>
      <c r="FC27" s="87" t="n">
        <v>0</v>
      </c>
      <c r="FD27" s="87" t="n">
        <v>0</v>
      </c>
      <c r="FE27" s="87" t="n">
        <v>0</v>
      </c>
      <c r="FF27" s="87" t="n">
        <v>0</v>
      </c>
      <c r="FG27" s="87" t="n">
        <v>0</v>
      </c>
      <c r="FH27" s="87" t="n">
        <v>0</v>
      </c>
      <c r="FI27" s="87" t="n">
        <v>0</v>
      </c>
      <c r="FJ27" s="87" t="n">
        <v>0</v>
      </c>
      <c r="FK27" s="87" t="n">
        <v>0</v>
      </c>
      <c r="FL27" s="87" t="n">
        <v>0</v>
      </c>
      <c r="FM27" s="87" t="n">
        <v>0</v>
      </c>
      <c r="FN27" s="87" t="n">
        <v>0</v>
      </c>
      <c r="FO27" s="87" t="n">
        <v>0</v>
      </c>
      <c r="FP27" s="87" t="n">
        <v>0</v>
      </c>
      <c r="FQ27" s="87" t="n">
        <v>0</v>
      </c>
      <c r="FR27" s="87" t="n">
        <v>0</v>
      </c>
      <c r="FS27" s="87" t="n">
        <v>0</v>
      </c>
      <c r="FT27" s="87" t="n">
        <v>0</v>
      </c>
      <c r="FU27" s="87" t="n">
        <v>0</v>
      </c>
      <c r="FV27" s="87" t="n">
        <v>0</v>
      </c>
      <c r="FW27" s="87" t="n">
        <v>0</v>
      </c>
      <c r="FX27" s="87" t="n">
        <v>0</v>
      </c>
      <c r="FY27" s="87" t="n">
        <v>0</v>
      </c>
      <c r="FZ27" s="87" t="n">
        <v>0</v>
      </c>
      <c r="GA27" s="87" t="n">
        <v>0</v>
      </c>
      <c r="GB27" s="87" t="n">
        <v>0</v>
      </c>
      <c r="GC27" s="87" t="n">
        <v>0</v>
      </c>
      <c r="GD27" s="87" t="n">
        <v>0</v>
      </c>
      <c r="GE27" s="87" t="n">
        <v>0</v>
      </c>
      <c r="GF27" s="87" t="n">
        <v>0</v>
      </c>
      <c r="GG27" s="87" t="n">
        <v>0</v>
      </c>
      <c r="GH27" s="87" t="n">
        <v>0</v>
      </c>
      <c r="GI27" s="87" t="n">
        <v>0</v>
      </c>
      <c r="GJ27" s="87" t="n">
        <v>0</v>
      </c>
      <c r="GK27" s="87" t="n">
        <v>0</v>
      </c>
      <c r="GL27" s="87" t="n">
        <v>0</v>
      </c>
      <c r="GM27" s="87" t="n">
        <v>0</v>
      </c>
      <c r="GN27" s="87" t="n">
        <v>0</v>
      </c>
      <c r="GO27" s="87" t="n">
        <v>0</v>
      </c>
      <c r="GP27" s="87" t="n">
        <v>0</v>
      </c>
      <c r="GQ27" s="87" t="n">
        <v>0</v>
      </c>
      <c r="GR27" s="87" t="n">
        <v>0</v>
      </c>
      <c r="GS27" s="87" t="n">
        <v>0</v>
      </c>
      <c r="GT27" s="87" t="n">
        <v>0</v>
      </c>
      <c r="GU27" s="87" t="n">
        <v>0</v>
      </c>
      <c r="GV27" s="87" t="n">
        <v>0</v>
      </c>
      <c r="GW27" s="87" t="n">
        <v>0</v>
      </c>
      <c r="GX27" s="87" t="n">
        <v>0</v>
      </c>
      <c r="GY27" s="87" t="n">
        <v>0</v>
      </c>
      <c r="GZ27" s="87" t="n">
        <v>0</v>
      </c>
      <c r="HA27" s="87" t="n">
        <v>0</v>
      </c>
      <c r="HB27" s="87" t="n">
        <v>0</v>
      </c>
      <c r="HC27" s="87" t="n">
        <v>0</v>
      </c>
      <c r="HD27" s="87" t="n">
        <v>0</v>
      </c>
      <c r="HE27" s="87" t="n">
        <v>0</v>
      </c>
      <c r="HF27" s="87" t="n">
        <v>0</v>
      </c>
      <c r="HG27" s="87" t="n">
        <v>0</v>
      </c>
      <c r="HH27" s="87" t="n">
        <v>0</v>
      </c>
      <c r="HI27" s="87" t="n">
        <v>0</v>
      </c>
      <c r="HJ27" s="87" t="n">
        <v>0</v>
      </c>
      <c r="HK27" s="87" t="n">
        <v>0</v>
      </c>
      <c r="HL27" s="87" t="n">
        <v>0</v>
      </c>
      <c r="HM27" s="87" t="n">
        <v>0</v>
      </c>
      <c r="HN27" s="87" t="n">
        <v>0</v>
      </c>
      <c r="HO27" s="87" t="n">
        <v>0</v>
      </c>
      <c r="HP27" s="87" t="n">
        <v>0</v>
      </c>
      <c r="HQ27" s="87" t="n">
        <v>0</v>
      </c>
      <c r="HR27" s="87" t="n">
        <v>0</v>
      </c>
      <c r="HS27" s="87" t="n">
        <v>0</v>
      </c>
      <c r="HT27" s="87" t="n">
        <v>0</v>
      </c>
      <c r="HU27" s="87" t="n">
        <v>0</v>
      </c>
    </row>
    <row r="28" ht="16.2" customHeight="1">
      <c r="A28" s="7" t="inlineStr">
        <is>
          <t>Salário Fixo</t>
        </is>
      </c>
      <c r="B28" s="136">
        <f>SUM(C28:AA28)</f>
        <v/>
      </c>
      <c r="C28" s="85" t="n"/>
      <c r="D28" s="87" t="n"/>
      <c r="E28" s="85" t="n"/>
      <c r="F28" s="85" t="n"/>
      <c r="G28" s="85" t="n"/>
      <c r="H28" s="85" t="n"/>
      <c r="I28" s="86" t="n"/>
      <c r="J28" s="218" t="n"/>
      <c r="K28" s="114" t="n"/>
      <c r="L28" s="122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>
        <v>-228.84</v>
      </c>
      <c r="AD28" s="53" t="n"/>
      <c r="AE28" s="342">
        <f>SUM(AG28:HU28)</f>
        <v/>
      </c>
      <c r="AF28" s="53" t="n"/>
      <c r="AG28" s="87" t="n"/>
      <c r="AH28" s="87" t="n"/>
      <c r="AI28" s="85" t="n"/>
      <c r="AJ28" s="85" t="n"/>
      <c r="AK28" s="85" t="n"/>
      <c r="AL28" s="85" t="n"/>
      <c r="AM28" s="85" t="n"/>
      <c r="AN28" s="85" t="n"/>
      <c r="AO28" s="85" t="n"/>
      <c r="AP28" s="85" t="n"/>
      <c r="AQ28" s="86" t="n"/>
      <c r="AR28" s="86" t="n"/>
      <c r="AS28" s="85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296" t="n"/>
      <c r="BE28" s="87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296" t="n"/>
      <c r="BQ28" s="87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296" t="n"/>
      <c r="CC28" s="87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296" t="n"/>
      <c r="CO28" s="87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296" t="n"/>
      <c r="DA28" s="87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6" t="n"/>
      <c r="DK28" s="85" t="n"/>
      <c r="DL28" s="86" t="n">
        <v>0</v>
      </c>
      <c r="DM28" s="86" t="n">
        <v>0</v>
      </c>
      <c r="DN28" s="86" t="n">
        <v>0</v>
      </c>
      <c r="DO28" s="86" t="n">
        <v>0</v>
      </c>
      <c r="DP28" s="86" t="n">
        <v>0</v>
      </c>
      <c r="DQ28" s="86" t="n">
        <v>0</v>
      </c>
      <c r="DR28" s="86" t="n">
        <v>0</v>
      </c>
      <c r="DS28" s="86" t="n">
        <v>0</v>
      </c>
      <c r="DT28" s="86" t="n">
        <v>0</v>
      </c>
      <c r="DU28" s="86" t="n">
        <v>0</v>
      </c>
      <c r="DV28" s="86" t="n">
        <v>0</v>
      </c>
      <c r="DW28" s="86" t="n">
        <v>0</v>
      </c>
      <c r="DX28" s="86" t="n">
        <v>0</v>
      </c>
      <c r="DY28" s="86" t="n">
        <v>0</v>
      </c>
      <c r="DZ28" s="86" t="n">
        <v>0</v>
      </c>
      <c r="EA28" s="86" t="n">
        <v>0</v>
      </c>
      <c r="EB28" s="86" t="n">
        <v>0</v>
      </c>
      <c r="EC28" s="86" t="n">
        <v>0</v>
      </c>
      <c r="ED28" s="86" t="n">
        <v>0</v>
      </c>
      <c r="EE28" s="86" t="n">
        <v>0</v>
      </c>
      <c r="EF28" s="86" t="n">
        <v>0</v>
      </c>
      <c r="EG28" s="86" t="n">
        <v>0</v>
      </c>
      <c r="EH28" s="86" t="n">
        <v>0</v>
      </c>
      <c r="EI28" s="86" t="n">
        <v>0</v>
      </c>
      <c r="EJ28" s="86" t="n">
        <v>0</v>
      </c>
      <c r="EK28" s="86" t="n">
        <v>0</v>
      </c>
      <c r="EL28" s="86" t="n">
        <v>0</v>
      </c>
      <c r="EM28" s="86" t="n">
        <v>0</v>
      </c>
      <c r="EN28" s="86" t="n">
        <v>0</v>
      </c>
      <c r="EO28" s="86" t="n">
        <v>0</v>
      </c>
      <c r="EP28" s="86" t="n">
        <v>0</v>
      </c>
      <c r="EQ28" s="86" t="n">
        <v>0</v>
      </c>
      <c r="ER28" s="86" t="n">
        <v>0</v>
      </c>
      <c r="ES28" s="86" t="n">
        <v>0</v>
      </c>
      <c r="ET28" s="86" t="n">
        <v>0</v>
      </c>
      <c r="EU28" s="86" t="n">
        <v>0</v>
      </c>
      <c r="EV28" s="86" t="n">
        <v>0</v>
      </c>
      <c r="EW28" s="86" t="n">
        <v>0</v>
      </c>
      <c r="EX28" s="86" t="n">
        <v>0</v>
      </c>
      <c r="EY28" s="86" t="n">
        <v>0</v>
      </c>
      <c r="EZ28" s="86" t="n">
        <v>0</v>
      </c>
      <c r="FA28" s="86" t="n">
        <v>0</v>
      </c>
      <c r="FB28" s="86" t="n">
        <v>0</v>
      </c>
      <c r="FC28" s="86" t="n">
        <v>0</v>
      </c>
      <c r="FD28" s="86" t="n">
        <v>0</v>
      </c>
      <c r="FE28" s="86" t="n">
        <v>0</v>
      </c>
      <c r="FF28" s="86" t="n">
        <v>0</v>
      </c>
      <c r="FG28" s="86" t="n">
        <v>0</v>
      </c>
      <c r="FH28" s="86" t="n">
        <v>0</v>
      </c>
      <c r="FI28" s="86" t="n">
        <v>0</v>
      </c>
      <c r="FJ28" s="86" t="n">
        <v>0</v>
      </c>
      <c r="FK28" s="86" t="n">
        <v>0</v>
      </c>
      <c r="FL28" s="86" t="n">
        <v>0</v>
      </c>
      <c r="FM28" s="86" t="n">
        <v>0</v>
      </c>
      <c r="FN28" s="86" t="n">
        <v>0</v>
      </c>
      <c r="FO28" s="86" t="n">
        <v>0</v>
      </c>
      <c r="FP28" s="86" t="n">
        <v>0</v>
      </c>
      <c r="FQ28" s="86" t="n">
        <v>0</v>
      </c>
      <c r="FR28" s="86" t="n">
        <v>0</v>
      </c>
      <c r="FS28" s="86" t="n">
        <v>0</v>
      </c>
      <c r="FT28" s="86" t="n">
        <v>0</v>
      </c>
      <c r="FU28" s="86" t="n">
        <v>0</v>
      </c>
      <c r="FV28" s="86" t="n">
        <v>0</v>
      </c>
      <c r="FW28" s="86" t="n">
        <v>0</v>
      </c>
      <c r="FX28" s="86" t="n">
        <v>0</v>
      </c>
      <c r="FY28" s="86" t="n">
        <v>0</v>
      </c>
      <c r="FZ28" s="86" t="n">
        <v>0</v>
      </c>
      <c r="GA28" s="86" t="n">
        <v>0</v>
      </c>
      <c r="GB28" s="86" t="n">
        <v>0</v>
      </c>
      <c r="GC28" s="86" t="n">
        <v>0</v>
      </c>
      <c r="GD28" s="86" t="n">
        <v>0</v>
      </c>
      <c r="GE28" s="86" t="n">
        <v>0</v>
      </c>
      <c r="GF28" s="86" t="n">
        <v>0</v>
      </c>
      <c r="GG28" s="86" t="n">
        <v>0</v>
      </c>
      <c r="GH28" s="86" t="n">
        <v>0</v>
      </c>
      <c r="GI28" s="86" t="n">
        <v>0</v>
      </c>
      <c r="GJ28" s="86" t="n">
        <v>0</v>
      </c>
      <c r="GK28" s="86" t="n">
        <v>0</v>
      </c>
      <c r="GL28" s="86" t="n">
        <v>0</v>
      </c>
      <c r="GM28" s="86" t="n">
        <v>0</v>
      </c>
      <c r="GN28" s="86" t="n">
        <v>0</v>
      </c>
      <c r="GO28" s="86" t="n">
        <v>0</v>
      </c>
      <c r="GP28" s="86" t="n">
        <v>0</v>
      </c>
      <c r="GQ28" s="86" t="n">
        <v>0</v>
      </c>
      <c r="GR28" s="86" t="n">
        <v>0</v>
      </c>
      <c r="GS28" s="86" t="n">
        <v>0</v>
      </c>
      <c r="GT28" s="86" t="n">
        <v>0</v>
      </c>
      <c r="GU28" s="86" t="n">
        <v>0</v>
      </c>
      <c r="GV28" s="86" t="n">
        <v>0</v>
      </c>
      <c r="GW28" s="86" t="n">
        <v>0</v>
      </c>
      <c r="GX28" s="86" t="n">
        <v>0</v>
      </c>
      <c r="GY28" s="86" t="n">
        <v>0</v>
      </c>
      <c r="GZ28" s="86" t="n">
        <v>0</v>
      </c>
      <c r="HA28" s="86" t="n">
        <v>0</v>
      </c>
      <c r="HB28" s="86" t="n">
        <v>0</v>
      </c>
      <c r="HC28" s="86" t="n">
        <v>0</v>
      </c>
      <c r="HD28" s="86" t="n">
        <v>0</v>
      </c>
      <c r="HE28" s="86" t="n">
        <v>0</v>
      </c>
      <c r="HF28" s="86" t="n">
        <v>0</v>
      </c>
      <c r="HG28" s="86" t="n">
        <v>0</v>
      </c>
      <c r="HH28" s="86" t="n">
        <v>0</v>
      </c>
      <c r="HI28" s="86" t="n">
        <v>0</v>
      </c>
      <c r="HJ28" s="86" t="n">
        <v>0</v>
      </c>
      <c r="HK28" s="86" t="n">
        <v>0</v>
      </c>
      <c r="HL28" s="86" t="n">
        <v>0</v>
      </c>
      <c r="HM28" s="86" t="n">
        <v>0</v>
      </c>
      <c r="HN28" s="86" t="n">
        <v>0</v>
      </c>
      <c r="HO28" s="86" t="n">
        <v>0</v>
      </c>
      <c r="HP28" s="86" t="n">
        <v>0</v>
      </c>
      <c r="HQ28" s="86" t="n">
        <v>0</v>
      </c>
      <c r="HR28" s="86" t="n">
        <v>0</v>
      </c>
      <c r="HS28" s="86" t="n">
        <v>0</v>
      </c>
      <c r="HT28" s="86" t="n">
        <v>0</v>
      </c>
      <c r="HU28" s="86" t="n">
        <v>0</v>
      </c>
    </row>
    <row r="29" ht="16.2" customHeight="1" thickBot="1">
      <c r="A29" s="77" t="inlineStr">
        <is>
          <t>Subtotal</t>
        </is>
      </c>
      <c r="B29" s="137">
        <f>SUM(C29:W29)</f>
        <v/>
      </c>
      <c r="C29" s="516">
        <f>SUM(C25:C28)</f>
        <v/>
      </c>
      <c r="D29" s="516">
        <f>SUM(D25:D28)</f>
        <v/>
      </c>
      <c r="E29" s="516">
        <f>SUM(E25:E28)</f>
        <v/>
      </c>
      <c r="F29" s="516">
        <f>SUM(F25:F28)</f>
        <v/>
      </c>
      <c r="G29" s="516">
        <f>SUM(G25:G28)</f>
        <v/>
      </c>
      <c r="H29" s="516">
        <f>SUM(H25:H28)</f>
        <v/>
      </c>
      <c r="I29" s="517">
        <f>SUM(I25:I28)</f>
        <v/>
      </c>
      <c r="J29" s="518">
        <f>SUM(J25:J28)</f>
        <v/>
      </c>
      <c r="K29" s="516">
        <f>SUM(K25:K28)</f>
        <v/>
      </c>
      <c r="L29" s="516">
        <f>SUM(L25:L28)</f>
        <v/>
      </c>
      <c r="M29" s="519">
        <f>SUM(M25:M28)</f>
        <v/>
      </c>
      <c r="N29" s="519">
        <f>SUM(N25:N28)</f>
        <v/>
      </c>
      <c r="O29" s="519">
        <f>SUM(O25:O28)</f>
        <v/>
      </c>
      <c r="P29" s="519">
        <f>SUM(P25:P28)</f>
        <v/>
      </c>
      <c r="Q29" s="519">
        <f>SUM(Q25:Q28)</f>
        <v/>
      </c>
      <c r="R29" s="519">
        <f>SUM(R25:R28)</f>
        <v/>
      </c>
      <c r="S29" s="519">
        <f>SUM(S25:S28)</f>
        <v/>
      </c>
      <c r="T29" s="519">
        <f>SUM(T25:T28)</f>
        <v/>
      </c>
      <c r="U29" s="519">
        <f>SUM(U25:U28)</f>
        <v/>
      </c>
      <c r="V29" s="519">
        <f>SUM(V25:V28)</f>
        <v/>
      </c>
      <c r="W29" s="519">
        <f>SUM(W25:W28)</f>
        <v/>
      </c>
      <c r="X29" s="519">
        <f>SUM(X25:X28)</f>
        <v/>
      </c>
      <c r="Y29" s="519">
        <f>SUM(Y25:Y28)</f>
        <v/>
      </c>
      <c r="Z29" s="519">
        <f>SUM(Z25:Z28)</f>
        <v/>
      </c>
      <c r="AA29" s="519">
        <f>SUM(AA25:AA28)</f>
        <v/>
      </c>
      <c r="AB29" s="519">
        <f>SUM(AB25:AB28)</f>
        <v/>
      </c>
      <c r="AC29" s="519">
        <f>SUM(AC25:AC28)</f>
        <v/>
      </c>
      <c r="AD29" s="13" t="n"/>
      <c r="AE29" s="332">
        <f>SUM(AG29:DN29)</f>
        <v/>
      </c>
      <c r="AF29" s="13" t="n"/>
      <c r="AG29" s="520">
        <f>SUM(AG25:AG28)</f>
        <v/>
      </c>
      <c r="AH29" s="520">
        <f>SUM(AH25:AH28)</f>
        <v/>
      </c>
      <c r="AI29" s="516">
        <f>SUM(AI25:AI28)</f>
        <v/>
      </c>
      <c r="AJ29" s="516">
        <f>SUM(AJ25:AJ28)</f>
        <v/>
      </c>
      <c r="AK29" s="516">
        <f>SUM(AK25:AK28)</f>
        <v/>
      </c>
      <c r="AL29" s="516">
        <f>SUM(AL25:AL28)</f>
        <v/>
      </c>
      <c r="AM29" s="516">
        <f>SUM(AM25:AM28)</f>
        <v/>
      </c>
      <c r="AN29" s="516">
        <f>SUM(AN25:AN28)</f>
        <v/>
      </c>
      <c r="AO29" s="516">
        <f>SUM(AO25:AO28)</f>
        <v/>
      </c>
      <c r="AP29" s="516">
        <f>SUM(AP25:AP28)</f>
        <v/>
      </c>
      <c r="AQ29" s="517">
        <f>SUM(AQ25:AQ28)</f>
        <v/>
      </c>
      <c r="AR29" s="517">
        <f>SUM(AR25:AR28)</f>
        <v/>
      </c>
      <c r="AS29" s="516">
        <f>SUM(AS25:AS28)</f>
        <v/>
      </c>
      <c r="AT29" s="516">
        <f>SUM(AT25:AT28)</f>
        <v/>
      </c>
      <c r="AU29" s="516">
        <f>SUM(AU25:AU28)</f>
        <v/>
      </c>
      <c r="AV29" s="516">
        <f>SUM(AV25:AV28)</f>
        <v/>
      </c>
      <c r="AW29" s="516">
        <f>SUM(AW25:AW28)</f>
        <v/>
      </c>
      <c r="AX29" s="516">
        <f>SUM(AX25:AX28)</f>
        <v/>
      </c>
      <c r="AY29" s="516">
        <f>SUM(AY25:AY28)</f>
        <v/>
      </c>
      <c r="AZ29" s="516">
        <f>SUM(AZ25:AZ28)</f>
        <v/>
      </c>
      <c r="BA29" s="516">
        <f>SUM(BA25:BA28)</f>
        <v/>
      </c>
      <c r="BB29" s="516">
        <f>SUM(BB25:BB28)</f>
        <v/>
      </c>
      <c r="BC29" s="516">
        <f>SUM(BC25:BC28)</f>
        <v/>
      </c>
      <c r="BD29" s="521">
        <f>SUM(BD25:BD28)</f>
        <v/>
      </c>
      <c r="BE29" s="520">
        <f>SUM(BE25:BE28)</f>
        <v/>
      </c>
      <c r="BF29" s="516">
        <f>SUM(BF25:BF28)</f>
        <v/>
      </c>
      <c r="BG29" s="516">
        <f>SUM(BG25:BG28)</f>
        <v/>
      </c>
      <c r="BH29" s="516">
        <f>SUM(BH25:BH28)</f>
        <v/>
      </c>
      <c r="BI29" s="516">
        <f>SUM(BI25:BI28)</f>
        <v/>
      </c>
      <c r="BJ29" s="516">
        <f>SUM(BJ25:BJ28)</f>
        <v/>
      </c>
      <c r="BK29" s="516">
        <f>SUM(BK25:BK28)</f>
        <v/>
      </c>
      <c r="BL29" s="516">
        <f>SUM(BL25:BL28)</f>
        <v/>
      </c>
      <c r="BM29" s="516">
        <f>SUM(BM25:BM28)</f>
        <v/>
      </c>
      <c r="BN29" s="516">
        <f>SUM(BN25:BN28)</f>
        <v/>
      </c>
      <c r="BO29" s="516">
        <f>SUM(BO25:BO28)</f>
        <v/>
      </c>
      <c r="BP29" s="521">
        <f>SUM(BP25:BP28)</f>
        <v/>
      </c>
      <c r="BQ29" s="520">
        <f>SUM(BQ25:BQ28)</f>
        <v/>
      </c>
      <c r="BR29" s="516">
        <f>SUM(BR25:BR28)</f>
        <v/>
      </c>
      <c r="BS29" s="516">
        <f>SUM(BS25:BS28)</f>
        <v/>
      </c>
      <c r="BT29" s="516">
        <f>SUM(BT25:BT28)</f>
        <v/>
      </c>
      <c r="BU29" s="516">
        <f>SUM(BU25:BU28)</f>
        <v/>
      </c>
      <c r="BV29" s="516">
        <f>SUM(BV25:BV28)</f>
        <v/>
      </c>
      <c r="BW29" s="516">
        <f>SUM(BW25:BW28)</f>
        <v/>
      </c>
      <c r="BX29" s="516">
        <f>SUM(BX25:BX28)</f>
        <v/>
      </c>
      <c r="BY29" s="516">
        <f>SUM(BY25:BY28)</f>
        <v/>
      </c>
      <c r="BZ29" s="516">
        <f>SUM(BZ25:BZ28)</f>
        <v/>
      </c>
      <c r="CA29" s="516">
        <f>SUM(CA25:CA28)</f>
        <v/>
      </c>
      <c r="CB29" s="521">
        <f>SUM(CB25:CB28)</f>
        <v/>
      </c>
      <c r="CC29" s="520">
        <f>SUM(CC25:CC28)</f>
        <v/>
      </c>
      <c r="CD29" s="516">
        <f>SUM(CD25:CD28)</f>
        <v/>
      </c>
      <c r="CE29" s="516">
        <f>SUM(CE25:CE28)</f>
        <v/>
      </c>
      <c r="CF29" s="516">
        <f>SUM(CF25:CF28)</f>
        <v/>
      </c>
      <c r="CG29" s="516">
        <f>SUM(CG25:CG28)</f>
        <v/>
      </c>
      <c r="CH29" s="516">
        <f>SUM(CH25:CH28)</f>
        <v/>
      </c>
      <c r="CI29" s="516">
        <f>SUM(CI25:CI28)</f>
        <v/>
      </c>
      <c r="CJ29" s="516">
        <f>SUM(CJ25:CJ28)</f>
        <v/>
      </c>
      <c r="CK29" s="516">
        <f>SUM(CK25:CK28)</f>
        <v/>
      </c>
      <c r="CL29" s="516">
        <f>SUM(CL25:CL28)</f>
        <v/>
      </c>
      <c r="CM29" s="516">
        <f>SUM(CM25:CM28)</f>
        <v/>
      </c>
      <c r="CN29" s="521">
        <f>SUM(CN25:CN28)</f>
        <v/>
      </c>
      <c r="CO29" s="520">
        <f>SUM(CO25:CO28)</f>
        <v/>
      </c>
      <c r="CP29" s="516">
        <f>SUM(CP25:CP28)</f>
        <v/>
      </c>
      <c r="CQ29" s="516">
        <f>SUM(CQ25:CQ28)</f>
        <v/>
      </c>
      <c r="CR29" s="516">
        <f>SUM(CR25:CR28)</f>
        <v/>
      </c>
      <c r="CS29" s="516">
        <f>SUM(CS25:CS28)</f>
        <v/>
      </c>
      <c r="CT29" s="516">
        <f>SUM(CT25:CT28)</f>
        <v/>
      </c>
      <c r="CU29" s="516">
        <f>SUM(CU25:CU28)</f>
        <v/>
      </c>
      <c r="CV29" s="516">
        <f>SUM(CV25:CV28)</f>
        <v/>
      </c>
      <c r="CW29" s="516">
        <f>SUM(CW25:CW28)</f>
        <v/>
      </c>
      <c r="CX29" s="516">
        <f>SUM(CX25:CX28)</f>
        <v/>
      </c>
      <c r="CY29" s="516">
        <f>SUM(CY25:CY28)</f>
        <v/>
      </c>
      <c r="CZ29" s="521">
        <f>SUM(CZ25:CZ28)</f>
        <v/>
      </c>
      <c r="DA29" s="520">
        <f>SUM(DA25:DA28)</f>
        <v/>
      </c>
      <c r="DB29" s="516">
        <f>SUM(DB25:DB28)</f>
        <v/>
      </c>
      <c r="DC29" s="516">
        <f>SUM(DC25:DC28)</f>
        <v/>
      </c>
      <c r="DD29" s="516">
        <f>SUM(DD25:DD28)</f>
        <v/>
      </c>
      <c r="DE29" s="516">
        <f>SUM(DE25:DE28)</f>
        <v/>
      </c>
      <c r="DF29" s="516">
        <f>SUM(DF25:DF28)</f>
        <v/>
      </c>
      <c r="DG29" s="516">
        <f>SUM(DG25:DG28)</f>
        <v/>
      </c>
      <c r="DH29" s="516">
        <f>SUM(DH25:DH28)</f>
        <v/>
      </c>
      <c r="DI29" s="516">
        <f>SUM(DI25:DI28)</f>
        <v/>
      </c>
      <c r="DJ29" s="517">
        <f>SUM(DJ25:DJ28)</f>
        <v/>
      </c>
      <c r="DK29" s="517">
        <f>SUM(DK25:DK28)</f>
        <v/>
      </c>
      <c r="DL29" s="517">
        <f>SUM(DL25:DL28)</f>
        <v/>
      </c>
      <c r="DM29" s="517">
        <f>SUM(DM25:DM28)</f>
        <v/>
      </c>
      <c r="DN29" s="517">
        <f>SUM(DN25:DN28)</f>
        <v/>
      </c>
      <c r="DO29" s="517">
        <f>SUM(DO25:DO28)</f>
        <v/>
      </c>
      <c r="DP29" s="517">
        <f>SUM(DP25:DP28)</f>
        <v/>
      </c>
      <c r="DQ29" s="517">
        <f>SUM(DQ25:DQ28)</f>
        <v/>
      </c>
      <c r="DR29" s="517">
        <f>SUM(DR25:DR28)</f>
        <v/>
      </c>
      <c r="DS29" s="517">
        <f>SUM(DS25:DS28)</f>
        <v/>
      </c>
      <c r="DT29" s="517">
        <f>SUM(DT25:DT28)</f>
        <v/>
      </c>
      <c r="DU29" s="517">
        <f>SUM(DU25:DU28)</f>
        <v/>
      </c>
      <c r="DV29" s="517">
        <f>SUM(DV25:DV28)</f>
        <v/>
      </c>
      <c r="DW29" s="517">
        <f>SUM(DW25:DW28)</f>
        <v/>
      </c>
      <c r="DX29" s="517">
        <f>SUM(DX25:DX28)</f>
        <v/>
      </c>
      <c r="DY29" s="517">
        <f>SUM(DY25:DY28)</f>
        <v/>
      </c>
      <c r="DZ29" s="517">
        <f>SUM(DZ25:DZ28)</f>
        <v/>
      </c>
      <c r="EA29" s="517">
        <f>SUM(EA25:EA28)</f>
        <v/>
      </c>
      <c r="EB29" s="517">
        <f>SUM(EB25:EB28)</f>
        <v/>
      </c>
      <c r="EC29" s="517">
        <f>SUM(EC25:EC28)</f>
        <v/>
      </c>
      <c r="ED29" s="517">
        <f>SUM(ED25:ED28)</f>
        <v/>
      </c>
      <c r="EE29" s="517">
        <f>SUM(EE25:EE28)</f>
        <v/>
      </c>
      <c r="EF29" s="517">
        <f>SUM(EF25:EF28)</f>
        <v/>
      </c>
      <c r="EG29" s="517">
        <f>SUM(EG25:EG28)</f>
        <v/>
      </c>
      <c r="EH29" s="517">
        <f>SUM(EH25:EH28)</f>
        <v/>
      </c>
      <c r="EI29" s="517">
        <f>SUM(EI25:EI28)</f>
        <v/>
      </c>
      <c r="EJ29" s="517">
        <f>SUM(EJ25:EJ28)</f>
        <v/>
      </c>
      <c r="EK29" s="517">
        <f>SUM(EK25:EK28)</f>
        <v/>
      </c>
      <c r="EL29" s="517">
        <f>SUM(EL25:EL28)</f>
        <v/>
      </c>
      <c r="EM29" s="517">
        <f>SUM(EM25:EM28)</f>
        <v/>
      </c>
      <c r="EN29" s="517">
        <f>SUM(EN25:EN28)</f>
        <v/>
      </c>
      <c r="EO29" s="517">
        <f>SUM(EO25:EO28)</f>
        <v/>
      </c>
      <c r="EP29" s="517">
        <f>SUM(EP25:EP28)</f>
        <v/>
      </c>
      <c r="EQ29" s="517">
        <f>SUM(EQ25:EQ28)</f>
        <v/>
      </c>
      <c r="ER29" s="517">
        <f>SUM(ER25:ER28)</f>
        <v/>
      </c>
      <c r="ES29" s="517">
        <f>SUM(ES25:ES28)</f>
        <v/>
      </c>
      <c r="ET29" s="517">
        <f>SUM(ET25:ET28)</f>
        <v/>
      </c>
      <c r="EU29" s="517">
        <f>SUM(EU25:EU28)</f>
        <v/>
      </c>
      <c r="EV29" s="517">
        <f>SUM(EV25:EV28)</f>
        <v/>
      </c>
      <c r="EW29" s="517">
        <f>SUM(EW25:EW28)</f>
        <v/>
      </c>
      <c r="EX29" s="517">
        <f>SUM(EX25:EX28)</f>
        <v/>
      </c>
      <c r="EY29" s="517">
        <f>SUM(EY25:EY28)</f>
        <v/>
      </c>
      <c r="EZ29" s="517">
        <f>SUM(EZ25:EZ28)</f>
        <v/>
      </c>
      <c r="FA29" s="517">
        <f>SUM(FA25:FA28)</f>
        <v/>
      </c>
      <c r="FB29" s="517">
        <f>SUM(FB25:FB28)</f>
        <v/>
      </c>
      <c r="FC29" s="517">
        <f>SUM(FC25:FC28)</f>
        <v/>
      </c>
      <c r="FD29" s="517">
        <f>SUM(FD25:FD28)</f>
        <v/>
      </c>
      <c r="FE29" s="517">
        <f>SUM(FE25:FE28)</f>
        <v/>
      </c>
      <c r="FF29" s="517">
        <f>SUM(FF25:FF28)</f>
        <v/>
      </c>
      <c r="FG29" s="517">
        <f>SUM(FG25:FG28)</f>
        <v/>
      </c>
      <c r="FH29" s="517">
        <f>SUM(FH25:FH28)</f>
        <v/>
      </c>
      <c r="FI29" s="517">
        <f>SUM(FI25:FI28)</f>
        <v/>
      </c>
      <c r="FJ29" s="517">
        <f>SUM(FJ25:FJ28)</f>
        <v/>
      </c>
      <c r="FK29" s="517">
        <f>SUM(FK25:FK28)</f>
        <v/>
      </c>
      <c r="FL29" s="517">
        <f>SUM(FL25:FL28)</f>
        <v/>
      </c>
      <c r="FM29" s="517">
        <f>SUM(FM25:FM28)</f>
        <v/>
      </c>
      <c r="FN29" s="517">
        <f>SUM(FN25:FN28)</f>
        <v/>
      </c>
      <c r="FO29" s="517">
        <f>SUM(FO25:FO28)</f>
        <v/>
      </c>
      <c r="FP29" s="517">
        <f>SUM(FP25:FP28)</f>
        <v/>
      </c>
      <c r="FQ29" s="517">
        <f>SUM(FQ25:FQ28)</f>
        <v/>
      </c>
      <c r="FR29" s="517">
        <f>SUM(FR25:FR28)</f>
        <v/>
      </c>
      <c r="FS29" s="517">
        <f>SUM(FS25:FS28)</f>
        <v/>
      </c>
      <c r="FT29" s="517">
        <f>SUM(FT25:FT28)</f>
        <v/>
      </c>
      <c r="FU29" s="517">
        <f>SUM(FU25:FU28)</f>
        <v/>
      </c>
      <c r="FV29" s="517">
        <f>SUM(FV25:FV28)</f>
        <v/>
      </c>
      <c r="FW29" s="517">
        <f>SUM(FW25:FW28)</f>
        <v/>
      </c>
      <c r="FX29" s="517">
        <f>SUM(FX25:FX28)</f>
        <v/>
      </c>
      <c r="FY29" s="517">
        <f>SUM(FY25:FY28)</f>
        <v/>
      </c>
      <c r="FZ29" s="517">
        <f>SUM(FZ25:FZ28)</f>
        <v/>
      </c>
      <c r="GA29" s="517">
        <f>SUM(GA25:GA28)</f>
        <v/>
      </c>
      <c r="GB29" s="517">
        <f>SUM(GB25:GB28)</f>
        <v/>
      </c>
      <c r="GC29" s="517">
        <f>SUM(GC25:GC28)</f>
        <v/>
      </c>
      <c r="GD29" s="517">
        <f>SUM(GD25:GD28)</f>
        <v/>
      </c>
      <c r="GE29" s="517">
        <f>SUM(GE25:GE28)</f>
        <v/>
      </c>
      <c r="GF29" s="517">
        <f>SUM(GF25:GF28)</f>
        <v/>
      </c>
      <c r="GG29" s="517">
        <f>SUM(GG25:GG28)</f>
        <v/>
      </c>
      <c r="GH29" s="517">
        <f>SUM(GH25:GH28)</f>
        <v/>
      </c>
      <c r="GI29" s="517">
        <f>SUM(GI25:GI28)</f>
        <v/>
      </c>
      <c r="GJ29" s="517">
        <f>SUM(GJ25:GJ28)</f>
        <v/>
      </c>
      <c r="GK29" s="517">
        <f>SUM(GK25:GK28)</f>
        <v/>
      </c>
      <c r="GL29" s="517">
        <f>SUM(GL25:GL28)</f>
        <v/>
      </c>
      <c r="GM29" s="517">
        <f>SUM(GM25:GM28)</f>
        <v/>
      </c>
      <c r="GN29" s="517">
        <f>SUM(GN25:GN28)</f>
        <v/>
      </c>
      <c r="GO29" s="517">
        <f>SUM(GO25:GO28)</f>
        <v/>
      </c>
      <c r="GP29" s="517">
        <f>SUM(GP25:GP28)</f>
        <v/>
      </c>
      <c r="GQ29" s="517">
        <f>SUM(GQ25:GQ28)</f>
        <v/>
      </c>
      <c r="GR29" s="517">
        <f>SUM(GR25:GR28)</f>
        <v/>
      </c>
      <c r="GS29" s="517">
        <f>SUM(GS25:GS28)</f>
        <v/>
      </c>
      <c r="GT29" s="517">
        <f>SUM(GT25:GT28)</f>
        <v/>
      </c>
      <c r="GU29" s="517">
        <f>SUM(GU25:GU28)</f>
        <v/>
      </c>
      <c r="GV29" s="517">
        <f>SUM(GV25:GV28)</f>
        <v/>
      </c>
      <c r="GW29" s="517">
        <f>SUM(GW25:GW28)</f>
        <v/>
      </c>
      <c r="GX29" s="517">
        <f>SUM(GX25:GX28)</f>
        <v/>
      </c>
      <c r="GY29" s="517">
        <f>SUM(GY25:GY28)</f>
        <v/>
      </c>
      <c r="GZ29" s="517">
        <f>SUM(GZ25:GZ28)</f>
        <v/>
      </c>
      <c r="HA29" s="517">
        <f>SUM(HA25:HA28)</f>
        <v/>
      </c>
      <c r="HB29" s="517">
        <f>SUM(HB25:HB28)</f>
        <v/>
      </c>
      <c r="HC29" s="517">
        <f>SUM(HC25:HC28)</f>
        <v/>
      </c>
      <c r="HD29" s="517">
        <f>SUM(HD25:HD28)</f>
        <v/>
      </c>
      <c r="HE29" s="517">
        <f>SUM(HE25:HE28)</f>
        <v/>
      </c>
      <c r="HF29" s="517">
        <f>SUM(HF25:HF28)</f>
        <v/>
      </c>
      <c r="HG29" s="517">
        <f>SUM(HG25:HG28)</f>
        <v/>
      </c>
      <c r="HH29" s="517">
        <f>SUM(HH25:HH28)</f>
        <v/>
      </c>
      <c r="HI29" s="517">
        <f>SUM(HI25:HI28)</f>
        <v/>
      </c>
      <c r="HJ29" s="517">
        <f>SUM(HJ25:HJ28)</f>
        <v/>
      </c>
      <c r="HK29" s="517">
        <f>SUM(HK25:HK28)</f>
        <v/>
      </c>
      <c r="HL29" s="517">
        <f>SUM(HL25:HL28)</f>
        <v/>
      </c>
      <c r="HM29" s="517">
        <f>SUM(HM25:HM28)</f>
        <v/>
      </c>
      <c r="HN29" s="517">
        <f>SUM(HN25:HN28)</f>
        <v/>
      </c>
      <c r="HO29" s="517">
        <f>SUM(HO25:HO28)</f>
        <v/>
      </c>
      <c r="HP29" s="517">
        <f>SUM(HP25:HP28)</f>
        <v/>
      </c>
      <c r="HQ29" s="517">
        <f>SUM(HQ25:HQ28)</f>
        <v/>
      </c>
      <c r="HR29" s="517">
        <f>SUM(HR25:HR28)</f>
        <v/>
      </c>
      <c r="HS29" s="517">
        <f>SUM(HS25:HS28)</f>
        <v/>
      </c>
      <c r="HT29" s="517">
        <f>SUM(HT25:HT28)</f>
        <v/>
      </c>
      <c r="HU29" s="517">
        <f>SUM(HU25:HU28)</f>
        <v/>
      </c>
    </row>
    <row r="30" ht="6.75" customHeight="1" thickBot="1">
      <c r="A30" s="88" t="n"/>
      <c r="B30" s="138" t="n"/>
      <c r="C30" s="522" t="n"/>
      <c r="D30" s="522" t="n"/>
      <c r="E30" s="522" t="n"/>
      <c r="F30" s="522" t="n"/>
      <c r="G30" s="522" t="n"/>
      <c r="H30" s="522" t="n"/>
      <c r="I30" s="522" t="n"/>
      <c r="J30" s="523" t="n"/>
      <c r="K30" s="522" t="n"/>
      <c r="L30" s="522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13" t="n"/>
      <c r="AE30" s="240" t="n"/>
      <c r="AF30" s="13" t="n"/>
      <c r="AG30" s="522" t="n"/>
      <c r="AH30" s="522" t="n"/>
      <c r="AI30" s="522" t="n"/>
      <c r="AJ30" s="522" t="n"/>
      <c r="AK30" s="522" t="n"/>
      <c r="AL30" s="522" t="n"/>
      <c r="AM30" s="522" t="n"/>
      <c r="AN30" s="522" t="n"/>
      <c r="AO30" s="522" t="n"/>
      <c r="AP30" s="522" t="n"/>
      <c r="AQ30" s="522" t="n"/>
      <c r="AR30" s="522" t="n"/>
      <c r="AS30" s="522" t="n"/>
      <c r="AT30" s="522" t="n"/>
      <c r="AU30" s="522" t="n"/>
      <c r="AV30" s="522" t="n"/>
      <c r="AW30" s="522" t="n"/>
      <c r="AX30" s="522" t="n"/>
      <c r="AY30" s="522" t="n"/>
      <c r="AZ30" s="522" t="n"/>
      <c r="BA30" s="522" t="n"/>
      <c r="BB30" s="522" t="n"/>
      <c r="BC30" s="522" t="n"/>
      <c r="BD30" s="525" t="n"/>
      <c r="BE30" s="522" t="n"/>
      <c r="BF30" s="522" t="n"/>
      <c r="BG30" s="522" t="n"/>
      <c r="BH30" s="522" t="n"/>
      <c r="BI30" s="522" t="n"/>
      <c r="BJ30" s="522" t="n"/>
      <c r="BK30" s="522" t="n"/>
      <c r="BL30" s="522" t="n"/>
      <c r="BM30" s="522" t="n"/>
      <c r="BN30" s="522" t="n"/>
      <c r="BO30" s="522" t="n"/>
      <c r="BP30" s="525" t="n"/>
      <c r="BQ30" s="522" t="n"/>
      <c r="BR30" s="522" t="n"/>
      <c r="BS30" s="522" t="n"/>
      <c r="BT30" s="522" t="n"/>
      <c r="BU30" s="522" t="n"/>
      <c r="BV30" s="522" t="n"/>
      <c r="BW30" s="522" t="n"/>
      <c r="BX30" s="522" t="n"/>
      <c r="BY30" s="522" t="n"/>
      <c r="BZ30" s="522" t="n"/>
      <c r="CA30" s="522" t="n"/>
      <c r="CB30" s="525" t="n"/>
      <c r="CC30" s="522" t="n"/>
      <c r="CD30" s="522" t="n"/>
      <c r="CE30" s="522" t="n"/>
      <c r="CF30" s="522" t="n"/>
      <c r="CG30" s="522" t="n"/>
      <c r="CH30" s="522" t="n"/>
      <c r="CI30" s="522" t="n"/>
      <c r="CJ30" s="522" t="n"/>
      <c r="CK30" s="522" t="n"/>
      <c r="CL30" s="522" t="n"/>
      <c r="CM30" s="522" t="n"/>
      <c r="CN30" s="525" t="n"/>
      <c r="CO30" s="522" t="n"/>
      <c r="CP30" s="522" t="n"/>
      <c r="CQ30" s="522" t="n"/>
      <c r="CR30" s="522" t="n"/>
      <c r="CS30" s="522" t="n"/>
      <c r="CT30" s="522" t="n"/>
      <c r="CU30" s="522" t="n"/>
      <c r="CV30" s="522" t="n"/>
      <c r="CW30" s="522" t="n"/>
      <c r="CX30" s="522" t="n"/>
      <c r="CY30" s="522" t="n"/>
      <c r="CZ30" s="525" t="n"/>
      <c r="DA30" s="522" t="n"/>
      <c r="DB30" s="522" t="n"/>
      <c r="DC30" s="522" t="n"/>
      <c r="DD30" s="522" t="n"/>
      <c r="DE30" s="522" t="n"/>
      <c r="DF30" s="522" t="n"/>
      <c r="DG30" s="522" t="n"/>
      <c r="DH30" s="522" t="n"/>
      <c r="DI30" s="522" t="n"/>
      <c r="DJ30" s="522" t="n"/>
      <c r="DK30" s="522" t="n"/>
      <c r="DL30" s="522" t="n"/>
      <c r="DM30" s="522" t="n"/>
      <c r="DN30" s="522" t="n"/>
      <c r="DO30" s="522" t="n"/>
      <c r="DP30" s="522" t="n"/>
      <c r="DQ30" s="522" t="n"/>
      <c r="DR30" s="522" t="n"/>
      <c r="DS30" s="522" t="n"/>
      <c r="DT30" s="522" t="n"/>
      <c r="DU30" s="522" t="n"/>
      <c r="DV30" s="522" t="n"/>
      <c r="DW30" s="522" t="n"/>
      <c r="DX30" s="522" t="n"/>
      <c r="DY30" s="522" t="n"/>
      <c r="DZ30" s="522" t="n"/>
      <c r="EA30" s="522" t="n"/>
      <c r="EB30" s="522" t="n"/>
      <c r="EC30" s="522" t="n"/>
      <c r="ED30" s="522" t="n"/>
      <c r="EE30" s="522" t="n"/>
      <c r="EF30" s="522" t="n"/>
      <c r="EG30" s="522" t="n"/>
      <c r="EH30" s="522" t="n"/>
      <c r="EI30" s="522" t="n"/>
      <c r="EJ30" s="522" t="n"/>
      <c r="EK30" s="522" t="n"/>
      <c r="EL30" s="522" t="n"/>
      <c r="EM30" s="522" t="n"/>
      <c r="EN30" s="522" t="n"/>
      <c r="EO30" s="522" t="n"/>
      <c r="EP30" s="522" t="n"/>
      <c r="EQ30" s="522" t="n"/>
      <c r="ER30" s="522" t="n"/>
      <c r="ES30" s="522" t="n"/>
      <c r="ET30" s="522" t="n"/>
      <c r="EU30" s="522" t="n"/>
      <c r="EV30" s="522" t="n"/>
      <c r="EW30" s="522" t="n"/>
      <c r="EX30" s="522" t="n"/>
      <c r="EY30" s="522" t="n"/>
      <c r="EZ30" s="522" t="n"/>
      <c r="FA30" s="522" t="n"/>
      <c r="FB30" s="522" t="n"/>
      <c r="FC30" s="522" t="n"/>
      <c r="FD30" s="522" t="n"/>
      <c r="FE30" s="522" t="n"/>
      <c r="FF30" s="522" t="n"/>
      <c r="FG30" s="522" t="n"/>
      <c r="FH30" s="522" t="n"/>
      <c r="FI30" s="522" t="n"/>
      <c r="FJ30" s="522" t="n"/>
      <c r="FK30" s="522" t="n"/>
      <c r="FL30" s="522" t="n"/>
      <c r="FM30" s="522" t="n"/>
      <c r="FN30" s="522" t="n"/>
      <c r="FO30" s="522" t="n"/>
      <c r="FP30" s="522" t="n"/>
      <c r="FQ30" s="522" t="n"/>
      <c r="FR30" s="522" t="n"/>
      <c r="FS30" s="522" t="n"/>
      <c r="FT30" s="522" t="n"/>
      <c r="FU30" s="522" t="n"/>
      <c r="FV30" s="522" t="n"/>
      <c r="FW30" s="522" t="n"/>
      <c r="FX30" s="522" t="n"/>
      <c r="FY30" s="522" t="n"/>
      <c r="FZ30" s="522" t="n"/>
      <c r="GA30" s="522" t="n"/>
      <c r="GB30" s="522" t="n"/>
      <c r="GC30" s="522" t="n"/>
      <c r="GD30" s="522" t="n"/>
      <c r="GE30" s="522" t="n"/>
      <c r="GF30" s="522" t="n"/>
      <c r="GG30" s="522" t="n"/>
      <c r="GH30" s="522" t="n"/>
      <c r="GI30" s="522" t="n"/>
      <c r="GJ30" s="522" t="n"/>
      <c r="GK30" s="522" t="n"/>
      <c r="GL30" s="522" t="n"/>
      <c r="GM30" s="522" t="n"/>
      <c r="GN30" s="522" t="n"/>
      <c r="GO30" s="522" t="n"/>
      <c r="GP30" s="522" t="n"/>
      <c r="GQ30" s="522" t="n"/>
      <c r="GR30" s="522" t="n"/>
      <c r="GS30" s="522" t="n"/>
      <c r="GT30" s="522" t="n"/>
      <c r="GU30" s="522" t="n"/>
      <c r="GV30" s="522" t="n"/>
      <c r="GW30" s="522" t="n"/>
      <c r="GX30" s="522" t="n"/>
      <c r="GY30" s="522" t="n"/>
      <c r="GZ30" s="522" t="n"/>
      <c r="HA30" s="522" t="n"/>
      <c r="HB30" s="522" t="n"/>
      <c r="HC30" s="522" t="n"/>
      <c r="HD30" s="522" t="n"/>
      <c r="HE30" s="522" t="n"/>
      <c r="HF30" s="522" t="n"/>
      <c r="HG30" s="522" t="n"/>
      <c r="HH30" s="522" t="n"/>
      <c r="HI30" s="522" t="n"/>
      <c r="HJ30" s="522" t="n"/>
      <c r="HK30" s="522" t="n"/>
      <c r="HL30" s="522" t="n"/>
      <c r="HM30" s="522" t="n"/>
      <c r="HN30" s="522" t="n"/>
      <c r="HO30" s="522" t="n"/>
      <c r="HP30" s="522" t="n"/>
      <c r="HQ30" s="522" t="n"/>
      <c r="HR30" s="522" t="n"/>
      <c r="HS30" s="522" t="n"/>
      <c r="HT30" s="522" t="n"/>
      <c r="HU30" s="522" t="n"/>
    </row>
    <row r="31" ht="16.2" customHeight="1">
      <c r="A31" s="19" t="inlineStr">
        <is>
          <t>ITBI + IPTU ESTOQUE(-)</t>
        </is>
      </c>
      <c r="B31" s="139" t="n"/>
      <c r="C31" s="20" t="n"/>
      <c r="D31" s="22" t="n"/>
      <c r="E31" s="20" t="n"/>
      <c r="F31" s="20" t="n"/>
      <c r="G31" s="20" t="n"/>
      <c r="H31" s="20" t="n"/>
      <c r="I31" s="21" t="n"/>
      <c r="J31" s="175" t="n"/>
      <c r="K31" s="21" t="n"/>
      <c r="L31" s="108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00" t="n"/>
      <c r="AE31" s="334" t="n"/>
      <c r="AF31" s="200" t="n"/>
      <c r="AG31" s="22" t="n"/>
      <c r="AH31" s="22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1" t="n"/>
      <c r="AR31" s="21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99" t="n"/>
      <c r="BE31" s="22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99" t="n"/>
      <c r="BQ31" s="22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99" t="n"/>
      <c r="CC31" s="22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99" t="n"/>
      <c r="CO31" s="22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320" t="n"/>
      <c r="DA31" s="22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1" t="n"/>
      <c r="DK31" s="20" t="n"/>
      <c r="DL31" s="21" t="n"/>
      <c r="DM31" s="20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1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1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1" t="n"/>
      <c r="GI31" s="21" t="n"/>
      <c r="GJ31" s="21" t="n"/>
      <c r="GK31" s="21" t="n"/>
      <c r="GL31" s="21" t="n"/>
      <c r="GM31" s="21" t="n"/>
      <c r="GN31" s="21" t="n"/>
      <c r="GO31" s="21" t="n"/>
      <c r="GP31" s="21" t="n"/>
      <c r="GQ31" s="21" t="n"/>
      <c r="GR31" s="21" t="n"/>
      <c r="GS31" s="21" t="n"/>
      <c r="GT31" s="21" t="n"/>
      <c r="GU31" s="21" t="n"/>
      <c r="GV31" s="21" t="n"/>
      <c r="GW31" s="21" t="n"/>
      <c r="GX31" s="21" t="n"/>
      <c r="GY31" s="21" t="n"/>
      <c r="GZ31" s="21" t="n"/>
      <c r="HA31" s="21" t="n"/>
      <c r="HB31" s="21" t="n"/>
      <c r="HC31" s="21" t="n"/>
      <c r="HD31" s="21" t="n"/>
      <c r="HE31" s="21" t="n"/>
      <c r="HF31" s="21" t="n"/>
      <c r="HG31" s="21" t="n"/>
      <c r="HH31" s="21" t="n"/>
      <c r="HI31" s="21" t="n"/>
      <c r="HJ31" s="21" t="n"/>
      <c r="HK31" s="21" t="n"/>
      <c r="HL31" s="21" t="n"/>
      <c r="HM31" s="21" t="n"/>
      <c r="HN31" s="21" t="n"/>
      <c r="HO31" s="21" t="n"/>
      <c r="HP31" s="21" t="n"/>
      <c r="HQ31" s="21" t="n"/>
      <c r="HR31" s="21" t="n"/>
      <c r="HS31" s="21" t="n"/>
      <c r="HT31" s="21" t="n"/>
      <c r="HU31" s="21" t="n"/>
    </row>
    <row r="32" ht="15.75" customHeight="1">
      <c r="A32" s="7" t="inlineStr">
        <is>
          <t>ITBI</t>
        </is>
      </c>
      <c r="B32" s="136">
        <f>SUM(C32:X32)</f>
        <v/>
      </c>
      <c r="C32" s="85" t="n"/>
      <c r="D32" s="87" t="n"/>
      <c r="E32" s="85" t="n"/>
      <c r="F32" s="85" t="n"/>
      <c r="G32" s="85" t="n"/>
      <c r="H32" s="85" t="n"/>
      <c r="I32" s="86" t="n"/>
      <c r="J32" s="218" t="n"/>
      <c r="K32" s="113" t="n"/>
      <c r="L32" s="122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0" t="n"/>
      <c r="X32" s="219" t="n"/>
      <c r="Y32" s="219" t="n"/>
      <c r="Z32" s="219" t="n"/>
      <c r="AA32" s="219" t="n"/>
      <c r="AB32" s="219" t="n"/>
      <c r="AC32" s="219" t="n"/>
      <c r="AD32" s="13" t="n"/>
      <c r="AE32" s="342">
        <f>SUM(AG32:HU32)</f>
        <v/>
      </c>
      <c r="AF32" s="13" t="n"/>
      <c r="AG32" s="87" t="n">
        <v>0</v>
      </c>
      <c r="AH32" s="87" t="n"/>
      <c r="AI32" s="85" t="n"/>
      <c r="AJ32" s="85" t="n">
        <v>0</v>
      </c>
      <c r="AK32" s="85" t="n">
        <v>0</v>
      </c>
      <c r="AL32" s="85" t="n">
        <v>0</v>
      </c>
      <c r="AM32" s="85" t="n">
        <v>0</v>
      </c>
      <c r="AN32" s="85" t="n">
        <v>0</v>
      </c>
      <c r="AO32" s="85" t="n">
        <v>0</v>
      </c>
      <c r="AP32" s="85" t="n">
        <v>0</v>
      </c>
      <c r="AQ32" s="86" t="n">
        <v>0</v>
      </c>
      <c r="AR32" s="86" t="n">
        <v>0</v>
      </c>
      <c r="AS32" s="85" t="n">
        <v>0</v>
      </c>
      <c r="AT32" s="85" t="n">
        <v>0</v>
      </c>
      <c r="AU32" s="85" t="n">
        <v>0</v>
      </c>
      <c r="AV32" s="85" t="n">
        <v>0</v>
      </c>
      <c r="AW32" s="85" t="n">
        <v>0</v>
      </c>
      <c r="AX32" s="85" t="n">
        <v>0</v>
      </c>
      <c r="AY32" s="85" t="n">
        <v>0</v>
      </c>
      <c r="AZ32" s="85" t="n">
        <v>0</v>
      </c>
      <c r="BA32" s="85" t="n">
        <v>0</v>
      </c>
      <c r="BB32" s="85" t="n">
        <v>0</v>
      </c>
      <c r="BC32" s="85" t="n">
        <v>0</v>
      </c>
      <c r="BD32" s="296" t="n">
        <v>0</v>
      </c>
      <c r="BE32" s="87" t="n">
        <v>0</v>
      </c>
      <c r="BF32" s="85" t="n">
        <v>0</v>
      </c>
      <c r="BG32" s="85" t="n">
        <v>0</v>
      </c>
      <c r="BH32" s="85" t="n">
        <v>0</v>
      </c>
      <c r="BI32" s="85" t="n">
        <v>0</v>
      </c>
      <c r="BJ32" s="85" t="n">
        <v>0</v>
      </c>
      <c r="BK32" s="85" t="n">
        <v>0</v>
      </c>
      <c r="BL32" s="85" t="n">
        <v>0</v>
      </c>
      <c r="BM32" s="85" t="n">
        <v>0</v>
      </c>
      <c r="BN32" s="85" t="n">
        <v>0</v>
      </c>
      <c r="BO32" s="85" t="n">
        <v>0</v>
      </c>
      <c r="BP32" s="296" t="n">
        <v>0</v>
      </c>
      <c r="BQ32" s="87" t="n">
        <v>0</v>
      </c>
      <c r="BR32" s="85" t="n">
        <v>0</v>
      </c>
      <c r="BS32" s="85" t="n">
        <v>0</v>
      </c>
      <c r="BT32" s="85" t="n">
        <v>0</v>
      </c>
      <c r="BU32" s="85" t="n">
        <v>0</v>
      </c>
      <c r="BV32" s="85" t="n">
        <v>0</v>
      </c>
      <c r="BW32" s="85" t="n">
        <v>0</v>
      </c>
      <c r="BX32" s="85" t="n">
        <v>0</v>
      </c>
      <c r="BY32" s="85" t="n">
        <v>0</v>
      </c>
      <c r="BZ32" s="85" t="n">
        <v>0</v>
      </c>
      <c r="CA32" s="85" t="n">
        <v>0</v>
      </c>
      <c r="CB32" s="296" t="n">
        <v>0</v>
      </c>
      <c r="CC32" s="87" t="n">
        <v>0</v>
      </c>
      <c r="CD32" s="85" t="n">
        <v>0</v>
      </c>
      <c r="CE32" s="85" t="n">
        <v>0</v>
      </c>
      <c r="CF32" s="85" t="n">
        <v>0</v>
      </c>
      <c r="CG32" s="85" t="n">
        <v>0</v>
      </c>
      <c r="CH32" s="85" t="n">
        <v>0</v>
      </c>
      <c r="CI32" s="85" t="n">
        <v>0</v>
      </c>
      <c r="CJ32" s="85" t="n">
        <v>0</v>
      </c>
      <c r="CK32" s="85" t="n">
        <v>0</v>
      </c>
      <c r="CL32" s="85" t="n">
        <v>0</v>
      </c>
      <c r="CM32" s="85" t="n">
        <v>0</v>
      </c>
      <c r="CN32" s="296" t="n">
        <v>0</v>
      </c>
      <c r="CO32" s="87" t="n">
        <v>0</v>
      </c>
      <c r="CP32" s="85" t="n">
        <v>0</v>
      </c>
      <c r="CQ32" s="85" t="n">
        <v>0</v>
      </c>
      <c r="CR32" s="85" t="n">
        <v>0</v>
      </c>
      <c r="CS32" s="85" t="n">
        <v>0</v>
      </c>
      <c r="CT32" s="85" t="n">
        <v>0</v>
      </c>
      <c r="CU32" s="85" t="n">
        <v>0</v>
      </c>
      <c r="CV32" s="85" t="n">
        <v>0</v>
      </c>
      <c r="CW32" s="85" t="n">
        <v>0</v>
      </c>
      <c r="CX32" s="85" t="n">
        <v>0</v>
      </c>
      <c r="CY32" s="85" t="n">
        <v>0</v>
      </c>
      <c r="CZ32" s="309" t="n">
        <v>0</v>
      </c>
      <c r="DA32" s="87" t="n">
        <v>0</v>
      </c>
      <c r="DB32" s="85" t="n">
        <v>0</v>
      </c>
      <c r="DC32" s="85" t="n">
        <v>0</v>
      </c>
      <c r="DD32" s="85" t="n">
        <v>0</v>
      </c>
      <c r="DE32" s="85" t="n">
        <v>0</v>
      </c>
      <c r="DF32" s="85" t="n">
        <v>0</v>
      </c>
      <c r="DG32" s="85" t="n">
        <v>0</v>
      </c>
      <c r="DH32" s="85" t="n">
        <v>0</v>
      </c>
      <c r="DI32" s="85" t="n">
        <v>0</v>
      </c>
      <c r="DJ32" s="86" t="n">
        <v>0</v>
      </c>
      <c r="DK32" s="85" t="n"/>
      <c r="DL32" s="86" t="n">
        <v>0</v>
      </c>
      <c r="DM32" s="86" t="n">
        <v>0</v>
      </c>
      <c r="DN32" s="86" t="n">
        <v>0</v>
      </c>
      <c r="DO32" s="86" t="n">
        <v>0</v>
      </c>
      <c r="DP32" s="86" t="n">
        <v>0</v>
      </c>
      <c r="DQ32" s="86" t="n">
        <v>0</v>
      </c>
      <c r="DR32" s="86" t="n">
        <v>0</v>
      </c>
      <c r="DS32" s="86" t="n">
        <v>0</v>
      </c>
      <c r="DT32" s="86" t="n">
        <v>0</v>
      </c>
      <c r="DU32" s="86" t="n">
        <v>0</v>
      </c>
      <c r="DV32" s="86" t="n">
        <v>0</v>
      </c>
      <c r="DW32" s="86" t="n">
        <v>0</v>
      </c>
      <c r="DX32" s="86" t="n">
        <v>0</v>
      </c>
      <c r="DY32" s="86" t="n">
        <v>0</v>
      </c>
      <c r="DZ32" s="86" t="n">
        <v>0</v>
      </c>
      <c r="EA32" s="86" t="n">
        <v>0</v>
      </c>
      <c r="EB32" s="86" t="n">
        <v>0</v>
      </c>
      <c r="EC32" s="86" t="n">
        <v>0</v>
      </c>
      <c r="ED32" s="86" t="n">
        <v>0</v>
      </c>
      <c r="EE32" s="86" t="n">
        <v>0</v>
      </c>
      <c r="EF32" s="86" t="n">
        <v>0</v>
      </c>
      <c r="EG32" s="86" t="n">
        <v>0</v>
      </c>
      <c r="EH32" s="86" t="n">
        <v>0</v>
      </c>
      <c r="EI32" s="86" t="n">
        <v>0</v>
      </c>
      <c r="EJ32" s="86" t="n">
        <v>0</v>
      </c>
      <c r="EK32" s="86" t="n">
        <v>0</v>
      </c>
      <c r="EL32" s="86" t="n">
        <v>0</v>
      </c>
      <c r="EM32" s="86" t="n">
        <v>0</v>
      </c>
      <c r="EN32" s="86" t="n">
        <v>0</v>
      </c>
      <c r="EO32" s="86" t="n">
        <v>0</v>
      </c>
      <c r="EP32" s="86" t="n">
        <v>0</v>
      </c>
      <c r="EQ32" s="86" t="n">
        <v>0</v>
      </c>
      <c r="ER32" s="86" t="n">
        <v>0</v>
      </c>
      <c r="ES32" s="86" t="n">
        <v>0</v>
      </c>
      <c r="ET32" s="86" t="n">
        <v>0</v>
      </c>
      <c r="EU32" s="86" t="n">
        <v>0</v>
      </c>
      <c r="EV32" s="86" t="n">
        <v>0</v>
      </c>
      <c r="EW32" s="86" t="n">
        <v>0</v>
      </c>
      <c r="EX32" s="86" t="n">
        <v>0</v>
      </c>
      <c r="EY32" s="86" t="n">
        <v>0</v>
      </c>
      <c r="EZ32" s="86" t="n">
        <v>0</v>
      </c>
      <c r="FA32" s="86" t="n">
        <v>0</v>
      </c>
      <c r="FB32" s="86" t="n">
        <v>0</v>
      </c>
      <c r="FC32" s="86" t="n">
        <v>0</v>
      </c>
      <c r="FD32" s="86" t="n">
        <v>0</v>
      </c>
      <c r="FE32" s="86" t="n">
        <v>0</v>
      </c>
      <c r="FF32" s="86" t="n">
        <v>0</v>
      </c>
      <c r="FG32" s="86" t="n">
        <v>0</v>
      </c>
      <c r="FH32" s="86" t="n">
        <v>0</v>
      </c>
      <c r="FI32" s="86" t="n">
        <v>0</v>
      </c>
      <c r="FJ32" s="86" t="n">
        <v>0</v>
      </c>
      <c r="FK32" s="86" t="n">
        <v>0</v>
      </c>
      <c r="FL32" s="86" t="n">
        <v>0</v>
      </c>
      <c r="FM32" s="86" t="n">
        <v>0</v>
      </c>
      <c r="FN32" s="86" t="n">
        <v>0</v>
      </c>
      <c r="FO32" s="86" t="n">
        <v>0</v>
      </c>
      <c r="FP32" s="86" t="n">
        <v>0</v>
      </c>
      <c r="FQ32" s="86" t="n">
        <v>0</v>
      </c>
      <c r="FR32" s="86" t="n">
        <v>0</v>
      </c>
      <c r="FS32" s="86" t="n">
        <v>0</v>
      </c>
      <c r="FT32" s="86" t="n">
        <v>0</v>
      </c>
      <c r="FU32" s="86" t="n">
        <v>0</v>
      </c>
      <c r="FV32" s="86" t="n">
        <v>0</v>
      </c>
      <c r="FW32" s="86" t="n">
        <v>0</v>
      </c>
      <c r="FX32" s="86" t="n">
        <v>0</v>
      </c>
      <c r="FY32" s="86" t="n">
        <v>0</v>
      </c>
      <c r="FZ32" s="86" t="n">
        <v>0</v>
      </c>
      <c r="GA32" s="86" t="n">
        <v>0</v>
      </c>
      <c r="GB32" s="86" t="n">
        <v>0</v>
      </c>
      <c r="GC32" s="86" t="n">
        <v>0</v>
      </c>
      <c r="GD32" s="86" t="n">
        <v>0</v>
      </c>
      <c r="GE32" s="86" t="n">
        <v>0</v>
      </c>
      <c r="GF32" s="86" t="n">
        <v>0</v>
      </c>
      <c r="GG32" s="86" t="n">
        <v>0</v>
      </c>
      <c r="GH32" s="86" t="n">
        <v>0</v>
      </c>
      <c r="GI32" s="86" t="n">
        <v>0</v>
      </c>
      <c r="GJ32" s="86" t="n">
        <v>0</v>
      </c>
      <c r="GK32" s="86" t="n">
        <v>0</v>
      </c>
      <c r="GL32" s="86" t="n">
        <v>0</v>
      </c>
      <c r="GM32" s="86" t="n">
        <v>0</v>
      </c>
      <c r="GN32" s="86" t="n">
        <v>0</v>
      </c>
      <c r="GO32" s="86" t="n">
        <v>0</v>
      </c>
      <c r="GP32" s="86" t="n">
        <v>0</v>
      </c>
      <c r="GQ32" s="86" t="n">
        <v>0</v>
      </c>
      <c r="GR32" s="86" t="n">
        <v>0</v>
      </c>
      <c r="GS32" s="86" t="n">
        <v>0</v>
      </c>
      <c r="GT32" s="86" t="n">
        <v>0</v>
      </c>
      <c r="GU32" s="86" t="n">
        <v>0</v>
      </c>
      <c r="GV32" s="86" t="n">
        <v>0</v>
      </c>
      <c r="GW32" s="86" t="n">
        <v>0</v>
      </c>
      <c r="GX32" s="86" t="n">
        <v>0</v>
      </c>
      <c r="GY32" s="86" t="n">
        <v>0</v>
      </c>
      <c r="GZ32" s="86" t="n">
        <v>0</v>
      </c>
      <c r="HA32" s="86" t="n">
        <v>0</v>
      </c>
      <c r="HB32" s="86" t="n">
        <v>0</v>
      </c>
      <c r="HC32" s="86" t="n">
        <v>0</v>
      </c>
      <c r="HD32" s="86" t="n">
        <v>0</v>
      </c>
      <c r="HE32" s="86" t="n">
        <v>0</v>
      </c>
      <c r="HF32" s="86" t="n">
        <v>0</v>
      </c>
      <c r="HG32" s="86" t="n">
        <v>0</v>
      </c>
      <c r="HH32" s="86" t="n">
        <v>0</v>
      </c>
      <c r="HI32" s="86" t="n">
        <v>0</v>
      </c>
      <c r="HJ32" s="86" t="n">
        <v>0</v>
      </c>
      <c r="HK32" s="86" t="n">
        <v>0</v>
      </c>
      <c r="HL32" s="86" t="n">
        <v>0</v>
      </c>
      <c r="HM32" s="86" t="n">
        <v>0</v>
      </c>
      <c r="HN32" s="86" t="n">
        <v>0</v>
      </c>
      <c r="HO32" s="86" t="n">
        <v>0</v>
      </c>
      <c r="HP32" s="86" t="n">
        <v>0</v>
      </c>
      <c r="HQ32" s="86" t="n">
        <v>0</v>
      </c>
      <c r="HR32" s="86" t="n">
        <v>0</v>
      </c>
      <c r="HS32" s="86" t="n">
        <v>0</v>
      </c>
      <c r="HT32" s="86" t="n">
        <v>0</v>
      </c>
      <c r="HU32" s="86" t="n">
        <v>0</v>
      </c>
    </row>
    <row r="33" ht="15.75" customHeight="1">
      <c r="A33" s="23" t="inlineStr">
        <is>
          <t>IPTU Estoque</t>
        </is>
      </c>
      <c r="B33" s="136">
        <f>SUM(C33:X33)</f>
        <v/>
      </c>
      <c r="C33" s="24" t="n"/>
      <c r="D33" s="26" t="n"/>
      <c r="E33" s="256" t="n"/>
      <c r="F33" s="256" t="n"/>
      <c r="G33" s="256" t="n"/>
      <c r="H33" s="256" t="n"/>
      <c r="I33" s="257" t="n"/>
      <c r="J33" s="176" t="n"/>
      <c r="K33" s="25" t="n"/>
      <c r="L33" s="34" t="n"/>
      <c r="M33" s="15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13" t="n"/>
      <c r="AE33" s="342">
        <f>SUM(AG33:HU33)</f>
        <v/>
      </c>
      <c r="AF33" s="13" t="n"/>
      <c r="AG33" s="26" t="n">
        <v>0</v>
      </c>
      <c r="AH33" s="26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5" t="n">
        <v>0</v>
      </c>
      <c r="AR33" s="25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300" t="n">
        <v>0</v>
      </c>
      <c r="BE33" s="26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0</v>
      </c>
      <c r="BP33" s="300" t="n">
        <v>0</v>
      </c>
      <c r="BQ33" s="26" t="n">
        <v>0</v>
      </c>
      <c r="BR33" s="24" t="n">
        <v>0</v>
      </c>
      <c r="BS33" s="24" t="n">
        <v>0</v>
      </c>
      <c r="BT33" s="24" t="n">
        <v>0</v>
      </c>
      <c r="BU33" s="24" t="n">
        <v>0</v>
      </c>
      <c r="BV33" s="24" t="n">
        <v>0</v>
      </c>
      <c r="BW33" s="24" t="n">
        <v>0</v>
      </c>
      <c r="BX33" s="24" t="n">
        <v>0</v>
      </c>
      <c r="BY33" s="24" t="n">
        <v>0</v>
      </c>
      <c r="BZ33" s="24" t="n">
        <v>0</v>
      </c>
      <c r="CA33" s="24" t="n">
        <v>0</v>
      </c>
      <c r="CB33" s="300" t="n">
        <v>0</v>
      </c>
      <c r="CC33" s="26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0</v>
      </c>
      <c r="CN33" s="300" t="n">
        <v>0</v>
      </c>
      <c r="CO33" s="26" t="n">
        <v>0</v>
      </c>
      <c r="CP33" s="24" t="n">
        <v>0</v>
      </c>
      <c r="CQ33" s="24" t="n">
        <v>0</v>
      </c>
      <c r="CR33" s="24" t="n">
        <v>0</v>
      </c>
      <c r="CS33" s="24" t="n">
        <v>0</v>
      </c>
      <c r="CT33" s="24" t="n">
        <v>0</v>
      </c>
      <c r="CU33" s="24" t="n">
        <v>0</v>
      </c>
      <c r="CV33" s="24" t="n">
        <v>0</v>
      </c>
      <c r="CW33" s="24" t="n">
        <v>0</v>
      </c>
      <c r="CX33" s="24" t="n">
        <v>0</v>
      </c>
      <c r="CY33" s="24" t="n">
        <v>0</v>
      </c>
      <c r="CZ33" s="300" t="n">
        <v>0</v>
      </c>
      <c r="DA33" s="26" t="n">
        <v>0</v>
      </c>
      <c r="DB33" s="24" t="n">
        <v>0</v>
      </c>
      <c r="DC33" s="24" t="n">
        <v>0</v>
      </c>
      <c r="DD33" s="24" t="n">
        <v>0</v>
      </c>
      <c r="DE33" s="24" t="n">
        <v>0</v>
      </c>
      <c r="DF33" s="24" t="n">
        <v>0</v>
      </c>
      <c r="DG33" s="24" t="n">
        <v>0</v>
      </c>
      <c r="DH33" s="24" t="n">
        <v>0</v>
      </c>
      <c r="DI33" s="24" t="n">
        <v>0</v>
      </c>
      <c r="DJ33" s="25" t="n">
        <v>0</v>
      </c>
      <c r="DK33" s="24" t="n"/>
      <c r="DL33" s="25" t="n">
        <v>0</v>
      </c>
      <c r="DM33" s="25" t="n">
        <v>0</v>
      </c>
      <c r="DN33" s="25" t="n">
        <v>0</v>
      </c>
      <c r="DO33" s="25" t="n">
        <v>0</v>
      </c>
      <c r="DP33" s="25" t="n">
        <v>0</v>
      </c>
      <c r="DQ33" s="25" t="n">
        <v>0</v>
      </c>
      <c r="DR33" s="25" t="n">
        <v>0</v>
      </c>
      <c r="DS33" s="25" t="n">
        <v>0</v>
      </c>
      <c r="DT33" s="25" t="n">
        <v>0</v>
      </c>
      <c r="DU33" s="25" t="n">
        <v>0</v>
      </c>
      <c r="DV33" s="25" t="n">
        <v>0</v>
      </c>
      <c r="DW33" s="25" t="n">
        <v>0</v>
      </c>
      <c r="DX33" s="25" t="n">
        <v>0</v>
      </c>
      <c r="DY33" s="25" t="n">
        <v>0</v>
      </c>
      <c r="DZ33" s="25" t="n">
        <v>0</v>
      </c>
      <c r="EA33" s="25" t="n">
        <v>0</v>
      </c>
      <c r="EB33" s="25" t="n">
        <v>0</v>
      </c>
      <c r="EC33" s="25" t="n">
        <v>0</v>
      </c>
      <c r="ED33" s="25" t="n">
        <v>0</v>
      </c>
      <c r="EE33" s="25" t="n">
        <v>0</v>
      </c>
      <c r="EF33" s="25" t="n">
        <v>0</v>
      </c>
      <c r="EG33" s="25" t="n">
        <v>0</v>
      </c>
      <c r="EH33" s="25" t="n">
        <v>0</v>
      </c>
      <c r="EI33" s="25" t="n">
        <v>0</v>
      </c>
      <c r="EJ33" s="25" t="n">
        <v>0</v>
      </c>
      <c r="EK33" s="25" t="n">
        <v>0</v>
      </c>
      <c r="EL33" s="25" t="n">
        <v>0</v>
      </c>
      <c r="EM33" s="25" t="n">
        <v>0</v>
      </c>
      <c r="EN33" s="25" t="n">
        <v>0</v>
      </c>
      <c r="EO33" s="25" t="n">
        <v>0</v>
      </c>
      <c r="EP33" s="25" t="n">
        <v>0</v>
      </c>
      <c r="EQ33" s="25" t="n">
        <v>0</v>
      </c>
      <c r="ER33" s="25" t="n">
        <v>0</v>
      </c>
      <c r="ES33" s="25" t="n">
        <v>0</v>
      </c>
      <c r="ET33" s="25" t="n">
        <v>0</v>
      </c>
      <c r="EU33" s="25" t="n">
        <v>0</v>
      </c>
      <c r="EV33" s="25" t="n">
        <v>0</v>
      </c>
      <c r="EW33" s="25" t="n">
        <v>0</v>
      </c>
      <c r="EX33" s="25" t="n">
        <v>0</v>
      </c>
      <c r="EY33" s="25" t="n">
        <v>0</v>
      </c>
      <c r="EZ33" s="25" t="n">
        <v>0</v>
      </c>
      <c r="FA33" s="25" t="n">
        <v>0</v>
      </c>
      <c r="FB33" s="25" t="n">
        <v>0</v>
      </c>
      <c r="FC33" s="25" t="n">
        <v>0</v>
      </c>
      <c r="FD33" s="25" t="n">
        <v>0</v>
      </c>
      <c r="FE33" s="25" t="n">
        <v>0</v>
      </c>
      <c r="FF33" s="25" t="n">
        <v>0</v>
      </c>
      <c r="FG33" s="25" t="n">
        <v>0</v>
      </c>
      <c r="FH33" s="25" t="n">
        <v>0</v>
      </c>
      <c r="FI33" s="25" t="n">
        <v>0</v>
      </c>
      <c r="FJ33" s="25" t="n">
        <v>0</v>
      </c>
      <c r="FK33" s="25" t="n">
        <v>0</v>
      </c>
      <c r="FL33" s="25" t="n">
        <v>0</v>
      </c>
      <c r="FM33" s="25" t="n">
        <v>0</v>
      </c>
      <c r="FN33" s="25" t="n">
        <v>0</v>
      </c>
      <c r="FO33" s="25" t="n">
        <v>0</v>
      </c>
      <c r="FP33" s="25" t="n">
        <v>0</v>
      </c>
      <c r="FQ33" s="25" t="n">
        <v>0</v>
      </c>
      <c r="FR33" s="25" t="n">
        <v>0</v>
      </c>
      <c r="FS33" s="25" t="n">
        <v>0</v>
      </c>
      <c r="FT33" s="25" t="n">
        <v>0</v>
      </c>
      <c r="FU33" s="25" t="n">
        <v>0</v>
      </c>
      <c r="FV33" s="25" t="n">
        <v>0</v>
      </c>
      <c r="FW33" s="25" t="n">
        <v>0</v>
      </c>
      <c r="FX33" s="25" t="n">
        <v>0</v>
      </c>
      <c r="FY33" s="25" t="n">
        <v>0</v>
      </c>
      <c r="FZ33" s="25" t="n">
        <v>0</v>
      </c>
      <c r="GA33" s="25" t="n">
        <v>0</v>
      </c>
      <c r="GB33" s="25" t="n">
        <v>0</v>
      </c>
      <c r="GC33" s="25" t="n">
        <v>0</v>
      </c>
      <c r="GD33" s="25" t="n">
        <v>0</v>
      </c>
      <c r="GE33" s="25" t="n">
        <v>0</v>
      </c>
      <c r="GF33" s="25" t="n">
        <v>0</v>
      </c>
      <c r="GG33" s="25" t="n">
        <v>0</v>
      </c>
      <c r="GH33" s="25" t="n">
        <v>0</v>
      </c>
      <c r="GI33" s="25" t="n">
        <v>0</v>
      </c>
      <c r="GJ33" s="25" t="n">
        <v>0</v>
      </c>
      <c r="GK33" s="25" t="n">
        <v>0</v>
      </c>
      <c r="GL33" s="25" t="n">
        <v>0</v>
      </c>
      <c r="GM33" s="25" t="n">
        <v>0</v>
      </c>
      <c r="GN33" s="25" t="n">
        <v>0</v>
      </c>
      <c r="GO33" s="25" t="n">
        <v>0</v>
      </c>
      <c r="GP33" s="25" t="n">
        <v>0</v>
      </c>
      <c r="GQ33" s="25" t="n">
        <v>0</v>
      </c>
      <c r="GR33" s="25" t="n">
        <v>0</v>
      </c>
      <c r="GS33" s="25" t="n">
        <v>0</v>
      </c>
      <c r="GT33" s="25" t="n">
        <v>0</v>
      </c>
      <c r="GU33" s="25" t="n">
        <v>0</v>
      </c>
      <c r="GV33" s="25" t="n">
        <v>0</v>
      </c>
      <c r="GW33" s="25" t="n">
        <v>0</v>
      </c>
      <c r="GX33" s="25" t="n">
        <v>0</v>
      </c>
      <c r="GY33" s="25" t="n">
        <v>0</v>
      </c>
      <c r="GZ33" s="25" t="n">
        <v>0</v>
      </c>
      <c r="HA33" s="25" t="n">
        <v>0</v>
      </c>
      <c r="HB33" s="25" t="n">
        <v>0</v>
      </c>
      <c r="HC33" s="25" t="n">
        <v>0</v>
      </c>
      <c r="HD33" s="25" t="n">
        <v>0</v>
      </c>
      <c r="HE33" s="25" t="n">
        <v>0</v>
      </c>
      <c r="HF33" s="25" t="n">
        <v>0</v>
      </c>
      <c r="HG33" s="25" t="n">
        <v>0</v>
      </c>
      <c r="HH33" s="25" t="n">
        <v>0</v>
      </c>
      <c r="HI33" s="25" t="n">
        <v>0</v>
      </c>
      <c r="HJ33" s="25" t="n">
        <v>0</v>
      </c>
      <c r="HK33" s="25" t="n">
        <v>0</v>
      </c>
      <c r="HL33" s="25" t="n">
        <v>0</v>
      </c>
      <c r="HM33" s="25" t="n">
        <v>0</v>
      </c>
      <c r="HN33" s="25" t="n">
        <v>0</v>
      </c>
      <c r="HO33" s="25" t="n">
        <v>0</v>
      </c>
      <c r="HP33" s="25" t="n">
        <v>0</v>
      </c>
      <c r="HQ33" s="25" t="n">
        <v>0</v>
      </c>
      <c r="HR33" s="25" t="n">
        <v>0</v>
      </c>
      <c r="HS33" s="25" t="n">
        <v>0</v>
      </c>
      <c r="HT33" s="25" t="n">
        <v>0</v>
      </c>
      <c r="HU33" s="25" t="n">
        <v>0</v>
      </c>
    </row>
    <row r="34" ht="15.75" customHeight="1" thickBot="1">
      <c r="A34" s="89" t="inlineStr">
        <is>
          <t>Subtotal</t>
        </is>
      </c>
      <c r="B34" s="140">
        <f>SUM(C34:W34)</f>
        <v/>
      </c>
      <c r="C34" s="260">
        <f>SUM(C32:C33)</f>
        <v/>
      </c>
      <c r="D34" s="260">
        <f>SUM(D32:D33)</f>
        <v/>
      </c>
      <c r="E34" s="261">
        <f>SUM(E32:E33)</f>
        <v/>
      </c>
      <c r="F34" s="261">
        <f>SUM(F32:F33)</f>
        <v/>
      </c>
      <c r="G34" s="261">
        <f>SUM(G32:G33)</f>
        <v/>
      </c>
      <c r="H34" s="261">
        <f>SUM(H32:H33)</f>
        <v/>
      </c>
      <c r="I34" s="260">
        <f>SUM(I32:I33)</f>
        <v/>
      </c>
      <c r="J34" s="262">
        <f>SUM(J32:J33)</f>
        <v/>
      </c>
      <c r="K34" s="260">
        <f>SUM(K32:K33)</f>
        <v/>
      </c>
      <c r="L34" s="263">
        <f>SUM(L32:L33)</f>
        <v/>
      </c>
      <c r="M34" s="264">
        <f>SUM(M32:M33)</f>
        <v/>
      </c>
      <c r="N34" s="264">
        <f>SUM(N32:N33)</f>
        <v/>
      </c>
      <c r="O34" s="264">
        <f>SUM(O32:O33)</f>
        <v/>
      </c>
      <c r="P34" s="264">
        <f>SUM(P32:P33)</f>
        <v/>
      </c>
      <c r="Q34" s="264">
        <f>SUM(Q32:Q33)</f>
        <v/>
      </c>
      <c r="R34" s="264">
        <f>SUM(R32:R33)</f>
        <v/>
      </c>
      <c r="S34" s="264" t="n"/>
      <c r="T34" s="264">
        <f>SUM(T32:T33)</f>
        <v/>
      </c>
      <c r="U34" s="264">
        <f>SUM(U32:U33)</f>
        <v/>
      </c>
      <c r="V34" s="264">
        <f>SUM(V32:V33)</f>
        <v/>
      </c>
      <c r="W34" s="264">
        <f>SUM(W32:W33)</f>
        <v/>
      </c>
      <c r="X34" s="264">
        <f>SUM(X32:X33)</f>
        <v/>
      </c>
      <c r="Y34" s="264">
        <f>SUM(Y32:Y33)</f>
        <v/>
      </c>
      <c r="Z34" s="264">
        <f>SUM(Z32:Z33)</f>
        <v/>
      </c>
      <c r="AA34" s="264">
        <f>SUM(AA32:AA33)</f>
        <v/>
      </c>
      <c r="AB34" s="264">
        <f>SUM(AB32:AB33)</f>
        <v/>
      </c>
      <c r="AC34" s="264">
        <f>SUM(AC32:AC33)</f>
        <v/>
      </c>
      <c r="AD34" s="13" t="n"/>
      <c r="AE34" s="335">
        <f>SUM(AG34:DU34)</f>
        <v/>
      </c>
      <c r="AF34" s="13" t="n"/>
      <c r="AG34" s="271">
        <f>SUM(AG32:AG33)</f>
        <v/>
      </c>
      <c r="AH34" s="271">
        <f>SUM(AH32:AH33)</f>
        <v/>
      </c>
      <c r="AI34" s="261">
        <f>SUM(AI32:AI33)</f>
        <v/>
      </c>
      <c r="AJ34" s="261">
        <f>SUM(AJ32:AJ33)</f>
        <v/>
      </c>
      <c r="AK34" s="261">
        <f>SUM(AK32:AK33)</f>
        <v/>
      </c>
      <c r="AL34" s="261">
        <f>SUM(AL32:AL33)</f>
        <v/>
      </c>
      <c r="AM34" s="261">
        <f>SUM(AM32:AM33)</f>
        <v/>
      </c>
      <c r="AN34" s="261">
        <f>SUM(AN32:AN33)</f>
        <v/>
      </c>
      <c r="AO34" s="261">
        <f>SUM(AO32:AO33)</f>
        <v/>
      </c>
      <c r="AP34" s="261">
        <f>SUM(AP32:AP33)</f>
        <v/>
      </c>
      <c r="AQ34" s="260">
        <f>SUM(AQ32:AQ33)</f>
        <v/>
      </c>
      <c r="AR34" s="260">
        <f>SUM(AR32:AR33)</f>
        <v/>
      </c>
      <c r="AS34" s="261">
        <f>SUM(AS32:AS33)</f>
        <v/>
      </c>
      <c r="AT34" s="261">
        <f>SUM(AT32:AT33)</f>
        <v/>
      </c>
      <c r="AU34" s="261">
        <f>SUM(AU32:AU33)</f>
        <v/>
      </c>
      <c r="AV34" s="261">
        <f>SUM(AV32:AV33)</f>
        <v/>
      </c>
      <c r="AW34" s="261">
        <f>SUM(AW32:AW33)</f>
        <v/>
      </c>
      <c r="AX34" s="261">
        <f>SUM(AX32:AX33)</f>
        <v/>
      </c>
      <c r="AY34" s="261">
        <f>SUM(AY32:AY33)</f>
        <v/>
      </c>
      <c r="AZ34" s="261">
        <f>SUM(AZ32:AZ33)</f>
        <v/>
      </c>
      <c r="BA34" s="261">
        <f>SUM(BA32:BA33)</f>
        <v/>
      </c>
      <c r="BB34" s="261">
        <f>SUM(BB32:BB33)</f>
        <v/>
      </c>
      <c r="BC34" s="261">
        <f>SUM(BC32:BC33)</f>
        <v/>
      </c>
      <c r="BD34" s="301">
        <f>SUM(BD32:BD33)</f>
        <v/>
      </c>
      <c r="BE34" s="271">
        <f>SUM(BE32:BE33)</f>
        <v/>
      </c>
      <c r="BF34" s="261">
        <f>SUM(BF32:BF33)</f>
        <v/>
      </c>
      <c r="BG34" s="261">
        <f>SUM(BG32:BG33)</f>
        <v/>
      </c>
      <c r="BH34" s="261">
        <f>SUM(BH32:BH33)</f>
        <v/>
      </c>
      <c r="BI34" s="261">
        <f>SUM(BI32:BI33)</f>
        <v/>
      </c>
      <c r="BJ34" s="261">
        <f>SUM(BJ32:BJ33)</f>
        <v/>
      </c>
      <c r="BK34" s="261">
        <f>SUM(BK32:BK33)</f>
        <v/>
      </c>
      <c r="BL34" s="261">
        <f>SUM(BL32:BL33)</f>
        <v/>
      </c>
      <c r="BM34" s="261">
        <f>SUM(BM32:BM33)</f>
        <v/>
      </c>
      <c r="BN34" s="261">
        <f>SUM(BN32:BN33)</f>
        <v/>
      </c>
      <c r="BO34" s="261">
        <f>SUM(BO32:BO33)</f>
        <v/>
      </c>
      <c r="BP34" s="301">
        <f>SUM(BP32:BP33)</f>
        <v/>
      </c>
      <c r="BQ34" s="271">
        <f>SUM(BQ32:BQ33)</f>
        <v/>
      </c>
      <c r="BR34" s="261">
        <f>SUM(BR32:BR33)</f>
        <v/>
      </c>
      <c r="BS34" s="261">
        <f>SUM(BS32:BS33)</f>
        <v/>
      </c>
      <c r="BT34" s="261">
        <f>SUM(BT32:BT33)</f>
        <v/>
      </c>
      <c r="BU34" s="261">
        <f>SUM(BU32:BU33)</f>
        <v/>
      </c>
      <c r="BV34" s="261">
        <f>SUM(BV32:BV33)</f>
        <v/>
      </c>
      <c r="BW34" s="261">
        <f>SUM(BW32:BW33)</f>
        <v/>
      </c>
      <c r="BX34" s="261">
        <f>SUM(BX32:BX33)</f>
        <v/>
      </c>
      <c r="BY34" s="261">
        <f>SUM(BY32:BY33)</f>
        <v/>
      </c>
      <c r="BZ34" s="261">
        <f>SUM(BZ32:BZ33)</f>
        <v/>
      </c>
      <c r="CA34" s="261">
        <f>SUM(CA32:CA33)</f>
        <v/>
      </c>
      <c r="CB34" s="301">
        <f>SUM(CB32:CB33)</f>
        <v/>
      </c>
      <c r="CC34" s="271">
        <f>SUM(CC32:CC33)</f>
        <v/>
      </c>
      <c r="CD34" s="261">
        <f>SUM(CD32:CD33)</f>
        <v/>
      </c>
      <c r="CE34" s="261">
        <f>SUM(CE32:CE33)</f>
        <v/>
      </c>
      <c r="CF34" s="261">
        <f>SUM(CF32:CF33)</f>
        <v/>
      </c>
      <c r="CG34" s="261">
        <f>SUM(CG32:CG33)</f>
        <v/>
      </c>
      <c r="CH34" s="261">
        <f>SUM(CH32:CH33)</f>
        <v/>
      </c>
      <c r="CI34" s="261">
        <f>SUM(CI32:CI33)</f>
        <v/>
      </c>
      <c r="CJ34" s="261">
        <f>SUM(CJ32:CJ33)</f>
        <v/>
      </c>
      <c r="CK34" s="261">
        <f>SUM(CK32:CK33)</f>
        <v/>
      </c>
      <c r="CL34" s="261">
        <f>SUM(CL32:CL33)</f>
        <v/>
      </c>
      <c r="CM34" s="261">
        <f>SUM(CM32:CM33)</f>
        <v/>
      </c>
      <c r="CN34" s="301">
        <f>SUM(CN32:CN33)</f>
        <v/>
      </c>
      <c r="CO34" s="271">
        <f>SUM(CO32:CO33)</f>
        <v/>
      </c>
      <c r="CP34" s="261">
        <f>SUM(CP32:CP33)</f>
        <v/>
      </c>
      <c r="CQ34" s="261">
        <f>SUM(CQ32:CQ33)</f>
        <v/>
      </c>
      <c r="CR34" s="261">
        <f>SUM(CR32:CR33)</f>
        <v/>
      </c>
      <c r="CS34" s="261">
        <f>SUM(CS32:CS33)</f>
        <v/>
      </c>
      <c r="CT34" s="261">
        <f>SUM(CT32:CT33)</f>
        <v/>
      </c>
      <c r="CU34" s="261">
        <f>SUM(CU32:CU33)</f>
        <v/>
      </c>
      <c r="CV34" s="261">
        <f>SUM(CV32:CV33)</f>
        <v/>
      </c>
      <c r="CW34" s="261">
        <f>SUM(CW32:CW33)</f>
        <v/>
      </c>
      <c r="CX34" s="261">
        <f>SUM(CX32:CX33)</f>
        <v/>
      </c>
      <c r="CY34" s="261">
        <f>SUM(CY32:CY33)</f>
        <v/>
      </c>
      <c r="CZ34" s="301">
        <f>SUM(CZ32:CZ33)</f>
        <v/>
      </c>
      <c r="DA34" s="271">
        <f>SUM(DA32:DA33)</f>
        <v/>
      </c>
      <c r="DB34" s="261">
        <f>SUM(DB32:DB33)</f>
        <v/>
      </c>
      <c r="DC34" s="261">
        <f>SUM(DC32:DC33)</f>
        <v/>
      </c>
      <c r="DD34" s="261">
        <f>SUM(DD32:DD33)</f>
        <v/>
      </c>
      <c r="DE34" s="261">
        <f>SUM(DE32:DE33)</f>
        <v/>
      </c>
      <c r="DF34" s="261">
        <f>SUM(DF32:DF33)</f>
        <v/>
      </c>
      <c r="DG34" s="261">
        <f>SUM(DG32:DG33)</f>
        <v/>
      </c>
      <c r="DH34" s="261">
        <f>SUM(DH32:DH33)</f>
        <v/>
      </c>
      <c r="DI34" s="261">
        <f>SUM(DI32:DI33)</f>
        <v/>
      </c>
      <c r="DJ34" s="260">
        <f>SUM(DJ32:DJ33)</f>
        <v/>
      </c>
      <c r="DK34" s="261" t="n"/>
      <c r="DL34" s="260">
        <f>SUM(DL32:DL33)</f>
        <v/>
      </c>
      <c r="DM34" s="260">
        <f>SUM(DM32:DM33)</f>
        <v/>
      </c>
      <c r="DN34" s="260">
        <f>SUM(DN32:DN33)</f>
        <v/>
      </c>
      <c r="DO34" s="260">
        <f>SUM(DO32:DO33)</f>
        <v/>
      </c>
      <c r="DP34" s="260">
        <f>SUM(DP32:DP33)</f>
        <v/>
      </c>
      <c r="DQ34" s="260">
        <f>SUM(DQ32:DQ33)</f>
        <v/>
      </c>
      <c r="DR34" s="260">
        <f>SUM(DR32:DR33)</f>
        <v/>
      </c>
      <c r="DS34" s="260">
        <f>SUM(DS32:DS33)</f>
        <v/>
      </c>
      <c r="DT34" s="260">
        <f>SUM(DT32:DT33)</f>
        <v/>
      </c>
      <c r="DU34" s="260">
        <f>SUM(DU32:DU33)</f>
        <v/>
      </c>
      <c r="DV34" s="260">
        <f>SUM(DV32:DV33)</f>
        <v/>
      </c>
      <c r="DW34" s="260">
        <f>SUM(DW32:DW33)</f>
        <v/>
      </c>
      <c r="DX34" s="260">
        <f>SUM(DX32:DX33)</f>
        <v/>
      </c>
      <c r="DY34" s="260">
        <f>SUM(DY32:DY33)</f>
        <v/>
      </c>
      <c r="DZ34" s="260">
        <f>SUM(DZ32:DZ33)</f>
        <v/>
      </c>
      <c r="EA34" s="260">
        <f>SUM(EA32:EA33)</f>
        <v/>
      </c>
      <c r="EB34" s="260">
        <f>SUM(EB32:EB33)</f>
        <v/>
      </c>
      <c r="EC34" s="260">
        <f>SUM(EC32:EC33)</f>
        <v/>
      </c>
      <c r="ED34" s="260">
        <f>SUM(ED32:ED33)</f>
        <v/>
      </c>
      <c r="EE34" s="260">
        <f>SUM(EE32:EE33)</f>
        <v/>
      </c>
      <c r="EF34" s="260">
        <f>SUM(EF32:EF33)</f>
        <v/>
      </c>
      <c r="EG34" s="260">
        <f>SUM(EG32:EG33)</f>
        <v/>
      </c>
      <c r="EH34" s="260">
        <f>SUM(EH32:EH33)</f>
        <v/>
      </c>
      <c r="EI34" s="260">
        <f>SUM(EI32:EI33)</f>
        <v/>
      </c>
      <c r="EJ34" s="260">
        <f>SUM(EJ32:EJ33)</f>
        <v/>
      </c>
      <c r="EK34" s="260">
        <f>SUM(EK32:EK33)</f>
        <v/>
      </c>
      <c r="EL34" s="260">
        <f>SUM(EL32:EL33)</f>
        <v/>
      </c>
      <c r="EM34" s="260">
        <f>SUM(EM32:EM33)</f>
        <v/>
      </c>
      <c r="EN34" s="260">
        <f>SUM(EN32:EN33)</f>
        <v/>
      </c>
      <c r="EO34" s="260">
        <f>SUM(EO32:EO33)</f>
        <v/>
      </c>
      <c r="EP34" s="260">
        <f>SUM(EP32:EP33)</f>
        <v/>
      </c>
      <c r="EQ34" s="260">
        <f>SUM(EQ32:EQ33)</f>
        <v/>
      </c>
      <c r="ER34" s="260">
        <f>SUM(ER32:ER33)</f>
        <v/>
      </c>
      <c r="ES34" s="260">
        <f>SUM(ES32:ES33)</f>
        <v/>
      </c>
      <c r="ET34" s="260">
        <f>SUM(ET32:ET33)</f>
        <v/>
      </c>
      <c r="EU34" s="260">
        <f>SUM(EU32:EU33)</f>
        <v/>
      </c>
      <c r="EV34" s="260">
        <f>SUM(EV32:EV33)</f>
        <v/>
      </c>
      <c r="EW34" s="260">
        <f>SUM(EW32:EW33)</f>
        <v/>
      </c>
      <c r="EX34" s="260">
        <f>SUM(EX32:EX33)</f>
        <v/>
      </c>
      <c r="EY34" s="260">
        <f>SUM(EY32:EY33)</f>
        <v/>
      </c>
      <c r="EZ34" s="260">
        <f>SUM(EZ32:EZ33)</f>
        <v/>
      </c>
      <c r="FA34" s="260">
        <f>SUM(FA32:FA33)</f>
        <v/>
      </c>
      <c r="FB34" s="260">
        <f>SUM(FB32:FB33)</f>
        <v/>
      </c>
      <c r="FC34" s="260">
        <f>SUM(FC32:FC33)</f>
        <v/>
      </c>
      <c r="FD34" s="260">
        <f>SUM(FD32:FD33)</f>
        <v/>
      </c>
      <c r="FE34" s="260">
        <f>SUM(FE32:FE33)</f>
        <v/>
      </c>
      <c r="FF34" s="260">
        <f>SUM(FF32:FF33)</f>
        <v/>
      </c>
      <c r="FG34" s="260">
        <f>SUM(FG32:FG33)</f>
        <v/>
      </c>
      <c r="FH34" s="260">
        <f>SUM(FH32:FH33)</f>
        <v/>
      </c>
      <c r="FI34" s="260">
        <f>SUM(FI32:FI33)</f>
        <v/>
      </c>
      <c r="FJ34" s="260">
        <f>SUM(FJ32:FJ33)</f>
        <v/>
      </c>
      <c r="FK34" s="260">
        <f>SUM(FK32:FK33)</f>
        <v/>
      </c>
      <c r="FL34" s="260">
        <f>SUM(FL32:FL33)</f>
        <v/>
      </c>
      <c r="FM34" s="260">
        <f>SUM(FM32:FM33)</f>
        <v/>
      </c>
      <c r="FN34" s="260">
        <f>SUM(FN32:FN33)</f>
        <v/>
      </c>
      <c r="FO34" s="260">
        <f>SUM(FO32:FO33)</f>
        <v/>
      </c>
      <c r="FP34" s="260">
        <f>SUM(FP32:FP33)</f>
        <v/>
      </c>
      <c r="FQ34" s="260">
        <f>SUM(FQ32:FQ33)</f>
        <v/>
      </c>
      <c r="FR34" s="260">
        <f>SUM(FR32:FR33)</f>
        <v/>
      </c>
      <c r="FS34" s="260">
        <f>SUM(FS32:FS33)</f>
        <v/>
      </c>
      <c r="FT34" s="260">
        <f>SUM(FT32:FT33)</f>
        <v/>
      </c>
      <c r="FU34" s="260">
        <f>SUM(FU32:FU33)</f>
        <v/>
      </c>
      <c r="FV34" s="260">
        <f>SUM(FV32:FV33)</f>
        <v/>
      </c>
      <c r="FW34" s="260">
        <f>SUM(FW32:FW33)</f>
        <v/>
      </c>
      <c r="FX34" s="260">
        <f>SUM(FX32:FX33)</f>
        <v/>
      </c>
      <c r="FY34" s="260">
        <f>SUM(FY32:FY33)</f>
        <v/>
      </c>
      <c r="FZ34" s="260">
        <f>SUM(FZ32:FZ33)</f>
        <v/>
      </c>
      <c r="GA34" s="260">
        <f>SUM(GA32:GA33)</f>
        <v/>
      </c>
      <c r="GB34" s="260">
        <f>SUM(GB32:GB33)</f>
        <v/>
      </c>
      <c r="GC34" s="260">
        <f>SUM(GC32:GC33)</f>
        <v/>
      </c>
      <c r="GD34" s="260">
        <f>SUM(GD32:GD33)</f>
        <v/>
      </c>
      <c r="GE34" s="260">
        <f>SUM(GE32:GE33)</f>
        <v/>
      </c>
      <c r="GF34" s="260">
        <f>SUM(GF32:GF33)</f>
        <v/>
      </c>
      <c r="GG34" s="260">
        <f>SUM(GG32:GG33)</f>
        <v/>
      </c>
      <c r="GH34" s="260">
        <f>SUM(GH32:GH33)</f>
        <v/>
      </c>
      <c r="GI34" s="260">
        <f>SUM(GI32:GI33)</f>
        <v/>
      </c>
      <c r="GJ34" s="260">
        <f>SUM(GJ32:GJ33)</f>
        <v/>
      </c>
      <c r="GK34" s="260">
        <f>SUM(GK32:GK33)</f>
        <v/>
      </c>
      <c r="GL34" s="260">
        <f>SUM(GL32:GL33)</f>
        <v/>
      </c>
      <c r="GM34" s="260">
        <f>SUM(GM32:GM33)</f>
        <v/>
      </c>
      <c r="GN34" s="260">
        <f>SUM(GN32:GN33)</f>
        <v/>
      </c>
      <c r="GO34" s="260">
        <f>SUM(GO32:GO33)</f>
        <v/>
      </c>
      <c r="GP34" s="260">
        <f>SUM(GP32:GP33)</f>
        <v/>
      </c>
      <c r="GQ34" s="260">
        <f>SUM(GQ32:GQ33)</f>
        <v/>
      </c>
      <c r="GR34" s="260">
        <f>SUM(GR32:GR33)</f>
        <v/>
      </c>
      <c r="GS34" s="260">
        <f>SUM(GS32:GS33)</f>
        <v/>
      </c>
      <c r="GT34" s="260">
        <f>SUM(GT32:GT33)</f>
        <v/>
      </c>
      <c r="GU34" s="260">
        <f>SUM(GU32:GU33)</f>
        <v/>
      </c>
      <c r="GV34" s="260">
        <f>SUM(GV32:GV33)</f>
        <v/>
      </c>
      <c r="GW34" s="260">
        <f>SUM(GW32:GW33)</f>
        <v/>
      </c>
      <c r="GX34" s="260">
        <f>SUM(GX32:GX33)</f>
        <v/>
      </c>
      <c r="GY34" s="260">
        <f>SUM(GY32:GY33)</f>
        <v/>
      </c>
      <c r="GZ34" s="260">
        <f>SUM(GZ32:GZ33)</f>
        <v/>
      </c>
      <c r="HA34" s="260">
        <f>SUM(HA32:HA33)</f>
        <v/>
      </c>
      <c r="HB34" s="260">
        <f>SUM(HB32:HB33)</f>
        <v/>
      </c>
      <c r="HC34" s="260">
        <f>SUM(HC32:HC33)</f>
        <v/>
      </c>
      <c r="HD34" s="260">
        <f>SUM(HD32:HD33)</f>
        <v/>
      </c>
      <c r="HE34" s="260">
        <f>SUM(HE32:HE33)</f>
        <v/>
      </c>
      <c r="HF34" s="260">
        <f>SUM(HF32:HF33)</f>
        <v/>
      </c>
      <c r="HG34" s="260">
        <f>SUM(HG32:HG33)</f>
        <v/>
      </c>
      <c r="HH34" s="260">
        <f>SUM(HH32:HH33)</f>
        <v/>
      </c>
      <c r="HI34" s="260">
        <f>SUM(HI32:HI33)</f>
        <v/>
      </c>
      <c r="HJ34" s="260">
        <f>SUM(HJ32:HJ33)</f>
        <v/>
      </c>
      <c r="HK34" s="260">
        <f>SUM(HK32:HK33)</f>
        <v/>
      </c>
      <c r="HL34" s="260">
        <f>SUM(HL32:HL33)</f>
        <v/>
      </c>
      <c r="HM34" s="260">
        <f>SUM(HM32:HM33)</f>
        <v/>
      </c>
      <c r="HN34" s="260">
        <f>SUM(HN32:HN33)</f>
        <v/>
      </c>
      <c r="HO34" s="260">
        <f>SUM(HO32:HO33)</f>
        <v/>
      </c>
      <c r="HP34" s="260">
        <f>SUM(HP32:HP33)</f>
        <v/>
      </c>
      <c r="HQ34" s="260">
        <f>SUM(HQ32:HQ33)</f>
        <v/>
      </c>
      <c r="HR34" s="260">
        <f>SUM(HR32:HR33)</f>
        <v/>
      </c>
      <c r="HS34" s="260">
        <f>SUM(HS32:HS33)</f>
        <v/>
      </c>
      <c r="HT34" s="260">
        <f>SUM(HT32:HT33)</f>
        <v/>
      </c>
      <c r="HU34" s="260">
        <f>SUM(HU32:HU33)</f>
        <v/>
      </c>
    </row>
    <row r="35" ht="6" customHeight="1">
      <c r="A35" s="90" t="n"/>
      <c r="B35" s="141" t="n"/>
      <c r="C35" s="91" t="n"/>
      <c r="D35" s="91" t="n"/>
      <c r="E35" s="91" t="n"/>
      <c r="F35" s="91" t="n"/>
      <c r="G35" s="91" t="n"/>
      <c r="H35" s="91" t="n"/>
      <c r="I35" s="91" t="n"/>
      <c r="J35" s="177" t="n"/>
      <c r="K35" s="91" t="n"/>
      <c r="L35" s="91" t="n"/>
      <c r="M35" s="178" t="n"/>
      <c r="N35" s="178" t="n"/>
      <c r="O35" s="178" t="n"/>
      <c r="P35" s="178" t="n"/>
      <c r="Q35" s="178" t="n"/>
      <c r="R35" s="178" t="n"/>
      <c r="S35" s="178" t="n"/>
      <c r="T35" s="178" t="n"/>
      <c r="U35" s="178" t="n"/>
      <c r="V35" s="178" t="n"/>
      <c r="W35" s="178" t="n"/>
      <c r="X35" s="178" t="n"/>
      <c r="Y35" s="178" t="n"/>
      <c r="Z35" s="178" t="n"/>
      <c r="AA35" s="178" t="n"/>
      <c r="AB35" s="178" t="n"/>
      <c r="AC35" s="178" t="n"/>
      <c r="AD35" s="13" t="n"/>
      <c r="AE35" s="333" t="n"/>
      <c r="AF35" s="13" t="n"/>
      <c r="AG35" s="91" t="n"/>
      <c r="AH35" s="91" t="n"/>
      <c r="AI35" s="91" t="n"/>
      <c r="AJ35" s="91" t="n"/>
      <c r="AK35" s="91" t="n"/>
      <c r="AL35" s="91" t="n"/>
      <c r="AM35" s="91" t="n"/>
      <c r="AN35" s="91" t="n"/>
      <c r="AO35" s="91" t="n"/>
      <c r="AP35" s="91" t="n"/>
      <c r="AQ35" s="91" t="n"/>
      <c r="AR35" s="91" t="n"/>
      <c r="AS35" s="91" t="n"/>
      <c r="AT35" s="91" t="n"/>
      <c r="AU35" s="91" t="n"/>
      <c r="AV35" s="91" t="n"/>
      <c r="AW35" s="91" t="n"/>
      <c r="AX35" s="91" t="n"/>
      <c r="AY35" s="91" t="n"/>
      <c r="AZ35" s="91" t="n"/>
      <c r="BA35" s="91" t="n"/>
      <c r="BB35" s="91" t="n"/>
      <c r="BC35" s="91" t="n"/>
      <c r="BD35" s="302" t="n"/>
      <c r="BE35" s="91" t="n"/>
      <c r="BF35" s="91" t="n"/>
      <c r="BG35" s="91" t="n"/>
      <c r="BH35" s="91" t="n"/>
      <c r="BI35" s="91" t="n"/>
      <c r="BJ35" s="91" t="n"/>
      <c r="BK35" s="91" t="n"/>
      <c r="BL35" s="91" t="n"/>
      <c r="BM35" s="91" t="n"/>
      <c r="BN35" s="91" t="n"/>
      <c r="BO35" s="91" t="n"/>
      <c r="BP35" s="302" t="n"/>
      <c r="BQ35" s="91" t="n"/>
      <c r="BR35" s="91" t="n"/>
      <c r="BS35" s="91" t="n"/>
      <c r="BT35" s="91" t="n"/>
      <c r="BU35" s="91" t="n"/>
      <c r="BV35" s="91" t="n"/>
      <c r="BW35" s="91" t="n"/>
      <c r="BX35" s="91" t="n"/>
      <c r="BY35" s="91" t="n"/>
      <c r="BZ35" s="91" t="n"/>
      <c r="CA35" s="91" t="n"/>
      <c r="CB35" s="302" t="n"/>
      <c r="CC35" s="91" t="n"/>
      <c r="CD35" s="91" t="n"/>
      <c r="CE35" s="91" t="n"/>
      <c r="CF35" s="91" t="n"/>
      <c r="CG35" s="91" t="n"/>
      <c r="CH35" s="91" t="n"/>
      <c r="CI35" s="91" t="n"/>
      <c r="CJ35" s="91" t="n"/>
      <c r="CK35" s="91" t="n"/>
      <c r="CL35" s="91" t="n"/>
      <c r="CM35" s="91" t="n"/>
      <c r="CN35" s="302" t="n"/>
      <c r="CO35" s="91" t="n"/>
      <c r="CP35" s="91" t="n"/>
      <c r="CQ35" s="91" t="n"/>
      <c r="CR35" s="91" t="n"/>
      <c r="CS35" s="91" t="n"/>
      <c r="CT35" s="91" t="n"/>
      <c r="CU35" s="91" t="n"/>
      <c r="CV35" s="91" t="n"/>
      <c r="CW35" s="91" t="n"/>
      <c r="CX35" s="91" t="n"/>
      <c r="CY35" s="91" t="n"/>
      <c r="CZ35" s="302" t="n"/>
      <c r="DA35" s="91" t="n"/>
      <c r="DB35" s="91" t="n"/>
      <c r="DC35" s="91" t="n"/>
      <c r="DD35" s="91" t="n"/>
      <c r="DE35" s="91" t="n"/>
      <c r="DF35" s="91" t="n"/>
      <c r="DG35" s="91" t="n"/>
      <c r="DH35" s="91" t="n"/>
      <c r="DI35" s="91" t="n"/>
      <c r="DJ35" s="91" t="n"/>
      <c r="DK35" s="91" t="n"/>
      <c r="DL35" s="91" t="n"/>
      <c r="DM35" s="91" t="n"/>
      <c r="DN35" s="91" t="n"/>
      <c r="DO35" s="91" t="n"/>
      <c r="DP35" s="91" t="n"/>
      <c r="DQ35" s="91" t="n"/>
      <c r="DR35" s="91" t="n"/>
      <c r="DS35" s="91" t="n"/>
      <c r="DT35" s="91" t="n"/>
      <c r="DU35" s="91" t="n"/>
      <c r="DV35" s="91" t="n"/>
      <c r="DW35" s="91" t="n"/>
      <c r="DX35" s="91" t="n"/>
      <c r="DY35" s="91" t="n"/>
      <c r="DZ35" s="91" t="n"/>
      <c r="EA35" s="91" t="n"/>
      <c r="EB35" s="91" t="n"/>
      <c r="EC35" s="91" t="n"/>
      <c r="ED35" s="91" t="n"/>
      <c r="EE35" s="91" t="n"/>
      <c r="EF35" s="91" t="n"/>
      <c r="EG35" s="91" t="n"/>
      <c r="EH35" s="91" t="n"/>
      <c r="EI35" s="91" t="n"/>
      <c r="EJ35" s="91" t="n"/>
      <c r="EK35" s="91" t="n"/>
      <c r="EL35" s="91" t="n"/>
      <c r="EM35" s="91" t="n"/>
      <c r="EN35" s="91" t="n"/>
      <c r="EO35" s="91" t="n"/>
      <c r="EP35" s="91" t="n"/>
      <c r="EQ35" s="91" t="n"/>
      <c r="ER35" s="91" t="n"/>
      <c r="ES35" s="91" t="n"/>
      <c r="ET35" s="91" t="n"/>
      <c r="EU35" s="91" t="n"/>
      <c r="EV35" s="91" t="n"/>
      <c r="EW35" s="91" t="n"/>
      <c r="EX35" s="91" t="n"/>
      <c r="EY35" s="91" t="n"/>
      <c r="EZ35" s="91" t="n"/>
      <c r="FA35" s="91" t="n"/>
      <c r="FB35" s="91" t="n"/>
      <c r="FC35" s="91" t="n"/>
      <c r="FD35" s="91" t="n"/>
      <c r="FE35" s="91" t="n"/>
      <c r="FF35" s="91" t="n"/>
      <c r="FG35" s="91" t="n"/>
      <c r="FH35" s="91" t="n"/>
      <c r="FI35" s="91" t="n"/>
      <c r="FJ35" s="91" t="n"/>
      <c r="FK35" s="91" t="n"/>
      <c r="FL35" s="91" t="n"/>
      <c r="FM35" s="91" t="n"/>
      <c r="FN35" s="91" t="n"/>
      <c r="FO35" s="91" t="n"/>
      <c r="FP35" s="91" t="n"/>
      <c r="FQ35" s="91" t="n"/>
      <c r="FR35" s="91" t="n"/>
      <c r="FS35" s="91" t="n"/>
      <c r="FT35" s="91" t="n"/>
      <c r="FU35" s="91" t="n"/>
      <c r="FV35" s="91" t="n"/>
      <c r="FW35" s="91" t="n"/>
      <c r="FX35" s="91" t="n"/>
      <c r="FY35" s="91" t="n"/>
      <c r="FZ35" s="91" t="n"/>
      <c r="GA35" s="91" t="n"/>
      <c r="GB35" s="91" t="n"/>
      <c r="GC35" s="91" t="n"/>
      <c r="GD35" s="91" t="n"/>
      <c r="GE35" s="91" t="n"/>
      <c r="GF35" s="91" t="n"/>
      <c r="GG35" s="91" t="n"/>
      <c r="GH35" s="91" t="n"/>
      <c r="GI35" s="91" t="n"/>
      <c r="GJ35" s="91" t="n"/>
      <c r="GK35" s="91" t="n"/>
      <c r="GL35" s="91" t="n"/>
      <c r="GM35" s="91" t="n"/>
      <c r="GN35" s="91" t="n"/>
      <c r="GO35" s="91" t="n"/>
      <c r="GP35" s="91" t="n"/>
      <c r="GQ35" s="91" t="n"/>
      <c r="GR35" s="91" t="n"/>
      <c r="GS35" s="91" t="n"/>
      <c r="GT35" s="91" t="n"/>
      <c r="GU35" s="91" t="n"/>
      <c r="GV35" s="91" t="n"/>
      <c r="GW35" s="91" t="n"/>
      <c r="GX35" s="91" t="n"/>
      <c r="GY35" s="91" t="n"/>
      <c r="GZ35" s="91" t="n"/>
      <c r="HA35" s="91" t="n"/>
      <c r="HB35" s="91" t="n"/>
      <c r="HC35" s="91" t="n"/>
      <c r="HD35" s="91" t="n"/>
      <c r="HE35" s="91" t="n"/>
      <c r="HF35" s="91" t="n"/>
      <c r="HG35" s="91" t="n"/>
      <c r="HH35" s="91" t="n"/>
      <c r="HI35" s="91" t="n"/>
      <c r="HJ35" s="91" t="n"/>
      <c r="HK35" s="91" t="n"/>
      <c r="HL35" s="91" t="n"/>
      <c r="HM35" s="91" t="n"/>
      <c r="HN35" s="91" t="n"/>
      <c r="HO35" s="91" t="n"/>
      <c r="HP35" s="91" t="n"/>
      <c r="HQ35" s="91" t="n"/>
      <c r="HR35" s="91" t="n"/>
      <c r="HS35" s="91" t="n"/>
      <c r="HT35" s="91" t="n"/>
      <c r="HU35" s="91" t="n"/>
    </row>
    <row r="36" ht="16.2" customHeight="1">
      <c r="A36" s="81" t="inlineStr">
        <is>
          <t>DESPESAS DE OBRA (-) | Projeto (-)</t>
        </is>
      </c>
      <c r="B36" s="142" t="n"/>
      <c r="C36" s="82" t="n"/>
      <c r="D36" s="84" t="n"/>
      <c r="E36" s="82" t="n"/>
      <c r="F36" s="82" t="n"/>
      <c r="G36" s="82" t="n"/>
      <c r="H36" s="82" t="n"/>
      <c r="I36" s="83" t="n"/>
      <c r="J36" s="179" t="n"/>
      <c r="K36" s="109" t="n"/>
      <c r="L36" s="108" t="n"/>
      <c r="M36" s="220" t="n"/>
      <c r="N36" s="220" t="n"/>
      <c r="O36" s="220" t="n"/>
      <c r="P36" s="220" t="n"/>
      <c r="Q36" s="220" t="n"/>
      <c r="R36" s="220" t="n"/>
      <c r="S36" s="220" t="n"/>
      <c r="T36" s="220" t="n"/>
      <c r="U36" s="220" t="n"/>
      <c r="V36" s="220" t="n"/>
      <c r="W36" s="220" t="n"/>
      <c r="X36" s="220" t="n"/>
      <c r="Y36" s="220" t="n"/>
      <c r="Z36" s="220" t="n"/>
      <c r="AA36" s="220" t="n"/>
      <c r="AB36" s="220" t="n"/>
      <c r="AC36" s="220" t="n"/>
      <c r="AD36" s="200" t="n"/>
      <c r="AE36" s="241" t="n"/>
      <c r="AF36" s="200" t="n"/>
      <c r="AG36" s="272" t="n"/>
      <c r="AH36" s="272" t="n"/>
      <c r="AI36" s="92" t="n"/>
      <c r="AJ36" s="92" t="n"/>
      <c r="AK36" s="92" t="n"/>
      <c r="AL36" s="92" t="n"/>
      <c r="AM36" s="92" t="n"/>
      <c r="AN36" s="92" t="n"/>
      <c r="AO36" s="92" t="n"/>
      <c r="AP36" s="92" t="n"/>
      <c r="AQ36" s="109" t="n"/>
      <c r="AR36" s="109" t="n"/>
      <c r="AS36" s="92" t="n"/>
      <c r="AT36" s="92" t="n"/>
      <c r="AU36" s="92" t="n"/>
      <c r="AV36" s="92" t="n"/>
      <c r="AW36" s="92" t="n"/>
      <c r="AX36" s="92" t="n"/>
      <c r="AY36" s="92" t="n"/>
      <c r="AZ36" s="92" t="n"/>
      <c r="BA36" s="92" t="n"/>
      <c r="BB36" s="92" t="n"/>
      <c r="BC36" s="92" t="n"/>
      <c r="BD36" s="303" t="n"/>
      <c r="BE36" s="272" t="n"/>
      <c r="BF36" s="92" t="n"/>
      <c r="BG36" s="92" t="n"/>
      <c r="BH36" s="92" t="n"/>
      <c r="BI36" s="92" t="n"/>
      <c r="BJ36" s="92" t="n"/>
      <c r="BK36" s="92" t="n"/>
      <c r="BL36" s="92" t="n"/>
      <c r="BM36" s="92" t="n"/>
      <c r="BN36" s="92" t="n"/>
      <c r="BO36" s="92" t="n"/>
      <c r="BP36" s="303" t="n"/>
      <c r="BQ36" s="272" t="n"/>
      <c r="BR36" s="92" t="n"/>
      <c r="BS36" s="92" t="n"/>
      <c r="BT36" s="92" t="n"/>
      <c r="BU36" s="92" t="n"/>
      <c r="BV36" s="92" t="n"/>
      <c r="BW36" s="92" t="n"/>
      <c r="BX36" s="92" t="n"/>
      <c r="BY36" s="92" t="n"/>
      <c r="BZ36" s="92" t="n"/>
      <c r="CA36" s="92" t="n"/>
      <c r="CB36" s="303" t="n"/>
      <c r="CC36" s="272" t="n"/>
      <c r="CD36" s="92" t="n"/>
      <c r="CE36" s="92" t="n"/>
      <c r="CF36" s="92" t="n"/>
      <c r="CG36" s="92" t="n"/>
      <c r="CH36" s="92" t="n"/>
      <c r="CI36" s="92" t="n"/>
      <c r="CJ36" s="92" t="n"/>
      <c r="CK36" s="92" t="n"/>
      <c r="CL36" s="92" t="n"/>
      <c r="CM36" s="92" t="n"/>
      <c r="CN36" s="303" t="n"/>
      <c r="CO36" s="272" t="n"/>
      <c r="CP36" s="92" t="n"/>
      <c r="CQ36" s="92" t="n"/>
      <c r="CR36" s="92" t="n"/>
      <c r="CS36" s="92" t="n"/>
      <c r="CT36" s="92" t="n"/>
      <c r="CU36" s="92" t="n"/>
      <c r="CV36" s="92" t="n"/>
      <c r="CW36" s="92" t="n"/>
      <c r="CX36" s="92" t="n"/>
      <c r="CY36" s="92" t="n"/>
      <c r="CZ36" s="303" t="n"/>
      <c r="DA36" s="272" t="n"/>
      <c r="DB36" s="92" t="n"/>
      <c r="DC36" s="92" t="n"/>
      <c r="DD36" s="92" t="n"/>
      <c r="DE36" s="92" t="n"/>
      <c r="DF36" s="92" t="n"/>
      <c r="DG36" s="92" t="n"/>
      <c r="DH36" s="92" t="n"/>
      <c r="DI36" s="92" t="n"/>
      <c r="DJ36" s="109" t="n"/>
      <c r="DK36" s="92" t="n"/>
      <c r="DL36" s="109" t="n"/>
      <c r="DM36" s="92" t="n"/>
      <c r="DN36" s="109" t="n"/>
      <c r="DO36" s="109" t="n"/>
      <c r="DP36" s="109" t="n"/>
      <c r="DQ36" s="109" t="n"/>
      <c r="DR36" s="109" t="n"/>
      <c r="DS36" s="109" t="n"/>
      <c r="DT36" s="109" t="n"/>
      <c r="DU36" s="109" t="n"/>
      <c r="DV36" s="109" t="n"/>
      <c r="DW36" s="109" t="n"/>
      <c r="DX36" s="109" t="n"/>
      <c r="DY36" s="109" t="n"/>
      <c r="DZ36" s="109" t="n"/>
      <c r="EA36" s="109" t="n"/>
      <c r="EB36" s="109" t="n"/>
      <c r="EC36" s="109" t="n"/>
      <c r="ED36" s="109" t="n"/>
      <c r="EE36" s="109" t="n"/>
      <c r="EF36" s="109" t="n"/>
      <c r="EG36" s="109" t="n"/>
      <c r="EH36" s="109" t="n"/>
      <c r="EI36" s="109" t="n"/>
      <c r="EJ36" s="109" t="n"/>
      <c r="EK36" s="109" t="n"/>
      <c r="EL36" s="109" t="n"/>
      <c r="EM36" s="109" t="n"/>
      <c r="EN36" s="109" t="n"/>
      <c r="EO36" s="109" t="n"/>
      <c r="EP36" s="109" t="n"/>
      <c r="EQ36" s="109" t="n"/>
      <c r="ER36" s="109" t="n"/>
      <c r="ES36" s="109" t="n"/>
      <c r="ET36" s="109" t="n"/>
      <c r="EU36" s="109" t="n"/>
      <c r="EV36" s="109" t="n"/>
      <c r="EW36" s="109" t="n"/>
      <c r="EX36" s="109" t="n"/>
      <c r="EY36" s="109" t="n"/>
      <c r="EZ36" s="109" t="n"/>
      <c r="FA36" s="109" t="n"/>
      <c r="FB36" s="109" t="n"/>
      <c r="FC36" s="109" t="n"/>
      <c r="FD36" s="109" t="n"/>
      <c r="FE36" s="109" t="n"/>
      <c r="FF36" s="109" t="n"/>
      <c r="FG36" s="109" t="n"/>
      <c r="FH36" s="109" t="n"/>
      <c r="FI36" s="109" t="n"/>
      <c r="FJ36" s="109" t="n"/>
      <c r="FK36" s="109" t="n"/>
      <c r="FL36" s="109" t="n"/>
      <c r="FM36" s="109" t="n"/>
      <c r="FN36" s="109" t="n"/>
      <c r="FO36" s="109" t="n"/>
      <c r="FP36" s="109" t="n"/>
      <c r="FQ36" s="109" t="n"/>
      <c r="FR36" s="109" t="n"/>
      <c r="FS36" s="109" t="n"/>
      <c r="FT36" s="109" t="n"/>
      <c r="FU36" s="109" t="n"/>
      <c r="FV36" s="109" t="n"/>
      <c r="FW36" s="109" t="n"/>
      <c r="FX36" s="109" t="n"/>
      <c r="FY36" s="109" t="n"/>
      <c r="FZ36" s="109" t="n"/>
      <c r="GA36" s="109" t="n"/>
      <c r="GB36" s="109" t="n"/>
      <c r="GC36" s="109" t="n"/>
      <c r="GD36" s="109" t="n"/>
      <c r="GE36" s="109" t="n"/>
      <c r="GF36" s="109" t="n"/>
      <c r="GG36" s="109" t="n"/>
      <c r="GH36" s="109" t="n"/>
      <c r="GI36" s="109" t="n"/>
      <c r="GJ36" s="109" t="n"/>
      <c r="GK36" s="109" t="n"/>
      <c r="GL36" s="109" t="n"/>
      <c r="GM36" s="109" t="n"/>
      <c r="GN36" s="109" t="n"/>
      <c r="GO36" s="109" t="n"/>
      <c r="GP36" s="109" t="n"/>
      <c r="GQ36" s="109" t="n"/>
      <c r="GR36" s="109" t="n"/>
      <c r="GS36" s="109" t="n"/>
      <c r="GT36" s="109" t="n"/>
      <c r="GU36" s="109" t="n"/>
      <c r="GV36" s="109" t="n"/>
      <c r="GW36" s="109" t="n"/>
      <c r="GX36" s="109" t="n"/>
      <c r="GY36" s="109" t="n"/>
      <c r="GZ36" s="109" t="n"/>
      <c r="HA36" s="109" t="n"/>
      <c r="HB36" s="109" t="n"/>
      <c r="HC36" s="109" t="n"/>
      <c r="HD36" s="109" t="n"/>
      <c r="HE36" s="109" t="n"/>
      <c r="HF36" s="109" t="n"/>
      <c r="HG36" s="109" t="n"/>
      <c r="HH36" s="109" t="n"/>
      <c r="HI36" s="109" t="n"/>
      <c r="HJ36" s="109" t="n"/>
      <c r="HK36" s="109" t="n"/>
      <c r="HL36" s="109" t="n"/>
      <c r="HM36" s="109" t="n"/>
      <c r="HN36" s="109" t="n"/>
      <c r="HO36" s="109" t="n"/>
      <c r="HP36" s="109" t="n"/>
      <c r="HQ36" s="109" t="n"/>
      <c r="HR36" s="109" t="n"/>
      <c r="HS36" s="109" t="n"/>
      <c r="HT36" s="109" t="n"/>
      <c r="HU36" s="109" t="n"/>
    </row>
    <row r="37" ht="18" customHeight="1">
      <c r="A37" s="7" t="inlineStr">
        <is>
          <t>OBRA - (PREVISTO VIABIL)</t>
        </is>
      </c>
      <c r="B37" s="136">
        <f>SUM(C37:AA37)</f>
        <v/>
      </c>
      <c r="C37" s="85" t="n"/>
      <c r="D37" s="87" t="n"/>
      <c r="E37" s="85" t="n"/>
      <c r="F37" s="85" t="n"/>
      <c r="G37" s="85" t="n"/>
      <c r="H37" s="85" t="n"/>
      <c r="I37" s="86" t="n"/>
      <c r="J37" s="526" t="n"/>
      <c r="K37" s="527" t="n"/>
      <c r="L37" s="528" t="n"/>
      <c r="M37" s="529" t="n"/>
      <c r="N37" s="529" t="n"/>
      <c r="O37" s="529" t="n"/>
      <c r="P37" s="529" t="n"/>
      <c r="Q37" s="529" t="n"/>
      <c r="R37" s="529" t="n"/>
      <c r="S37" s="529" t="n"/>
      <c r="T37" s="529" t="n"/>
      <c r="U37" s="529" t="n"/>
      <c r="V37" s="529" t="n"/>
      <c r="W37" s="529" t="n"/>
      <c r="X37" s="529" t="n"/>
      <c r="Y37" s="529" t="n"/>
      <c r="Z37" s="529" t="n"/>
      <c r="AA37" s="529" t="n"/>
      <c r="AB37" s="529" t="n"/>
      <c r="AC37" s="529" t="n">
        <v>-124003.31</v>
      </c>
      <c r="AD37" s="13" t="n"/>
      <c r="AE37" s="342">
        <f>SUM(AG37:HU37)</f>
        <v/>
      </c>
      <c r="AF37" s="13" t="n"/>
      <c r="AG37" s="87" t="n">
        <v>0</v>
      </c>
      <c r="AH37" s="87" t="n">
        <v>-1100768.21595096</v>
      </c>
      <c r="AI37" s="87" t="n">
        <v>-1273700.14506692</v>
      </c>
      <c r="AJ37" s="87" t="n">
        <v>-1264677.45477224</v>
      </c>
      <c r="AK37" s="87" t="n">
        <v>-1137609.3838882</v>
      </c>
      <c r="AL37" s="87" t="n">
        <v>-1140768.21595096</v>
      </c>
      <c r="AM37" s="87" t="n">
        <v>-1100768.21595096</v>
      </c>
      <c r="AN37" s="87" t="n">
        <v>-1452653.13744348</v>
      </c>
      <c r="AO37" s="87" t="n">
        <v>-1317312.78302328</v>
      </c>
      <c r="AP37" s="87" t="n">
        <v>-2156422.98042852</v>
      </c>
      <c r="AQ37" s="87" t="n">
        <v>-2409058.30867956</v>
      </c>
      <c r="AR37" s="87" t="n">
        <v>-2950419.72636036</v>
      </c>
      <c r="AS37" s="87" t="n">
        <v>-3103805.46136992</v>
      </c>
      <c r="AT37" s="87" t="n">
        <v>-3076737.39048588</v>
      </c>
      <c r="AU37" s="87" t="n">
        <v>-1578970.801569</v>
      </c>
      <c r="AV37" s="87" t="n">
        <v>-1227085.88007648</v>
      </c>
      <c r="AW37" s="87" t="n">
        <v>-1001518.62270948</v>
      </c>
      <c r="AX37" s="87" t="n">
        <v>-2769965.92046676</v>
      </c>
      <c r="AY37" s="87" t="n">
        <v>-4015097.1811326</v>
      </c>
      <c r="AZ37" s="87" t="n">
        <v>-6198588.23244516</v>
      </c>
      <c r="BA37" s="87" t="n">
        <v>-5945952.904194119</v>
      </c>
      <c r="BB37" s="87" t="n">
        <v>-5846703.310952639</v>
      </c>
      <c r="BC37" s="87" t="n">
        <v>-5855726.00124732</v>
      </c>
      <c r="BD37" s="87" t="n">
        <v>-6640700.05688448</v>
      </c>
      <c r="BE37" s="87" t="n">
        <v>-6496337.0121696</v>
      </c>
      <c r="BF37" s="87" t="n">
        <v>-3717348.40140816</v>
      </c>
      <c r="BG37" s="87" t="n">
        <v>-1046632.07418288</v>
      </c>
      <c r="BH37" s="87" t="n">
        <v>-1046632.07418288</v>
      </c>
      <c r="BI37" s="87" t="n">
        <v>-1046632.07418288</v>
      </c>
      <c r="BJ37" s="87" t="n">
        <v>-1181972.42860308</v>
      </c>
      <c r="BK37" s="87" t="n">
        <v>-1181972.42860308</v>
      </c>
      <c r="BL37" s="87" t="n">
        <v>-1506789.27921156</v>
      </c>
      <c r="BM37" s="87" t="n">
        <v>-1569948.11127432</v>
      </c>
      <c r="BN37" s="87" t="n">
        <v>-2048150.69689236</v>
      </c>
      <c r="BO37" s="87" t="n">
        <v>-2048150.69689236</v>
      </c>
      <c r="BP37" s="87" t="n">
        <v>-1578970.801569</v>
      </c>
      <c r="BQ37" s="87" t="n">
        <v>-1732356.53657856</v>
      </c>
      <c r="BR37" s="87" t="n">
        <v>-54512.65115712397</v>
      </c>
      <c r="BS37" s="87" t="n">
        <v>-54512.65115712397</v>
      </c>
      <c r="BT37" s="87" t="n">
        <v>-54512.65115712397</v>
      </c>
      <c r="BU37" s="87" t="n">
        <v>-54512.65115712397</v>
      </c>
      <c r="BV37" s="87" t="n">
        <v>-54512.65115712397</v>
      </c>
      <c r="BW37" s="87" t="n">
        <v>-54512.65115712397</v>
      </c>
      <c r="BX37" s="87" t="n">
        <v>-54512.65115712397</v>
      </c>
      <c r="BY37" s="87" t="n">
        <v>-54512.65115712397</v>
      </c>
      <c r="BZ37" s="87" t="n">
        <v>-54512.65115712397</v>
      </c>
      <c r="CA37" s="87" t="n">
        <v>-54512.65115712397</v>
      </c>
      <c r="CB37" s="87" t="n">
        <v>-54512.65115712397</v>
      </c>
      <c r="CC37" s="87" t="n">
        <v>-54512.65115712397</v>
      </c>
      <c r="CD37" s="87" t="n">
        <v>-54512.65115712397</v>
      </c>
      <c r="CE37" s="87" t="n">
        <v>-54512.65115712397</v>
      </c>
      <c r="CF37" s="87" t="n">
        <v>-54512.65115712397</v>
      </c>
      <c r="CG37" s="87" t="n">
        <v>-54512.65115712397</v>
      </c>
      <c r="CH37" s="87" t="n">
        <v>-54512.65115712397</v>
      </c>
      <c r="CI37" s="87" t="n">
        <v>-54512.65115712397</v>
      </c>
      <c r="CJ37" s="87" t="n">
        <v>-54512.65115712397</v>
      </c>
      <c r="CK37" s="87" t="n">
        <v>-54512.65115712397</v>
      </c>
      <c r="CL37" s="87" t="n">
        <v>-54512.65115712397</v>
      </c>
      <c r="CM37" s="87" t="n">
        <v>-54512.65115712397</v>
      </c>
      <c r="CN37" s="87" t="n">
        <v>-54512.65115712397</v>
      </c>
      <c r="CO37" s="87" t="n">
        <v>-54512.65105245967</v>
      </c>
      <c r="CP37" s="87" t="n">
        <v>0</v>
      </c>
      <c r="CQ37" s="87" t="n">
        <v>0</v>
      </c>
      <c r="CR37" s="87" t="n">
        <v>0</v>
      </c>
      <c r="CS37" s="87" t="n">
        <v>0</v>
      </c>
      <c r="CT37" s="87" t="n">
        <v>0</v>
      </c>
      <c r="CU37" s="87" t="n">
        <v>0</v>
      </c>
      <c r="CV37" s="87" t="n">
        <v>0</v>
      </c>
      <c r="CW37" s="87" t="n">
        <v>0</v>
      </c>
      <c r="CX37" s="87" t="n">
        <v>0</v>
      </c>
      <c r="CY37" s="87" t="n">
        <v>0</v>
      </c>
      <c r="CZ37" s="87" t="n">
        <v>0</v>
      </c>
      <c r="DA37" s="87" t="n">
        <v>0</v>
      </c>
      <c r="DB37" s="87" t="n">
        <v>0</v>
      </c>
      <c r="DC37" s="87" t="n">
        <v>0</v>
      </c>
      <c r="DD37" s="87" t="n">
        <v>0</v>
      </c>
      <c r="DE37" s="87" t="n">
        <v>0</v>
      </c>
      <c r="DF37" s="87" t="n">
        <v>0</v>
      </c>
      <c r="DG37" s="87" t="n">
        <v>0</v>
      </c>
      <c r="DH37" s="87" t="n">
        <v>0</v>
      </c>
      <c r="DI37" s="87" t="n">
        <v>0</v>
      </c>
      <c r="DJ37" s="87" t="n">
        <v>0</v>
      </c>
      <c r="DK37" s="87" t="n">
        <v>0</v>
      </c>
      <c r="DL37" s="87" t="n">
        <v>0</v>
      </c>
      <c r="DM37" s="87" t="n">
        <v>0</v>
      </c>
      <c r="DN37" s="87" t="n">
        <v>0</v>
      </c>
      <c r="DO37" s="87" t="n">
        <v>0</v>
      </c>
      <c r="DP37" s="87" t="n">
        <v>0</v>
      </c>
      <c r="DQ37" s="87" t="n">
        <v>0</v>
      </c>
      <c r="DR37" s="87" t="n">
        <v>0</v>
      </c>
      <c r="DS37" s="87" t="n">
        <v>0</v>
      </c>
      <c r="DT37" s="87" t="n">
        <v>0</v>
      </c>
      <c r="DU37" s="87" t="n">
        <v>0</v>
      </c>
      <c r="DV37" s="87" t="n">
        <v>0</v>
      </c>
      <c r="DW37" s="87" t="n">
        <v>0</v>
      </c>
      <c r="DX37" s="87" t="n">
        <v>0</v>
      </c>
      <c r="DY37" s="87" t="n">
        <v>0</v>
      </c>
      <c r="DZ37" s="87" t="n">
        <v>0</v>
      </c>
      <c r="EA37" s="87" t="n">
        <v>0</v>
      </c>
      <c r="EB37" s="87" t="n">
        <v>0</v>
      </c>
      <c r="EC37" s="87" t="n">
        <v>0</v>
      </c>
      <c r="ED37" s="87" t="n">
        <v>0</v>
      </c>
      <c r="EE37" s="87" t="n">
        <v>0</v>
      </c>
      <c r="EF37" s="87" t="n">
        <v>0</v>
      </c>
      <c r="EG37" s="87" t="n">
        <v>0</v>
      </c>
      <c r="EH37" s="87" t="n">
        <v>0</v>
      </c>
      <c r="EI37" s="87" t="n">
        <v>0</v>
      </c>
      <c r="EJ37" s="87" t="n">
        <v>0</v>
      </c>
      <c r="EK37" s="87" t="n">
        <v>0</v>
      </c>
      <c r="EL37" s="87" t="n">
        <v>0</v>
      </c>
      <c r="EM37" s="87" t="n">
        <v>0</v>
      </c>
      <c r="EN37" s="87" t="n">
        <v>0</v>
      </c>
      <c r="EO37" s="87" t="n">
        <v>0</v>
      </c>
      <c r="EP37" s="87" t="n">
        <v>0</v>
      </c>
      <c r="EQ37" s="87" t="n">
        <v>0</v>
      </c>
      <c r="ER37" s="87" t="n">
        <v>0</v>
      </c>
      <c r="ES37" s="87" t="n">
        <v>0</v>
      </c>
      <c r="ET37" s="87" t="n">
        <v>0</v>
      </c>
      <c r="EU37" s="87" t="n">
        <v>0</v>
      </c>
      <c r="EV37" s="87" t="n">
        <v>0</v>
      </c>
      <c r="EW37" s="87" t="n">
        <v>0</v>
      </c>
      <c r="EX37" s="87" t="n">
        <v>0</v>
      </c>
      <c r="EY37" s="87" t="n">
        <v>0</v>
      </c>
      <c r="EZ37" s="87" t="n">
        <v>0</v>
      </c>
      <c r="FA37" s="87" t="n">
        <v>0</v>
      </c>
      <c r="FB37" s="87" t="n">
        <v>0</v>
      </c>
      <c r="FC37" s="87" t="n">
        <v>0</v>
      </c>
      <c r="FD37" s="87" t="n">
        <v>0</v>
      </c>
      <c r="FE37" s="87" t="n">
        <v>0</v>
      </c>
      <c r="FF37" s="87" t="n">
        <v>0</v>
      </c>
      <c r="FG37" s="87" t="n">
        <v>0</v>
      </c>
      <c r="FH37" s="87" t="n">
        <v>0</v>
      </c>
      <c r="FI37" s="87" t="n">
        <v>0</v>
      </c>
      <c r="FJ37" s="87" t="n">
        <v>0</v>
      </c>
      <c r="FK37" s="87" t="n">
        <v>0</v>
      </c>
      <c r="FL37" s="87" t="n">
        <v>0</v>
      </c>
      <c r="FM37" s="87" t="n">
        <v>0</v>
      </c>
      <c r="FN37" s="87" t="n">
        <v>0</v>
      </c>
      <c r="FO37" s="87" t="n">
        <v>0</v>
      </c>
      <c r="FP37" s="87" t="n">
        <v>0</v>
      </c>
      <c r="FQ37" s="87" t="n">
        <v>0</v>
      </c>
      <c r="FR37" s="87" t="n">
        <v>0</v>
      </c>
      <c r="FS37" s="87" t="n">
        <v>0</v>
      </c>
      <c r="FT37" s="87" t="n">
        <v>0</v>
      </c>
      <c r="FU37" s="87" t="n">
        <v>0</v>
      </c>
      <c r="FV37" s="87" t="n">
        <v>0</v>
      </c>
      <c r="FW37" s="87" t="n">
        <v>0</v>
      </c>
      <c r="FX37" s="87" t="n">
        <v>0</v>
      </c>
      <c r="FY37" s="87" t="n">
        <v>0</v>
      </c>
      <c r="FZ37" s="87" t="n">
        <v>0</v>
      </c>
      <c r="GA37" s="87" t="n">
        <v>0</v>
      </c>
      <c r="GB37" s="87" t="n">
        <v>0</v>
      </c>
      <c r="GC37" s="87" t="n">
        <v>0</v>
      </c>
      <c r="GD37" s="87" t="n">
        <v>0</v>
      </c>
      <c r="GE37" s="87" t="n">
        <v>0</v>
      </c>
      <c r="GF37" s="87" t="n">
        <v>0</v>
      </c>
      <c r="GG37" s="87" t="n">
        <v>0</v>
      </c>
      <c r="GH37" s="87" t="n">
        <v>0</v>
      </c>
      <c r="GI37" s="87" t="n">
        <v>0</v>
      </c>
      <c r="GJ37" s="87" t="n">
        <v>0</v>
      </c>
      <c r="GK37" s="87" t="n">
        <v>0</v>
      </c>
      <c r="GL37" s="87" t="n">
        <v>0</v>
      </c>
      <c r="GM37" s="87" t="n">
        <v>0</v>
      </c>
      <c r="GN37" s="87" t="n">
        <v>0</v>
      </c>
      <c r="GO37" s="87" t="n">
        <v>0</v>
      </c>
      <c r="GP37" s="87" t="n">
        <v>0</v>
      </c>
      <c r="GQ37" s="87" t="n">
        <v>0</v>
      </c>
      <c r="GR37" s="87" t="n">
        <v>0</v>
      </c>
      <c r="GS37" s="87" t="n">
        <v>0</v>
      </c>
      <c r="GT37" s="87" t="n">
        <v>0</v>
      </c>
      <c r="GU37" s="87" t="n">
        <v>0</v>
      </c>
      <c r="GV37" s="87" t="n">
        <v>0</v>
      </c>
      <c r="GW37" s="87" t="n">
        <v>0</v>
      </c>
      <c r="GX37" s="87" t="n">
        <v>0</v>
      </c>
      <c r="GY37" s="87" t="n">
        <v>0</v>
      </c>
      <c r="GZ37" s="87" t="n">
        <v>0</v>
      </c>
      <c r="HA37" s="87" t="n">
        <v>0</v>
      </c>
      <c r="HB37" s="87" t="n">
        <v>0</v>
      </c>
      <c r="HC37" s="87" t="n">
        <v>0</v>
      </c>
      <c r="HD37" s="87" t="n">
        <v>0</v>
      </c>
      <c r="HE37" s="87" t="n">
        <v>0</v>
      </c>
      <c r="HF37" s="87" t="n">
        <v>0</v>
      </c>
      <c r="HG37" s="87" t="n">
        <v>0</v>
      </c>
      <c r="HH37" s="87" t="n">
        <v>0</v>
      </c>
      <c r="HI37" s="87" t="n">
        <v>0</v>
      </c>
      <c r="HJ37" s="87" t="n">
        <v>0</v>
      </c>
      <c r="HK37" s="87" t="n">
        <v>0</v>
      </c>
      <c r="HL37" s="87" t="n">
        <v>0</v>
      </c>
      <c r="HM37" s="87" t="n">
        <v>0</v>
      </c>
      <c r="HN37" s="87" t="n">
        <v>0</v>
      </c>
      <c r="HO37" s="87" t="n">
        <v>0</v>
      </c>
      <c r="HP37" s="87" t="n">
        <v>0</v>
      </c>
      <c r="HQ37" s="87" t="n">
        <v>0</v>
      </c>
      <c r="HR37" s="87" t="n">
        <v>0</v>
      </c>
      <c r="HS37" s="87" t="n">
        <v>0</v>
      </c>
      <c r="HT37" s="87" t="n">
        <v>0</v>
      </c>
      <c r="HU37" s="87" t="n">
        <v>0</v>
      </c>
    </row>
    <row r="38" ht="16.2" customHeight="1">
      <c r="A38" s="1" t="inlineStr">
        <is>
          <t>CONTRAPARTIDA SAAE</t>
        </is>
      </c>
      <c r="B38" s="143" t="n"/>
      <c r="C38" s="53" t="n"/>
      <c r="D38" s="53" t="n"/>
      <c r="E38" s="53" t="n"/>
      <c r="F38" s="53" t="n"/>
      <c r="G38" s="53" t="n"/>
      <c r="H38" s="53" t="n"/>
      <c r="I38" s="53" t="n"/>
      <c r="J38" s="530" t="n"/>
      <c r="K38" s="531" t="n"/>
      <c r="L38" s="531" t="n"/>
      <c r="M38" s="532" t="n"/>
      <c r="N38" s="532" t="n"/>
      <c r="O38" s="532" t="n"/>
      <c r="P38" s="532" t="n"/>
      <c r="Q38" s="532" t="n"/>
      <c r="R38" s="532" t="n"/>
      <c r="S38" s="532" t="n"/>
      <c r="T38" s="532" t="n"/>
      <c r="U38" s="532" t="n"/>
      <c r="V38" s="532" t="n"/>
      <c r="W38" s="532" t="n"/>
      <c r="X38" s="532" t="n"/>
      <c r="Y38" s="532" t="n"/>
      <c r="Z38" s="532" t="n"/>
      <c r="AA38" s="532" t="n"/>
      <c r="AB38" s="532" t="n"/>
      <c r="AC38" s="532" t="n"/>
      <c r="AD38" s="13" t="n"/>
      <c r="AE38" s="342">
        <f>SUM(AG38:HU38)</f>
        <v/>
      </c>
      <c r="AF38" s="13" t="n"/>
      <c r="AG38" s="87" t="n">
        <v>0</v>
      </c>
      <c r="AH38" s="87" t="n">
        <v>0</v>
      </c>
      <c r="AI38" s="87" t="n">
        <v>0</v>
      </c>
      <c r="AJ38" s="87" t="n">
        <v>0</v>
      </c>
      <c r="AK38" s="87" t="n">
        <v>0</v>
      </c>
      <c r="AL38" s="87" t="n">
        <v>0</v>
      </c>
      <c r="AM38" s="87" t="n">
        <v>0</v>
      </c>
      <c r="AN38" s="87" t="n">
        <v>0</v>
      </c>
      <c r="AO38" s="87" t="n">
        <v>0</v>
      </c>
      <c r="AP38" s="87" t="n">
        <v>0</v>
      </c>
      <c r="AQ38" s="87" t="n">
        <v>0</v>
      </c>
      <c r="AR38" s="87" t="n">
        <v>0</v>
      </c>
      <c r="AS38" s="87" t="n">
        <v>0</v>
      </c>
      <c r="AT38" s="87" t="n">
        <v>0</v>
      </c>
      <c r="AU38" s="87" t="n">
        <v>0</v>
      </c>
      <c r="AV38" s="87" t="n">
        <v>0</v>
      </c>
      <c r="AW38" s="87" t="n">
        <v>0</v>
      </c>
      <c r="AX38" s="87" t="n">
        <v>0</v>
      </c>
      <c r="AY38" s="87" t="n">
        <v>-66666.66667200001</v>
      </c>
      <c r="AZ38" s="87" t="n">
        <v>-66666.66667200001</v>
      </c>
      <c r="BA38" s="87" t="n">
        <v>-66666.66667200001</v>
      </c>
      <c r="BB38" s="87" t="n">
        <v>-66666.66667200001</v>
      </c>
      <c r="BC38" s="87" t="n">
        <v>-66666.66667200001</v>
      </c>
      <c r="BD38" s="87" t="n">
        <v>-66666.66667200001</v>
      </c>
      <c r="BE38" s="87" t="n">
        <v>-66666.66667200001</v>
      </c>
      <c r="BF38" s="87" t="n">
        <v>-66666.66667200001</v>
      </c>
      <c r="BG38" s="87" t="n">
        <v>-66666.66667200001</v>
      </c>
      <c r="BH38" s="87" t="n">
        <v>-66666.66667200001</v>
      </c>
      <c r="BI38" s="87" t="n">
        <v>-66666.66667200001</v>
      </c>
      <c r="BJ38" s="87" t="n">
        <v>-66666.66667200001</v>
      </c>
      <c r="BK38" s="87" t="n">
        <v>-66666.66667200001</v>
      </c>
      <c r="BL38" s="87" t="n">
        <v>-66666.66667200001</v>
      </c>
      <c r="BM38" s="87" t="n">
        <v>-66666.66667200001</v>
      </c>
      <c r="BN38" s="87" t="n">
        <v>-66666.66667200001</v>
      </c>
      <c r="BO38" s="87" t="n">
        <v>-66666.66667200001</v>
      </c>
      <c r="BP38" s="87" t="n">
        <v>-66666.666576</v>
      </c>
      <c r="BQ38" s="87" t="n">
        <v>0</v>
      </c>
      <c r="BR38" s="87" t="n">
        <v>0</v>
      </c>
      <c r="BS38" s="87" t="n">
        <v>0</v>
      </c>
      <c r="BT38" s="87" t="n">
        <v>0</v>
      </c>
      <c r="BU38" s="87" t="n">
        <v>0</v>
      </c>
      <c r="BV38" s="87" t="n">
        <v>0</v>
      </c>
      <c r="BW38" s="87" t="n">
        <v>0</v>
      </c>
      <c r="BX38" s="87" t="n">
        <v>0</v>
      </c>
      <c r="BY38" s="87" t="n">
        <v>0</v>
      </c>
      <c r="BZ38" s="87" t="n">
        <v>0</v>
      </c>
      <c r="CA38" s="87" t="n">
        <v>0</v>
      </c>
      <c r="CB38" s="87" t="n">
        <v>0</v>
      </c>
      <c r="CC38" s="87" t="n">
        <v>0</v>
      </c>
      <c r="CD38" s="87" t="n">
        <v>0</v>
      </c>
      <c r="CE38" s="87" t="n">
        <v>0</v>
      </c>
      <c r="CF38" s="87" t="n">
        <v>0</v>
      </c>
      <c r="CG38" s="87" t="n">
        <v>0</v>
      </c>
      <c r="CH38" s="87" t="n">
        <v>0</v>
      </c>
      <c r="CI38" s="87" t="n">
        <v>0</v>
      </c>
      <c r="CJ38" s="87" t="n">
        <v>0</v>
      </c>
      <c r="CK38" s="87" t="n">
        <v>0</v>
      </c>
      <c r="CL38" s="87" t="n">
        <v>0</v>
      </c>
      <c r="CM38" s="87" t="n">
        <v>0</v>
      </c>
      <c r="CN38" s="87" t="n">
        <v>0</v>
      </c>
      <c r="CO38" s="87" t="n">
        <v>0</v>
      </c>
      <c r="CP38" s="87" t="n">
        <v>0</v>
      </c>
      <c r="CQ38" s="87" t="n">
        <v>0</v>
      </c>
      <c r="CR38" s="87" t="n">
        <v>0</v>
      </c>
      <c r="CS38" s="87" t="n">
        <v>0</v>
      </c>
      <c r="CT38" s="87" t="n">
        <v>0</v>
      </c>
      <c r="CU38" s="87" t="n">
        <v>0</v>
      </c>
      <c r="CV38" s="87" t="n">
        <v>0</v>
      </c>
      <c r="CW38" s="87" t="n">
        <v>0</v>
      </c>
      <c r="CX38" s="87" t="n">
        <v>0</v>
      </c>
      <c r="CY38" s="87" t="n">
        <v>0</v>
      </c>
      <c r="CZ38" s="87" t="n">
        <v>0</v>
      </c>
      <c r="DA38" s="87" t="n">
        <v>0</v>
      </c>
      <c r="DB38" s="87" t="n">
        <v>0</v>
      </c>
      <c r="DC38" s="87" t="n">
        <v>0</v>
      </c>
      <c r="DD38" s="87" t="n">
        <v>0</v>
      </c>
      <c r="DE38" s="87" t="n">
        <v>0</v>
      </c>
      <c r="DF38" s="87" t="n">
        <v>0</v>
      </c>
      <c r="DG38" s="87" t="n">
        <v>0</v>
      </c>
      <c r="DH38" s="87" t="n">
        <v>0</v>
      </c>
      <c r="DI38" s="87" t="n">
        <v>0</v>
      </c>
      <c r="DJ38" s="87" t="n">
        <v>0</v>
      </c>
      <c r="DK38" s="87" t="n">
        <v>0</v>
      </c>
      <c r="DL38" s="87" t="n">
        <v>0</v>
      </c>
      <c r="DM38" s="87" t="n">
        <v>0</v>
      </c>
      <c r="DN38" s="87" t="n">
        <v>0</v>
      </c>
      <c r="DO38" s="87" t="n">
        <v>0</v>
      </c>
      <c r="DP38" s="87" t="n">
        <v>0</v>
      </c>
      <c r="DQ38" s="87" t="n">
        <v>0</v>
      </c>
      <c r="DR38" s="87" t="n">
        <v>0</v>
      </c>
      <c r="DS38" s="87" t="n">
        <v>0</v>
      </c>
      <c r="DT38" s="87" t="n">
        <v>0</v>
      </c>
      <c r="DU38" s="87" t="n">
        <v>0</v>
      </c>
      <c r="DV38" s="87" t="n">
        <v>0</v>
      </c>
      <c r="DW38" s="87" t="n">
        <v>0</v>
      </c>
      <c r="DX38" s="87" t="n">
        <v>0</v>
      </c>
      <c r="DY38" s="87" t="n">
        <v>0</v>
      </c>
      <c r="DZ38" s="87" t="n">
        <v>0</v>
      </c>
      <c r="EA38" s="87" t="n">
        <v>0</v>
      </c>
      <c r="EB38" s="87" t="n">
        <v>0</v>
      </c>
      <c r="EC38" s="87" t="n">
        <v>0</v>
      </c>
      <c r="ED38" s="87" t="n">
        <v>0</v>
      </c>
      <c r="EE38" s="87" t="n">
        <v>0</v>
      </c>
      <c r="EF38" s="87" t="n">
        <v>0</v>
      </c>
      <c r="EG38" s="87" t="n">
        <v>0</v>
      </c>
      <c r="EH38" s="87" t="n">
        <v>0</v>
      </c>
      <c r="EI38" s="87" t="n">
        <v>0</v>
      </c>
      <c r="EJ38" s="87" t="n">
        <v>0</v>
      </c>
      <c r="EK38" s="87" t="n">
        <v>0</v>
      </c>
      <c r="EL38" s="87" t="n">
        <v>0</v>
      </c>
      <c r="EM38" s="87" t="n">
        <v>0</v>
      </c>
      <c r="EN38" s="87" t="n">
        <v>0</v>
      </c>
      <c r="EO38" s="87" t="n">
        <v>0</v>
      </c>
      <c r="EP38" s="87" t="n">
        <v>0</v>
      </c>
      <c r="EQ38" s="87" t="n">
        <v>0</v>
      </c>
      <c r="ER38" s="87" t="n">
        <v>0</v>
      </c>
      <c r="ES38" s="87" t="n">
        <v>0</v>
      </c>
      <c r="ET38" s="87" t="n">
        <v>0</v>
      </c>
      <c r="EU38" s="87" t="n">
        <v>0</v>
      </c>
      <c r="EV38" s="87" t="n">
        <v>0</v>
      </c>
      <c r="EW38" s="87" t="n">
        <v>0</v>
      </c>
      <c r="EX38" s="87" t="n">
        <v>0</v>
      </c>
      <c r="EY38" s="87" t="n">
        <v>0</v>
      </c>
      <c r="EZ38" s="87" t="n">
        <v>0</v>
      </c>
      <c r="FA38" s="87" t="n">
        <v>0</v>
      </c>
      <c r="FB38" s="87" t="n">
        <v>0</v>
      </c>
      <c r="FC38" s="87" t="n">
        <v>0</v>
      </c>
      <c r="FD38" s="87" t="n">
        <v>0</v>
      </c>
      <c r="FE38" s="87" t="n">
        <v>0</v>
      </c>
      <c r="FF38" s="87" t="n">
        <v>0</v>
      </c>
      <c r="FG38" s="87" t="n">
        <v>0</v>
      </c>
      <c r="FH38" s="87" t="n">
        <v>0</v>
      </c>
      <c r="FI38" s="87" t="n">
        <v>0</v>
      </c>
      <c r="FJ38" s="87" t="n">
        <v>0</v>
      </c>
      <c r="FK38" s="87" t="n">
        <v>0</v>
      </c>
      <c r="FL38" s="87" t="n">
        <v>0</v>
      </c>
      <c r="FM38" s="87" t="n">
        <v>0</v>
      </c>
      <c r="FN38" s="87" t="n">
        <v>0</v>
      </c>
      <c r="FO38" s="87" t="n">
        <v>0</v>
      </c>
      <c r="FP38" s="87" t="n">
        <v>0</v>
      </c>
      <c r="FQ38" s="87" t="n">
        <v>0</v>
      </c>
      <c r="FR38" s="87" t="n">
        <v>0</v>
      </c>
      <c r="FS38" s="87" t="n">
        <v>0</v>
      </c>
      <c r="FT38" s="87" t="n">
        <v>0</v>
      </c>
      <c r="FU38" s="87" t="n">
        <v>0</v>
      </c>
      <c r="FV38" s="87" t="n">
        <v>0</v>
      </c>
      <c r="FW38" s="87" t="n">
        <v>0</v>
      </c>
      <c r="FX38" s="87" t="n">
        <v>0</v>
      </c>
      <c r="FY38" s="87" t="n">
        <v>0</v>
      </c>
      <c r="FZ38" s="87" t="n">
        <v>0</v>
      </c>
      <c r="GA38" s="87" t="n">
        <v>0</v>
      </c>
      <c r="GB38" s="87" t="n">
        <v>0</v>
      </c>
      <c r="GC38" s="87" t="n">
        <v>0</v>
      </c>
      <c r="GD38" s="87" t="n">
        <v>0</v>
      </c>
      <c r="GE38" s="87" t="n">
        <v>0</v>
      </c>
      <c r="GF38" s="87" t="n">
        <v>0</v>
      </c>
      <c r="GG38" s="87" t="n">
        <v>0</v>
      </c>
      <c r="GH38" s="87" t="n">
        <v>0</v>
      </c>
      <c r="GI38" s="87" t="n">
        <v>0</v>
      </c>
      <c r="GJ38" s="87" t="n">
        <v>0</v>
      </c>
      <c r="GK38" s="87" t="n">
        <v>0</v>
      </c>
      <c r="GL38" s="87" t="n">
        <v>0</v>
      </c>
      <c r="GM38" s="87" t="n">
        <v>0</v>
      </c>
      <c r="GN38" s="87" t="n">
        <v>0</v>
      </c>
      <c r="GO38" s="87" t="n">
        <v>0</v>
      </c>
      <c r="GP38" s="87" t="n">
        <v>0</v>
      </c>
      <c r="GQ38" s="87" t="n">
        <v>0</v>
      </c>
      <c r="GR38" s="87" t="n">
        <v>0</v>
      </c>
      <c r="GS38" s="87" t="n">
        <v>0</v>
      </c>
      <c r="GT38" s="87" t="n">
        <v>0</v>
      </c>
      <c r="GU38" s="87" t="n">
        <v>0</v>
      </c>
      <c r="GV38" s="87" t="n">
        <v>0</v>
      </c>
      <c r="GW38" s="87" t="n">
        <v>0</v>
      </c>
      <c r="GX38" s="87" t="n">
        <v>0</v>
      </c>
      <c r="GY38" s="87" t="n">
        <v>0</v>
      </c>
      <c r="GZ38" s="87" t="n">
        <v>0</v>
      </c>
      <c r="HA38" s="87" t="n">
        <v>0</v>
      </c>
      <c r="HB38" s="87" t="n">
        <v>0</v>
      </c>
      <c r="HC38" s="87" t="n">
        <v>0</v>
      </c>
      <c r="HD38" s="87" t="n">
        <v>0</v>
      </c>
      <c r="HE38" s="87" t="n">
        <v>0</v>
      </c>
      <c r="HF38" s="87" t="n">
        <v>0</v>
      </c>
      <c r="HG38" s="87" t="n">
        <v>0</v>
      </c>
      <c r="HH38" s="87" t="n">
        <v>0</v>
      </c>
      <c r="HI38" s="87" t="n">
        <v>0</v>
      </c>
      <c r="HJ38" s="87" t="n">
        <v>0</v>
      </c>
      <c r="HK38" s="87" t="n">
        <v>0</v>
      </c>
      <c r="HL38" s="87" t="n">
        <v>0</v>
      </c>
      <c r="HM38" s="87" t="n">
        <v>0</v>
      </c>
      <c r="HN38" s="87" t="n">
        <v>0</v>
      </c>
      <c r="HO38" s="87" t="n">
        <v>0</v>
      </c>
      <c r="HP38" s="87" t="n">
        <v>0</v>
      </c>
      <c r="HQ38" s="87" t="n">
        <v>0</v>
      </c>
      <c r="HR38" s="87" t="n">
        <v>0</v>
      </c>
      <c r="HS38" s="87" t="n">
        <v>0</v>
      </c>
      <c r="HT38" s="87" t="n">
        <v>0</v>
      </c>
      <c r="HU38" s="87" t="n">
        <v>0</v>
      </c>
    </row>
    <row r="39" ht="6.75" customHeight="1">
      <c r="A39" s="1" t="n"/>
      <c r="B39" s="128" t="n"/>
      <c r="C39" s="512" t="n"/>
      <c r="D39" s="512" t="n"/>
      <c r="E39" s="512" t="n"/>
      <c r="F39" s="512" t="n"/>
      <c r="G39" s="512" t="n"/>
      <c r="H39" s="512" t="n"/>
      <c r="I39" s="512" t="n"/>
      <c r="J39" s="513" t="n"/>
      <c r="K39" s="512" t="n"/>
      <c r="L39" s="512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514" t="n"/>
      <c r="AA39" s="514" t="n"/>
      <c r="AB39" s="514" t="n"/>
      <c r="AC39" s="514" t="n"/>
      <c r="AD39" s="512" t="n"/>
      <c r="AE39" s="533" t="n"/>
      <c r="AF39" s="512" t="n"/>
      <c r="AG39" s="512" t="n"/>
      <c r="AH39" s="512" t="n"/>
      <c r="AI39" s="512" t="n"/>
      <c r="AJ39" s="512" t="n"/>
      <c r="AK39" s="512" t="n"/>
      <c r="AL39" s="512" t="n"/>
      <c r="AM39" s="512" t="n"/>
      <c r="AN39" s="512" t="n"/>
      <c r="AO39" s="512" t="n"/>
      <c r="AP39" s="512" t="n"/>
      <c r="AQ39" s="512" t="n"/>
      <c r="AR39" s="512" t="n"/>
      <c r="AS39" s="512" t="n"/>
      <c r="AT39" s="512" t="n"/>
      <c r="AU39" s="512" t="n"/>
      <c r="AV39" s="512" t="n"/>
      <c r="AW39" s="512" t="n"/>
      <c r="AX39" s="512" t="n"/>
      <c r="AY39" s="512" t="n"/>
      <c r="AZ39" s="512" t="n"/>
      <c r="BA39" s="512" t="n"/>
      <c r="BB39" s="512" t="n"/>
      <c r="BC39" s="512" t="n"/>
      <c r="BD39" s="515" t="n"/>
      <c r="BE39" s="512" t="n"/>
      <c r="BF39" s="512" t="n"/>
      <c r="BG39" s="512" t="n"/>
      <c r="BH39" s="512" t="n"/>
      <c r="BI39" s="512" t="n"/>
      <c r="BJ39" s="512" t="n"/>
      <c r="BK39" s="512" t="n"/>
      <c r="BL39" s="512" t="n"/>
      <c r="BM39" s="512" t="n"/>
      <c r="BN39" s="512" t="n"/>
      <c r="BO39" s="512" t="n"/>
      <c r="BP39" s="515" t="n"/>
      <c r="BQ39" s="512" t="n"/>
      <c r="BR39" s="512" t="n"/>
      <c r="BS39" s="512" t="n"/>
      <c r="BT39" s="512" t="n"/>
      <c r="BU39" s="512" t="n"/>
      <c r="BV39" s="512" t="n"/>
      <c r="BW39" s="512" t="n"/>
      <c r="BX39" s="512" t="n"/>
      <c r="BY39" s="512" t="n"/>
      <c r="BZ39" s="512" t="n"/>
      <c r="CA39" s="512" t="n"/>
      <c r="CB39" s="515" t="n"/>
      <c r="CC39" s="512" t="n"/>
      <c r="CD39" s="512" t="n"/>
      <c r="CE39" s="512" t="n"/>
      <c r="CF39" s="512" t="n"/>
      <c r="CG39" s="512" t="n"/>
      <c r="CH39" s="512" t="n"/>
      <c r="CI39" s="512" t="n"/>
      <c r="CJ39" s="512" t="n"/>
      <c r="CK39" s="512" t="n"/>
      <c r="CL39" s="512" t="n"/>
      <c r="CM39" s="512" t="n"/>
      <c r="CN39" s="515" t="n"/>
      <c r="CO39" s="512" t="n"/>
      <c r="CP39" s="512" t="n"/>
      <c r="CQ39" s="512" t="n"/>
      <c r="CR39" s="512" t="n"/>
      <c r="CS39" s="512" t="n"/>
      <c r="CT39" s="512" t="n"/>
      <c r="CU39" s="512" t="n"/>
      <c r="CV39" s="512" t="n"/>
      <c r="CW39" s="512" t="n"/>
      <c r="CX39" s="512" t="n"/>
      <c r="CY39" s="512" t="n"/>
      <c r="CZ39" s="515" t="n"/>
      <c r="DA39" s="512" t="n"/>
      <c r="DB39" s="512" t="n"/>
      <c r="DC39" s="512" t="n"/>
      <c r="DD39" s="512" t="n"/>
      <c r="DE39" s="512" t="n"/>
      <c r="DF39" s="512" t="n"/>
      <c r="DG39" s="512" t="n"/>
      <c r="DH39" s="512" t="n"/>
      <c r="DI39" s="512" t="n"/>
      <c r="DJ39" s="512" t="n"/>
      <c r="DK39" s="512" t="n"/>
      <c r="DL39" s="512" t="n"/>
      <c r="DM39" s="512" t="n"/>
      <c r="DN39" s="512" t="n"/>
      <c r="DO39" s="512" t="n"/>
      <c r="DP39" s="512" t="n"/>
      <c r="DQ39" s="512" t="n"/>
      <c r="DR39" s="512" t="n"/>
      <c r="DS39" s="512" t="n"/>
      <c r="DT39" s="512" t="n"/>
      <c r="DU39" s="512" t="n"/>
      <c r="DV39" s="512" t="n"/>
      <c r="DW39" s="512" t="n"/>
      <c r="DX39" s="512" t="n"/>
      <c r="DY39" s="512" t="n"/>
      <c r="DZ39" s="512" t="n"/>
      <c r="EA39" s="512" t="n"/>
      <c r="EB39" s="512" t="n"/>
      <c r="EC39" s="512" t="n"/>
      <c r="ED39" s="512" t="n"/>
      <c r="EE39" s="512" t="n"/>
      <c r="EF39" s="512" t="n"/>
      <c r="EG39" s="512" t="n"/>
      <c r="EH39" s="512" t="n"/>
      <c r="EI39" s="512" t="n"/>
      <c r="EJ39" s="512" t="n"/>
      <c r="EK39" s="512" t="n"/>
      <c r="EL39" s="512" t="n"/>
      <c r="EM39" s="512" t="n"/>
      <c r="EN39" s="512" t="n"/>
      <c r="EO39" s="512" t="n"/>
      <c r="EP39" s="512" t="n"/>
      <c r="EQ39" s="512" t="n"/>
      <c r="ER39" s="512" t="n"/>
      <c r="ES39" s="512" t="n"/>
      <c r="ET39" s="512" t="n"/>
      <c r="EU39" s="512" t="n"/>
      <c r="EV39" s="512" t="n"/>
      <c r="EW39" s="512" t="n"/>
      <c r="EX39" s="512" t="n"/>
      <c r="EY39" s="512" t="n"/>
      <c r="EZ39" s="512" t="n"/>
      <c r="FA39" s="512" t="n"/>
      <c r="FB39" s="512" t="n"/>
      <c r="FC39" s="512" t="n"/>
      <c r="FD39" s="512" t="n"/>
      <c r="FE39" s="512" t="n"/>
      <c r="FF39" s="512" t="n"/>
      <c r="FG39" s="512" t="n"/>
      <c r="FH39" s="512" t="n"/>
      <c r="FI39" s="512" t="n"/>
      <c r="FJ39" s="512" t="n"/>
      <c r="FK39" s="512" t="n"/>
      <c r="FL39" s="512" t="n"/>
      <c r="FM39" s="512" t="n"/>
      <c r="FN39" s="512" t="n"/>
      <c r="FO39" s="512" t="n"/>
      <c r="FP39" s="512" t="n"/>
      <c r="FQ39" s="512" t="n"/>
      <c r="FR39" s="512" t="n"/>
      <c r="FS39" s="512" t="n"/>
      <c r="FT39" s="512" t="n"/>
      <c r="FU39" s="512" t="n"/>
      <c r="FV39" s="512" t="n"/>
      <c r="FW39" s="512" t="n"/>
      <c r="FX39" s="512" t="n"/>
      <c r="FY39" s="512" t="n"/>
      <c r="FZ39" s="512" t="n"/>
      <c r="GA39" s="512" t="n"/>
      <c r="GB39" s="512" t="n"/>
      <c r="GC39" s="512" t="n"/>
      <c r="GD39" s="512" t="n"/>
      <c r="GE39" s="512" t="n"/>
      <c r="GF39" s="512" t="n"/>
      <c r="GG39" s="512" t="n"/>
      <c r="GH39" s="512" t="n"/>
      <c r="GI39" s="512" t="n"/>
      <c r="GJ39" s="512" t="n"/>
      <c r="GK39" s="512" t="n"/>
      <c r="GL39" s="512" t="n"/>
      <c r="GM39" s="512" t="n"/>
      <c r="GN39" s="512" t="n"/>
      <c r="GO39" s="512" t="n"/>
      <c r="GP39" s="512" t="n"/>
      <c r="GQ39" s="512" t="n"/>
      <c r="GR39" s="512" t="n"/>
      <c r="GS39" s="512" t="n"/>
      <c r="GT39" s="512" t="n"/>
      <c r="GU39" s="512" t="n"/>
      <c r="GV39" s="512" t="n"/>
      <c r="GW39" s="512" t="n"/>
      <c r="GX39" s="512" t="n"/>
      <c r="GY39" s="512" t="n"/>
      <c r="GZ39" s="512" t="n"/>
      <c r="HA39" s="512" t="n"/>
      <c r="HB39" s="512" t="n"/>
      <c r="HC39" s="512" t="n"/>
      <c r="HD39" s="512" t="n"/>
      <c r="HE39" s="512" t="n"/>
      <c r="HF39" s="512" t="n"/>
      <c r="HG39" s="512" t="n"/>
      <c r="HH39" s="512" t="n"/>
      <c r="HI39" s="512" t="n"/>
      <c r="HJ39" s="512" t="n"/>
      <c r="HK39" s="512" t="n"/>
      <c r="HL39" s="512" t="n"/>
      <c r="HM39" s="512" t="n"/>
      <c r="HN39" s="512" t="n"/>
      <c r="HO39" s="512" t="n"/>
      <c r="HP39" s="512" t="n"/>
      <c r="HQ39" s="512" t="n"/>
      <c r="HR39" s="512" t="n"/>
      <c r="HS39" s="512" t="n"/>
      <c r="HT39" s="512" t="n"/>
      <c r="HU39" s="512" t="n"/>
    </row>
    <row r="40" ht="16.2" customHeight="1">
      <c r="A40" s="19" t="inlineStr">
        <is>
          <t>INCORPORAÇÃO (-)</t>
        </is>
      </c>
      <c r="B40" s="139" t="n"/>
      <c r="C40" s="20" t="n"/>
      <c r="D40" s="22" t="n"/>
      <c r="E40" s="20" t="n"/>
      <c r="F40" s="20" t="n"/>
      <c r="G40" s="20" t="n"/>
      <c r="H40" s="20" t="n"/>
      <c r="I40" s="21" t="n"/>
      <c r="J40" s="175" t="n"/>
      <c r="K40" s="21" t="n"/>
      <c r="L40" s="108" t="n"/>
      <c r="M40" s="220" t="n"/>
      <c r="N40" s="220" t="n"/>
      <c r="O40" s="220" t="n"/>
      <c r="P40" s="220" t="n"/>
      <c r="Q40" s="220" t="n"/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00" t="n"/>
      <c r="AE40" s="241" t="n"/>
      <c r="AF40" s="200" t="n"/>
      <c r="AG40" s="22" t="n"/>
      <c r="AH40" s="22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1" t="n"/>
      <c r="AR40" s="21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99" t="n"/>
      <c r="BE40" s="22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99" t="n"/>
      <c r="BQ40" s="22" t="n"/>
      <c r="BR40" s="20" t="n"/>
      <c r="BS40" s="20" t="n"/>
      <c r="BT40" s="20" t="n"/>
      <c r="BU40" s="20" t="n"/>
      <c r="BV40" s="20" t="n"/>
      <c r="BW40" s="20" t="n"/>
      <c r="BX40" s="20" t="n"/>
      <c r="BY40" s="20" t="n"/>
      <c r="BZ40" s="20" t="n"/>
      <c r="CA40" s="20" t="n"/>
      <c r="CB40" s="299" t="n"/>
      <c r="CC40" s="22" t="n"/>
      <c r="CD40" s="20" t="n"/>
      <c r="CE40" s="20" t="n"/>
      <c r="CF40" s="20" t="n"/>
      <c r="CG40" s="20" t="n"/>
      <c r="CH40" s="20" t="n"/>
      <c r="CI40" s="20" t="n"/>
      <c r="CJ40" s="20" t="n"/>
      <c r="CK40" s="20" t="n"/>
      <c r="CL40" s="20" t="n"/>
      <c r="CM40" s="20" t="n"/>
      <c r="CN40" s="299" t="n"/>
      <c r="CO40" s="22" t="n"/>
      <c r="CP40" s="20" t="n"/>
      <c r="CQ40" s="20" t="n"/>
      <c r="CR40" s="20" t="n"/>
      <c r="CS40" s="20" t="n"/>
      <c r="CT40" s="20" t="n"/>
      <c r="CU40" s="20" t="n"/>
      <c r="CV40" s="20" t="n"/>
      <c r="CW40" s="20" t="n"/>
      <c r="CX40" s="20" t="n"/>
      <c r="CY40" s="20" t="n"/>
      <c r="CZ40" s="299" t="n"/>
      <c r="DA40" s="22" t="n"/>
      <c r="DB40" s="20" t="n"/>
      <c r="DC40" s="20" t="n"/>
      <c r="DD40" s="20" t="n"/>
      <c r="DE40" s="20" t="n"/>
      <c r="DF40" s="20" t="n"/>
      <c r="DG40" s="20" t="n"/>
      <c r="DH40" s="20" t="n"/>
      <c r="DI40" s="20" t="n"/>
      <c r="DJ40" s="21" t="n"/>
      <c r="DK40" s="20" t="n"/>
      <c r="DL40" s="21" t="n"/>
      <c r="DM40" s="20" t="n"/>
      <c r="DN40" s="21" t="n"/>
      <c r="DO40" s="21" t="n"/>
      <c r="DP40" s="21" t="n"/>
      <c r="DQ40" s="21" t="n"/>
      <c r="DR40" s="21" t="n"/>
      <c r="DS40" s="21" t="n"/>
      <c r="DT40" s="21" t="n"/>
      <c r="DU40" s="21" t="n"/>
      <c r="DV40" s="21" t="n"/>
      <c r="DW40" s="21" t="n"/>
      <c r="DX40" s="21" t="n"/>
      <c r="DY40" s="21" t="n"/>
      <c r="DZ40" s="21" t="n"/>
      <c r="EA40" s="21" t="n"/>
      <c r="EB40" s="21" t="n"/>
      <c r="EC40" s="21" t="n"/>
      <c r="ED40" s="21" t="n"/>
      <c r="EE40" s="21" t="n"/>
      <c r="EF40" s="21" t="n"/>
      <c r="EG40" s="21" t="n"/>
      <c r="EH40" s="21" t="n"/>
      <c r="EI40" s="21" t="n"/>
      <c r="EJ40" s="21" t="n"/>
      <c r="EK40" s="21" t="n"/>
      <c r="EL40" s="21" t="n"/>
      <c r="EM40" s="21" t="n"/>
      <c r="EN40" s="21" t="n"/>
      <c r="EO40" s="21" t="n"/>
      <c r="EP40" s="21" t="n"/>
      <c r="EQ40" s="21" t="n"/>
      <c r="ER40" s="21" t="n"/>
      <c r="ES40" s="21" t="n"/>
      <c r="ET40" s="21" t="n"/>
      <c r="EU40" s="21" t="n"/>
      <c r="EV40" s="21" t="n"/>
      <c r="EW40" s="21" t="n"/>
      <c r="EX40" s="21" t="n"/>
      <c r="EY40" s="21" t="n"/>
      <c r="EZ40" s="21" t="n"/>
      <c r="FA40" s="21" t="n"/>
      <c r="FB40" s="21" t="n"/>
      <c r="FC40" s="21" t="n"/>
      <c r="FD40" s="21" t="n"/>
      <c r="FE40" s="21" t="n"/>
      <c r="FF40" s="21" t="n"/>
      <c r="FG40" s="21" t="n"/>
      <c r="FH40" s="21" t="n"/>
      <c r="FI40" s="21" t="n"/>
      <c r="FJ40" s="21" t="n"/>
      <c r="FK40" s="21" t="n"/>
      <c r="FL40" s="21" t="n"/>
      <c r="FM40" s="21" t="n"/>
      <c r="FN40" s="21" t="n"/>
      <c r="FO40" s="21" t="n"/>
      <c r="FP40" s="21" t="n"/>
      <c r="FQ40" s="21" t="n"/>
      <c r="FR40" s="21" t="n"/>
      <c r="FS40" s="21" t="n"/>
      <c r="FT40" s="21" t="n"/>
      <c r="FU40" s="21" t="n"/>
      <c r="FV40" s="21" t="n"/>
      <c r="FW40" s="21" t="n"/>
      <c r="FX40" s="21" t="n"/>
      <c r="FY40" s="21" t="n"/>
      <c r="FZ40" s="21" t="n"/>
      <c r="GA40" s="21" t="n"/>
      <c r="GB40" s="21" t="n"/>
      <c r="GC40" s="21" t="n"/>
      <c r="GD40" s="21" t="n"/>
      <c r="GE40" s="21" t="n"/>
      <c r="GF40" s="21" t="n"/>
      <c r="GG40" s="21" t="n"/>
      <c r="GH40" s="21" t="n"/>
      <c r="GI40" s="21" t="n"/>
      <c r="GJ40" s="21" t="n"/>
      <c r="GK40" s="21" t="n"/>
      <c r="GL40" s="21" t="n"/>
      <c r="GM40" s="21" t="n"/>
      <c r="GN40" s="21" t="n"/>
      <c r="GO40" s="21" t="n"/>
      <c r="GP40" s="21" t="n"/>
      <c r="GQ40" s="21" t="n"/>
      <c r="GR40" s="21" t="n"/>
      <c r="GS40" s="21" t="n"/>
      <c r="GT40" s="21" t="n"/>
      <c r="GU40" s="21" t="n"/>
      <c r="GV40" s="21" t="n"/>
      <c r="GW40" s="21" t="n"/>
      <c r="GX40" s="21" t="n"/>
      <c r="GY40" s="21" t="n"/>
      <c r="GZ40" s="21" t="n"/>
      <c r="HA40" s="21" t="n"/>
      <c r="HB40" s="21" t="n"/>
      <c r="HC40" s="21" t="n"/>
      <c r="HD40" s="21" t="n"/>
      <c r="HE40" s="21" t="n"/>
      <c r="HF40" s="21" t="n"/>
      <c r="HG40" s="21" t="n"/>
      <c r="HH40" s="21" t="n"/>
      <c r="HI40" s="21" t="n"/>
      <c r="HJ40" s="21" t="n"/>
      <c r="HK40" s="21" t="n"/>
      <c r="HL40" s="21" t="n"/>
      <c r="HM40" s="21" t="n"/>
      <c r="HN40" s="21" t="n"/>
      <c r="HO40" s="21" t="n"/>
      <c r="HP40" s="21" t="n"/>
      <c r="HQ40" s="21" t="n"/>
      <c r="HR40" s="21" t="n"/>
      <c r="HS40" s="21" t="n"/>
      <c r="HT40" s="21" t="n"/>
      <c r="HU40" s="21" t="n"/>
    </row>
    <row r="41" ht="16.2" customHeight="1">
      <c r="A41" s="7" t="inlineStr">
        <is>
          <t>Incorporação</t>
        </is>
      </c>
      <c r="B41" s="136">
        <f>SUM(C41:X41)</f>
        <v/>
      </c>
      <c r="C41" s="85" t="n">
        <v>-22569.84</v>
      </c>
      <c r="D41" s="87" t="n">
        <v>-66761.36</v>
      </c>
      <c r="E41" s="85" t="n">
        <v>-22685</v>
      </c>
      <c r="F41" s="85" t="n">
        <v>-22753.06</v>
      </c>
      <c r="G41" s="85" t="n">
        <v>-22784.91</v>
      </c>
      <c r="H41" s="85" t="n">
        <v>-25995.64</v>
      </c>
      <c r="I41" s="86" t="n">
        <v>-23082.07</v>
      </c>
      <c r="J41" s="170" t="n">
        <v>-23105.15</v>
      </c>
      <c r="K41" s="86" t="n">
        <v>-28144.43</v>
      </c>
      <c r="L41" s="34" t="n">
        <v>-28223.13</v>
      </c>
      <c r="M41" s="159" t="n">
        <v>-28269.57</v>
      </c>
      <c r="N41" s="219" t="n">
        <v>-28285.85</v>
      </c>
      <c r="O41" s="219" t="n">
        <v>-30358.04</v>
      </c>
      <c r="P41" s="219" t="n">
        <v>-28421.11</v>
      </c>
      <c r="Q41" s="219" t="n">
        <v>-51733.24000000001</v>
      </c>
      <c r="R41" s="219" t="n">
        <v>-57539.95</v>
      </c>
      <c r="S41" s="219" t="n">
        <v>-30362.5</v>
      </c>
      <c r="T41" s="219" t="n">
        <v>-56077.16</v>
      </c>
      <c r="U41" s="219" t="n">
        <v>-30362.5</v>
      </c>
      <c r="V41" s="219" t="n">
        <v>-98850</v>
      </c>
      <c r="W41" s="219" t="n">
        <v>-36362.5</v>
      </c>
      <c r="X41" s="219" t="n">
        <v>-645250.9399999999</v>
      </c>
      <c r="Y41" s="219" t="n">
        <v>-280557.39</v>
      </c>
      <c r="Z41" s="219" t="n">
        <v>-29760.76</v>
      </c>
      <c r="AA41" s="219">
        <f>(-184611.43)+-24760.76</f>
        <v/>
      </c>
      <c r="AB41" s="219" t="n">
        <v>-90439.16</v>
      </c>
      <c r="AC41" s="219">
        <f>-49101.24-49521.52</f>
        <v/>
      </c>
      <c r="AD41" s="13" t="n"/>
      <c r="AE41" s="342">
        <f>SUM(AG41:HU41)</f>
        <v/>
      </c>
      <c r="AF41" s="13" t="n"/>
      <c r="AG41" s="87" t="n">
        <v>-33000</v>
      </c>
      <c r="AH41" s="87" t="n">
        <v>-33000</v>
      </c>
      <c r="AI41" s="87" t="n">
        <v>-33000</v>
      </c>
      <c r="AJ41" s="87" t="n">
        <v>-33000</v>
      </c>
      <c r="AK41" s="87" t="n">
        <v>-8000</v>
      </c>
      <c r="AL41" s="87" t="n">
        <v>-8000</v>
      </c>
      <c r="AM41" s="87" t="n">
        <v>-8000</v>
      </c>
      <c r="AN41" s="87" t="n">
        <v>-8000</v>
      </c>
      <c r="AO41" s="87" t="n">
        <v>-8000</v>
      </c>
      <c r="AP41" s="87" t="n">
        <v>-8000</v>
      </c>
      <c r="AQ41" s="87" t="n">
        <v>-8000</v>
      </c>
      <c r="AR41" s="87" t="n">
        <v>-8000</v>
      </c>
      <c r="AS41" s="87" t="n">
        <v>-8000</v>
      </c>
      <c r="AT41" s="87" t="n">
        <v>-8000</v>
      </c>
      <c r="AU41" s="87" t="n">
        <v>-8000</v>
      </c>
      <c r="AV41" s="87" t="n">
        <v>-8000</v>
      </c>
      <c r="AW41" s="87" t="n">
        <v>-8000</v>
      </c>
      <c r="AX41" s="87" t="n">
        <v>-8000</v>
      </c>
      <c r="AY41" s="87" t="n">
        <v>-8000</v>
      </c>
      <c r="AZ41" s="87" t="n">
        <v>-8000</v>
      </c>
      <c r="BA41" s="87" t="n">
        <v>-8000</v>
      </c>
      <c r="BB41" s="87" t="n">
        <v>-8000</v>
      </c>
      <c r="BC41" s="87" t="n">
        <v>-8000</v>
      </c>
      <c r="BD41" s="87" t="n">
        <v>-8000</v>
      </c>
      <c r="BE41" s="87" t="n">
        <v>-8000</v>
      </c>
      <c r="BF41" s="87" t="n">
        <v>-8000</v>
      </c>
      <c r="BG41" s="87" t="n">
        <v>-8000</v>
      </c>
      <c r="BH41" s="87" t="n">
        <v>-8000</v>
      </c>
      <c r="BI41" s="87" t="n">
        <v>-8000</v>
      </c>
      <c r="BJ41" s="87" t="n">
        <v>-8000</v>
      </c>
      <c r="BK41" s="87" t="n">
        <v>-8000</v>
      </c>
      <c r="BL41" s="87" t="n">
        <v>-8000</v>
      </c>
      <c r="BM41" s="87" t="n">
        <v>-8000</v>
      </c>
      <c r="BN41" s="87" t="n">
        <v>-3000</v>
      </c>
      <c r="BO41" s="87" t="n">
        <v>-3000</v>
      </c>
      <c r="BP41" s="87" t="n">
        <v>-3000</v>
      </c>
      <c r="BQ41" s="87" t="n">
        <v>-3000</v>
      </c>
      <c r="BR41" s="87" t="n">
        <v>-3000</v>
      </c>
      <c r="BS41" s="87" t="n"/>
      <c r="BT41" s="87" t="n"/>
      <c r="BU41" s="87" t="n"/>
      <c r="BV41" s="87" t="n"/>
      <c r="BW41" s="87" t="n"/>
      <c r="BX41" s="87" t="n"/>
      <c r="BY41" s="87" t="n"/>
      <c r="BZ41" s="87" t="n"/>
      <c r="CA41" s="87" t="n"/>
      <c r="CB41" s="87" t="n"/>
      <c r="CC41" s="87" t="n"/>
      <c r="CD41" s="87" t="n"/>
      <c r="CE41" s="87" t="n"/>
      <c r="CF41" s="87" t="n"/>
      <c r="CG41" s="87" t="n"/>
      <c r="CH41" s="87" t="n"/>
      <c r="CI41" s="87" t="n"/>
      <c r="CJ41" s="87" t="n"/>
      <c r="CK41" s="87" t="n"/>
      <c r="CL41" s="87" t="n"/>
      <c r="CM41" s="87" t="n"/>
      <c r="CN41" s="87" t="n"/>
      <c r="CO41" s="87" t="n"/>
      <c r="CP41" s="87" t="n"/>
      <c r="CQ41" s="87" t="n"/>
      <c r="CR41" s="87" t="n"/>
      <c r="CS41" s="87" t="n"/>
      <c r="CT41" s="87" t="n"/>
      <c r="CU41" s="87" t="n"/>
      <c r="CV41" s="87" t="n"/>
      <c r="CW41" s="87" t="n"/>
      <c r="CX41" s="87" t="n"/>
      <c r="CY41" s="87" t="n"/>
      <c r="CZ41" s="87" t="n"/>
      <c r="DA41" s="87" t="n"/>
      <c r="DB41" s="87" t="n"/>
      <c r="DC41" s="87" t="n"/>
      <c r="DD41" s="87" t="n"/>
      <c r="DE41" s="87" t="n"/>
      <c r="DF41" s="87" t="n"/>
      <c r="DG41" s="87" t="n"/>
      <c r="DH41" s="87" t="n"/>
      <c r="DI41" s="87" t="n"/>
      <c r="DJ41" s="87" t="n"/>
      <c r="DK41" s="87" t="n"/>
      <c r="DL41" s="87" t="n"/>
      <c r="DM41" s="87" t="n"/>
      <c r="DN41" s="87" t="n"/>
      <c r="DO41" s="87" t="n"/>
      <c r="DP41" s="87" t="n"/>
      <c r="DQ41" s="87" t="n"/>
      <c r="DR41" s="87" t="n"/>
      <c r="DS41" s="87" t="n"/>
      <c r="DT41" s="87" t="n"/>
      <c r="DU41" s="87" t="n"/>
      <c r="DV41" s="87" t="n"/>
      <c r="DW41" s="87" t="n"/>
      <c r="DX41" s="87" t="n"/>
      <c r="DY41" s="87" t="n">
        <v>0</v>
      </c>
      <c r="DZ41" s="87" t="n">
        <v>0</v>
      </c>
      <c r="EA41" s="87" t="n">
        <v>0</v>
      </c>
      <c r="EB41" s="87" t="n">
        <v>0</v>
      </c>
      <c r="EC41" s="87" t="n">
        <v>0</v>
      </c>
      <c r="ED41" s="87" t="n">
        <v>0</v>
      </c>
      <c r="EE41" s="87" t="n">
        <v>0</v>
      </c>
      <c r="EF41" s="87" t="n">
        <v>0</v>
      </c>
      <c r="EG41" s="87" t="n">
        <v>0</v>
      </c>
      <c r="EH41" s="87" t="n">
        <v>0</v>
      </c>
      <c r="EI41" s="87" t="n">
        <v>0</v>
      </c>
      <c r="EJ41" s="87" t="n">
        <v>0</v>
      </c>
      <c r="EK41" s="87" t="n">
        <v>0</v>
      </c>
      <c r="EL41" s="87" t="n">
        <v>0</v>
      </c>
      <c r="EM41" s="87" t="n">
        <v>0</v>
      </c>
      <c r="EN41" s="87" t="n">
        <v>0</v>
      </c>
      <c r="EO41" s="87" t="n">
        <v>0</v>
      </c>
      <c r="EP41" s="87" t="n">
        <v>0</v>
      </c>
      <c r="EQ41" s="87" t="n">
        <v>0</v>
      </c>
      <c r="ER41" s="87" t="n">
        <v>0</v>
      </c>
      <c r="ES41" s="87" t="n">
        <v>0</v>
      </c>
      <c r="ET41" s="87" t="n">
        <v>0</v>
      </c>
      <c r="EU41" s="87" t="n">
        <v>0</v>
      </c>
      <c r="EV41" s="87" t="n">
        <v>0</v>
      </c>
      <c r="EW41" s="87" t="n">
        <v>0</v>
      </c>
      <c r="EX41" s="87" t="n">
        <v>0</v>
      </c>
      <c r="EY41" s="87" t="n">
        <v>0</v>
      </c>
      <c r="EZ41" s="87" t="n">
        <v>0</v>
      </c>
      <c r="FA41" s="87" t="n">
        <v>0</v>
      </c>
      <c r="FB41" s="87" t="n">
        <v>0</v>
      </c>
      <c r="FC41" s="87" t="n">
        <v>0</v>
      </c>
      <c r="FD41" s="87" t="n">
        <v>0</v>
      </c>
      <c r="FE41" s="87" t="n">
        <v>0</v>
      </c>
      <c r="FF41" s="87" t="n">
        <v>0</v>
      </c>
      <c r="FG41" s="87" t="n">
        <v>0</v>
      </c>
      <c r="FH41" s="87" t="n">
        <v>0</v>
      </c>
      <c r="FI41" s="87" t="n">
        <v>0</v>
      </c>
      <c r="FJ41" s="87" t="n">
        <v>0</v>
      </c>
      <c r="FK41" s="87" t="n">
        <v>0</v>
      </c>
      <c r="FL41" s="87" t="n">
        <v>0</v>
      </c>
      <c r="FM41" s="87" t="n">
        <v>0</v>
      </c>
      <c r="FN41" s="87" t="n">
        <v>0</v>
      </c>
      <c r="FO41" s="87" t="n">
        <v>0</v>
      </c>
      <c r="FP41" s="87" t="n">
        <v>0</v>
      </c>
      <c r="FQ41" s="87" t="n">
        <v>0</v>
      </c>
      <c r="FR41" s="87" t="n">
        <v>0</v>
      </c>
      <c r="FS41" s="87" t="n">
        <v>0</v>
      </c>
      <c r="FT41" s="87" t="n">
        <v>0</v>
      </c>
      <c r="FU41" s="87" t="n">
        <v>0</v>
      </c>
      <c r="FV41" s="87" t="n">
        <v>0</v>
      </c>
      <c r="FW41" s="87" t="n">
        <v>0</v>
      </c>
      <c r="FX41" s="87" t="n">
        <v>0</v>
      </c>
      <c r="FY41" s="87" t="n">
        <v>0</v>
      </c>
      <c r="FZ41" s="87" t="n">
        <v>0</v>
      </c>
      <c r="GA41" s="87" t="n">
        <v>0</v>
      </c>
      <c r="GB41" s="87" t="n">
        <v>0</v>
      </c>
      <c r="GC41" s="87" t="n">
        <v>0</v>
      </c>
      <c r="GD41" s="87" t="n">
        <v>0</v>
      </c>
      <c r="GE41" s="87" t="n">
        <v>0</v>
      </c>
      <c r="GF41" s="87" t="n">
        <v>0</v>
      </c>
      <c r="GG41" s="87" t="n">
        <v>0</v>
      </c>
      <c r="GH41" s="87" t="n">
        <v>0</v>
      </c>
      <c r="GI41" s="87" t="n">
        <v>0</v>
      </c>
      <c r="GJ41" s="87" t="n">
        <v>0</v>
      </c>
      <c r="GK41" s="87" t="n">
        <v>0</v>
      </c>
      <c r="GL41" s="87" t="n">
        <v>0</v>
      </c>
      <c r="GM41" s="87" t="n">
        <v>0</v>
      </c>
      <c r="GN41" s="87" t="n">
        <v>0</v>
      </c>
      <c r="GO41" s="87" t="n">
        <v>0</v>
      </c>
      <c r="GP41" s="87" t="n">
        <v>0</v>
      </c>
      <c r="GQ41" s="87" t="n">
        <v>0</v>
      </c>
      <c r="GR41" s="87" t="n">
        <v>0</v>
      </c>
      <c r="GS41" s="87" t="n">
        <v>0</v>
      </c>
      <c r="GT41" s="87" t="n">
        <v>0</v>
      </c>
      <c r="GU41" s="87" t="n">
        <v>0</v>
      </c>
      <c r="GV41" s="87" t="n">
        <v>0</v>
      </c>
      <c r="GW41" s="87" t="n">
        <v>0</v>
      </c>
      <c r="GX41" s="87" t="n">
        <v>0</v>
      </c>
      <c r="GY41" s="87" t="n">
        <v>0</v>
      </c>
      <c r="GZ41" s="87" t="n">
        <v>0</v>
      </c>
      <c r="HA41" s="87" t="n">
        <v>0</v>
      </c>
      <c r="HB41" s="87" t="n">
        <v>0</v>
      </c>
      <c r="HC41" s="87" t="n">
        <v>0</v>
      </c>
      <c r="HD41" s="87" t="n">
        <v>0</v>
      </c>
      <c r="HE41" s="87" t="n">
        <v>0</v>
      </c>
      <c r="HF41" s="87" t="n">
        <v>0</v>
      </c>
      <c r="HG41" s="87" t="n">
        <v>0</v>
      </c>
      <c r="HH41" s="87" t="n">
        <v>0</v>
      </c>
      <c r="HI41" s="87" t="n">
        <v>0</v>
      </c>
      <c r="HJ41" s="87" t="n">
        <v>0</v>
      </c>
      <c r="HK41" s="87" t="n">
        <v>0</v>
      </c>
      <c r="HL41" s="87" t="n">
        <v>0</v>
      </c>
      <c r="HM41" s="87" t="n">
        <v>0</v>
      </c>
      <c r="HN41" s="87" t="n">
        <v>0</v>
      </c>
      <c r="HO41" s="87" t="n">
        <v>0</v>
      </c>
      <c r="HP41" s="87" t="n">
        <v>0</v>
      </c>
      <c r="HQ41" s="87" t="n">
        <v>0</v>
      </c>
      <c r="HR41" s="87" t="n">
        <v>0</v>
      </c>
      <c r="HS41" s="87" t="n">
        <v>0</v>
      </c>
      <c r="HT41" s="87" t="n">
        <v>0</v>
      </c>
      <c r="HU41" s="87" t="n">
        <v>0</v>
      </c>
    </row>
    <row r="42" ht="16.2" customHeight="1">
      <c r="A42" s="1" t="inlineStr">
        <is>
          <t>Gerenciamento</t>
        </is>
      </c>
      <c r="B42" s="143" t="n"/>
      <c r="C42" s="53" t="n"/>
      <c r="D42" s="53" t="n"/>
      <c r="E42" s="53" t="n"/>
      <c r="F42" s="53" t="n"/>
      <c r="G42" s="53" t="n"/>
      <c r="H42" s="53" t="n"/>
      <c r="I42" s="53" t="n"/>
      <c r="J42" s="185" t="n"/>
      <c r="K42" s="53" t="n"/>
      <c r="L42" s="53" t="n"/>
      <c r="M42" s="186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  <c r="AD42" s="13" t="n"/>
      <c r="AE42" s="342">
        <f>SUM(AG42:HU42)</f>
        <v/>
      </c>
      <c r="AF42" s="13" t="n"/>
      <c r="AG42" s="26" t="n">
        <v>-8000</v>
      </c>
      <c r="AH42" s="26" t="n">
        <v>-8000</v>
      </c>
      <c r="AI42" s="26" t="n">
        <v>-8000</v>
      </c>
      <c r="AJ42" s="26" t="n">
        <v>-8000</v>
      </c>
      <c r="AK42" s="26" t="n">
        <v>-8000</v>
      </c>
      <c r="AL42" s="26" t="n">
        <v>-8000</v>
      </c>
      <c r="AM42" s="26" t="n">
        <v>-8000</v>
      </c>
      <c r="AN42" s="26" t="n">
        <v>-8000</v>
      </c>
      <c r="AO42" s="26" t="n">
        <v>-8000</v>
      </c>
      <c r="AP42" s="26" t="n">
        <v>-8000</v>
      </c>
      <c r="AQ42" s="26" t="n">
        <v>-8000</v>
      </c>
      <c r="AR42" s="26" t="n">
        <v>-8000</v>
      </c>
      <c r="AS42" s="26" t="n">
        <v>-8000</v>
      </c>
      <c r="AT42" s="26" t="n">
        <v>-8000</v>
      </c>
      <c r="AU42" s="26" t="n">
        <v>-8000</v>
      </c>
      <c r="AV42" s="26" t="n">
        <v>-8000</v>
      </c>
      <c r="AW42" s="26" t="n">
        <v>-8000</v>
      </c>
      <c r="AX42" s="26" t="n">
        <v>-8000</v>
      </c>
      <c r="AY42" s="26" t="n">
        <v>-8000</v>
      </c>
      <c r="AZ42" s="26" t="n">
        <v>-8000</v>
      </c>
      <c r="BA42" s="26" t="n">
        <v>-8000</v>
      </c>
      <c r="BB42" s="26" t="n">
        <v>-8000</v>
      </c>
      <c r="BC42" s="26" t="n">
        <v>-8000</v>
      </c>
      <c r="BD42" s="26" t="n">
        <v>-8000</v>
      </c>
      <c r="BE42" s="26" t="n">
        <v>-8000</v>
      </c>
      <c r="BF42" s="26" t="n">
        <v>-8000</v>
      </c>
      <c r="BG42" s="26" t="n">
        <v>-8000</v>
      </c>
      <c r="BH42" s="26" t="n">
        <v>-8000</v>
      </c>
      <c r="BI42" s="26" t="n">
        <v>-8000</v>
      </c>
      <c r="BJ42" s="26" t="n">
        <v>-8000</v>
      </c>
      <c r="BK42" s="26" t="n">
        <v>-8000</v>
      </c>
      <c r="BL42" s="26" t="n">
        <v>-8000</v>
      </c>
      <c r="BM42" s="26" t="n">
        <v>-8000</v>
      </c>
      <c r="BN42" s="26" t="n">
        <v>-8000</v>
      </c>
      <c r="BO42" s="26" t="n">
        <v>-8000</v>
      </c>
      <c r="BP42" s="26" t="n">
        <v>-8000</v>
      </c>
      <c r="BQ42" s="26" t="n">
        <v>-8000</v>
      </c>
      <c r="BR42" s="26" t="n">
        <v>-8000</v>
      </c>
      <c r="BS42" s="26" t="n">
        <v>-8000</v>
      </c>
      <c r="BT42" s="26" t="n">
        <v>-8000</v>
      </c>
      <c r="BU42" s="26" t="n">
        <v>-8000</v>
      </c>
      <c r="BV42" s="26" t="n">
        <v>-8000</v>
      </c>
      <c r="BW42" s="26" t="n">
        <v>-8000</v>
      </c>
      <c r="BX42" s="26" t="n">
        <v>-8000</v>
      </c>
      <c r="BY42" s="26" t="n">
        <v>-8000</v>
      </c>
      <c r="BZ42" s="26" t="n">
        <v>-8000</v>
      </c>
      <c r="CA42" s="26" t="n">
        <v>-8000</v>
      </c>
      <c r="CB42" s="26" t="n">
        <v>-8000</v>
      </c>
      <c r="CC42" s="26" t="n">
        <v>-8000</v>
      </c>
      <c r="CD42" s="26" t="n">
        <v>-8000</v>
      </c>
      <c r="CE42" s="26" t="n">
        <v>-8000</v>
      </c>
      <c r="CF42" s="26" t="n">
        <v>-8000</v>
      </c>
      <c r="CG42" s="26" t="n">
        <v>-8000</v>
      </c>
      <c r="CH42" s="26" t="n">
        <v>-8000</v>
      </c>
      <c r="CI42" s="26" t="n">
        <v>-8000</v>
      </c>
      <c r="CJ42" s="26" t="n">
        <v>-8000</v>
      </c>
      <c r="CK42" s="26" t="n">
        <v>-8000</v>
      </c>
      <c r="CL42" s="26" t="n">
        <v>-8000</v>
      </c>
      <c r="CM42" s="26" t="n">
        <v>-8000</v>
      </c>
      <c r="CN42" s="26" t="n">
        <v>-8000</v>
      </c>
      <c r="CO42" s="26" t="n"/>
      <c r="CP42" s="26" t="n"/>
      <c r="CQ42" s="26" t="n"/>
      <c r="CR42" s="26" t="n"/>
      <c r="CS42" s="26" t="n"/>
      <c r="CT42" s="26" t="n"/>
      <c r="CU42" s="26" t="n"/>
      <c r="CV42" s="26" t="n"/>
      <c r="CW42" s="26" t="n"/>
      <c r="CX42" s="26" t="n"/>
      <c r="CY42" s="26" t="n"/>
      <c r="CZ42" s="26" t="n"/>
      <c r="DA42" s="26" t="n"/>
      <c r="DB42" s="26" t="n"/>
      <c r="DC42" s="26" t="n"/>
      <c r="DD42" s="26" t="n"/>
      <c r="DE42" s="26" t="n"/>
      <c r="DF42" s="26" t="n"/>
      <c r="DG42" s="26" t="n"/>
      <c r="DH42" s="26" t="n"/>
      <c r="DI42" s="26" t="n"/>
      <c r="DJ42" s="26" t="n"/>
      <c r="DK42" s="26" t="n"/>
      <c r="DL42" s="26" t="n"/>
      <c r="DM42" s="26" t="n"/>
      <c r="DN42" s="26" t="n"/>
      <c r="DO42" s="26" t="n"/>
      <c r="DP42" s="26" t="n"/>
      <c r="DQ42" s="26" t="n"/>
      <c r="DR42" s="26" t="n"/>
      <c r="DS42" s="26" t="n"/>
      <c r="DT42" s="26" t="n"/>
      <c r="DU42" s="26" t="n"/>
      <c r="DV42" s="26" t="n"/>
      <c r="DW42" s="26" t="n"/>
      <c r="DX42" s="26" t="n"/>
      <c r="DY42" s="26" t="n">
        <v>0</v>
      </c>
      <c r="DZ42" s="26" t="n">
        <v>0</v>
      </c>
      <c r="EA42" s="26" t="n">
        <v>0</v>
      </c>
      <c r="EB42" s="26" t="n">
        <v>0</v>
      </c>
      <c r="EC42" s="26" t="n">
        <v>0</v>
      </c>
      <c r="ED42" s="26" t="n">
        <v>0</v>
      </c>
      <c r="EE42" s="26" t="n">
        <v>0</v>
      </c>
      <c r="EF42" s="26" t="n">
        <v>0</v>
      </c>
      <c r="EG42" s="26" t="n">
        <v>0</v>
      </c>
      <c r="EH42" s="26" t="n">
        <v>0</v>
      </c>
      <c r="EI42" s="26" t="n">
        <v>0</v>
      </c>
      <c r="EJ42" s="26" t="n">
        <v>0</v>
      </c>
      <c r="EK42" s="26" t="n">
        <v>0</v>
      </c>
      <c r="EL42" s="26" t="n">
        <v>0</v>
      </c>
      <c r="EM42" s="26" t="n">
        <v>0</v>
      </c>
      <c r="EN42" s="26" t="n">
        <v>0</v>
      </c>
      <c r="EO42" s="26" t="n">
        <v>0</v>
      </c>
      <c r="EP42" s="26" t="n">
        <v>0</v>
      </c>
      <c r="EQ42" s="26" t="n">
        <v>0</v>
      </c>
      <c r="ER42" s="26" t="n">
        <v>0</v>
      </c>
      <c r="ES42" s="26" t="n">
        <v>0</v>
      </c>
      <c r="ET42" s="26" t="n">
        <v>0</v>
      </c>
      <c r="EU42" s="26" t="n">
        <v>0</v>
      </c>
      <c r="EV42" s="26" t="n">
        <v>0</v>
      </c>
      <c r="EW42" s="26" t="n">
        <v>0</v>
      </c>
      <c r="EX42" s="26" t="n">
        <v>0</v>
      </c>
      <c r="EY42" s="26" t="n">
        <v>0</v>
      </c>
      <c r="EZ42" s="26" t="n">
        <v>0</v>
      </c>
      <c r="FA42" s="26" t="n">
        <v>0</v>
      </c>
      <c r="FB42" s="26" t="n">
        <v>0</v>
      </c>
      <c r="FC42" s="26" t="n">
        <v>0</v>
      </c>
      <c r="FD42" s="26" t="n">
        <v>0</v>
      </c>
      <c r="FE42" s="26" t="n">
        <v>0</v>
      </c>
      <c r="FF42" s="26" t="n">
        <v>0</v>
      </c>
      <c r="FG42" s="26" t="n">
        <v>0</v>
      </c>
      <c r="FH42" s="26" t="n">
        <v>0</v>
      </c>
      <c r="FI42" s="26" t="n">
        <v>0</v>
      </c>
      <c r="FJ42" s="26" t="n">
        <v>0</v>
      </c>
      <c r="FK42" s="26" t="n">
        <v>0</v>
      </c>
      <c r="FL42" s="26" t="n">
        <v>0</v>
      </c>
      <c r="FM42" s="26" t="n">
        <v>0</v>
      </c>
      <c r="FN42" s="26" t="n">
        <v>0</v>
      </c>
      <c r="FO42" s="26" t="n">
        <v>0</v>
      </c>
      <c r="FP42" s="26" t="n">
        <v>0</v>
      </c>
      <c r="FQ42" s="26" t="n">
        <v>0</v>
      </c>
      <c r="FR42" s="26" t="n">
        <v>0</v>
      </c>
      <c r="FS42" s="26" t="n">
        <v>0</v>
      </c>
      <c r="FT42" s="26" t="n">
        <v>0</v>
      </c>
      <c r="FU42" s="26" t="n">
        <v>0</v>
      </c>
      <c r="FV42" s="26" t="n">
        <v>0</v>
      </c>
      <c r="FW42" s="26" t="n">
        <v>0</v>
      </c>
      <c r="FX42" s="26" t="n">
        <v>0</v>
      </c>
      <c r="FY42" s="26" t="n">
        <v>0</v>
      </c>
      <c r="FZ42" s="26" t="n">
        <v>0</v>
      </c>
      <c r="GA42" s="26" t="n">
        <v>0</v>
      </c>
      <c r="GB42" s="26" t="n">
        <v>0</v>
      </c>
      <c r="GC42" s="26" t="n">
        <v>0</v>
      </c>
      <c r="GD42" s="26" t="n">
        <v>0</v>
      </c>
      <c r="GE42" s="26" t="n">
        <v>0</v>
      </c>
      <c r="GF42" s="26" t="n">
        <v>0</v>
      </c>
      <c r="GG42" s="26" t="n">
        <v>0</v>
      </c>
      <c r="GH42" s="26" t="n">
        <v>0</v>
      </c>
      <c r="GI42" s="26" t="n">
        <v>0</v>
      </c>
      <c r="GJ42" s="26" t="n">
        <v>0</v>
      </c>
      <c r="GK42" s="26" t="n">
        <v>0</v>
      </c>
      <c r="GL42" s="26" t="n">
        <v>0</v>
      </c>
      <c r="GM42" s="26" t="n">
        <v>0</v>
      </c>
      <c r="GN42" s="26" t="n">
        <v>0</v>
      </c>
      <c r="GO42" s="26" t="n">
        <v>0</v>
      </c>
      <c r="GP42" s="26" t="n">
        <v>0</v>
      </c>
      <c r="GQ42" s="26" t="n">
        <v>0</v>
      </c>
      <c r="GR42" s="26" t="n">
        <v>0</v>
      </c>
      <c r="GS42" s="26" t="n">
        <v>0</v>
      </c>
      <c r="GT42" s="26" t="n">
        <v>0</v>
      </c>
      <c r="GU42" s="26" t="n">
        <v>0</v>
      </c>
      <c r="GV42" s="26" t="n">
        <v>0</v>
      </c>
      <c r="GW42" s="26" t="n">
        <v>0</v>
      </c>
      <c r="GX42" s="26" t="n">
        <v>0</v>
      </c>
      <c r="GY42" s="26" t="n">
        <v>0</v>
      </c>
      <c r="GZ42" s="26" t="n">
        <v>0</v>
      </c>
      <c r="HA42" s="26" t="n">
        <v>0</v>
      </c>
      <c r="HB42" s="26" t="n">
        <v>0</v>
      </c>
      <c r="HC42" s="26" t="n">
        <v>0</v>
      </c>
      <c r="HD42" s="26" t="n">
        <v>0</v>
      </c>
      <c r="HE42" s="26" t="n">
        <v>0</v>
      </c>
      <c r="HF42" s="26" t="n">
        <v>0</v>
      </c>
      <c r="HG42" s="26" t="n">
        <v>0</v>
      </c>
      <c r="HH42" s="26" t="n">
        <v>0</v>
      </c>
      <c r="HI42" s="26" t="n">
        <v>0</v>
      </c>
      <c r="HJ42" s="26" t="n">
        <v>0</v>
      </c>
      <c r="HK42" s="26" t="n">
        <v>0</v>
      </c>
      <c r="HL42" s="26" t="n">
        <v>0</v>
      </c>
      <c r="HM42" s="26" t="n">
        <v>0</v>
      </c>
      <c r="HN42" s="26" t="n">
        <v>0</v>
      </c>
      <c r="HO42" s="26" t="n">
        <v>0</v>
      </c>
      <c r="HP42" s="26" t="n">
        <v>0</v>
      </c>
      <c r="HQ42" s="26" t="n">
        <v>0</v>
      </c>
      <c r="HR42" s="26" t="n">
        <v>0</v>
      </c>
      <c r="HS42" s="26" t="n">
        <v>0</v>
      </c>
      <c r="HT42" s="26" t="n">
        <v>0</v>
      </c>
      <c r="HU42" s="26" t="n">
        <v>0</v>
      </c>
    </row>
    <row r="43" ht="6.6" customHeight="1">
      <c r="A43" s="1" t="n"/>
      <c r="B43" s="128" t="n"/>
      <c r="C43" s="512" t="n"/>
      <c r="D43" s="512" t="n"/>
      <c r="E43" s="512" t="n"/>
      <c r="F43" s="512" t="n"/>
      <c r="G43" s="512" t="n"/>
      <c r="H43" s="512" t="n"/>
      <c r="I43" s="512" t="n"/>
      <c r="J43" s="513" t="n"/>
      <c r="K43" s="512" t="n"/>
      <c r="L43" s="512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514" t="n"/>
      <c r="AA43" s="514" t="n"/>
      <c r="AB43" s="514" t="n"/>
      <c r="AC43" s="514" t="n"/>
      <c r="AD43" s="512" t="n"/>
      <c r="AE43" s="533" t="n"/>
      <c r="AF43" s="512" t="n"/>
      <c r="AG43" s="512" t="n"/>
      <c r="AH43" s="512" t="n"/>
      <c r="AI43" s="512" t="n"/>
      <c r="AJ43" s="512" t="n"/>
      <c r="AK43" s="512" t="n"/>
      <c r="AL43" s="512" t="n"/>
      <c r="AM43" s="512" t="n"/>
      <c r="AN43" s="512" t="n"/>
      <c r="AO43" s="512" t="n"/>
      <c r="AP43" s="512" t="n"/>
      <c r="AQ43" s="512" t="n"/>
      <c r="AR43" s="512" t="n"/>
      <c r="AS43" s="512" t="n"/>
      <c r="AT43" s="512" t="n"/>
      <c r="AU43" s="512" t="n"/>
      <c r="AV43" s="512" t="n"/>
      <c r="AW43" s="512" t="n"/>
      <c r="AX43" s="512" t="n"/>
      <c r="AY43" s="512" t="n"/>
      <c r="AZ43" s="512" t="n"/>
      <c r="BA43" s="512" t="n"/>
      <c r="BB43" s="512" t="n"/>
      <c r="BC43" s="512" t="n"/>
      <c r="BD43" s="515" t="n"/>
      <c r="BE43" s="512" t="n"/>
      <c r="BF43" s="512" t="n"/>
      <c r="BG43" s="512" t="n"/>
      <c r="BH43" s="512" t="n"/>
      <c r="BI43" s="512" t="n"/>
      <c r="BJ43" s="512" t="n"/>
      <c r="BK43" s="512" t="n"/>
      <c r="BL43" s="512" t="n"/>
      <c r="BM43" s="512" t="n"/>
      <c r="BN43" s="512" t="n"/>
      <c r="BO43" s="512" t="n"/>
      <c r="BP43" s="515" t="n"/>
      <c r="BQ43" s="512" t="n"/>
      <c r="BR43" s="512" t="n"/>
      <c r="BS43" s="512" t="n"/>
      <c r="BT43" s="512" t="n"/>
      <c r="BU43" s="512" t="n"/>
      <c r="BV43" s="512" t="n"/>
      <c r="BW43" s="512" t="n"/>
      <c r="BX43" s="512" t="n"/>
      <c r="BY43" s="512" t="n"/>
      <c r="BZ43" s="512" t="n"/>
      <c r="CA43" s="512" t="n"/>
      <c r="CB43" s="515" t="n"/>
      <c r="CC43" s="512" t="n"/>
      <c r="CD43" s="512" t="n"/>
      <c r="CE43" s="512" t="n"/>
      <c r="CF43" s="512" t="n"/>
      <c r="CG43" s="512" t="n"/>
      <c r="CH43" s="512" t="n"/>
      <c r="CI43" s="512" t="n"/>
      <c r="CJ43" s="512" t="n"/>
      <c r="CK43" s="512" t="n"/>
      <c r="CL43" s="512" t="n"/>
      <c r="CM43" s="512" t="n"/>
      <c r="CN43" s="515" t="n"/>
      <c r="CO43" s="512" t="n"/>
      <c r="CP43" s="512" t="n"/>
      <c r="CQ43" s="512" t="n"/>
      <c r="CR43" s="512" t="n"/>
      <c r="CS43" s="512" t="n"/>
      <c r="CT43" s="512" t="n"/>
      <c r="CU43" s="512" t="n"/>
      <c r="CV43" s="512" t="n"/>
      <c r="CW43" s="512" t="n"/>
      <c r="CX43" s="512" t="n"/>
      <c r="CY43" s="512" t="n"/>
      <c r="CZ43" s="515" t="n"/>
      <c r="DA43" s="512" t="n"/>
      <c r="DB43" s="512" t="n"/>
      <c r="DC43" s="512" t="n"/>
      <c r="DD43" s="512" t="n"/>
      <c r="DE43" s="512" t="n"/>
      <c r="DF43" s="512" t="n"/>
      <c r="DG43" s="512" t="n"/>
      <c r="DH43" s="512" t="n"/>
      <c r="DI43" s="512" t="n"/>
      <c r="DJ43" s="512" t="n"/>
      <c r="DK43" s="512" t="n"/>
      <c r="DL43" s="512" t="n"/>
      <c r="DM43" s="512" t="n"/>
      <c r="DN43" s="512" t="n"/>
      <c r="DO43" s="512" t="n"/>
      <c r="DP43" s="512" t="n"/>
      <c r="DQ43" s="512" t="n"/>
      <c r="DR43" s="512" t="n"/>
      <c r="DS43" s="512" t="n"/>
      <c r="DT43" s="512" t="n"/>
      <c r="DU43" s="512" t="n"/>
      <c r="DV43" s="512" t="n"/>
      <c r="DW43" s="512" t="n"/>
      <c r="DX43" s="512" t="n"/>
      <c r="DY43" s="512" t="n"/>
      <c r="DZ43" s="512" t="n"/>
      <c r="EA43" s="512" t="n"/>
      <c r="EB43" s="512" t="n"/>
      <c r="EC43" s="512" t="n"/>
      <c r="ED43" s="512" t="n"/>
      <c r="EE43" s="512" t="n"/>
      <c r="EF43" s="512" t="n"/>
      <c r="EG43" s="512" t="n"/>
      <c r="EH43" s="512" t="n"/>
      <c r="EI43" s="512" t="n"/>
      <c r="EJ43" s="512" t="n"/>
      <c r="EK43" s="512" t="n"/>
      <c r="EL43" s="512" t="n"/>
      <c r="EM43" s="512" t="n"/>
      <c r="EN43" s="512" t="n"/>
      <c r="EO43" s="512" t="n"/>
      <c r="EP43" s="512" t="n"/>
      <c r="EQ43" s="512" t="n"/>
      <c r="ER43" s="512" t="n"/>
      <c r="ES43" s="512" t="n"/>
      <c r="ET43" s="512" t="n"/>
      <c r="EU43" s="512" t="n"/>
      <c r="EV43" s="512" t="n"/>
      <c r="EW43" s="512" t="n"/>
      <c r="EX43" s="512" t="n"/>
      <c r="EY43" s="512" t="n"/>
      <c r="EZ43" s="512" t="n"/>
      <c r="FA43" s="512" t="n"/>
      <c r="FB43" s="512" t="n"/>
      <c r="FC43" s="512" t="n"/>
      <c r="FD43" s="512" t="n"/>
      <c r="FE43" s="512" t="n"/>
      <c r="FF43" s="512" t="n"/>
      <c r="FG43" s="512" t="n"/>
      <c r="FH43" s="512" t="n"/>
      <c r="FI43" s="512" t="n"/>
      <c r="FJ43" s="512" t="n"/>
      <c r="FK43" s="512" t="n"/>
      <c r="FL43" s="512" t="n"/>
      <c r="FM43" s="512" t="n"/>
      <c r="FN43" s="512" t="n"/>
      <c r="FO43" s="512" t="n"/>
      <c r="FP43" s="512" t="n"/>
      <c r="FQ43" s="512" t="n"/>
      <c r="FR43" s="512" t="n"/>
      <c r="FS43" s="512" t="n"/>
      <c r="FT43" s="512" t="n"/>
      <c r="FU43" s="512" t="n"/>
      <c r="FV43" s="512" t="n"/>
      <c r="FW43" s="512" t="n"/>
      <c r="FX43" s="512" t="n"/>
      <c r="FY43" s="512" t="n"/>
      <c r="FZ43" s="512" t="n"/>
      <c r="GA43" s="512" t="n"/>
      <c r="GB43" s="512" t="n"/>
      <c r="GC43" s="512" t="n"/>
      <c r="GD43" s="512" t="n"/>
      <c r="GE43" s="512" t="n"/>
      <c r="GF43" s="512" t="n"/>
      <c r="GG43" s="512" t="n"/>
      <c r="GH43" s="512" t="n"/>
      <c r="GI43" s="512" t="n"/>
      <c r="GJ43" s="512" t="n"/>
      <c r="GK43" s="512" t="n"/>
      <c r="GL43" s="512" t="n"/>
      <c r="GM43" s="512" t="n"/>
      <c r="GN43" s="512" t="n"/>
      <c r="GO43" s="512" t="n"/>
      <c r="GP43" s="512" t="n"/>
      <c r="GQ43" s="512" t="n"/>
      <c r="GR43" s="512" t="n"/>
      <c r="GS43" s="512" t="n"/>
      <c r="GT43" s="512" t="n"/>
      <c r="GU43" s="512" t="n"/>
      <c r="GV43" s="512" t="n"/>
      <c r="GW43" s="512" t="n"/>
      <c r="GX43" s="512" t="n"/>
      <c r="GY43" s="512" t="n"/>
      <c r="GZ43" s="512" t="n"/>
      <c r="HA43" s="512" t="n"/>
      <c r="HB43" s="512" t="n"/>
      <c r="HC43" s="512" t="n"/>
      <c r="HD43" s="512" t="n"/>
      <c r="HE43" s="512" t="n"/>
      <c r="HF43" s="512" t="n"/>
      <c r="HG43" s="512" t="n"/>
      <c r="HH43" s="512" t="n"/>
      <c r="HI43" s="512" t="n"/>
      <c r="HJ43" s="512" t="n"/>
      <c r="HK43" s="512" t="n"/>
      <c r="HL43" s="512" t="n"/>
      <c r="HM43" s="512" t="n"/>
      <c r="HN43" s="512" t="n"/>
      <c r="HO43" s="512" t="n"/>
      <c r="HP43" s="512" t="n"/>
      <c r="HQ43" s="512" t="n"/>
      <c r="HR43" s="512" t="n"/>
      <c r="HS43" s="512" t="n"/>
      <c r="HT43" s="512" t="n"/>
      <c r="HU43" s="512" t="n"/>
    </row>
    <row r="44" ht="16.2" customHeight="1">
      <c r="A44" s="19" t="inlineStr">
        <is>
          <t>DESPESAS JÚRIDICAS (-)</t>
        </is>
      </c>
      <c r="B44" s="139" t="n"/>
      <c r="C44" s="20" t="n"/>
      <c r="D44" s="22" t="n"/>
      <c r="E44" s="20" t="n"/>
      <c r="F44" s="20" t="n"/>
      <c r="G44" s="20" t="n"/>
      <c r="H44" s="20" t="n"/>
      <c r="I44" s="21" t="n"/>
      <c r="J44" s="175" t="n"/>
      <c r="K44" s="21" t="n"/>
      <c r="L44" s="108" t="n"/>
      <c r="M44" s="220" t="n"/>
      <c r="N44" s="220" t="n"/>
      <c r="O44" s="220" t="n"/>
      <c r="P44" s="220" t="n"/>
      <c r="Q44" s="220" t="n"/>
      <c r="R44" s="220" t="n"/>
      <c r="S44" s="220" t="n"/>
      <c r="T44" s="220" t="n"/>
      <c r="U44" s="220" t="n"/>
      <c r="V44" s="220" t="n"/>
      <c r="W44" s="220" t="n"/>
      <c r="X44" s="220" t="n"/>
      <c r="Y44" s="220" t="n"/>
      <c r="Z44" s="220" t="n"/>
      <c r="AA44" s="220" t="n"/>
      <c r="AB44" s="220" t="n"/>
      <c r="AC44" s="220" t="n"/>
      <c r="AD44" s="200" t="n"/>
      <c r="AE44" s="241" t="n"/>
      <c r="AF44" s="200" t="n"/>
      <c r="AG44" s="22" t="n"/>
      <c r="AH44" s="22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1" t="n"/>
      <c r="AR44" s="21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99" t="n"/>
      <c r="BE44" s="22" t="n"/>
      <c r="BF44" s="20" t="n"/>
      <c r="BG44" s="20" t="n"/>
      <c r="BH44" s="20" t="n"/>
      <c r="BI44" s="20" t="n"/>
      <c r="BJ44" s="20" t="n"/>
      <c r="BK44" s="20" t="n"/>
      <c r="BL44" s="20" t="n"/>
      <c r="BM44" s="20" t="n"/>
      <c r="BN44" s="20" t="n"/>
      <c r="BO44" s="20" t="n"/>
      <c r="BP44" s="299" t="n"/>
      <c r="BQ44" s="22" t="n"/>
      <c r="BR44" s="20" t="n"/>
      <c r="BS44" s="20" t="n"/>
      <c r="BT44" s="20" t="n"/>
      <c r="BU44" s="20" t="n"/>
      <c r="BV44" s="20" t="n"/>
      <c r="BW44" s="20" t="n"/>
      <c r="BX44" s="20" t="n"/>
      <c r="BY44" s="20" t="n"/>
      <c r="BZ44" s="20" t="n"/>
      <c r="CA44" s="20" t="n"/>
      <c r="CB44" s="299" t="n"/>
      <c r="CC44" s="22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0" t="n"/>
      <c r="CM44" s="20" t="n"/>
      <c r="CN44" s="299" t="n"/>
      <c r="CO44" s="22" t="n"/>
      <c r="CP44" s="20" t="n"/>
      <c r="CQ44" s="20" t="n"/>
      <c r="CR44" s="20" t="n"/>
      <c r="CS44" s="20" t="n"/>
      <c r="CT44" s="20" t="n"/>
      <c r="CU44" s="20" t="n"/>
      <c r="CV44" s="20" t="n"/>
      <c r="CW44" s="20" t="n"/>
      <c r="CX44" s="20" t="n"/>
      <c r="CY44" s="20" t="n"/>
      <c r="CZ44" s="299" t="n"/>
      <c r="DA44" s="22" t="n"/>
      <c r="DB44" s="20" t="n"/>
      <c r="DC44" s="20" t="n"/>
      <c r="DD44" s="20" t="n"/>
      <c r="DE44" s="20" t="n"/>
      <c r="DF44" s="20" t="n"/>
      <c r="DG44" s="20" t="n"/>
      <c r="DH44" s="20" t="n"/>
      <c r="DI44" s="20" t="n"/>
      <c r="DJ44" s="21" t="n"/>
      <c r="DK44" s="20" t="n"/>
      <c r="DL44" s="21" t="n"/>
      <c r="DM44" s="20" t="n"/>
      <c r="DN44" s="21" t="n"/>
      <c r="DO44" s="21" t="n"/>
      <c r="DP44" s="21" t="n"/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n"/>
      <c r="DZ44" s="21" t="n"/>
      <c r="EA44" s="21" t="n"/>
      <c r="EB44" s="21" t="n"/>
      <c r="EC44" s="21" t="n"/>
      <c r="ED44" s="21" t="n"/>
      <c r="EE44" s="21" t="n"/>
      <c r="EF44" s="21" t="n"/>
      <c r="EG44" s="21" t="n"/>
      <c r="EH44" s="21" t="n"/>
      <c r="EI44" s="21" t="n"/>
      <c r="EJ44" s="21" t="n"/>
      <c r="EK44" s="21" t="n"/>
      <c r="EL44" s="21" t="n"/>
      <c r="EM44" s="21" t="n"/>
      <c r="EN44" s="21" t="n"/>
      <c r="EO44" s="21" t="n"/>
      <c r="EP44" s="21" t="n"/>
      <c r="EQ44" s="21" t="n"/>
      <c r="ER44" s="21" t="n"/>
      <c r="ES44" s="21" t="n"/>
      <c r="ET44" s="21" t="n"/>
      <c r="EU44" s="21" t="n"/>
      <c r="EV44" s="21" t="n"/>
      <c r="EW44" s="21" t="n"/>
      <c r="EX44" s="21" t="n"/>
      <c r="EY44" s="21" t="n"/>
      <c r="EZ44" s="21" t="n"/>
      <c r="FA44" s="21" t="n"/>
      <c r="FB44" s="21" t="n"/>
      <c r="FC44" s="21" t="n"/>
      <c r="FD44" s="21" t="n"/>
      <c r="FE44" s="21" t="n"/>
      <c r="FF44" s="21" t="n"/>
      <c r="FG44" s="21" t="n"/>
      <c r="FH44" s="21" t="n"/>
      <c r="FI44" s="21" t="n"/>
      <c r="FJ44" s="21" t="n"/>
      <c r="FK44" s="21" t="n"/>
      <c r="FL44" s="21" t="n"/>
      <c r="FM44" s="21" t="n"/>
      <c r="FN44" s="21" t="n"/>
      <c r="FO44" s="21" t="n"/>
      <c r="FP44" s="21" t="n"/>
      <c r="FQ44" s="21" t="n"/>
      <c r="FR44" s="21" t="n"/>
      <c r="FS44" s="21" t="n"/>
      <c r="FT44" s="21" t="n"/>
      <c r="FU44" s="21" t="n"/>
      <c r="FV44" s="21" t="n"/>
      <c r="FW44" s="21" t="n"/>
      <c r="FX44" s="21" t="n"/>
      <c r="FY44" s="21" t="n"/>
      <c r="FZ44" s="21" t="n"/>
      <c r="GA44" s="21" t="n"/>
      <c r="GB44" s="21" t="n"/>
      <c r="GC44" s="21" t="n"/>
      <c r="GD44" s="21" t="n"/>
      <c r="GE44" s="21" t="n"/>
      <c r="GF44" s="21" t="n"/>
      <c r="GG44" s="21" t="n"/>
      <c r="GH44" s="21" t="n"/>
      <c r="GI44" s="21" t="n"/>
      <c r="GJ44" s="21" t="n"/>
      <c r="GK44" s="21" t="n"/>
      <c r="GL44" s="21" t="n"/>
      <c r="GM44" s="21" t="n"/>
      <c r="GN44" s="21" t="n"/>
      <c r="GO44" s="21" t="n"/>
      <c r="GP44" s="21" t="n"/>
      <c r="GQ44" s="21" t="n"/>
      <c r="GR44" s="21" t="n"/>
      <c r="GS44" s="21" t="n"/>
      <c r="GT44" s="21" t="n"/>
      <c r="GU44" s="21" t="n"/>
      <c r="GV44" s="21" t="n"/>
      <c r="GW44" s="21" t="n"/>
      <c r="GX44" s="21" t="n"/>
      <c r="GY44" s="21" t="n"/>
      <c r="GZ44" s="21" t="n"/>
      <c r="HA44" s="21" t="n"/>
      <c r="HB44" s="21" t="n"/>
      <c r="HC44" s="21" t="n"/>
      <c r="HD44" s="21" t="n"/>
      <c r="HE44" s="21" t="n"/>
      <c r="HF44" s="21" t="n"/>
      <c r="HG44" s="21" t="n"/>
      <c r="HH44" s="21" t="n"/>
      <c r="HI44" s="21" t="n"/>
      <c r="HJ44" s="21" t="n"/>
      <c r="HK44" s="21" t="n"/>
      <c r="HL44" s="21" t="n"/>
      <c r="HM44" s="21" t="n"/>
      <c r="HN44" s="21" t="n"/>
      <c r="HO44" s="21" t="n"/>
      <c r="HP44" s="21" t="n"/>
      <c r="HQ44" s="21" t="n"/>
      <c r="HR44" s="21" t="n"/>
      <c r="HS44" s="21" t="n"/>
      <c r="HT44" s="21" t="n"/>
      <c r="HU44" s="21" t="n"/>
    </row>
    <row r="45" ht="18.75" customHeight="1">
      <c r="A45" s="7" t="inlineStr">
        <is>
          <t>Despesas juridicas</t>
        </is>
      </c>
      <c r="B45" s="136">
        <f>SUM(C45:X45)</f>
        <v/>
      </c>
      <c r="C45" s="85" t="n"/>
      <c r="D45" s="87" t="n"/>
      <c r="E45" s="85" t="n"/>
      <c r="F45" s="85" t="n"/>
      <c r="G45" s="85" t="n"/>
      <c r="H45" s="85" t="n"/>
      <c r="I45" s="86" t="n"/>
      <c r="J45" s="218" t="n"/>
      <c r="K45" s="113" t="n"/>
      <c r="L45" s="122" t="n"/>
      <c r="M45" s="219" t="n"/>
      <c r="N45" s="219" t="n"/>
      <c r="O45" s="219" t="n"/>
      <c r="P45" s="219" t="n"/>
      <c r="Q45" s="219" t="n"/>
      <c r="R45" s="219" t="n"/>
      <c r="S45" s="219" t="n"/>
      <c r="T45" s="219" t="n"/>
      <c r="U45" s="219" t="n"/>
      <c r="V45" s="219" t="n"/>
      <c r="W45" s="219" t="n"/>
      <c r="X45" s="219" t="n"/>
      <c r="Y45" s="219" t="n"/>
      <c r="Z45" s="219" t="n"/>
      <c r="AA45" s="219" t="n"/>
      <c r="AB45" s="219" t="n"/>
      <c r="AC45" s="219" t="n"/>
      <c r="AD45" s="13" t="n"/>
      <c r="AE45" s="342">
        <f>SUM(AG45:HU45)</f>
        <v/>
      </c>
      <c r="AF45" s="13" t="n"/>
      <c r="AG45" s="26" t="n">
        <v>0</v>
      </c>
      <c r="AH45" s="26" t="n">
        <v>0</v>
      </c>
      <c r="AI45" s="26" t="n">
        <v>0</v>
      </c>
      <c r="AJ45" s="26" t="n">
        <v>0</v>
      </c>
      <c r="AK45" s="26" t="n">
        <v>0</v>
      </c>
      <c r="AL45" s="26" t="n">
        <v>0</v>
      </c>
      <c r="AM45" s="26" t="n">
        <v>0</v>
      </c>
      <c r="AN45" s="26" t="n">
        <v>0</v>
      </c>
      <c r="AO45" s="26" t="n">
        <v>0</v>
      </c>
      <c r="AP45" s="26" t="n">
        <v>0</v>
      </c>
      <c r="AQ45" s="26" t="n">
        <v>0</v>
      </c>
      <c r="AR45" s="26" t="n">
        <v>0</v>
      </c>
      <c r="AS45" s="26" t="n">
        <v>0</v>
      </c>
      <c r="AT45" s="26" t="n">
        <v>0</v>
      </c>
      <c r="AU45" s="26" t="n">
        <v>0</v>
      </c>
      <c r="AV45" s="26" t="n">
        <v>0</v>
      </c>
      <c r="AW45" s="26" t="n">
        <v>0</v>
      </c>
      <c r="AX45" s="26" t="n">
        <v>0</v>
      </c>
      <c r="AY45" s="26" t="n">
        <v>0</v>
      </c>
      <c r="AZ45" s="26" t="n">
        <v>0</v>
      </c>
      <c r="BA45" s="26" t="n">
        <v>0</v>
      </c>
      <c r="BB45" s="26" t="n">
        <v>0</v>
      </c>
      <c r="BC45" s="26" t="n">
        <v>0</v>
      </c>
      <c r="BD45" s="26" t="n">
        <v>0</v>
      </c>
      <c r="BE45" s="26" t="n">
        <v>0</v>
      </c>
      <c r="BF45" s="26" t="n">
        <v>0</v>
      </c>
      <c r="BG45" s="26" t="n">
        <v>0</v>
      </c>
      <c r="BH45" s="26" t="n">
        <v>0</v>
      </c>
      <c r="BI45" s="26" t="n">
        <v>0</v>
      </c>
      <c r="BJ45" s="26" t="n">
        <v>0</v>
      </c>
      <c r="BK45" s="26" t="n">
        <v>0</v>
      </c>
      <c r="BL45" s="26" t="n">
        <v>0</v>
      </c>
      <c r="BM45" s="26" t="n">
        <v>0</v>
      </c>
      <c r="BN45" s="26" t="n">
        <v>0</v>
      </c>
      <c r="BO45" s="26" t="n">
        <v>0</v>
      </c>
      <c r="BP45" s="26" t="n">
        <v>0</v>
      </c>
      <c r="BQ45" s="26" t="n">
        <v>0</v>
      </c>
      <c r="BR45" s="26" t="n">
        <v>0</v>
      </c>
      <c r="BS45" s="26" t="n">
        <v>0</v>
      </c>
      <c r="BT45" s="26" t="n">
        <v>0</v>
      </c>
      <c r="BU45" s="26" t="n">
        <v>0</v>
      </c>
      <c r="BV45" s="26" t="n">
        <v>0</v>
      </c>
      <c r="BW45" s="26" t="n">
        <v>0</v>
      </c>
      <c r="BX45" s="26" t="n">
        <v>0</v>
      </c>
      <c r="BY45" s="26" t="n">
        <v>0</v>
      </c>
      <c r="BZ45" s="26" t="n">
        <v>0</v>
      </c>
      <c r="CA45" s="26" t="n">
        <v>0</v>
      </c>
      <c r="CB45" s="26" t="n">
        <v>0</v>
      </c>
      <c r="CC45" s="26" t="n">
        <v>0</v>
      </c>
      <c r="CD45" s="26" t="n">
        <v>0</v>
      </c>
      <c r="CE45" s="26" t="n">
        <v>0</v>
      </c>
      <c r="CF45" s="26" t="n">
        <v>0</v>
      </c>
      <c r="CG45" s="26" t="n">
        <v>0</v>
      </c>
      <c r="CH45" s="26" t="n">
        <v>0</v>
      </c>
      <c r="CI45" s="26" t="n">
        <v>0</v>
      </c>
      <c r="CJ45" s="26" t="n">
        <v>0</v>
      </c>
      <c r="CK45" s="26" t="n">
        <v>0</v>
      </c>
      <c r="CL45" s="26" t="n">
        <v>0</v>
      </c>
      <c r="CM45" s="26" t="n">
        <v>0</v>
      </c>
      <c r="CN45" s="26" t="n">
        <v>0</v>
      </c>
      <c r="CO45" s="26" t="n">
        <v>0</v>
      </c>
      <c r="CP45" s="26" t="n">
        <v>0</v>
      </c>
      <c r="CQ45" s="26" t="n">
        <v>0</v>
      </c>
      <c r="CR45" s="26" t="n">
        <v>0</v>
      </c>
      <c r="CS45" s="26" t="n">
        <v>0</v>
      </c>
      <c r="CT45" s="26" t="n">
        <v>0</v>
      </c>
      <c r="CU45" s="26" t="n">
        <v>0</v>
      </c>
      <c r="CV45" s="26" t="n">
        <v>0</v>
      </c>
      <c r="CW45" s="26" t="n">
        <v>0</v>
      </c>
      <c r="CX45" s="26" t="n">
        <v>0</v>
      </c>
      <c r="CY45" s="26" t="n">
        <v>0</v>
      </c>
      <c r="CZ45" s="26" t="n">
        <v>0</v>
      </c>
      <c r="DA45" s="26" t="n">
        <v>0</v>
      </c>
      <c r="DB45" s="26" t="n">
        <v>0</v>
      </c>
      <c r="DC45" s="26" t="n">
        <v>0</v>
      </c>
      <c r="DD45" s="26" t="n">
        <v>0</v>
      </c>
      <c r="DE45" s="26" t="n">
        <v>0</v>
      </c>
      <c r="DF45" s="26" t="n">
        <v>0</v>
      </c>
      <c r="DG45" s="26" t="n">
        <v>0</v>
      </c>
      <c r="DH45" s="26" t="n">
        <v>0</v>
      </c>
      <c r="DI45" s="26" t="n">
        <v>0</v>
      </c>
      <c r="DJ45" s="26" t="n">
        <v>0</v>
      </c>
      <c r="DK45" s="26" t="n">
        <v>0</v>
      </c>
      <c r="DL45" s="26" t="n">
        <v>0</v>
      </c>
      <c r="DM45" s="26" t="n">
        <v>0</v>
      </c>
      <c r="DN45" s="26" t="n">
        <v>0</v>
      </c>
      <c r="DO45" s="26" t="n">
        <v>0</v>
      </c>
      <c r="DP45" s="26" t="n">
        <v>0</v>
      </c>
      <c r="DQ45" s="26" t="n">
        <v>0</v>
      </c>
      <c r="DR45" s="26" t="n">
        <v>0</v>
      </c>
      <c r="DS45" s="26" t="n">
        <v>0</v>
      </c>
      <c r="DT45" s="26" t="n">
        <v>0</v>
      </c>
      <c r="DU45" s="26" t="n">
        <v>0</v>
      </c>
      <c r="DV45" s="26" t="n">
        <v>0</v>
      </c>
      <c r="DW45" s="26" t="n">
        <v>0</v>
      </c>
      <c r="DX45" s="26" t="n">
        <v>0</v>
      </c>
      <c r="DY45" s="26" t="n">
        <v>0</v>
      </c>
      <c r="DZ45" s="26" t="n">
        <v>0</v>
      </c>
      <c r="EA45" s="26" t="n">
        <v>0</v>
      </c>
      <c r="EB45" s="26" t="n">
        <v>0</v>
      </c>
      <c r="EC45" s="26" t="n">
        <v>0</v>
      </c>
      <c r="ED45" s="26" t="n">
        <v>0</v>
      </c>
      <c r="EE45" s="26" t="n">
        <v>0</v>
      </c>
      <c r="EF45" s="26" t="n">
        <v>0</v>
      </c>
      <c r="EG45" s="26" t="n">
        <v>0</v>
      </c>
      <c r="EH45" s="26" t="n">
        <v>0</v>
      </c>
      <c r="EI45" s="26" t="n">
        <v>0</v>
      </c>
      <c r="EJ45" s="26" t="n">
        <v>0</v>
      </c>
      <c r="EK45" s="26" t="n">
        <v>0</v>
      </c>
      <c r="EL45" s="26" t="n">
        <v>0</v>
      </c>
      <c r="EM45" s="26" t="n">
        <v>0</v>
      </c>
      <c r="EN45" s="26" t="n">
        <v>0</v>
      </c>
      <c r="EO45" s="26" t="n">
        <v>0</v>
      </c>
      <c r="EP45" s="26" t="n">
        <v>0</v>
      </c>
      <c r="EQ45" s="26" t="n">
        <v>0</v>
      </c>
      <c r="ER45" s="26" t="n">
        <v>0</v>
      </c>
      <c r="ES45" s="26" t="n">
        <v>0</v>
      </c>
      <c r="ET45" s="26" t="n">
        <v>0</v>
      </c>
      <c r="EU45" s="26" t="n">
        <v>0</v>
      </c>
      <c r="EV45" s="26" t="n">
        <v>0</v>
      </c>
      <c r="EW45" s="26" t="n">
        <v>0</v>
      </c>
      <c r="EX45" s="26" t="n">
        <v>0</v>
      </c>
      <c r="EY45" s="26" t="n">
        <v>0</v>
      </c>
      <c r="EZ45" s="26" t="n">
        <v>0</v>
      </c>
      <c r="FA45" s="26" t="n">
        <v>0</v>
      </c>
      <c r="FB45" s="26" t="n">
        <v>0</v>
      </c>
      <c r="FC45" s="26" t="n">
        <v>0</v>
      </c>
      <c r="FD45" s="26" t="n">
        <v>0</v>
      </c>
      <c r="FE45" s="26" t="n">
        <v>0</v>
      </c>
      <c r="FF45" s="26" t="n">
        <v>0</v>
      </c>
      <c r="FG45" s="26" t="n">
        <v>0</v>
      </c>
      <c r="FH45" s="26" t="n">
        <v>0</v>
      </c>
      <c r="FI45" s="26" t="n">
        <v>0</v>
      </c>
      <c r="FJ45" s="26" t="n">
        <v>0</v>
      </c>
      <c r="FK45" s="26" t="n">
        <v>0</v>
      </c>
      <c r="FL45" s="26" t="n">
        <v>0</v>
      </c>
      <c r="FM45" s="26" t="n">
        <v>0</v>
      </c>
      <c r="FN45" s="26" t="n">
        <v>0</v>
      </c>
      <c r="FO45" s="26" t="n">
        <v>0</v>
      </c>
      <c r="FP45" s="26" t="n">
        <v>0</v>
      </c>
      <c r="FQ45" s="26" t="n">
        <v>0</v>
      </c>
      <c r="FR45" s="26" t="n">
        <v>0</v>
      </c>
      <c r="FS45" s="26" t="n">
        <v>0</v>
      </c>
      <c r="FT45" s="26" t="n">
        <v>0</v>
      </c>
      <c r="FU45" s="26" t="n">
        <v>0</v>
      </c>
      <c r="FV45" s="26" t="n">
        <v>0</v>
      </c>
      <c r="FW45" s="26" t="n">
        <v>0</v>
      </c>
      <c r="FX45" s="26" t="n">
        <v>0</v>
      </c>
      <c r="FY45" s="26" t="n">
        <v>0</v>
      </c>
      <c r="FZ45" s="26" t="n">
        <v>0</v>
      </c>
      <c r="GA45" s="26" t="n">
        <v>0</v>
      </c>
      <c r="GB45" s="26" t="n">
        <v>0</v>
      </c>
      <c r="GC45" s="26" t="n">
        <v>0</v>
      </c>
      <c r="GD45" s="26" t="n">
        <v>0</v>
      </c>
      <c r="GE45" s="26" t="n">
        <v>0</v>
      </c>
      <c r="GF45" s="26" t="n">
        <v>0</v>
      </c>
      <c r="GG45" s="26" t="n">
        <v>0</v>
      </c>
      <c r="GH45" s="26" t="n">
        <v>0</v>
      </c>
      <c r="GI45" s="26" t="n">
        <v>0</v>
      </c>
      <c r="GJ45" s="26" t="n">
        <v>0</v>
      </c>
      <c r="GK45" s="26" t="n">
        <v>0</v>
      </c>
      <c r="GL45" s="26" t="n">
        <v>0</v>
      </c>
      <c r="GM45" s="26" t="n">
        <v>0</v>
      </c>
      <c r="GN45" s="26" t="n">
        <v>0</v>
      </c>
      <c r="GO45" s="26" t="n">
        <v>0</v>
      </c>
      <c r="GP45" s="26" t="n">
        <v>0</v>
      </c>
      <c r="GQ45" s="26" t="n">
        <v>0</v>
      </c>
      <c r="GR45" s="26" t="n">
        <v>0</v>
      </c>
      <c r="GS45" s="26" t="n">
        <v>0</v>
      </c>
      <c r="GT45" s="26" t="n">
        <v>0</v>
      </c>
      <c r="GU45" s="26" t="n">
        <v>0</v>
      </c>
      <c r="GV45" s="26" t="n">
        <v>0</v>
      </c>
      <c r="GW45" s="26" t="n">
        <v>0</v>
      </c>
      <c r="GX45" s="26" t="n">
        <v>0</v>
      </c>
      <c r="GY45" s="26" t="n">
        <v>0</v>
      </c>
      <c r="GZ45" s="26" t="n">
        <v>0</v>
      </c>
      <c r="HA45" s="26" t="n">
        <v>0</v>
      </c>
      <c r="HB45" s="26" t="n">
        <v>0</v>
      </c>
      <c r="HC45" s="26" t="n">
        <v>0</v>
      </c>
      <c r="HD45" s="26" t="n">
        <v>0</v>
      </c>
      <c r="HE45" s="26" t="n">
        <v>0</v>
      </c>
      <c r="HF45" s="26" t="n">
        <v>0</v>
      </c>
      <c r="HG45" s="26" t="n">
        <v>0</v>
      </c>
      <c r="HH45" s="26" t="n">
        <v>0</v>
      </c>
      <c r="HI45" s="26" t="n">
        <v>0</v>
      </c>
      <c r="HJ45" s="26" t="n">
        <v>0</v>
      </c>
      <c r="HK45" s="26" t="n">
        <v>0</v>
      </c>
      <c r="HL45" s="26" t="n">
        <v>0</v>
      </c>
      <c r="HM45" s="26" t="n">
        <v>0</v>
      </c>
      <c r="HN45" s="26" t="n">
        <v>0</v>
      </c>
      <c r="HO45" s="26" t="n">
        <v>0</v>
      </c>
      <c r="HP45" s="26" t="n">
        <v>0</v>
      </c>
      <c r="HQ45" s="26" t="n">
        <v>0</v>
      </c>
      <c r="HR45" s="26" t="n">
        <v>0</v>
      </c>
      <c r="HS45" s="26" t="n">
        <v>0</v>
      </c>
      <c r="HT45" s="26" t="n">
        <v>0</v>
      </c>
      <c r="HU45" s="26" t="n">
        <v>0</v>
      </c>
    </row>
    <row r="46" ht="6" customHeight="1">
      <c r="A46" s="1" t="n"/>
      <c r="B46" s="128" t="n"/>
      <c r="C46" s="512" t="n"/>
      <c r="D46" s="512" t="n"/>
      <c r="E46" s="512" t="n"/>
      <c r="F46" s="512" t="n"/>
      <c r="G46" s="512" t="n"/>
      <c r="H46" s="512" t="n"/>
      <c r="I46" s="512" t="n"/>
      <c r="J46" s="513" t="n"/>
      <c r="K46" s="512" t="n"/>
      <c r="L46" s="512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514" t="n"/>
      <c r="AA46" s="514" t="n"/>
      <c r="AB46" s="514" t="n"/>
      <c r="AC46" s="514" t="n"/>
      <c r="AD46" s="512" t="n"/>
      <c r="AE46" s="533" t="n"/>
      <c r="AF46" s="512" t="n"/>
      <c r="AG46" s="512" t="n"/>
      <c r="AH46" s="512" t="n"/>
      <c r="AI46" s="512" t="n"/>
      <c r="AJ46" s="512" t="n"/>
      <c r="AK46" s="512" t="n"/>
      <c r="AL46" s="512" t="n"/>
      <c r="AM46" s="512" t="n"/>
      <c r="AN46" s="512" t="n"/>
      <c r="AO46" s="512" t="n"/>
      <c r="AP46" s="512" t="n"/>
      <c r="AQ46" s="512" t="n"/>
      <c r="AR46" s="512" t="n"/>
      <c r="AS46" s="512" t="n"/>
      <c r="AT46" s="512" t="n"/>
      <c r="AU46" s="512" t="n"/>
      <c r="AV46" s="512" t="n"/>
      <c r="AW46" s="512" t="n"/>
      <c r="AX46" s="512" t="n"/>
      <c r="AY46" s="512" t="n"/>
      <c r="AZ46" s="512" t="n"/>
      <c r="BA46" s="512" t="n"/>
      <c r="BB46" s="512" t="n"/>
      <c r="BC46" s="512" t="n"/>
      <c r="BD46" s="515" t="n"/>
      <c r="BE46" s="512" t="n"/>
      <c r="BF46" s="512" t="n"/>
      <c r="BG46" s="512" t="n"/>
      <c r="BH46" s="512" t="n"/>
      <c r="BI46" s="512" t="n"/>
      <c r="BJ46" s="512" t="n"/>
      <c r="BK46" s="512" t="n"/>
      <c r="BL46" s="512" t="n"/>
      <c r="BM46" s="512" t="n"/>
      <c r="BN46" s="512" t="n"/>
      <c r="BO46" s="512" t="n"/>
      <c r="BP46" s="515" t="n"/>
      <c r="BQ46" s="512" t="n"/>
      <c r="BR46" s="512" t="n"/>
      <c r="BS46" s="512" t="n"/>
      <c r="BT46" s="512" t="n"/>
      <c r="BU46" s="512" t="n"/>
      <c r="BV46" s="512" t="n"/>
      <c r="BW46" s="512" t="n"/>
      <c r="BX46" s="512" t="n"/>
      <c r="BY46" s="512" t="n"/>
      <c r="BZ46" s="512" t="n"/>
      <c r="CA46" s="512" t="n"/>
      <c r="CB46" s="515" t="n"/>
      <c r="CC46" s="512" t="n"/>
      <c r="CD46" s="512" t="n"/>
      <c r="CE46" s="512" t="n"/>
      <c r="CF46" s="512" t="n"/>
      <c r="CG46" s="512" t="n"/>
      <c r="CH46" s="512" t="n"/>
      <c r="CI46" s="512" t="n"/>
      <c r="CJ46" s="512" t="n"/>
      <c r="CK46" s="512" t="n"/>
      <c r="CL46" s="512" t="n"/>
      <c r="CM46" s="512" t="n"/>
      <c r="CN46" s="515" t="n"/>
      <c r="CO46" s="512" t="n"/>
      <c r="CP46" s="512" t="n"/>
      <c r="CQ46" s="512" t="n"/>
      <c r="CR46" s="512" t="n"/>
      <c r="CS46" s="512" t="n"/>
      <c r="CT46" s="512" t="n"/>
      <c r="CU46" s="512" t="n"/>
      <c r="CV46" s="512" t="n"/>
      <c r="CW46" s="512" t="n"/>
      <c r="CX46" s="512" t="n"/>
      <c r="CY46" s="512" t="n"/>
      <c r="CZ46" s="515" t="n"/>
      <c r="DA46" s="512" t="n"/>
      <c r="DB46" s="512" t="n"/>
      <c r="DC46" s="512" t="n"/>
      <c r="DD46" s="512" t="n"/>
      <c r="DE46" s="512" t="n"/>
      <c r="DF46" s="512" t="n"/>
      <c r="DG46" s="512" t="n"/>
      <c r="DH46" s="512" t="n"/>
      <c r="DI46" s="512" t="n"/>
      <c r="DJ46" s="512" t="n"/>
      <c r="DK46" s="512" t="n"/>
      <c r="DL46" s="512" t="n"/>
      <c r="DM46" s="512" t="n"/>
      <c r="DN46" s="512" t="n"/>
      <c r="DO46" s="512" t="n"/>
      <c r="DP46" s="512" t="n"/>
      <c r="DQ46" s="512" t="n"/>
      <c r="DR46" s="512" t="n"/>
      <c r="DS46" s="512" t="n"/>
      <c r="DT46" s="512" t="n"/>
      <c r="DU46" s="512" t="n"/>
      <c r="DV46" s="512" t="n"/>
      <c r="DW46" s="512" t="n"/>
      <c r="DX46" s="512" t="n"/>
      <c r="DY46" s="512" t="n"/>
      <c r="DZ46" s="512" t="n"/>
      <c r="EA46" s="512" t="n"/>
      <c r="EB46" s="512" t="n"/>
      <c r="EC46" s="512" t="n"/>
      <c r="ED46" s="512" t="n"/>
      <c r="EE46" s="512" t="n"/>
      <c r="EF46" s="512" t="n"/>
      <c r="EG46" s="512" t="n"/>
      <c r="EH46" s="512" t="n"/>
      <c r="EI46" s="512" t="n"/>
      <c r="EJ46" s="512" t="n"/>
      <c r="EK46" s="512" t="n"/>
      <c r="EL46" s="512" t="n"/>
      <c r="EM46" s="512" t="n"/>
      <c r="EN46" s="512" t="n"/>
      <c r="EO46" s="512" t="n"/>
      <c r="EP46" s="512" t="n"/>
      <c r="EQ46" s="512" t="n"/>
      <c r="ER46" s="512" t="n"/>
      <c r="ES46" s="512" t="n"/>
      <c r="ET46" s="512" t="n"/>
      <c r="EU46" s="512" t="n"/>
      <c r="EV46" s="512" t="n"/>
      <c r="EW46" s="512" t="n"/>
      <c r="EX46" s="512" t="n"/>
      <c r="EY46" s="512" t="n"/>
      <c r="EZ46" s="512" t="n"/>
      <c r="FA46" s="512" t="n"/>
      <c r="FB46" s="512" t="n"/>
      <c r="FC46" s="512" t="n"/>
      <c r="FD46" s="512" t="n"/>
      <c r="FE46" s="512" t="n"/>
      <c r="FF46" s="512" t="n"/>
      <c r="FG46" s="512" t="n"/>
      <c r="FH46" s="512" t="n"/>
      <c r="FI46" s="512" t="n"/>
      <c r="FJ46" s="512" t="n"/>
      <c r="FK46" s="512" t="n"/>
      <c r="FL46" s="512" t="n"/>
      <c r="FM46" s="512" t="n"/>
      <c r="FN46" s="512" t="n"/>
      <c r="FO46" s="512" t="n"/>
      <c r="FP46" s="512" t="n"/>
      <c r="FQ46" s="512" t="n"/>
      <c r="FR46" s="512" t="n"/>
      <c r="FS46" s="512" t="n"/>
      <c r="FT46" s="512" t="n"/>
      <c r="FU46" s="512" t="n"/>
      <c r="FV46" s="512" t="n"/>
      <c r="FW46" s="512" t="n"/>
      <c r="FX46" s="512" t="n"/>
      <c r="FY46" s="512" t="n"/>
      <c r="FZ46" s="512" t="n"/>
      <c r="GA46" s="512" t="n"/>
      <c r="GB46" s="512" t="n"/>
      <c r="GC46" s="512" t="n"/>
      <c r="GD46" s="512" t="n"/>
      <c r="GE46" s="512" t="n"/>
      <c r="GF46" s="512" t="n"/>
      <c r="GG46" s="512" t="n"/>
      <c r="GH46" s="512" t="n"/>
      <c r="GI46" s="512" t="n"/>
      <c r="GJ46" s="512" t="n"/>
      <c r="GK46" s="512" t="n"/>
      <c r="GL46" s="512" t="n"/>
      <c r="GM46" s="512" t="n"/>
      <c r="GN46" s="512" t="n"/>
      <c r="GO46" s="512" t="n"/>
      <c r="GP46" s="512" t="n"/>
      <c r="GQ46" s="512" t="n"/>
      <c r="GR46" s="512" t="n"/>
      <c r="GS46" s="512" t="n"/>
      <c r="GT46" s="512" t="n"/>
      <c r="GU46" s="512" t="n"/>
      <c r="GV46" s="512" t="n"/>
      <c r="GW46" s="512" t="n"/>
      <c r="GX46" s="512" t="n"/>
      <c r="GY46" s="512" t="n"/>
      <c r="GZ46" s="512" t="n"/>
      <c r="HA46" s="512" t="n"/>
      <c r="HB46" s="512" t="n"/>
      <c r="HC46" s="512" t="n"/>
      <c r="HD46" s="512" t="n"/>
      <c r="HE46" s="512" t="n"/>
      <c r="HF46" s="512" t="n"/>
      <c r="HG46" s="512" t="n"/>
      <c r="HH46" s="512" t="n"/>
      <c r="HI46" s="512" t="n"/>
      <c r="HJ46" s="512" t="n"/>
      <c r="HK46" s="512" t="n"/>
      <c r="HL46" s="512" t="n"/>
      <c r="HM46" s="512" t="n"/>
      <c r="HN46" s="512" t="n"/>
      <c r="HO46" s="512" t="n"/>
      <c r="HP46" s="512" t="n"/>
      <c r="HQ46" s="512" t="n"/>
      <c r="HR46" s="512" t="n"/>
      <c r="HS46" s="512" t="n"/>
      <c r="HT46" s="512" t="n"/>
      <c r="HU46" s="512" t="n"/>
    </row>
    <row r="47" ht="16.2" customHeight="1">
      <c r="A47" s="19" t="inlineStr">
        <is>
          <t>OUTRAS DESPESAS (-)</t>
        </is>
      </c>
      <c r="B47" s="139" t="n"/>
      <c r="C47" s="20" t="n"/>
      <c r="D47" s="22" t="n"/>
      <c r="E47" s="20" t="n"/>
      <c r="F47" s="20" t="n"/>
      <c r="G47" s="20" t="n"/>
      <c r="H47" s="20" t="n"/>
      <c r="I47" s="21" t="n"/>
      <c r="J47" s="175" t="n"/>
      <c r="K47" s="21" t="n"/>
      <c r="L47" s="108" t="n"/>
      <c r="M47" s="220" t="n"/>
      <c r="N47" s="220" t="n"/>
      <c r="O47" s="220" t="n"/>
      <c r="P47" s="220" t="n"/>
      <c r="Q47" s="220" t="n"/>
      <c r="R47" s="220" t="n"/>
      <c r="S47" s="220" t="n"/>
      <c r="T47" s="220" t="n"/>
      <c r="U47" s="220" t="n"/>
      <c r="V47" s="220" t="n"/>
      <c r="W47" s="220" t="n"/>
      <c r="X47" s="220" t="n"/>
      <c r="Y47" s="220" t="n"/>
      <c r="Z47" s="220" t="n"/>
      <c r="AA47" s="220" t="n"/>
      <c r="AB47" s="220" t="n"/>
      <c r="AC47" s="220" t="n"/>
      <c r="AD47" s="200" t="n"/>
      <c r="AE47" s="241" t="n"/>
      <c r="AF47" s="200" t="n"/>
      <c r="AG47" s="22" t="n"/>
      <c r="AH47" s="22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1" t="n"/>
      <c r="AR47" s="21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  <c r="BB47" s="20" t="n"/>
      <c r="BC47" s="20" t="n"/>
      <c r="BD47" s="299" t="n"/>
      <c r="BE47" s="22" t="n"/>
      <c r="BF47" s="20" t="n"/>
      <c r="BG47" s="20" t="n"/>
      <c r="BH47" s="20" t="n"/>
      <c r="BI47" s="20" t="n"/>
      <c r="BJ47" s="20" t="n"/>
      <c r="BK47" s="20" t="n"/>
      <c r="BL47" s="20" t="n"/>
      <c r="BM47" s="20" t="n"/>
      <c r="BN47" s="20" t="n"/>
      <c r="BO47" s="20" t="n"/>
      <c r="BP47" s="299" t="n"/>
      <c r="BQ47" s="22" t="n"/>
      <c r="BR47" s="20" t="n"/>
      <c r="BS47" s="20" t="n"/>
      <c r="BT47" s="20" t="n"/>
      <c r="BU47" s="20" t="n"/>
      <c r="BV47" s="20" t="n"/>
      <c r="BW47" s="20" t="n"/>
      <c r="BX47" s="20" t="n"/>
      <c r="BY47" s="20" t="n"/>
      <c r="BZ47" s="20" t="n"/>
      <c r="CA47" s="20" t="n"/>
      <c r="CB47" s="299" t="n"/>
      <c r="CC47" s="22" t="n"/>
      <c r="CD47" s="20" t="n"/>
      <c r="CE47" s="20" t="n"/>
      <c r="CF47" s="20" t="n"/>
      <c r="CG47" s="20" t="n"/>
      <c r="CH47" s="20" t="n"/>
      <c r="CI47" s="20" t="n"/>
      <c r="CJ47" s="20" t="n"/>
      <c r="CK47" s="20" t="n"/>
      <c r="CL47" s="20" t="n"/>
      <c r="CM47" s="20" t="n"/>
      <c r="CN47" s="299" t="n"/>
      <c r="CO47" s="22" t="n"/>
      <c r="CP47" s="20" t="n"/>
      <c r="CQ47" s="20" t="n"/>
      <c r="CR47" s="20" t="n"/>
      <c r="CS47" s="20" t="n"/>
      <c r="CT47" s="20" t="n"/>
      <c r="CU47" s="20" t="n"/>
      <c r="CV47" s="20" t="n"/>
      <c r="CW47" s="20" t="n"/>
      <c r="CX47" s="20" t="n"/>
      <c r="CY47" s="20" t="n"/>
      <c r="CZ47" s="299" t="n"/>
      <c r="DA47" s="22" t="n"/>
      <c r="DB47" s="20" t="n"/>
      <c r="DC47" s="20" t="n"/>
      <c r="DD47" s="20" t="n"/>
      <c r="DE47" s="20" t="n"/>
      <c r="DF47" s="20" t="n"/>
      <c r="DG47" s="20" t="n"/>
      <c r="DH47" s="20" t="n"/>
      <c r="DI47" s="20" t="n"/>
      <c r="DJ47" s="21" t="n"/>
      <c r="DK47" s="20" t="n"/>
      <c r="DL47" s="21" t="n"/>
      <c r="DM47" s="20" t="n"/>
      <c r="DN47" s="21" t="n"/>
      <c r="DO47" s="21" t="n"/>
      <c r="DP47" s="21" t="n"/>
      <c r="DQ47" s="21" t="n"/>
      <c r="DR47" s="21" t="n"/>
      <c r="DS47" s="21" t="n"/>
      <c r="DT47" s="21" t="n"/>
      <c r="DU47" s="21" t="n"/>
      <c r="DV47" s="21" t="n"/>
      <c r="DW47" s="21" t="n"/>
      <c r="DX47" s="21" t="n"/>
      <c r="DY47" s="21" t="n"/>
      <c r="DZ47" s="21" t="n"/>
      <c r="EA47" s="21" t="n"/>
      <c r="EB47" s="21" t="n"/>
      <c r="EC47" s="21" t="n"/>
      <c r="ED47" s="21" t="n"/>
      <c r="EE47" s="21" t="n"/>
      <c r="EF47" s="21" t="n"/>
      <c r="EG47" s="21" t="n"/>
      <c r="EH47" s="21" t="n"/>
      <c r="EI47" s="21" t="n"/>
      <c r="EJ47" s="21" t="n"/>
      <c r="EK47" s="21" t="n"/>
      <c r="EL47" s="21" t="n"/>
      <c r="EM47" s="21" t="n"/>
      <c r="EN47" s="21" t="n"/>
      <c r="EO47" s="21" t="n"/>
      <c r="EP47" s="21" t="n"/>
      <c r="EQ47" s="21" t="n"/>
      <c r="ER47" s="21" t="n"/>
      <c r="ES47" s="21" t="n"/>
      <c r="ET47" s="21" t="n"/>
      <c r="EU47" s="21" t="n"/>
      <c r="EV47" s="21" t="n"/>
      <c r="EW47" s="21" t="n"/>
      <c r="EX47" s="21" t="n"/>
      <c r="EY47" s="21" t="n"/>
      <c r="EZ47" s="21" t="n"/>
      <c r="FA47" s="21" t="n"/>
      <c r="FB47" s="21" t="n"/>
      <c r="FC47" s="21" t="n"/>
      <c r="FD47" s="21" t="n"/>
      <c r="FE47" s="21" t="n"/>
      <c r="FF47" s="21" t="n"/>
      <c r="FG47" s="21" t="n"/>
      <c r="FH47" s="21" t="n"/>
      <c r="FI47" s="21" t="n"/>
      <c r="FJ47" s="21" t="n"/>
      <c r="FK47" s="21" t="n"/>
      <c r="FL47" s="21" t="n"/>
      <c r="FM47" s="21" t="n"/>
      <c r="FN47" s="21" t="n"/>
      <c r="FO47" s="21" t="n"/>
      <c r="FP47" s="21" t="n"/>
      <c r="FQ47" s="21" t="n"/>
      <c r="FR47" s="21" t="n"/>
      <c r="FS47" s="21" t="n"/>
      <c r="FT47" s="21" t="n"/>
      <c r="FU47" s="21" t="n"/>
      <c r="FV47" s="21" t="n"/>
      <c r="FW47" s="21" t="n"/>
      <c r="FX47" s="21" t="n"/>
      <c r="FY47" s="21" t="n"/>
      <c r="FZ47" s="21" t="n"/>
      <c r="GA47" s="21" t="n"/>
      <c r="GB47" s="21" t="n"/>
      <c r="GC47" s="21" t="n"/>
      <c r="GD47" s="21" t="n"/>
      <c r="GE47" s="21" t="n"/>
      <c r="GF47" s="21" t="n"/>
      <c r="GG47" s="21" t="n"/>
      <c r="GH47" s="21" t="n"/>
      <c r="GI47" s="21" t="n"/>
      <c r="GJ47" s="21" t="n"/>
      <c r="GK47" s="21" t="n"/>
      <c r="GL47" s="21" t="n"/>
      <c r="GM47" s="21" t="n"/>
      <c r="GN47" s="21" t="n"/>
      <c r="GO47" s="21" t="n"/>
      <c r="GP47" s="21" t="n"/>
      <c r="GQ47" s="21" t="n"/>
      <c r="GR47" s="21" t="n"/>
      <c r="GS47" s="21" t="n"/>
      <c r="GT47" s="21" t="n"/>
      <c r="GU47" s="21" t="n"/>
      <c r="GV47" s="21" t="n"/>
      <c r="GW47" s="21" t="n"/>
      <c r="GX47" s="21" t="n"/>
      <c r="GY47" s="21" t="n"/>
      <c r="GZ47" s="21" t="n"/>
      <c r="HA47" s="21" t="n"/>
      <c r="HB47" s="21" t="n"/>
      <c r="HC47" s="21" t="n"/>
      <c r="HD47" s="21" t="n"/>
      <c r="HE47" s="21" t="n"/>
      <c r="HF47" s="21" t="n"/>
      <c r="HG47" s="21" t="n"/>
      <c r="HH47" s="21" t="n"/>
      <c r="HI47" s="21" t="n"/>
      <c r="HJ47" s="21" t="n"/>
      <c r="HK47" s="21" t="n"/>
      <c r="HL47" s="21" t="n"/>
      <c r="HM47" s="21" t="n"/>
      <c r="HN47" s="21" t="n"/>
      <c r="HO47" s="21" t="n"/>
      <c r="HP47" s="21" t="n"/>
      <c r="HQ47" s="21" t="n"/>
      <c r="HR47" s="21" t="n"/>
      <c r="HS47" s="21" t="n"/>
      <c r="HT47" s="21" t="n"/>
      <c r="HU47" s="21" t="n"/>
    </row>
    <row r="48" ht="16.2" customHeight="1">
      <c r="A48" s="58" t="inlineStr">
        <is>
          <t>Outras Despesas (adm)</t>
        </is>
      </c>
      <c r="B48" s="136">
        <f>SUM(C48:X48)</f>
        <v/>
      </c>
      <c r="C48" s="33" t="n"/>
      <c r="D48" s="76" t="n"/>
      <c r="E48" s="33" t="n"/>
      <c r="F48" s="33" t="n"/>
      <c r="G48" s="33" t="n"/>
      <c r="H48" s="33" t="n"/>
      <c r="I48" s="75" t="n"/>
      <c r="J48" s="223" t="n"/>
      <c r="K48" s="119" t="n"/>
      <c r="L48" s="122" t="n">
        <v>-1243.93</v>
      </c>
      <c r="M48" s="219" t="n"/>
      <c r="N48" s="219" t="n"/>
      <c r="O48" s="219" t="n">
        <v>-339</v>
      </c>
      <c r="P48" s="219" t="n"/>
      <c r="Q48" s="219" t="n"/>
      <c r="R48" s="219" t="n"/>
      <c r="S48" s="219" t="n"/>
      <c r="T48" s="219" t="n"/>
      <c r="U48" s="219" t="n"/>
      <c r="V48" s="219" t="n">
        <v>-389</v>
      </c>
      <c r="W48" s="219" t="n">
        <v>0</v>
      </c>
      <c r="X48" s="219" t="n">
        <v>-4</v>
      </c>
      <c r="Y48" s="219" t="n">
        <v>-1155.21</v>
      </c>
      <c r="Z48" s="219" t="n">
        <v>-148.25</v>
      </c>
      <c r="AA48" s="219" t="n">
        <v>-344.9</v>
      </c>
      <c r="AB48" s="219" t="n">
        <v>-459.58</v>
      </c>
      <c r="AC48" s="219">
        <f>-26826.58-250</f>
        <v/>
      </c>
      <c r="AD48" s="13" t="n"/>
      <c r="AE48" s="342">
        <f>SUM(AG48:HU48)</f>
        <v/>
      </c>
      <c r="AF48" s="13" t="n"/>
      <c r="AG48" s="76" t="n">
        <v>-11000</v>
      </c>
      <c r="AH48" s="76" t="n">
        <v>-11000</v>
      </c>
      <c r="AI48" s="76" t="n">
        <v>-11000</v>
      </c>
      <c r="AJ48" s="76" t="n">
        <v>-11000</v>
      </c>
      <c r="AK48" s="76" t="n">
        <v>-11000</v>
      </c>
      <c r="AL48" s="76" t="n">
        <v>-11000</v>
      </c>
      <c r="AM48" s="76" t="n">
        <v>-11000</v>
      </c>
      <c r="AN48" s="76" t="n">
        <v>-11000</v>
      </c>
      <c r="AO48" s="76" t="n">
        <v>-11000</v>
      </c>
      <c r="AP48" s="76" t="n">
        <v>-11000</v>
      </c>
      <c r="AQ48" s="76" t="n">
        <v>-11000</v>
      </c>
      <c r="AR48" s="76" t="n">
        <v>-11000</v>
      </c>
      <c r="AS48" s="76" t="n">
        <v>-11000</v>
      </c>
      <c r="AT48" s="76" t="n">
        <v>-11000</v>
      </c>
      <c r="AU48" s="76" t="n">
        <v>-11000</v>
      </c>
      <c r="AV48" s="76" t="n">
        <v>-11000</v>
      </c>
      <c r="AW48" s="76" t="n">
        <v>-11000</v>
      </c>
      <c r="AX48" s="76" t="n">
        <v>-11000</v>
      </c>
      <c r="AY48" s="76" t="n">
        <v>-11000</v>
      </c>
      <c r="AZ48" s="76" t="n">
        <v>-11000</v>
      </c>
      <c r="BA48" s="76" t="n">
        <v>-11000</v>
      </c>
      <c r="BB48" s="76" t="n">
        <v>-11000</v>
      </c>
      <c r="BC48" s="76" t="n">
        <v>-11000</v>
      </c>
      <c r="BD48" s="76" t="n">
        <v>-11000</v>
      </c>
      <c r="BE48" s="76" t="n">
        <v>-11000</v>
      </c>
      <c r="BF48" s="76" t="n">
        <v>-11000</v>
      </c>
      <c r="BG48" s="76" t="n">
        <v>-11000</v>
      </c>
      <c r="BH48" s="76" t="n">
        <v>-11000</v>
      </c>
      <c r="BI48" s="76" t="n">
        <v>-11000</v>
      </c>
      <c r="BJ48" s="76" t="n">
        <v>-11000</v>
      </c>
      <c r="BK48" s="76" t="n">
        <v>-11000</v>
      </c>
      <c r="BL48" s="76" t="n">
        <v>-11000</v>
      </c>
      <c r="BM48" s="76" t="n">
        <v>-11000</v>
      </c>
      <c r="BN48" s="76" t="n">
        <v>-11000</v>
      </c>
      <c r="BO48" s="76" t="n">
        <v>-11000</v>
      </c>
      <c r="BP48" s="76" t="n">
        <v>-11000</v>
      </c>
      <c r="BQ48" s="76" t="n"/>
      <c r="BR48" s="76" t="n"/>
      <c r="BS48" s="76" t="n"/>
      <c r="BT48" s="76" t="n"/>
      <c r="BU48" s="76" t="n"/>
      <c r="BV48" s="76" t="n"/>
      <c r="BW48" s="76" t="n"/>
      <c r="BX48" s="76" t="n"/>
      <c r="BY48" s="76" t="n"/>
      <c r="BZ48" s="76" t="n"/>
      <c r="CA48" s="76" t="n"/>
      <c r="CB48" s="76" t="n"/>
      <c r="CC48" s="76" t="n"/>
      <c r="CD48" s="76" t="n"/>
      <c r="CE48" s="76" t="n"/>
      <c r="CF48" s="76" t="n"/>
      <c r="CG48" s="76" t="n"/>
      <c r="CH48" s="76" t="n"/>
      <c r="CI48" s="76" t="n"/>
      <c r="CJ48" s="76" t="n"/>
      <c r="CK48" s="76" t="n"/>
      <c r="CL48" s="76" t="n"/>
      <c r="CM48" s="76" t="n"/>
      <c r="CN48" s="76" t="n"/>
      <c r="CO48" s="76" t="n"/>
      <c r="CP48" s="76" t="n"/>
      <c r="CQ48" s="76" t="n"/>
      <c r="CR48" s="76" t="n"/>
      <c r="CS48" s="76" t="n"/>
      <c r="CT48" s="76" t="n"/>
      <c r="CU48" s="76" t="n"/>
      <c r="CV48" s="76" t="n"/>
      <c r="CW48" s="76" t="n"/>
      <c r="CX48" s="76" t="n"/>
      <c r="CY48" s="76" t="n"/>
      <c r="CZ48" s="76" t="n"/>
      <c r="DA48" s="76" t="n"/>
      <c r="DB48" s="76" t="n"/>
      <c r="DC48" s="76" t="n"/>
      <c r="DD48" s="76" t="n"/>
      <c r="DE48" s="76" t="n"/>
      <c r="DF48" s="76" t="n"/>
      <c r="DG48" s="76" t="n"/>
      <c r="DH48" s="76" t="n"/>
      <c r="DI48" s="76" t="n"/>
      <c r="DJ48" s="76" t="n"/>
      <c r="DK48" s="76" t="n"/>
      <c r="DL48" s="76" t="n"/>
      <c r="DM48" s="76" t="n"/>
      <c r="DN48" s="76" t="n"/>
      <c r="DO48" s="76" t="n"/>
      <c r="DP48" s="76" t="n"/>
      <c r="DQ48" s="76" t="n"/>
      <c r="DR48" s="76" t="n"/>
      <c r="DS48" s="76" t="n"/>
      <c r="DT48" s="76" t="n"/>
      <c r="DU48" s="76" t="n"/>
      <c r="DV48" s="76" t="n"/>
      <c r="DW48" s="76" t="n"/>
      <c r="DX48" s="76" t="n"/>
      <c r="DY48" s="76" t="n"/>
      <c r="DZ48" s="76" t="n"/>
      <c r="EA48" s="76" t="n"/>
      <c r="EB48" s="76" t="n"/>
      <c r="EC48" s="76" t="n"/>
      <c r="ED48" s="76" t="n"/>
      <c r="EE48" s="76" t="n"/>
      <c r="EF48" s="76" t="n"/>
      <c r="EG48" s="76" t="n"/>
      <c r="EH48" s="76" t="n"/>
      <c r="EI48" s="76" t="n"/>
      <c r="EJ48" s="76" t="n"/>
      <c r="EK48" s="76" t="n"/>
      <c r="EL48" s="76" t="n"/>
      <c r="EM48" s="76" t="n"/>
      <c r="EN48" s="76" t="n"/>
      <c r="EO48" s="76" t="n"/>
      <c r="EP48" s="76" t="n"/>
      <c r="EQ48" s="76" t="n"/>
      <c r="ER48" s="76" t="n"/>
      <c r="ES48" s="76" t="n"/>
      <c r="ET48" s="76" t="n"/>
      <c r="EU48" s="76" t="n"/>
      <c r="EV48" s="76" t="n"/>
      <c r="EW48" s="76" t="n"/>
      <c r="EX48" s="76" t="n"/>
      <c r="EY48" s="76" t="n"/>
      <c r="EZ48" s="76" t="n"/>
      <c r="FA48" s="76" t="n"/>
      <c r="FB48" s="76" t="n"/>
      <c r="FC48" s="76" t="n"/>
      <c r="FD48" s="76" t="n"/>
      <c r="FE48" s="76" t="n"/>
      <c r="FF48" s="76" t="n"/>
      <c r="FG48" s="76" t="n"/>
      <c r="FH48" s="76" t="n"/>
      <c r="FI48" s="76" t="n"/>
      <c r="FJ48" s="76" t="n"/>
      <c r="FK48" s="76" t="n"/>
      <c r="FL48" s="76" t="n"/>
      <c r="FM48" s="76" t="n"/>
      <c r="FN48" s="76" t="n"/>
      <c r="FO48" s="76" t="n"/>
      <c r="FP48" s="76" t="n"/>
      <c r="FQ48" s="76" t="n"/>
      <c r="FR48" s="76" t="n"/>
      <c r="FS48" s="76" t="n"/>
      <c r="FT48" s="76" t="n"/>
      <c r="FU48" s="76" t="n"/>
      <c r="FV48" s="76" t="n"/>
      <c r="FW48" s="76" t="n"/>
      <c r="FX48" s="76" t="n"/>
      <c r="FY48" s="76" t="n"/>
      <c r="FZ48" s="76" t="n"/>
      <c r="GA48" s="76" t="n"/>
      <c r="GB48" s="76" t="n"/>
      <c r="GC48" s="76" t="n"/>
      <c r="GD48" s="76" t="n"/>
      <c r="GE48" s="76" t="n"/>
      <c r="GF48" s="76" t="n"/>
      <c r="GG48" s="76" t="n"/>
      <c r="GH48" s="76" t="n"/>
      <c r="GI48" s="76" t="n"/>
      <c r="GJ48" s="76" t="n"/>
      <c r="GK48" s="76" t="n"/>
      <c r="GL48" s="76" t="n"/>
      <c r="GM48" s="76" t="n"/>
      <c r="GN48" s="76" t="n"/>
      <c r="GO48" s="76" t="n"/>
      <c r="GP48" s="76" t="n"/>
      <c r="GQ48" s="76" t="n"/>
      <c r="GR48" s="76" t="n"/>
      <c r="GS48" s="76" t="n"/>
      <c r="GT48" s="76" t="n"/>
      <c r="GU48" s="76" t="n"/>
      <c r="GV48" s="76" t="n"/>
      <c r="GW48" s="76" t="n"/>
      <c r="GX48" s="76" t="n"/>
      <c r="GY48" s="76" t="n"/>
      <c r="GZ48" s="76" t="n"/>
      <c r="HA48" s="76" t="n"/>
      <c r="HB48" s="76" t="n"/>
      <c r="HC48" s="76" t="n"/>
      <c r="HD48" s="76" t="n"/>
      <c r="HE48" s="76" t="n"/>
      <c r="HF48" s="76" t="n"/>
      <c r="HG48" s="76" t="n"/>
      <c r="HH48" s="76" t="n"/>
      <c r="HI48" s="76" t="n"/>
      <c r="HJ48" s="76" t="n"/>
      <c r="HK48" s="76" t="n"/>
      <c r="HL48" s="76" t="n"/>
      <c r="HM48" s="76" t="n"/>
      <c r="HN48" s="76" t="n"/>
      <c r="HO48" s="76" t="n"/>
      <c r="HP48" s="76" t="n"/>
      <c r="HQ48" s="76" t="n"/>
      <c r="HR48" s="76" t="n"/>
      <c r="HS48" s="76" t="n"/>
      <c r="HT48" s="76" t="n"/>
      <c r="HU48" s="76" t="n"/>
    </row>
    <row r="49" ht="6" customHeight="1">
      <c r="A49" s="23" t="n"/>
      <c r="B49" s="265" t="n"/>
      <c r="C49" s="105" t="n"/>
      <c r="D49" s="104" t="n"/>
      <c r="E49" s="105" t="n"/>
      <c r="F49" s="105" t="n"/>
      <c r="G49" s="105" t="n"/>
      <c r="H49" s="105" t="n"/>
      <c r="I49" s="106" t="n"/>
      <c r="J49" s="180" t="n"/>
      <c r="K49" s="105" t="n"/>
      <c r="L49" s="105" t="n"/>
      <c r="M49" s="181" t="n"/>
      <c r="N49" s="181" t="n"/>
      <c r="O49" s="181" t="n"/>
      <c r="P49" s="181" t="n"/>
      <c r="Q49" s="181" t="n"/>
      <c r="R49" s="181" t="n"/>
      <c r="S49" s="181" t="n"/>
      <c r="T49" s="181" t="n"/>
      <c r="U49" s="181" t="n"/>
      <c r="V49" s="181" t="n"/>
      <c r="W49" s="181" t="n"/>
      <c r="X49" s="181" t="n"/>
      <c r="Y49" s="181" t="n"/>
      <c r="Z49" s="181" t="n"/>
      <c r="AA49" s="181" t="n"/>
      <c r="AB49" s="181" t="n"/>
      <c r="AC49" s="181" t="n"/>
      <c r="AD49" s="13" t="n"/>
      <c r="AE49" s="244" t="n"/>
      <c r="AF49" s="13" t="n"/>
      <c r="AG49" s="104" t="n"/>
      <c r="AH49" s="104" t="n"/>
      <c r="AI49" s="105" t="n"/>
      <c r="AJ49" s="105" t="n"/>
      <c r="AK49" s="105" t="n"/>
      <c r="AL49" s="105" t="n"/>
      <c r="AM49" s="105" t="n"/>
      <c r="AN49" s="105" t="n"/>
      <c r="AO49" s="105" t="n"/>
      <c r="AP49" s="105" t="n"/>
      <c r="AQ49" s="106" t="n"/>
      <c r="AR49" s="106" t="n"/>
      <c r="AS49" s="105" t="n"/>
      <c r="AT49" s="105" t="n"/>
      <c r="AU49" s="105" t="n"/>
      <c r="AV49" s="105" t="n"/>
      <c r="AW49" s="105" t="n"/>
      <c r="AX49" s="105" t="n"/>
      <c r="AY49" s="105" t="n"/>
      <c r="AZ49" s="105" t="n"/>
      <c r="BA49" s="105" t="n"/>
      <c r="BB49" s="105" t="n"/>
      <c r="BC49" s="105" t="n"/>
      <c r="BD49" s="304" t="n"/>
      <c r="BE49" s="104" t="n"/>
      <c r="BF49" s="105" t="n"/>
      <c r="BG49" s="105" t="n"/>
      <c r="BH49" s="105" t="n"/>
      <c r="BI49" s="105" t="n"/>
      <c r="BJ49" s="105" t="n"/>
      <c r="BK49" s="105" t="n"/>
      <c r="BL49" s="105" t="n"/>
      <c r="BM49" s="105" t="n"/>
      <c r="BN49" s="105" t="n"/>
      <c r="BO49" s="105" t="n"/>
      <c r="BP49" s="304" t="n"/>
      <c r="BQ49" s="104" t="n"/>
      <c r="BR49" s="105" t="n"/>
      <c r="BS49" s="105" t="n"/>
      <c r="BT49" s="105" t="n"/>
      <c r="BU49" s="105" t="n"/>
      <c r="BV49" s="105" t="n"/>
      <c r="BW49" s="105" t="n"/>
      <c r="BX49" s="105" t="n"/>
      <c r="BY49" s="105" t="n"/>
      <c r="BZ49" s="105" t="n"/>
      <c r="CA49" s="105" t="n"/>
      <c r="CB49" s="304" t="n"/>
      <c r="CC49" s="104" t="n"/>
      <c r="CD49" s="105" t="n"/>
      <c r="CE49" s="105" t="n"/>
      <c r="CF49" s="105" t="n"/>
      <c r="CG49" s="105" t="n"/>
      <c r="CH49" s="105" t="n"/>
      <c r="CI49" s="105" t="n"/>
      <c r="CJ49" s="105" t="n"/>
      <c r="CK49" s="105" t="n"/>
      <c r="CL49" s="105" t="n"/>
      <c r="CM49" s="105" t="n"/>
      <c r="CN49" s="304" t="n"/>
      <c r="CO49" s="104" t="n"/>
      <c r="CP49" s="105" t="n"/>
      <c r="CQ49" s="105" t="n"/>
      <c r="CR49" s="105" t="n"/>
      <c r="CS49" s="105" t="n"/>
      <c r="CT49" s="105" t="n"/>
      <c r="CU49" s="105" t="n"/>
      <c r="CV49" s="105" t="n"/>
      <c r="CW49" s="105" t="n"/>
      <c r="CX49" s="105" t="n"/>
      <c r="CY49" s="105" t="n"/>
      <c r="CZ49" s="304" t="n"/>
      <c r="DA49" s="104" t="n"/>
      <c r="DB49" s="105" t="n"/>
      <c r="DC49" s="105" t="n"/>
      <c r="DD49" s="105" t="n"/>
      <c r="DE49" s="105" t="n"/>
      <c r="DF49" s="105" t="n"/>
      <c r="DG49" s="105" t="n"/>
      <c r="DH49" s="105" t="n"/>
      <c r="DI49" s="105" t="n"/>
      <c r="DJ49" s="106" t="n"/>
      <c r="DK49" s="105" t="n"/>
      <c r="DL49" s="106" t="n"/>
      <c r="DM49" s="105" t="n"/>
      <c r="DN49" s="106" t="n"/>
      <c r="DO49" s="106" t="n"/>
      <c r="DP49" s="106" t="n"/>
      <c r="DQ49" s="106" t="n"/>
      <c r="DR49" s="106" t="n"/>
      <c r="DS49" s="106" t="n"/>
      <c r="DT49" s="106" t="n"/>
      <c r="DU49" s="106" t="n"/>
      <c r="DV49" s="106" t="n"/>
      <c r="DW49" s="106" t="n"/>
      <c r="DX49" s="106" t="n"/>
      <c r="DY49" s="106" t="n"/>
      <c r="DZ49" s="106" t="n"/>
      <c r="EA49" s="106" t="n"/>
      <c r="EB49" s="106" t="n"/>
      <c r="EC49" s="106" t="n"/>
      <c r="ED49" s="106" t="n"/>
      <c r="EE49" s="106" t="n"/>
      <c r="EF49" s="106" t="n"/>
      <c r="EG49" s="106" t="n"/>
      <c r="EH49" s="106" t="n"/>
      <c r="EI49" s="106" t="n"/>
      <c r="EJ49" s="106" t="n"/>
      <c r="EK49" s="106" t="n"/>
      <c r="EL49" s="106" t="n"/>
      <c r="EM49" s="106" t="n"/>
      <c r="EN49" s="106" t="n"/>
      <c r="EO49" s="106" t="n"/>
      <c r="EP49" s="106" t="n"/>
      <c r="EQ49" s="106" t="n"/>
      <c r="ER49" s="106" t="n"/>
      <c r="ES49" s="106" t="n"/>
      <c r="ET49" s="106" t="n"/>
      <c r="EU49" s="106" t="n"/>
      <c r="EV49" s="106" t="n"/>
      <c r="EW49" s="106" t="n"/>
      <c r="EX49" s="106" t="n"/>
      <c r="EY49" s="106" t="n"/>
      <c r="EZ49" s="106" t="n"/>
      <c r="FA49" s="106" t="n"/>
      <c r="FB49" s="106" t="n"/>
      <c r="FC49" s="106" t="n"/>
      <c r="FD49" s="106" t="n"/>
      <c r="FE49" s="106" t="n"/>
      <c r="FF49" s="106" t="n"/>
      <c r="FG49" s="106" t="n"/>
      <c r="FH49" s="106" t="n"/>
      <c r="FI49" s="106" t="n"/>
      <c r="FJ49" s="106" t="n"/>
      <c r="FK49" s="106" t="n"/>
      <c r="FL49" s="106" t="n"/>
      <c r="FM49" s="106" t="n"/>
      <c r="FN49" s="106" t="n"/>
      <c r="FO49" s="106" t="n"/>
      <c r="FP49" s="106" t="n"/>
      <c r="FQ49" s="106" t="n"/>
      <c r="FR49" s="106" t="n"/>
      <c r="FS49" s="106" t="n"/>
      <c r="FT49" s="106" t="n"/>
      <c r="FU49" s="106" t="n"/>
      <c r="FV49" s="106" t="n"/>
      <c r="FW49" s="106" t="n"/>
      <c r="FX49" s="106" t="n"/>
      <c r="FY49" s="106" t="n"/>
      <c r="FZ49" s="106" t="n"/>
      <c r="GA49" s="106" t="n"/>
      <c r="GB49" s="106" t="n"/>
      <c r="GC49" s="106" t="n"/>
      <c r="GD49" s="106" t="n"/>
      <c r="GE49" s="106" t="n"/>
      <c r="GF49" s="106" t="n"/>
      <c r="GG49" s="106" t="n"/>
      <c r="GH49" s="106" t="n"/>
      <c r="GI49" s="106" t="n"/>
      <c r="GJ49" s="106" t="n"/>
      <c r="GK49" s="106" t="n"/>
      <c r="GL49" s="106" t="n"/>
      <c r="GM49" s="106" t="n"/>
      <c r="GN49" s="106" t="n"/>
      <c r="GO49" s="106" t="n"/>
      <c r="GP49" s="106" t="n"/>
      <c r="GQ49" s="106" t="n"/>
      <c r="GR49" s="106" t="n"/>
      <c r="GS49" s="106" t="n"/>
      <c r="GT49" s="106" t="n"/>
      <c r="GU49" s="106" t="n"/>
      <c r="GV49" s="106" t="n"/>
      <c r="GW49" s="106" t="n"/>
      <c r="GX49" s="106" t="n"/>
      <c r="GY49" s="106" t="n"/>
      <c r="GZ49" s="106" t="n"/>
      <c r="HA49" s="106" t="n"/>
      <c r="HB49" s="106" t="n"/>
      <c r="HC49" s="106" t="n"/>
      <c r="HD49" s="106" t="n"/>
      <c r="HE49" s="106" t="n"/>
      <c r="HF49" s="106" t="n"/>
      <c r="HG49" s="106" t="n"/>
      <c r="HH49" s="106" t="n"/>
      <c r="HI49" s="106" t="n"/>
      <c r="HJ49" s="106" t="n"/>
      <c r="HK49" s="106" t="n"/>
      <c r="HL49" s="106" t="n"/>
      <c r="HM49" s="106" t="n"/>
      <c r="HN49" s="106" t="n"/>
      <c r="HO49" s="106" t="n"/>
      <c r="HP49" s="106" t="n"/>
      <c r="HQ49" s="106" t="n"/>
      <c r="HR49" s="106" t="n"/>
      <c r="HS49" s="106" t="n"/>
      <c r="HT49" s="106" t="n"/>
      <c r="HU49" s="106" t="n"/>
    </row>
    <row r="50" ht="16.2" customFormat="1" customHeight="1" s="267">
      <c r="A50" s="73" t="inlineStr">
        <is>
          <t>TOTAL DE DESPESAS OPERACIONAIS (-)</t>
        </is>
      </c>
      <c r="B50" s="268">
        <f>SUM(C50:W50)</f>
        <v/>
      </c>
      <c r="C50" s="255">
        <f>C48+C45+C41+C37+C34+C29</f>
        <v/>
      </c>
      <c r="D50" s="255">
        <f>D48+D45+D41+D37+D34+D29</f>
        <v/>
      </c>
      <c r="E50" s="255">
        <f>E48+E45+E41+E37+E34+E29</f>
        <v/>
      </c>
      <c r="F50" s="255">
        <f>F48+F45+F41+F37+F34+F29</f>
        <v/>
      </c>
      <c r="G50" s="255">
        <f>G48+G45+G41+G37+G34+G29</f>
        <v/>
      </c>
      <c r="H50" s="255">
        <f>H48+H45+H41+H37+H34+H29</f>
        <v/>
      </c>
      <c r="I50" s="255">
        <f>I48+I45+I41+I37+I34+I29</f>
        <v/>
      </c>
      <c r="J50" s="255">
        <f>J48+J45+J41+J37+J34+J29</f>
        <v/>
      </c>
      <c r="K50" s="255">
        <f>K48+K45+K41+K37+K34+K29</f>
        <v/>
      </c>
      <c r="L50" s="255">
        <f>L48+L45+L41+L37+L34+L29</f>
        <v/>
      </c>
      <c r="M50" s="255">
        <f>M48+M45+M41+M37+M34+M29</f>
        <v/>
      </c>
      <c r="N50" s="255">
        <f>N48+N45+N41+N37+N34+N29</f>
        <v/>
      </c>
      <c r="O50" s="255">
        <f>O48+O45+O41+O37+O34+O29</f>
        <v/>
      </c>
      <c r="P50" s="255">
        <f>P48+P45+P41+P37+P34+P29</f>
        <v/>
      </c>
      <c r="Q50" s="255">
        <f>Q48+Q45+Q41+Q37+Q34+Q29</f>
        <v/>
      </c>
      <c r="R50" s="255">
        <f>R48+R45+R41+R37+R34+R29</f>
        <v/>
      </c>
      <c r="S50" s="255">
        <f>S48+S45+S41+S37+S34+S29</f>
        <v/>
      </c>
      <c r="T50" s="255">
        <f>T48+T45+T41+T37+T34+T29</f>
        <v/>
      </c>
      <c r="U50" s="255">
        <f>U48+U45+U41+U37+U34+U29</f>
        <v/>
      </c>
      <c r="V50" s="255">
        <f>V48+V45+V41+V37+V34+V29</f>
        <v/>
      </c>
      <c r="W50" s="255">
        <f>W48+W45+W41+W37+W34+W29</f>
        <v/>
      </c>
      <c r="X50" s="255">
        <f>X48+X45+X41+X37+X34+X29</f>
        <v/>
      </c>
      <c r="Y50" s="255">
        <f>Y48+Y45+Y41+Y37+Y34+Y29</f>
        <v/>
      </c>
      <c r="Z50" s="255">
        <f>Z48+Z45+Z41+Z37+Z34+Z29</f>
        <v/>
      </c>
      <c r="AA50" s="255">
        <f>AA48+AA45+AA41+AA37+AA34+AA29</f>
        <v/>
      </c>
      <c r="AB50" s="255">
        <f>AB48+AB45+AB41+AB37+AB34+AB29</f>
        <v/>
      </c>
      <c r="AC50" s="255">
        <f>AC48+AC45+AC41+AC37+AC34+AC29+AC42</f>
        <v/>
      </c>
      <c r="AD50" s="13" t="n"/>
      <c r="AE50" s="245">
        <f>SUM(AG50:DN50)</f>
        <v/>
      </c>
      <c r="AF50" s="13" t="n"/>
      <c r="AG50" s="255">
        <f>AG48+AG45+AG41+AG37+AG34+AG29+AG42+AG38</f>
        <v/>
      </c>
      <c r="AH50" s="255">
        <f>AH48+AH45+AH41+AH37+AH34+AH29+AH42+AH38</f>
        <v/>
      </c>
      <c r="AI50" s="255">
        <f>AI48+AI45+AI41+AI37+AI34+AI29+AI42+AI38</f>
        <v/>
      </c>
      <c r="AJ50" s="255">
        <f>AJ48+AJ45+AJ41+AJ37+AJ34+AJ29+AJ42+AJ38</f>
        <v/>
      </c>
      <c r="AK50" s="255">
        <f>AK48+AK45+AK41+AK37+AK34+AK29+AK42+AK38</f>
        <v/>
      </c>
      <c r="AL50" s="255">
        <f>AL48+AL45+AL41+AL37+AL34+AL29+AL42+AL38</f>
        <v/>
      </c>
      <c r="AM50" s="255">
        <f>AM48+AM45+AM41+AM37+AM34+AM29+AM42+AM38</f>
        <v/>
      </c>
      <c r="AN50" s="255">
        <f>AN48+AN45+AN41+AN37+AN34+AN29+AN42+AN38</f>
        <v/>
      </c>
      <c r="AO50" s="255">
        <f>AO48+AO45+AO41+AO37+AO34+AO29+AO42+AO38</f>
        <v/>
      </c>
      <c r="AP50" s="255">
        <f>AP48+AP45+AP41+AP37+AP34+AP29+AP42+AP38</f>
        <v/>
      </c>
      <c r="AQ50" s="255">
        <f>AQ48+AQ45+AQ41+AQ37+AQ34+AQ29+AQ42+AQ38</f>
        <v/>
      </c>
      <c r="AR50" s="255">
        <f>AR48+AR45+AR41+AR37+AR34+AR29+AR42+AR38</f>
        <v/>
      </c>
      <c r="AS50" s="255">
        <f>AS48+AS45+AS41+AS37+AS34+AS29+AS42+AS38</f>
        <v/>
      </c>
      <c r="AT50" s="255">
        <f>AT48+AT45+AT41+AT37+AT34+AT29+AT42+AT38</f>
        <v/>
      </c>
      <c r="AU50" s="255">
        <f>AU48+AU45+AU41+AU37+AU34+AU29+AU42+AU38</f>
        <v/>
      </c>
      <c r="AV50" s="255">
        <f>AV48+AV45+AV41+AV37+AV34+AV29+AV42+AV38</f>
        <v/>
      </c>
      <c r="AW50" s="255">
        <f>AW48+AW45+AW41+AW37+AW34+AW29+AW42+AW38</f>
        <v/>
      </c>
      <c r="AX50" s="255">
        <f>AX48+AX45+AX41+AX37+AX34+AX29+AX42+AX38</f>
        <v/>
      </c>
      <c r="AY50" s="255">
        <f>AY48+AY45+AY41+AY37+AY34+AY29+AY42+AY38</f>
        <v/>
      </c>
      <c r="AZ50" s="255">
        <f>AZ48+AZ45+AZ41+AZ37+AZ34+AZ29+AZ42+AZ38</f>
        <v/>
      </c>
      <c r="BA50" s="255">
        <f>BA48+BA45+BA41+BA37+BA34+BA29+BA42+BA38</f>
        <v/>
      </c>
      <c r="BB50" s="255">
        <f>BB48+BB45+BB41+BB37+BB34+BB29+BB42+BB38</f>
        <v/>
      </c>
      <c r="BC50" s="255">
        <f>BC48+BC45+BC41+BC37+BC34+BC29+BC42+BC38</f>
        <v/>
      </c>
      <c r="BD50" s="255">
        <f>BD48+BD45+BD41+BD37+BD34+BD29+BD42+BD38</f>
        <v/>
      </c>
      <c r="BE50" s="255">
        <f>BE48+BE45+BE41+BE37+BE34+BE29+BE42+BE38</f>
        <v/>
      </c>
      <c r="BF50" s="255">
        <f>BF48+BF45+BF41+BF37+BF34+BF29+BF42+BF38</f>
        <v/>
      </c>
      <c r="BG50" s="255">
        <f>BG48+BG45+BG41+BG37+BG34+BG29+BG42+BG38</f>
        <v/>
      </c>
      <c r="BH50" s="255">
        <f>BH48+BH45+BH41+BH37+BH34+BH29+BH42+BH38</f>
        <v/>
      </c>
      <c r="BI50" s="255">
        <f>BI48+BI45+BI41+BI37+BI34+BI29+BI42+BI38</f>
        <v/>
      </c>
      <c r="BJ50" s="255">
        <f>BJ48+BJ45+BJ41+BJ37+BJ34+BJ29+BJ42+BJ38</f>
        <v/>
      </c>
      <c r="BK50" s="255">
        <f>BK48+BK45+BK41+BK37+BK34+BK29+BK42+BK38</f>
        <v/>
      </c>
      <c r="BL50" s="255">
        <f>BL48+BL45+BL41+BL37+BL34+BL29+BL42+BL38</f>
        <v/>
      </c>
      <c r="BM50" s="255">
        <f>BM48+BM45+BM41+BM37+BM34+BM29+BM42+BM38</f>
        <v/>
      </c>
      <c r="BN50" s="255">
        <f>BN48+BN45+BN41+BN37+BN34+BN29+BN42+BN38</f>
        <v/>
      </c>
      <c r="BO50" s="255">
        <f>BO48+BO45+BO41+BO37+BO34+BO29+BO42+BO38</f>
        <v/>
      </c>
      <c r="BP50" s="255">
        <f>BP48+BP45+BP41+BP37+BP34+BP29+BP42+BP38</f>
        <v/>
      </c>
      <c r="BQ50" s="255">
        <f>BQ48+BQ45+BQ41+BQ37+BQ34+BQ29+BQ42+BQ38</f>
        <v/>
      </c>
      <c r="BR50" s="255">
        <f>BR48+BR45+BR41+BR37+BR34+BR29+BR42+BR38</f>
        <v/>
      </c>
      <c r="BS50" s="255">
        <f>BS48+BS45+BS41+BS37+BS34+BS29+BS42+BS38</f>
        <v/>
      </c>
      <c r="BT50" s="255">
        <f>BT48+BT45+BT41+BT37+BT34+BT29+BT42+BT38</f>
        <v/>
      </c>
      <c r="BU50" s="255">
        <f>BU48+BU45+BU41+BU37+BU34+BU29+BU42+BU38</f>
        <v/>
      </c>
      <c r="BV50" s="255">
        <f>BV48+BV45+BV41+BV37+BV34+BV29+BV42+BV38</f>
        <v/>
      </c>
      <c r="BW50" s="255">
        <f>BW48+BW45+BW41+BW37+BW34+BW29+BW42+BW38</f>
        <v/>
      </c>
      <c r="BX50" s="255">
        <f>BX48+BX45+BX41+BX37+BX34+BX29+BX42+BX38</f>
        <v/>
      </c>
      <c r="BY50" s="255">
        <f>BY48+BY45+BY41+BY37+BY34+BY29+BY42+BY38</f>
        <v/>
      </c>
      <c r="BZ50" s="255">
        <f>BZ48+BZ45+BZ41+BZ37+BZ34+BZ29+BZ42+BZ38</f>
        <v/>
      </c>
      <c r="CA50" s="255">
        <f>CA48+CA45+CA41+CA37+CA34+CA29+CA42+CA38</f>
        <v/>
      </c>
      <c r="CB50" s="255">
        <f>CB48+CB45+CB41+CB37+CB34+CB29+CB42+CB38</f>
        <v/>
      </c>
      <c r="CC50" s="255">
        <f>CC48+CC45+CC41+CC37+CC34+CC29+CC42+CC38</f>
        <v/>
      </c>
      <c r="CD50" s="255">
        <f>CD48+CD45+CD41+CD37+CD34+CD29+CD42+CD38</f>
        <v/>
      </c>
      <c r="CE50" s="255">
        <f>CE48+CE45+CE41+CE37+CE34+CE29+CE42+CE38</f>
        <v/>
      </c>
      <c r="CF50" s="255">
        <f>CF48+CF45+CF41+CF37+CF34+CF29+CF42+CF38</f>
        <v/>
      </c>
      <c r="CG50" s="255">
        <f>CG48+CG45+CG41+CG37+CG34+CG29+CG42+CG38</f>
        <v/>
      </c>
      <c r="CH50" s="255">
        <f>CH48+CH45+CH41+CH37+CH34+CH29+CH42+CH38</f>
        <v/>
      </c>
      <c r="CI50" s="255">
        <f>CI48+CI45+CI41+CI37+CI34+CI29+CI42+CI38</f>
        <v/>
      </c>
      <c r="CJ50" s="255">
        <f>CJ48+CJ45+CJ41+CJ37+CJ34+CJ29+CJ42+CJ38</f>
        <v/>
      </c>
      <c r="CK50" s="255">
        <f>CK48+CK45+CK41+CK37+CK34+CK29+CK42+CK38</f>
        <v/>
      </c>
      <c r="CL50" s="255">
        <f>CL48+CL45+CL41+CL37+CL34+CL29+CL42+CL38</f>
        <v/>
      </c>
      <c r="CM50" s="255">
        <f>CM48+CM45+CM41+CM37+CM34+CM29+CM42+CM38</f>
        <v/>
      </c>
      <c r="CN50" s="255">
        <f>CN48+CN45+CN41+CN37+CN34+CN29+CN42+CN38</f>
        <v/>
      </c>
      <c r="CO50" s="255">
        <f>CO48+CO45+CO41+CO37+CO34+CO29+CO42+CO38</f>
        <v/>
      </c>
      <c r="CP50" s="255">
        <f>CP48+CP45+CP41+CP37+CP34+CP29+CP42+CP38</f>
        <v/>
      </c>
      <c r="CQ50" s="255">
        <f>CQ48+CQ45+CQ41+CQ37+CQ34+CQ29+CQ42+CQ38</f>
        <v/>
      </c>
      <c r="CR50" s="255">
        <f>CR48+CR45+CR41+CR37+CR34+CR29+CR42+CR38</f>
        <v/>
      </c>
      <c r="CS50" s="255">
        <f>CS48+CS45+CS41+CS37+CS34+CS29+CS42+CS38</f>
        <v/>
      </c>
      <c r="CT50" s="255">
        <f>CT48+CT45+CT41+CT37+CT34+CT29+CT42+CT38</f>
        <v/>
      </c>
      <c r="CU50" s="255">
        <f>CU48+CU45+CU41+CU37+CU34+CU29+CU42+CU38</f>
        <v/>
      </c>
      <c r="CV50" s="255">
        <f>CV48+CV45+CV41+CV37+CV34+CV29+CV42+CV38</f>
        <v/>
      </c>
      <c r="CW50" s="255">
        <f>CW48+CW45+CW41+CW37+CW34+CW29+CW42+CW38</f>
        <v/>
      </c>
      <c r="CX50" s="255">
        <f>CX48+CX45+CX41+CX37+CX34+CX29+CX42+CX38</f>
        <v/>
      </c>
      <c r="CY50" s="255">
        <f>CY48+CY45+CY41+CY37+CY34+CY29+CY42+CY38</f>
        <v/>
      </c>
      <c r="CZ50" s="255">
        <f>CZ48+CZ45+CZ41+CZ37+CZ34+CZ29+CZ42+CZ38</f>
        <v/>
      </c>
      <c r="DA50" s="255">
        <f>DA48+DA45+DA41+DA37+DA34+DA29+DA42+DA38</f>
        <v/>
      </c>
      <c r="DB50" s="255">
        <f>DB48+DB45+DB41+DB37+DB34+DB29+DB42+DB38</f>
        <v/>
      </c>
      <c r="DC50" s="255">
        <f>DC48+DC45+DC41+DC37+DC34+DC29+DC42+DC38</f>
        <v/>
      </c>
      <c r="DD50" s="255">
        <f>DD48+DD45+DD41+DD37+DD34+DD29+DD42+DD38</f>
        <v/>
      </c>
      <c r="DE50" s="255">
        <f>DE48+DE45+DE41+DE37+DE34+DE29+DE42+DE38</f>
        <v/>
      </c>
      <c r="DF50" s="255">
        <f>DF48+DF45+DF41+DF37+DF34+DF29+DF42+DF38</f>
        <v/>
      </c>
      <c r="DG50" s="255">
        <f>DG48+DG45+DG41+DG37+DG34+DG29+DG42+DG38</f>
        <v/>
      </c>
      <c r="DH50" s="255">
        <f>DH48+DH45+DH41+DH37+DH34+DH29+DH42+DH38</f>
        <v/>
      </c>
      <c r="DI50" s="255">
        <f>DI48+DI45+DI41+DI37+DI34+DI29+DI42+DI38</f>
        <v/>
      </c>
      <c r="DJ50" s="255">
        <f>DJ48+DJ45+DJ41+DJ37+DJ34+DJ29+DJ42+DJ38</f>
        <v/>
      </c>
      <c r="DK50" s="255">
        <f>DK48+DK45+DK41+DK37+DK34+DK29+DK42+DK38</f>
        <v/>
      </c>
      <c r="DL50" s="255">
        <f>DL48+DL45+DL41+DL37+DL34+DL29+DL42+DL38</f>
        <v/>
      </c>
      <c r="DM50" s="255">
        <f>DM48+DM45+DM41+DM37+DM34+DM29+DM42+DM38</f>
        <v/>
      </c>
      <c r="DN50" s="255">
        <f>DN48+DN45+DN41+DN37+DN34+DN29+DN42+DN38</f>
        <v/>
      </c>
      <c r="DO50" s="255">
        <f>DO48+DO45+DO41+DO37+DO34+DO29+DO42+DO38</f>
        <v/>
      </c>
      <c r="DP50" s="255">
        <f>DP48+DP45+DP41+DP37+DP34+DP29+DP42+DP38</f>
        <v/>
      </c>
      <c r="DQ50" s="255">
        <f>DQ48+DQ45+DQ41+DQ37+DQ34+DQ29+DQ42+DQ38</f>
        <v/>
      </c>
      <c r="DR50" s="255">
        <f>DR48+DR45+DR41+DR37+DR34+DR29+DR42+DR38</f>
        <v/>
      </c>
      <c r="DS50" s="255">
        <f>DS48+DS45+DS41+DS37+DS34+DS29+DS42+DS38</f>
        <v/>
      </c>
      <c r="DT50" s="255">
        <f>DT48+DT45+DT41+DT37+DT34+DT29+DT42+DT38</f>
        <v/>
      </c>
      <c r="DU50" s="255">
        <f>DU48+DU45+DU41+DU37+DU34+DU29+DU42+DU38</f>
        <v/>
      </c>
      <c r="DV50" s="255">
        <f>DV48+DV45+DV41+DV37+DV34+DV29+DV42+DV38</f>
        <v/>
      </c>
      <c r="DW50" s="255">
        <f>DW48+DW45+DW41+DW37+DW34+DW29+DW42+DW38</f>
        <v/>
      </c>
      <c r="DX50" s="255">
        <f>DX48+DX45+DX41+DX37+DX34+DX29+DX42+DX38</f>
        <v/>
      </c>
      <c r="DY50" s="255">
        <f>DY48+DY45+DY41+DY37+DY34+DY29+DY42+DY38</f>
        <v/>
      </c>
      <c r="DZ50" s="255">
        <f>DZ48+DZ45+DZ41+DZ37+DZ34+DZ29+DZ42+DZ38</f>
        <v/>
      </c>
      <c r="EA50" s="255">
        <f>EA48+EA45+EA41+EA37+EA34+EA29+EA42+EA38</f>
        <v/>
      </c>
      <c r="EB50" s="255">
        <f>EB48+EB45+EB41+EB37+EB34+EB29+EB42+EB38</f>
        <v/>
      </c>
      <c r="EC50" s="255">
        <f>EC48+EC45+EC41+EC37+EC34+EC29+EC42+EC38</f>
        <v/>
      </c>
      <c r="ED50" s="255">
        <f>ED48+ED45+ED41+ED37+ED34+ED29+ED42+ED38</f>
        <v/>
      </c>
      <c r="EE50" s="255">
        <f>EE48+EE45+EE41+EE37+EE34+EE29+EE42+EE38</f>
        <v/>
      </c>
      <c r="EF50" s="255">
        <f>EF48+EF45+EF41+EF37+EF34+EF29+EF42+EF38</f>
        <v/>
      </c>
      <c r="EG50" s="255">
        <f>EG48+EG45+EG41+EG37+EG34+EG29+EG42+EG38</f>
        <v/>
      </c>
      <c r="EH50" s="255">
        <f>EH48+EH45+EH41+EH37+EH34+EH29+EH42+EH38</f>
        <v/>
      </c>
      <c r="EI50" s="255">
        <f>EI48+EI45+EI41+EI37+EI34+EI29+EI42+EI38</f>
        <v/>
      </c>
      <c r="EJ50" s="255">
        <f>EJ48+EJ45+EJ41+EJ37+EJ34+EJ29+EJ42+EJ38</f>
        <v/>
      </c>
      <c r="EK50" s="255">
        <f>EK48+EK45+EK41+EK37+EK34+EK29+EK42+EK38</f>
        <v/>
      </c>
      <c r="EL50" s="255">
        <f>EL48+EL45+EL41+EL37+EL34+EL29+EL42+EL38</f>
        <v/>
      </c>
      <c r="EM50" s="255">
        <f>EM48+EM45+EM41+EM37+EM34+EM29+EM42+EM38</f>
        <v/>
      </c>
      <c r="EN50" s="255">
        <f>EN48+EN45+EN41+EN37+EN34+EN29+EN42+EN38</f>
        <v/>
      </c>
      <c r="EO50" s="255">
        <f>EO48+EO45+EO41+EO37+EO34+EO29+EO42+EO38</f>
        <v/>
      </c>
      <c r="EP50" s="255">
        <f>EP48+EP45+EP41+EP37+EP34+EP29+EP42+EP38</f>
        <v/>
      </c>
      <c r="EQ50" s="255">
        <f>EQ48+EQ45+EQ41+EQ37+EQ34+EQ29+EQ42+EQ38</f>
        <v/>
      </c>
      <c r="ER50" s="255">
        <f>ER48+ER45+ER41+ER37+ER34+ER29+ER42+ER38</f>
        <v/>
      </c>
      <c r="ES50" s="255">
        <f>ES48+ES45+ES41+ES37+ES34+ES29+ES42+ES38</f>
        <v/>
      </c>
      <c r="ET50" s="255">
        <f>ET48+ET45+ET41+ET37+ET34+ET29+ET42+ET38</f>
        <v/>
      </c>
      <c r="EU50" s="255">
        <f>EU48+EU45+EU41+EU37+EU34+EU29+EU42+EU38</f>
        <v/>
      </c>
      <c r="EV50" s="255">
        <f>EV48+EV45+EV41+EV37+EV34+EV29+EV42+EV38</f>
        <v/>
      </c>
      <c r="EW50" s="255">
        <f>EW48+EW45+EW41+EW37+EW34+EW29+EW42+EW38</f>
        <v/>
      </c>
      <c r="EX50" s="255">
        <f>EX48+EX45+EX41+EX37+EX34+EX29+EX42+EX38</f>
        <v/>
      </c>
      <c r="EY50" s="255">
        <f>EY48+EY45+EY41+EY37+EY34+EY29+EY42+EY38</f>
        <v/>
      </c>
      <c r="EZ50" s="255">
        <f>EZ48+EZ45+EZ41+EZ37+EZ34+EZ29+EZ42+EZ38</f>
        <v/>
      </c>
      <c r="FA50" s="255">
        <f>FA48+FA45+FA41+FA37+FA34+FA29+FA42+FA38</f>
        <v/>
      </c>
      <c r="FB50" s="255">
        <f>FB48+FB45+FB41+FB37+FB34+FB29+FB42+FB38</f>
        <v/>
      </c>
      <c r="FC50" s="255">
        <f>FC48+FC45+FC41+FC37+FC34+FC29+FC42+FC38</f>
        <v/>
      </c>
      <c r="FD50" s="255">
        <f>FD48+FD45+FD41+FD37+FD34+FD29+FD42+FD38</f>
        <v/>
      </c>
      <c r="FE50" s="255">
        <f>FE48+FE45+FE41+FE37+FE34+FE29+FE42+FE38</f>
        <v/>
      </c>
      <c r="FF50" s="255">
        <f>FF48+FF45+FF41+FF37+FF34+FF29+FF42+FF38</f>
        <v/>
      </c>
      <c r="FG50" s="255">
        <f>FG48+FG45+FG41+FG37+FG34+FG29+FG42+FG38</f>
        <v/>
      </c>
      <c r="FH50" s="255">
        <f>FH48+FH45+FH41+FH37+FH34+FH29+FH42+FH38</f>
        <v/>
      </c>
      <c r="FI50" s="255">
        <f>FI48+FI45+FI41+FI37+FI34+FI29+FI42+FI38</f>
        <v/>
      </c>
      <c r="FJ50" s="255">
        <f>FJ48+FJ45+FJ41+FJ37+FJ34+FJ29+FJ42+FJ38</f>
        <v/>
      </c>
      <c r="FK50" s="255">
        <f>FK48+FK45+FK41+FK37+FK34+FK29+FK42+FK38</f>
        <v/>
      </c>
      <c r="FL50" s="255">
        <f>FL48+FL45+FL41+FL37+FL34+FL29+FL42+FL38</f>
        <v/>
      </c>
      <c r="FM50" s="255">
        <f>FM48+FM45+FM41+FM37+FM34+FM29+FM42+FM38</f>
        <v/>
      </c>
      <c r="FN50" s="255">
        <f>FN48+FN45+FN41+FN37+FN34+FN29+FN42+FN38</f>
        <v/>
      </c>
      <c r="FO50" s="255">
        <f>FO48+FO45+FO41+FO37+FO34+FO29+FO42+FO38</f>
        <v/>
      </c>
      <c r="FP50" s="255">
        <f>FP48+FP45+FP41+FP37+FP34+FP29+FP42+FP38</f>
        <v/>
      </c>
      <c r="FQ50" s="255">
        <f>FQ48+FQ45+FQ41+FQ37+FQ34+FQ29+FQ42+FQ38</f>
        <v/>
      </c>
      <c r="FR50" s="255">
        <f>FR48+FR45+FR41+FR37+FR34+FR29+FR42+FR38</f>
        <v/>
      </c>
      <c r="FS50" s="255">
        <f>FS48+FS45+FS41+FS37+FS34+FS29+FS42+FS38</f>
        <v/>
      </c>
      <c r="FT50" s="255">
        <f>FT48+FT45+FT41+FT37+FT34+FT29+FT42+FT38</f>
        <v/>
      </c>
      <c r="FU50" s="255">
        <f>FU48+FU45+FU41+FU37+FU34+FU29+FU42+FU38</f>
        <v/>
      </c>
      <c r="FV50" s="255">
        <f>FV48+FV45+FV41+FV37+FV34+FV29+FV42+FV38</f>
        <v/>
      </c>
      <c r="FW50" s="255">
        <f>FW48+FW45+FW41+FW37+FW34+FW29+FW42+FW38</f>
        <v/>
      </c>
      <c r="FX50" s="255">
        <f>FX48+FX45+FX41+FX37+FX34+FX29+FX42+FX38</f>
        <v/>
      </c>
      <c r="FY50" s="255">
        <f>FY48+FY45+FY41+FY37+FY34+FY29+FY42+FY38</f>
        <v/>
      </c>
      <c r="FZ50" s="255">
        <f>FZ48+FZ45+FZ41+FZ37+FZ34+FZ29+FZ42+FZ38</f>
        <v/>
      </c>
      <c r="GA50" s="255">
        <f>GA48+GA45+GA41+GA37+GA34+GA29+GA42+GA38</f>
        <v/>
      </c>
      <c r="GB50" s="255">
        <f>GB48+GB45+GB41+GB37+GB34+GB29+GB42+GB38</f>
        <v/>
      </c>
      <c r="GC50" s="255">
        <f>GC48+GC45+GC41+GC37+GC34+GC29+GC42+GC38</f>
        <v/>
      </c>
      <c r="GD50" s="255">
        <f>GD48+GD45+GD41+GD37+GD34+GD29+GD42+GD38</f>
        <v/>
      </c>
      <c r="GE50" s="255">
        <f>GE48+GE45+GE41+GE37+GE34+GE29+GE42+GE38</f>
        <v/>
      </c>
      <c r="GF50" s="255">
        <f>GF48+GF45+GF41+GF37+GF34+GF29+GF42+GF38</f>
        <v/>
      </c>
      <c r="GG50" s="255">
        <f>GG48+GG45+GG41+GG37+GG34+GG29+GG42+GG38</f>
        <v/>
      </c>
      <c r="GH50" s="255">
        <f>GH48+GH45+GH41+GH37+GH34+GH29+GH42+GH38</f>
        <v/>
      </c>
      <c r="GI50" s="255">
        <f>GI48+GI45+GI41+GI37+GI34+GI29+GI42+GI38</f>
        <v/>
      </c>
      <c r="GJ50" s="255">
        <f>GJ48+GJ45+GJ41+GJ37+GJ34+GJ29+GJ42+GJ38</f>
        <v/>
      </c>
      <c r="GK50" s="255">
        <f>GK48+GK45+GK41+GK37+GK34+GK29+GK42+GK38</f>
        <v/>
      </c>
      <c r="GL50" s="255">
        <f>GL48+GL45+GL41+GL37+GL34+GL29+GL42+GL38</f>
        <v/>
      </c>
      <c r="GM50" s="255">
        <f>GM48+GM45+GM41+GM37+GM34+GM29+GM42+GM38</f>
        <v/>
      </c>
      <c r="GN50" s="255">
        <f>GN48+GN45+GN41+GN37+GN34+GN29+GN42+GN38</f>
        <v/>
      </c>
      <c r="GO50" s="255">
        <f>GO48+GO45+GO41+GO37+GO34+GO29+GO42+GO38</f>
        <v/>
      </c>
      <c r="GP50" s="255">
        <f>GP48+GP45+GP41+GP37+GP34+GP29+GP42+GP38</f>
        <v/>
      </c>
      <c r="GQ50" s="255">
        <f>GQ48+GQ45+GQ41+GQ37+GQ34+GQ29+GQ42+GQ38</f>
        <v/>
      </c>
      <c r="GR50" s="255">
        <f>GR48+GR45+GR41+GR37+GR34+GR29+GR42+GR38</f>
        <v/>
      </c>
      <c r="GS50" s="255">
        <f>GS48+GS45+GS41+GS37+GS34+GS29+GS42+GS38</f>
        <v/>
      </c>
      <c r="GT50" s="255">
        <f>GT48+GT45+GT41+GT37+GT34+GT29+GT42+GT38</f>
        <v/>
      </c>
      <c r="GU50" s="255">
        <f>GU48+GU45+GU41+GU37+GU34+GU29+GU42+GU38</f>
        <v/>
      </c>
      <c r="GV50" s="255">
        <f>GV48+GV45+GV41+GV37+GV34+GV29+GV42+GV38</f>
        <v/>
      </c>
      <c r="GW50" s="255">
        <f>GW48+GW45+GW41+GW37+GW34+GW29+GW42+GW38</f>
        <v/>
      </c>
      <c r="GX50" s="255">
        <f>GX48+GX45+GX41+GX37+GX34+GX29+GX42+GX38</f>
        <v/>
      </c>
      <c r="GY50" s="255">
        <f>GY48+GY45+GY41+GY37+GY34+GY29+GY42+GY38</f>
        <v/>
      </c>
      <c r="GZ50" s="255">
        <f>GZ48+GZ45+GZ41+GZ37+GZ34+GZ29+GZ42+GZ38</f>
        <v/>
      </c>
      <c r="HA50" s="255">
        <f>HA48+HA45+HA41+HA37+HA34+HA29+HA42+HA38</f>
        <v/>
      </c>
      <c r="HB50" s="255">
        <f>HB48+HB45+HB41+HB37+HB34+HB29+HB42+HB38</f>
        <v/>
      </c>
      <c r="HC50" s="255">
        <f>HC48+HC45+HC41+HC37+HC34+HC29+HC42+HC38</f>
        <v/>
      </c>
      <c r="HD50" s="255">
        <f>HD48+HD45+HD41+HD37+HD34+HD29+HD42+HD38</f>
        <v/>
      </c>
      <c r="HE50" s="255">
        <f>HE48+HE45+HE41+HE37+HE34+HE29+HE42+HE38</f>
        <v/>
      </c>
      <c r="HF50" s="255">
        <f>HF48+HF45+HF41+HF37+HF34+HF29+HF42+HF38</f>
        <v/>
      </c>
      <c r="HG50" s="255">
        <f>HG48+HG45+HG41+HG37+HG34+HG29+HG42+HG38</f>
        <v/>
      </c>
      <c r="HH50" s="255">
        <f>HH48+HH45+HH41+HH37+HH34+HH29+HH42+HH38</f>
        <v/>
      </c>
      <c r="HI50" s="255">
        <f>HI48+HI45+HI41+HI37+HI34+HI29+HI42+HI38</f>
        <v/>
      </c>
      <c r="HJ50" s="255">
        <f>HJ48+HJ45+HJ41+HJ37+HJ34+HJ29+HJ42+HJ38</f>
        <v/>
      </c>
      <c r="HK50" s="255">
        <f>HK48+HK45+HK41+HK37+HK34+HK29+HK42+HK38</f>
        <v/>
      </c>
      <c r="HL50" s="255">
        <f>HL48+HL45+HL41+HL37+HL34+HL29+HL42+HL38</f>
        <v/>
      </c>
      <c r="HM50" s="255">
        <f>HM48+HM45+HM41+HM37+HM34+HM29+HM42+HM38</f>
        <v/>
      </c>
      <c r="HN50" s="255">
        <f>HN48+HN45+HN41+HN37+HN34+HN29+HN42+HN38</f>
        <v/>
      </c>
      <c r="HO50" s="255">
        <f>HO48+HO45+HO41+HO37+HO34+HO29+HO42+HO38</f>
        <v/>
      </c>
      <c r="HP50" s="255">
        <f>HP48+HP45+HP41+HP37+HP34+HP29+HP42+HP38</f>
        <v/>
      </c>
      <c r="HQ50" s="255">
        <f>HQ48+HQ45+HQ41+HQ37+HQ34+HQ29+HQ42+HQ38</f>
        <v/>
      </c>
      <c r="HR50" s="255">
        <f>HR48+HR45+HR41+HR37+HR34+HR29+HR42+HR38</f>
        <v/>
      </c>
      <c r="HS50" s="255">
        <f>HS48+HS45+HS41+HS37+HS34+HS29+HS42+HS38</f>
        <v/>
      </c>
      <c r="HT50" s="255">
        <f>HT48+HT45+HT41+HT37+HT34+HT29+HT42+HT38</f>
        <v/>
      </c>
      <c r="HU50" s="255">
        <f>HU48+HU45+HU41+HU37+HU34+HU29+HU42+HU38</f>
        <v/>
      </c>
    </row>
    <row r="51" ht="15.75" customHeight="1">
      <c r="A51" s="74" t="inlineStr">
        <is>
          <t>TOTAL ACUMULADO DE DESPESAS OP.(-)</t>
        </is>
      </c>
      <c r="B51" s="269">
        <f>SUM(C51:W51)</f>
        <v/>
      </c>
      <c r="C51" s="59" t="n"/>
      <c r="D51" s="59">
        <f>C51+D50</f>
        <v/>
      </c>
      <c r="E51" s="59">
        <f>D51+E50</f>
        <v/>
      </c>
      <c r="F51" s="59">
        <f>D51+F50</f>
        <v/>
      </c>
      <c r="G51" s="59">
        <f>E51+G50</f>
        <v/>
      </c>
      <c r="H51" s="59">
        <f>F51+H50</f>
        <v/>
      </c>
      <c r="I51" s="103">
        <f>G51+I50</f>
        <v/>
      </c>
      <c r="J51" s="182">
        <f>I51+J50</f>
        <v/>
      </c>
      <c r="K51" s="103">
        <f>J51+K50</f>
        <v/>
      </c>
      <c r="L51" s="59">
        <f>K51+L50</f>
        <v/>
      </c>
      <c r="M51" s="59">
        <f>L51+M50</f>
        <v/>
      </c>
      <c r="N51" s="59">
        <f>M51+N50</f>
        <v/>
      </c>
      <c r="O51" s="59">
        <f>N51+O50</f>
        <v/>
      </c>
      <c r="P51" s="59">
        <f>O51+P50</f>
        <v/>
      </c>
      <c r="Q51" s="59">
        <f>P51+Q50</f>
        <v/>
      </c>
      <c r="R51" s="59">
        <f>Q51+R50</f>
        <v/>
      </c>
      <c r="S51" s="59">
        <f>R51+S50</f>
        <v/>
      </c>
      <c r="T51" s="59">
        <f>S51+T50</f>
        <v/>
      </c>
      <c r="U51" s="59">
        <f>T51+U50</f>
        <v/>
      </c>
      <c r="V51" s="59">
        <f>U51+V50</f>
        <v/>
      </c>
      <c r="W51" s="59">
        <f>V51+W50</f>
        <v/>
      </c>
      <c r="X51" s="59">
        <f>W51+X50</f>
        <v/>
      </c>
      <c r="Y51" s="59">
        <f>X51+Y50</f>
        <v/>
      </c>
      <c r="Z51" s="59">
        <f>Y51+Z50</f>
        <v/>
      </c>
      <c r="AA51" s="59">
        <f>Z51+AA50</f>
        <v/>
      </c>
      <c r="AB51" s="59">
        <f>AA51+AB50</f>
        <v/>
      </c>
      <c r="AC51" s="59">
        <f>AB51+AC50</f>
        <v/>
      </c>
      <c r="AD51" s="13" t="n"/>
      <c r="AE51" s="183">
        <f>W51+AE50</f>
        <v/>
      </c>
      <c r="AF51" s="13" t="n"/>
      <c r="AG51" s="100">
        <f>AA51+AG50</f>
        <v/>
      </c>
      <c r="AH51" s="100">
        <f>AG51+AH50</f>
        <v/>
      </c>
      <c r="AI51" s="59">
        <f>AH51+AI50</f>
        <v/>
      </c>
      <c r="AJ51" s="59">
        <f>AI51+AJ50</f>
        <v/>
      </c>
      <c r="AK51" s="59">
        <f>AJ51+AK50</f>
        <v/>
      </c>
      <c r="AL51" s="59">
        <f>AK51+AL50</f>
        <v/>
      </c>
      <c r="AM51" s="59">
        <f>AL51+AM50</f>
        <v/>
      </c>
      <c r="AN51" s="59">
        <f>AM51+AN50</f>
        <v/>
      </c>
      <c r="AO51" s="59">
        <f>AN51+AO50</f>
        <v/>
      </c>
      <c r="AP51" s="59">
        <f>AO51+AP50</f>
        <v/>
      </c>
      <c r="AQ51" s="103">
        <f>AP51+AQ50</f>
        <v/>
      </c>
      <c r="AR51" s="103">
        <f>AQ51+AR50</f>
        <v/>
      </c>
      <c r="AS51" s="59">
        <f>AR51+AS50</f>
        <v/>
      </c>
      <c r="AT51" s="59">
        <f>AS51+AT50</f>
        <v/>
      </c>
      <c r="AU51" s="59">
        <f>AT51+AU50</f>
        <v/>
      </c>
      <c r="AV51" s="59">
        <f>AU51+AV50</f>
        <v/>
      </c>
      <c r="AW51" s="59">
        <f>AV51+AW50</f>
        <v/>
      </c>
      <c r="AX51" s="59">
        <f>AW51+AX50</f>
        <v/>
      </c>
      <c r="AY51" s="59">
        <f>AX51+AY50</f>
        <v/>
      </c>
      <c r="AZ51" s="59">
        <f>AY51+AZ50</f>
        <v/>
      </c>
      <c r="BA51" s="59">
        <f>AZ51+BA50</f>
        <v/>
      </c>
      <c r="BB51" s="59">
        <f>BA51+BB50</f>
        <v/>
      </c>
      <c r="BC51" s="59">
        <f>BB51+BC50</f>
        <v/>
      </c>
      <c r="BD51" s="305">
        <f>BC51+BD50</f>
        <v/>
      </c>
      <c r="BE51" s="100">
        <f>BD51+BE50</f>
        <v/>
      </c>
      <c r="BF51" s="59">
        <f>BE51+BF50</f>
        <v/>
      </c>
      <c r="BG51" s="59">
        <f>BF51+BG50</f>
        <v/>
      </c>
      <c r="BH51" s="59">
        <f>BG51+BH50</f>
        <v/>
      </c>
      <c r="BI51" s="59">
        <f>BH51+BI50</f>
        <v/>
      </c>
      <c r="BJ51" s="59">
        <f>BI51+BJ50</f>
        <v/>
      </c>
      <c r="BK51" s="59">
        <f>BJ51+BK50</f>
        <v/>
      </c>
      <c r="BL51" s="59">
        <f>BK51+BL50</f>
        <v/>
      </c>
      <c r="BM51" s="59">
        <f>BL51+BM50</f>
        <v/>
      </c>
      <c r="BN51" s="59">
        <f>BM51+BN50</f>
        <v/>
      </c>
      <c r="BO51" s="59">
        <f>BN51+BO50</f>
        <v/>
      </c>
      <c r="BP51" s="305">
        <f>BO51+BP50</f>
        <v/>
      </c>
      <c r="BQ51" s="100">
        <f>BP51+BQ50</f>
        <v/>
      </c>
      <c r="BR51" s="59">
        <f>BQ51+BR50</f>
        <v/>
      </c>
      <c r="BS51" s="59">
        <f>BR51+BS50</f>
        <v/>
      </c>
      <c r="BT51" s="59">
        <f>BS51+BT50</f>
        <v/>
      </c>
      <c r="BU51" s="59">
        <f>BT51+BU50</f>
        <v/>
      </c>
      <c r="BV51" s="59">
        <f>BU51+BV50</f>
        <v/>
      </c>
      <c r="BW51" s="59">
        <f>BV51+BW50</f>
        <v/>
      </c>
      <c r="BX51" s="59">
        <f>BW51+BX50</f>
        <v/>
      </c>
      <c r="BY51" s="59">
        <f>BX51+BY50</f>
        <v/>
      </c>
      <c r="BZ51" s="59">
        <f>BY51+BZ50</f>
        <v/>
      </c>
      <c r="CA51" s="59">
        <f>BZ51+CA50</f>
        <v/>
      </c>
      <c r="CB51" s="305">
        <f>CA51+CB50</f>
        <v/>
      </c>
      <c r="CC51" s="100">
        <f>CB51+CC50</f>
        <v/>
      </c>
      <c r="CD51" s="59">
        <f>CC51+CD50</f>
        <v/>
      </c>
      <c r="CE51" s="59">
        <f>CD51+CE50</f>
        <v/>
      </c>
      <c r="CF51" s="59">
        <f>CE51+CF50</f>
        <v/>
      </c>
      <c r="CG51" s="59">
        <f>CF51+CG50</f>
        <v/>
      </c>
      <c r="CH51" s="59">
        <f>CG51+CH50</f>
        <v/>
      </c>
      <c r="CI51" s="59">
        <f>CH51+CI50</f>
        <v/>
      </c>
      <c r="CJ51" s="59">
        <f>CI51+CJ50</f>
        <v/>
      </c>
      <c r="CK51" s="59">
        <f>CJ51+CK50</f>
        <v/>
      </c>
      <c r="CL51" s="59">
        <f>CK51+CL50</f>
        <v/>
      </c>
      <c r="CM51" s="59">
        <f>CL51+CM50</f>
        <v/>
      </c>
      <c r="CN51" s="305">
        <f>CM51+CN50</f>
        <v/>
      </c>
      <c r="CO51" s="100">
        <f>CN51+CO50</f>
        <v/>
      </c>
      <c r="CP51" s="59">
        <f>CO51+CP50</f>
        <v/>
      </c>
      <c r="CQ51" s="59">
        <f>CP51+CQ50</f>
        <v/>
      </c>
      <c r="CR51" s="59">
        <f>CQ51+CR50</f>
        <v/>
      </c>
      <c r="CS51" s="59">
        <f>CR51+CS50</f>
        <v/>
      </c>
      <c r="CT51" s="59">
        <f>CS51+CT50</f>
        <v/>
      </c>
      <c r="CU51" s="59">
        <f>CT51+CU50</f>
        <v/>
      </c>
      <c r="CV51" s="59">
        <f>CU51+CV50</f>
        <v/>
      </c>
      <c r="CW51" s="59">
        <f>CV51+CW50</f>
        <v/>
      </c>
      <c r="CX51" s="59">
        <f>CW51+CX50</f>
        <v/>
      </c>
      <c r="CY51" s="59">
        <f>CX51+CY50</f>
        <v/>
      </c>
      <c r="CZ51" s="305">
        <f>CY51+CZ50</f>
        <v/>
      </c>
      <c r="DA51" s="100">
        <f>CZ51+DA50</f>
        <v/>
      </c>
      <c r="DB51" s="59">
        <f>DA51+DB50</f>
        <v/>
      </c>
      <c r="DC51" s="59">
        <f>DB51+DC50</f>
        <v/>
      </c>
      <c r="DD51" s="59">
        <f>DC51+DD50</f>
        <v/>
      </c>
      <c r="DE51" s="59">
        <f>DD51+DE50</f>
        <v/>
      </c>
      <c r="DF51" s="59">
        <f>DE51+DF50</f>
        <v/>
      </c>
      <c r="DG51" s="59">
        <f>DF51+DG50</f>
        <v/>
      </c>
      <c r="DH51" s="59">
        <f>DG51+DH50</f>
        <v/>
      </c>
      <c r="DI51" s="59">
        <f>DH51+DI50</f>
        <v/>
      </c>
      <c r="DJ51" s="103">
        <f>DI51+DJ50</f>
        <v/>
      </c>
      <c r="DK51" s="59">
        <f>DJ51+DK50</f>
        <v/>
      </c>
      <c r="DL51" s="103">
        <f>DK51+DL50</f>
        <v/>
      </c>
      <c r="DM51" s="59">
        <f>DL51+DM50</f>
        <v/>
      </c>
      <c r="DN51" s="103">
        <f>DM51+DN50</f>
        <v/>
      </c>
      <c r="DO51" s="103">
        <f>DN51+DO50</f>
        <v/>
      </c>
      <c r="DP51" s="103">
        <f>DO51+DP50</f>
        <v/>
      </c>
      <c r="DQ51" s="103">
        <f>DP51+DQ50</f>
        <v/>
      </c>
      <c r="DR51" s="103">
        <f>DQ51+DR50</f>
        <v/>
      </c>
      <c r="DS51" s="103">
        <f>DR51+DS50</f>
        <v/>
      </c>
      <c r="DT51" s="103">
        <f>DS51+DT50</f>
        <v/>
      </c>
      <c r="DU51" s="103">
        <f>DT51+DU50</f>
        <v/>
      </c>
      <c r="DV51" s="103">
        <f>DU51+DV50</f>
        <v/>
      </c>
      <c r="DW51" s="103">
        <f>DV51+DW50</f>
        <v/>
      </c>
      <c r="DX51" s="103">
        <f>DW51+DX50</f>
        <v/>
      </c>
      <c r="DY51" s="103">
        <f>DX51+DY50</f>
        <v/>
      </c>
      <c r="DZ51" s="103">
        <f>DY51+DZ50</f>
        <v/>
      </c>
      <c r="EA51" s="103">
        <f>DZ51+EA50</f>
        <v/>
      </c>
      <c r="EB51" s="103">
        <f>EA51+EB50</f>
        <v/>
      </c>
      <c r="EC51" s="103">
        <f>EB51+EC50</f>
        <v/>
      </c>
      <c r="ED51" s="103">
        <f>EC51+ED50</f>
        <v/>
      </c>
      <c r="EE51" s="103">
        <f>ED51+EE50</f>
        <v/>
      </c>
      <c r="EF51" s="103">
        <f>EE51+EF50</f>
        <v/>
      </c>
      <c r="EG51" s="103">
        <f>EF51+EG50</f>
        <v/>
      </c>
      <c r="EH51" s="103">
        <f>EG51+EH50</f>
        <v/>
      </c>
      <c r="EI51" s="103">
        <f>EH51+EI50</f>
        <v/>
      </c>
      <c r="EJ51" s="103">
        <f>EI51+EJ50</f>
        <v/>
      </c>
      <c r="EK51" s="103">
        <f>EJ51+EK50</f>
        <v/>
      </c>
      <c r="EL51" s="103">
        <f>EK51+EL50</f>
        <v/>
      </c>
      <c r="EM51" s="103">
        <f>EL51+EM50</f>
        <v/>
      </c>
      <c r="EN51" s="103">
        <f>EM51+EN50</f>
        <v/>
      </c>
      <c r="EO51" s="103">
        <f>EN51+EO50</f>
        <v/>
      </c>
      <c r="EP51" s="103">
        <f>EO51+EP50</f>
        <v/>
      </c>
      <c r="EQ51" s="103">
        <f>EP51+EQ50</f>
        <v/>
      </c>
      <c r="ER51" s="103">
        <f>EQ51+ER50</f>
        <v/>
      </c>
      <c r="ES51" s="103">
        <f>ER51+ES50</f>
        <v/>
      </c>
      <c r="ET51" s="103">
        <f>ES51+ET50</f>
        <v/>
      </c>
      <c r="EU51" s="103">
        <f>ET51+EU50</f>
        <v/>
      </c>
      <c r="EV51" s="103">
        <f>EU51+EV50</f>
        <v/>
      </c>
      <c r="EW51" s="103">
        <f>EV51+EW50</f>
        <v/>
      </c>
      <c r="EX51" s="103">
        <f>EW51+EX50</f>
        <v/>
      </c>
      <c r="EY51" s="103">
        <f>EX51+EY50</f>
        <v/>
      </c>
      <c r="EZ51" s="103">
        <f>EY51+EZ50</f>
        <v/>
      </c>
      <c r="FA51" s="103">
        <f>EZ51+FA50</f>
        <v/>
      </c>
      <c r="FB51" s="103">
        <f>FA51+FB50</f>
        <v/>
      </c>
      <c r="FC51" s="103">
        <f>FB51+FC50</f>
        <v/>
      </c>
      <c r="FD51" s="103">
        <f>FC51+FD50</f>
        <v/>
      </c>
      <c r="FE51" s="103">
        <f>FD51+FE50</f>
        <v/>
      </c>
      <c r="FF51" s="103">
        <f>FE51+FF50</f>
        <v/>
      </c>
      <c r="FG51" s="103">
        <f>FF51+FG50</f>
        <v/>
      </c>
      <c r="FH51" s="103">
        <f>FG51+FH50</f>
        <v/>
      </c>
      <c r="FI51" s="103">
        <f>FH51+FI50</f>
        <v/>
      </c>
      <c r="FJ51" s="103">
        <f>FI51+FJ50</f>
        <v/>
      </c>
      <c r="FK51" s="103">
        <f>FJ51+FK50</f>
        <v/>
      </c>
      <c r="FL51" s="103">
        <f>FK51+FL50</f>
        <v/>
      </c>
      <c r="FM51" s="103">
        <f>FL51+FM50</f>
        <v/>
      </c>
      <c r="FN51" s="103">
        <f>FM51+FN50</f>
        <v/>
      </c>
      <c r="FO51" s="103">
        <f>FN51+FO50</f>
        <v/>
      </c>
      <c r="FP51" s="103">
        <f>FO51+FP50</f>
        <v/>
      </c>
      <c r="FQ51" s="103">
        <f>FP51+FQ50</f>
        <v/>
      </c>
      <c r="FR51" s="103">
        <f>FQ51+FR50</f>
        <v/>
      </c>
      <c r="FS51" s="103">
        <f>FR51+FS50</f>
        <v/>
      </c>
      <c r="FT51" s="103">
        <f>FS51+FT50</f>
        <v/>
      </c>
      <c r="FU51" s="103">
        <f>FT51+FU50</f>
        <v/>
      </c>
      <c r="FV51" s="103">
        <f>FU51+FV50</f>
        <v/>
      </c>
      <c r="FW51" s="103">
        <f>FV51+FW50</f>
        <v/>
      </c>
      <c r="FX51" s="103">
        <f>FW51+FX50</f>
        <v/>
      </c>
      <c r="FY51" s="103">
        <f>FX51+FY50</f>
        <v/>
      </c>
      <c r="FZ51" s="103">
        <f>FY51+FZ50</f>
        <v/>
      </c>
      <c r="GA51" s="103">
        <f>FZ51+GA50</f>
        <v/>
      </c>
      <c r="GB51" s="103">
        <f>GA51+GB50</f>
        <v/>
      </c>
      <c r="GC51" s="103">
        <f>GB51+GC50</f>
        <v/>
      </c>
      <c r="GD51" s="103">
        <f>GC51+GD50</f>
        <v/>
      </c>
      <c r="GE51" s="103">
        <f>GD51+GE50</f>
        <v/>
      </c>
      <c r="GF51" s="103">
        <f>GE51+GF50</f>
        <v/>
      </c>
      <c r="GG51" s="103">
        <f>GF51+GG50</f>
        <v/>
      </c>
      <c r="GH51" s="103">
        <f>GG51+GH50</f>
        <v/>
      </c>
      <c r="GI51" s="103">
        <f>GH51+GI50</f>
        <v/>
      </c>
      <c r="GJ51" s="103">
        <f>GI51+GJ50</f>
        <v/>
      </c>
      <c r="GK51" s="103">
        <f>GJ51+GK50</f>
        <v/>
      </c>
      <c r="GL51" s="103">
        <f>GK51+GL50</f>
        <v/>
      </c>
      <c r="GM51" s="103">
        <f>GL51+GM50</f>
        <v/>
      </c>
      <c r="GN51" s="103">
        <f>GM51+GN50</f>
        <v/>
      </c>
      <c r="GO51" s="103">
        <f>GN51+GO50</f>
        <v/>
      </c>
      <c r="GP51" s="103">
        <f>GO51+GP50</f>
        <v/>
      </c>
      <c r="GQ51" s="103">
        <f>GP51+GQ50</f>
        <v/>
      </c>
      <c r="GR51" s="103">
        <f>GQ51+GR50</f>
        <v/>
      </c>
      <c r="GS51" s="103">
        <f>GR51+GS50</f>
        <v/>
      </c>
      <c r="GT51" s="103">
        <f>GS51+GT50</f>
        <v/>
      </c>
      <c r="GU51" s="103">
        <f>GT51+GU50</f>
        <v/>
      </c>
      <c r="GV51" s="103">
        <f>GU51+GV50</f>
        <v/>
      </c>
      <c r="GW51" s="103">
        <f>GV51+GW50</f>
        <v/>
      </c>
      <c r="GX51" s="103">
        <f>GW51+GX50</f>
        <v/>
      </c>
      <c r="GY51" s="103">
        <f>GX51+GY50</f>
        <v/>
      </c>
      <c r="GZ51" s="103">
        <f>GY51+GZ50</f>
        <v/>
      </c>
      <c r="HA51" s="103">
        <f>GZ51+HA50</f>
        <v/>
      </c>
      <c r="HB51" s="103">
        <f>HA51+HB50</f>
        <v/>
      </c>
      <c r="HC51" s="103">
        <f>HB51+HC50</f>
        <v/>
      </c>
      <c r="HD51" s="103">
        <f>HC51+HD50</f>
        <v/>
      </c>
      <c r="HE51" s="103">
        <f>HD51+HE50</f>
        <v/>
      </c>
      <c r="HF51" s="103">
        <f>HE51+HF50</f>
        <v/>
      </c>
      <c r="HG51" s="103">
        <f>HF51+HG50</f>
        <v/>
      </c>
      <c r="HH51" s="103">
        <f>HG51+HH50</f>
        <v/>
      </c>
      <c r="HI51" s="103">
        <f>HH51+HI50</f>
        <v/>
      </c>
      <c r="HJ51" s="103">
        <f>HI51+HJ50</f>
        <v/>
      </c>
      <c r="HK51" s="103">
        <f>HJ51+HK50</f>
        <v/>
      </c>
      <c r="HL51" s="103">
        <f>HK51+HL50</f>
        <v/>
      </c>
      <c r="HM51" s="103">
        <f>HL51+HM50</f>
        <v/>
      </c>
      <c r="HN51" s="103">
        <f>HM51+HN50</f>
        <v/>
      </c>
      <c r="HO51" s="103">
        <f>HN51+HO50</f>
        <v/>
      </c>
      <c r="HP51" s="103">
        <f>HO51+HP50</f>
        <v/>
      </c>
      <c r="HQ51" s="103">
        <f>HP51+HQ50</f>
        <v/>
      </c>
      <c r="HR51" s="103">
        <f>HQ51+HR50</f>
        <v/>
      </c>
      <c r="HS51" s="103">
        <f>HR51+HS50</f>
        <v/>
      </c>
      <c r="HT51" s="103">
        <f>HS51+HT50</f>
        <v/>
      </c>
      <c r="HU51" s="103">
        <f>HT51+HU50</f>
        <v/>
      </c>
    </row>
    <row r="52" ht="15.75" customHeight="1">
      <c r="A52" s="54" t="n"/>
      <c r="B52" s="144" t="n"/>
      <c r="C52" s="69" t="n"/>
      <c r="D52" s="69" t="n"/>
      <c r="E52" s="69" t="n"/>
      <c r="F52" s="69" t="n"/>
      <c r="G52" s="69" t="n"/>
      <c r="H52" s="69" t="n"/>
      <c r="I52" s="203" t="n"/>
      <c r="J52" s="184" t="n"/>
      <c r="K52" s="95" t="n"/>
      <c r="L52" s="95" t="n"/>
      <c r="M52" s="225" t="n"/>
      <c r="N52" s="225" t="n"/>
      <c r="O52" s="225" t="n"/>
      <c r="P52" s="225" t="n"/>
      <c r="Q52" s="225" t="n"/>
      <c r="R52" s="225" t="n"/>
      <c r="S52" s="225" t="n"/>
      <c r="T52" s="225" t="n"/>
      <c r="U52" s="225" t="n"/>
      <c r="V52" s="225" t="n"/>
      <c r="W52" s="225" t="n"/>
      <c r="X52" s="225" t="n"/>
      <c r="Y52" s="225" t="n"/>
      <c r="Z52" s="53" t="n"/>
      <c r="AA52" s="53" t="n"/>
      <c r="AB52" s="53" t="n"/>
      <c r="AC52" s="53" t="n"/>
      <c r="AD52" s="13" t="n"/>
      <c r="AE52" s="242" t="n"/>
      <c r="AF52" s="13" t="n"/>
      <c r="AG52" s="95" t="n"/>
      <c r="AH52" s="95" t="n"/>
      <c r="AI52" s="95" t="n"/>
      <c r="AJ52" s="95" t="n"/>
      <c r="AK52" s="95" t="n"/>
      <c r="AL52" s="95" t="n"/>
      <c r="AM52" s="95" t="n"/>
      <c r="AN52" s="95" t="n"/>
      <c r="AO52" s="95" t="n"/>
      <c r="AP52" s="95" t="n"/>
      <c r="AQ52" s="95" t="n"/>
      <c r="AR52" s="95" t="n"/>
      <c r="AS52" s="95" t="n"/>
      <c r="AT52" s="95" t="n"/>
      <c r="AU52" s="95" t="n"/>
      <c r="AV52" s="95" t="n"/>
      <c r="AW52" s="95" t="n"/>
      <c r="AX52" s="95" t="n"/>
      <c r="AY52" s="95" t="n"/>
      <c r="AZ52" s="95" t="n"/>
      <c r="BA52" s="95" t="n"/>
      <c r="BB52" s="95" t="n"/>
      <c r="BC52" s="95" t="n"/>
      <c r="BD52" s="306" t="n"/>
      <c r="BE52" s="95" t="n"/>
      <c r="BF52" s="95" t="n"/>
      <c r="BG52" s="95" t="n"/>
      <c r="BH52" s="95" t="n"/>
      <c r="BI52" s="95" t="n"/>
      <c r="BJ52" s="95" t="n"/>
      <c r="BK52" s="95" t="n"/>
      <c r="BL52" s="95" t="n"/>
      <c r="BM52" s="95" t="n"/>
      <c r="BN52" s="95" t="n"/>
      <c r="BO52" s="95" t="n"/>
      <c r="BP52" s="306" t="n"/>
      <c r="BQ52" s="95" t="n"/>
      <c r="BR52" s="95" t="n"/>
      <c r="BS52" s="95" t="n"/>
      <c r="BT52" s="95" t="n"/>
      <c r="BU52" s="95" t="n"/>
      <c r="BV52" s="95" t="n"/>
      <c r="BW52" s="95" t="n"/>
      <c r="BX52" s="95" t="n"/>
      <c r="BY52" s="95" t="n"/>
      <c r="BZ52" s="95" t="n"/>
      <c r="CA52" s="95" t="n"/>
      <c r="CB52" s="306" t="n"/>
      <c r="CC52" s="95" t="n"/>
      <c r="CD52" s="95" t="n"/>
      <c r="CE52" s="95" t="n"/>
      <c r="CF52" s="95" t="n"/>
      <c r="CG52" s="95" t="n"/>
      <c r="CH52" s="95" t="n"/>
      <c r="CI52" s="95" t="n"/>
      <c r="CJ52" s="95" t="n"/>
      <c r="CK52" s="95" t="n"/>
      <c r="CL52" s="95" t="n"/>
      <c r="CM52" s="95" t="n"/>
      <c r="CN52" s="306" t="n"/>
      <c r="CO52" s="95" t="n"/>
      <c r="CP52" s="95" t="n"/>
      <c r="CQ52" s="95" t="n"/>
      <c r="CR52" s="95" t="n"/>
      <c r="CS52" s="95" t="n"/>
      <c r="CT52" s="95" t="n"/>
      <c r="CU52" s="95" t="n"/>
      <c r="CV52" s="95" t="n"/>
      <c r="CW52" s="95" t="n"/>
      <c r="CX52" s="95" t="n"/>
      <c r="CY52" s="95" t="n"/>
      <c r="CZ52" s="306" t="n"/>
      <c r="DA52" s="95" t="n"/>
      <c r="DB52" s="95" t="n"/>
      <c r="DC52" s="95" t="n"/>
      <c r="DD52" s="95" t="n"/>
      <c r="DE52" s="95" t="n"/>
      <c r="DF52" s="95" t="n"/>
      <c r="DG52" s="95" t="n"/>
      <c r="DH52" s="95" t="n"/>
      <c r="DI52" s="95" t="n"/>
      <c r="DJ52" s="95" t="n"/>
      <c r="DK52" s="95" t="n"/>
      <c r="DL52" s="95" t="n"/>
      <c r="DM52" s="95" t="n"/>
      <c r="DN52" s="95" t="n"/>
      <c r="DO52" s="95" t="n"/>
      <c r="DP52" s="95" t="n"/>
      <c r="DQ52" s="95" t="n"/>
      <c r="DR52" s="95" t="n"/>
      <c r="DS52" s="95" t="n"/>
      <c r="DT52" s="95" t="n"/>
      <c r="DU52" s="95" t="n"/>
      <c r="DV52" s="95" t="n"/>
      <c r="DW52" s="95" t="n"/>
      <c r="DX52" s="95" t="n"/>
      <c r="DY52" s="95" t="n"/>
      <c r="DZ52" s="95" t="n"/>
      <c r="EA52" s="95" t="n"/>
      <c r="EB52" s="95" t="n"/>
      <c r="EC52" s="95" t="n"/>
      <c r="ED52" s="95" t="n"/>
      <c r="EE52" s="95" t="n"/>
      <c r="EF52" s="95" t="n"/>
      <c r="EG52" s="95" t="n"/>
      <c r="EH52" s="95" t="n"/>
      <c r="EI52" s="95" t="n"/>
      <c r="EJ52" s="95" t="n"/>
      <c r="EK52" s="95" t="n"/>
      <c r="EL52" s="95" t="n"/>
      <c r="EM52" s="95" t="n"/>
      <c r="EN52" s="95" t="n"/>
      <c r="EO52" s="95" t="n"/>
      <c r="EP52" s="95" t="n"/>
      <c r="EQ52" s="95" t="n"/>
      <c r="ER52" s="95" t="n"/>
      <c r="ES52" s="95" t="n"/>
      <c r="ET52" s="95" t="n"/>
      <c r="EU52" s="95" t="n"/>
      <c r="EV52" s="95" t="n"/>
      <c r="EW52" s="95" t="n"/>
      <c r="EX52" s="95" t="n"/>
      <c r="EY52" s="95" t="n"/>
      <c r="EZ52" s="95" t="n"/>
      <c r="FA52" s="95" t="n"/>
      <c r="FB52" s="95" t="n"/>
      <c r="FC52" s="95" t="n"/>
      <c r="FD52" s="95" t="n"/>
      <c r="FE52" s="95" t="n"/>
      <c r="FF52" s="95" t="n"/>
      <c r="FG52" s="95" t="n"/>
      <c r="FH52" s="95" t="n"/>
      <c r="FI52" s="95" t="n"/>
      <c r="FJ52" s="95" t="n"/>
      <c r="FK52" s="95" t="n"/>
      <c r="FL52" s="95" t="n"/>
      <c r="FM52" s="95" t="n"/>
      <c r="FN52" s="95" t="n"/>
      <c r="FO52" s="95" t="n"/>
      <c r="FP52" s="95" t="n"/>
      <c r="FQ52" s="95" t="n"/>
      <c r="FR52" s="95" t="n"/>
      <c r="FS52" s="95" t="n"/>
      <c r="FT52" s="95" t="n"/>
      <c r="FU52" s="95" t="n"/>
      <c r="FV52" s="95" t="n"/>
      <c r="FW52" s="95" t="n"/>
      <c r="FX52" s="95" t="n"/>
      <c r="FY52" s="95" t="n"/>
      <c r="FZ52" s="95" t="n"/>
      <c r="GA52" s="95" t="n"/>
      <c r="GB52" s="95" t="n"/>
      <c r="GC52" s="95" t="n"/>
      <c r="GD52" s="95" t="n"/>
      <c r="GE52" s="95" t="n"/>
      <c r="GF52" s="95" t="n"/>
      <c r="GG52" s="95" t="n"/>
      <c r="GH52" s="95" t="n"/>
      <c r="GI52" s="95" t="n"/>
      <c r="GJ52" s="95" t="n"/>
      <c r="GK52" s="95" t="n"/>
      <c r="GL52" s="95" t="n"/>
      <c r="GM52" s="95" t="n"/>
      <c r="GN52" s="95" t="n"/>
      <c r="GO52" s="95" t="n"/>
      <c r="GP52" s="95" t="n"/>
      <c r="GQ52" s="95" t="n"/>
      <c r="GR52" s="95" t="n"/>
      <c r="GS52" s="95" t="n"/>
      <c r="GT52" s="95" t="n"/>
      <c r="GU52" s="95" t="n"/>
      <c r="GV52" s="95" t="n"/>
      <c r="GW52" s="95" t="n"/>
      <c r="GX52" s="95" t="n"/>
      <c r="GY52" s="95" t="n"/>
      <c r="GZ52" s="95" t="n"/>
      <c r="HA52" s="95" t="n"/>
      <c r="HB52" s="95" t="n"/>
      <c r="HC52" s="95" t="n"/>
      <c r="HD52" s="95" t="n"/>
      <c r="HE52" s="95" t="n"/>
      <c r="HF52" s="95" t="n"/>
      <c r="HG52" s="95" t="n"/>
      <c r="HH52" s="95" t="n"/>
      <c r="HI52" s="95" t="n"/>
      <c r="HJ52" s="95" t="n"/>
      <c r="HK52" s="95" t="n"/>
      <c r="HL52" s="95" t="n"/>
      <c r="HM52" s="95" t="n"/>
      <c r="HN52" s="95" t="n"/>
      <c r="HO52" s="95" t="n"/>
      <c r="HP52" s="95" t="n"/>
      <c r="HQ52" s="95" t="n"/>
      <c r="HR52" s="95" t="n"/>
      <c r="HS52" s="95" t="n"/>
      <c r="HT52" s="95" t="n"/>
      <c r="HU52" s="95" t="n"/>
    </row>
    <row r="53" ht="18" customHeight="1">
      <c r="A53" s="19" t="inlineStr">
        <is>
          <t>IMPOSTOS (-)</t>
        </is>
      </c>
      <c r="B53" s="139" t="n"/>
      <c r="C53" s="20" t="n"/>
      <c r="D53" s="22" t="n"/>
      <c r="E53" s="20" t="n"/>
      <c r="F53" s="20" t="n"/>
      <c r="G53" s="20" t="n"/>
      <c r="H53" s="20" t="n"/>
      <c r="I53" s="21" t="n"/>
      <c r="J53" s="175" t="n"/>
      <c r="K53" s="21" t="n"/>
      <c r="L53" s="108" t="n"/>
      <c r="M53" s="220" t="n"/>
      <c r="N53" s="220" t="n"/>
      <c r="O53" s="220" t="n"/>
      <c r="P53" s="220" t="n"/>
      <c r="Q53" s="220" t="n"/>
      <c r="R53" s="220" t="n"/>
      <c r="S53" s="220" t="n"/>
      <c r="T53" s="220" t="n"/>
      <c r="U53" s="220" t="n"/>
      <c r="V53" s="220" t="n"/>
      <c r="W53" s="220" t="n"/>
      <c r="X53" s="220" t="n"/>
      <c r="Y53" s="220" t="n"/>
      <c r="Z53" s="220" t="n"/>
      <c r="AA53" s="220" t="n"/>
      <c r="AB53" s="220" t="n"/>
      <c r="AC53" s="220" t="n"/>
      <c r="AD53" s="200" t="n"/>
      <c r="AE53" s="241" t="n"/>
      <c r="AF53" s="200" t="n"/>
      <c r="AG53" s="22" t="n"/>
      <c r="AH53" s="22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1" t="n"/>
      <c r="AR53" s="21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99" t="n"/>
      <c r="BE53" s="22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99" t="n"/>
      <c r="BQ53" s="22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99" t="n"/>
      <c r="CC53" s="22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99" t="n"/>
      <c r="CO53" s="22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99" t="n"/>
      <c r="DA53" s="22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1" t="n"/>
      <c r="DK53" s="20" t="n"/>
      <c r="DL53" s="21" t="n"/>
      <c r="DM53" s="20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n"/>
      <c r="DZ53" s="21" t="n"/>
      <c r="EA53" s="21" t="n"/>
      <c r="EB53" s="21" t="n"/>
      <c r="EC53" s="21" t="n"/>
      <c r="ED53" s="21" t="n"/>
      <c r="EE53" s="21" t="n"/>
      <c r="EF53" s="21" t="n"/>
      <c r="EG53" s="21" t="n"/>
      <c r="EH53" s="21" t="n"/>
      <c r="EI53" s="21" t="n"/>
      <c r="EJ53" s="21" t="n"/>
      <c r="EK53" s="21" t="n"/>
      <c r="EL53" s="21" t="n"/>
      <c r="EM53" s="21" t="n"/>
      <c r="EN53" s="21" t="n"/>
      <c r="EO53" s="21" t="n"/>
      <c r="EP53" s="21" t="n"/>
      <c r="EQ53" s="21" t="n"/>
      <c r="ER53" s="21" t="n"/>
      <c r="ES53" s="21" t="n"/>
      <c r="ET53" s="21" t="n"/>
      <c r="EU53" s="21" t="n"/>
      <c r="EV53" s="21" t="n"/>
      <c r="EW53" s="21" t="n"/>
      <c r="EX53" s="21" t="n"/>
      <c r="EY53" s="21" t="n"/>
      <c r="EZ53" s="21" t="n"/>
      <c r="FA53" s="21" t="n"/>
      <c r="FB53" s="21" t="n"/>
      <c r="FC53" s="21" t="n"/>
      <c r="FD53" s="21" t="n"/>
      <c r="FE53" s="21" t="n"/>
      <c r="FF53" s="21" t="n"/>
      <c r="FG53" s="21" t="n"/>
      <c r="FH53" s="21" t="n"/>
      <c r="FI53" s="21" t="n"/>
      <c r="FJ53" s="21" t="n"/>
      <c r="FK53" s="21" t="n"/>
      <c r="FL53" s="21" t="n"/>
      <c r="FM53" s="21" t="n"/>
      <c r="FN53" s="21" t="n"/>
      <c r="FO53" s="21" t="n"/>
      <c r="FP53" s="21" t="n"/>
      <c r="FQ53" s="21" t="n"/>
      <c r="FR53" s="21" t="n"/>
      <c r="FS53" s="21" t="n"/>
      <c r="FT53" s="21" t="n"/>
      <c r="FU53" s="21" t="n"/>
      <c r="FV53" s="21" t="n"/>
      <c r="FW53" s="21" t="n"/>
      <c r="FX53" s="21" t="n"/>
      <c r="FY53" s="21" t="n"/>
      <c r="FZ53" s="21" t="n"/>
      <c r="GA53" s="21" t="n"/>
      <c r="GB53" s="21" t="n"/>
      <c r="GC53" s="21" t="n"/>
      <c r="GD53" s="21" t="n"/>
      <c r="GE53" s="21" t="n"/>
      <c r="GF53" s="21" t="n"/>
      <c r="GG53" s="21" t="n"/>
      <c r="GH53" s="21" t="n"/>
      <c r="GI53" s="21" t="n"/>
      <c r="GJ53" s="21" t="n"/>
      <c r="GK53" s="21" t="n"/>
      <c r="GL53" s="21" t="n"/>
      <c r="GM53" s="21" t="n"/>
      <c r="GN53" s="21" t="n"/>
      <c r="GO53" s="21" t="n"/>
      <c r="GP53" s="21" t="n"/>
      <c r="GQ53" s="21" t="n"/>
      <c r="GR53" s="21" t="n"/>
      <c r="GS53" s="21" t="n"/>
      <c r="GT53" s="21" t="n"/>
      <c r="GU53" s="21" t="n"/>
      <c r="GV53" s="21" t="n"/>
      <c r="GW53" s="21" t="n"/>
      <c r="GX53" s="21" t="n"/>
      <c r="GY53" s="21" t="n"/>
      <c r="GZ53" s="21" t="n"/>
      <c r="HA53" s="21" t="n"/>
      <c r="HB53" s="21" t="n"/>
      <c r="HC53" s="21" t="n"/>
      <c r="HD53" s="21" t="n"/>
      <c r="HE53" s="21" t="n"/>
      <c r="HF53" s="21" t="n"/>
      <c r="HG53" s="21" t="n"/>
      <c r="HH53" s="21" t="n"/>
      <c r="HI53" s="21" t="n"/>
      <c r="HJ53" s="21" t="n"/>
      <c r="HK53" s="21" t="n"/>
      <c r="HL53" s="21" t="n"/>
      <c r="HM53" s="21" t="n"/>
      <c r="HN53" s="21" t="n"/>
      <c r="HO53" s="21" t="n"/>
      <c r="HP53" s="21" t="n"/>
      <c r="HQ53" s="21" t="n"/>
      <c r="HR53" s="21" t="n"/>
      <c r="HS53" s="21" t="n"/>
      <c r="HT53" s="21" t="n"/>
      <c r="HU53" s="21" t="n"/>
    </row>
    <row r="54" ht="16.2" customHeight="1">
      <c r="A54" s="7" t="inlineStr">
        <is>
          <t>Impostos</t>
        </is>
      </c>
      <c r="B54" s="136">
        <f>SUM(C54:W54)</f>
        <v/>
      </c>
      <c r="C54" s="85" t="n"/>
      <c r="D54" s="87" t="n"/>
      <c r="E54" s="85" t="n"/>
      <c r="F54" s="85" t="n"/>
      <c r="G54" s="85" t="n"/>
      <c r="H54" s="85" t="n"/>
      <c r="I54" s="86" t="n"/>
      <c r="J54" s="218" t="n"/>
      <c r="K54" s="113" t="n"/>
      <c r="L54" s="122" t="n"/>
      <c r="M54" s="219" t="n"/>
      <c r="N54" s="219" t="n"/>
      <c r="O54" s="219" t="n"/>
      <c r="P54" s="219" t="n"/>
      <c r="Q54" s="219" t="n"/>
      <c r="R54" s="219" t="n"/>
      <c r="S54" s="219" t="n"/>
      <c r="T54" s="219" t="n"/>
      <c r="U54" s="219" t="n"/>
      <c r="V54" s="219" t="n"/>
      <c r="W54" s="219" t="n"/>
      <c r="X54" s="219" t="n"/>
      <c r="Y54" s="219" t="n"/>
      <c r="Z54" s="219" t="n"/>
      <c r="AA54" s="219" t="n"/>
      <c r="AB54" s="219" t="n"/>
      <c r="AC54" s="219">
        <f>-210474.96-5661</f>
        <v/>
      </c>
      <c r="AD54" s="13" t="n"/>
      <c r="AE54" s="342">
        <f>SUM(AG54:HU54)</f>
        <v/>
      </c>
      <c r="AF54" s="13" t="n"/>
      <c r="AG54" s="87">
        <f>(AC8+AC9+AC12)*6.75%*-1</f>
        <v/>
      </c>
      <c r="AH54" s="87">
        <f>(AG8+AG9+AG12)*6.75%*-1</f>
        <v/>
      </c>
      <c r="AI54" s="85">
        <f>(AH8+AH9+AH12)*6.75%*-1</f>
        <v/>
      </c>
      <c r="AJ54" s="85">
        <f>(AI8+AI9+AI12)*6.75%*-1</f>
        <v/>
      </c>
      <c r="AK54" s="85">
        <f>(AJ8+AJ9+AJ12)*6.75%*-1</f>
        <v/>
      </c>
      <c r="AL54" s="85">
        <f>(AK8+AK9+AK12)*6.75%*-1</f>
        <v/>
      </c>
      <c r="AM54" s="85">
        <f>(AL8+AL9+AL12)*6.75%*-1</f>
        <v/>
      </c>
      <c r="AN54" s="85">
        <f>(AM8+AM9+AM12)*6.75%*-1</f>
        <v/>
      </c>
      <c r="AO54" s="85">
        <f>(AN8+AN9+AN12)*6.75%*-1</f>
        <v/>
      </c>
      <c r="AP54" s="85">
        <f>(AO8+AO9+AO12)*6.75%*-1</f>
        <v/>
      </c>
      <c r="AQ54" s="86">
        <f>(AP8+AP9+AP12)*6.75%*-1</f>
        <v/>
      </c>
      <c r="AR54" s="86">
        <f>(AQ8+AQ9+AQ12)*6.75%*-1</f>
        <v/>
      </c>
      <c r="AS54" s="85">
        <f>(AR8+AR9+AR12)*6.75%*-1</f>
        <v/>
      </c>
      <c r="AT54" s="85">
        <f>(AS8+AS9+AS12)*6.75%*-1</f>
        <v/>
      </c>
      <c r="AU54" s="85">
        <f>(AT8+AT9+AT12)*6.75%*-1</f>
        <v/>
      </c>
      <c r="AV54" s="85">
        <f>(AU8+AU9+AU12)*6.75%*-1</f>
        <v/>
      </c>
      <c r="AW54" s="85">
        <f>(AV8+AV9+AV12)*6.75%*-1</f>
        <v/>
      </c>
      <c r="AX54" s="85">
        <f>(AW8+AW9+AW12)*6.75%*-1</f>
        <v/>
      </c>
      <c r="AY54" s="85">
        <f>(AX8+AX9+AX12)*6.75%*-1</f>
        <v/>
      </c>
      <c r="AZ54" s="85">
        <f>(AY8+AY9+AY12)*6.75%*-1</f>
        <v/>
      </c>
      <c r="BA54" s="85">
        <f>(AZ8+AZ9+AZ12)*6.75%*-1</f>
        <v/>
      </c>
      <c r="BB54" s="85">
        <f>(BA8+BA9+BA12)*6.75%*-1</f>
        <v/>
      </c>
      <c r="BC54" s="85">
        <f>(BB8+BB9+BB12)*6.75%*-1</f>
        <v/>
      </c>
      <c r="BD54" s="296">
        <f>(BC8+BC9+BC12)*6.75%*-1</f>
        <v/>
      </c>
      <c r="BE54" s="87">
        <f>(BD8+BD9+BD12)*6.75%*-1</f>
        <v/>
      </c>
      <c r="BF54" s="85">
        <f>(BE8+BE9+BE12)*6.75%*-1</f>
        <v/>
      </c>
      <c r="BG54" s="85">
        <f>(BF8+BF9+BF12)*6.75%*-1</f>
        <v/>
      </c>
      <c r="BH54" s="85">
        <f>(BG8+BG9+BG12)*6.75%*-1</f>
        <v/>
      </c>
      <c r="BI54" s="85">
        <f>(BH8+BH9+BH12)*6.75%*-1</f>
        <v/>
      </c>
      <c r="BJ54" s="85">
        <f>(BI8+BI9+BI12)*6.75%*-1</f>
        <v/>
      </c>
      <c r="BK54" s="85">
        <f>(BJ8+BJ9+BJ12)*6.75%*-1</f>
        <v/>
      </c>
      <c r="BL54" s="85">
        <f>(BK8+BK9+BK12)*6.75%*-1</f>
        <v/>
      </c>
      <c r="BM54" s="85">
        <f>(BL8+BL9+BL12)*6.75%*-1</f>
        <v/>
      </c>
      <c r="BN54" s="85">
        <f>(BM8+BM9+BM12)*6.75%*-1</f>
        <v/>
      </c>
      <c r="BO54" s="85">
        <f>(BN8+BN9+BN12)*6.75%*-1</f>
        <v/>
      </c>
      <c r="BP54" s="296">
        <f>(BO8+BO9+BO12)*6.75%*-1</f>
        <v/>
      </c>
      <c r="BQ54" s="87">
        <f>(BP8+BP9+BP12)*6.75%*-1</f>
        <v/>
      </c>
      <c r="BR54" s="85">
        <f>(BQ8+BQ9+BQ12)*6.75%*-1</f>
        <v/>
      </c>
      <c r="BS54" s="85">
        <f>(BR8+BR9+BR12)*6.75%*-1</f>
        <v/>
      </c>
      <c r="BT54" s="85">
        <f>(BS8+BS9+BS12)*6.75%*-1</f>
        <v/>
      </c>
      <c r="BU54" s="85">
        <f>(BT8+BT9+BT12)*6.75%*-1</f>
        <v/>
      </c>
      <c r="BV54" s="85">
        <f>(BU8+BU9+BU12)*6.75%*-1</f>
        <v/>
      </c>
      <c r="BW54" s="85">
        <f>(BV8+BV9+BV12)*6.75%*-1</f>
        <v/>
      </c>
      <c r="BX54" s="85">
        <f>(BW8+BW9+BW12)*6.75%*-1</f>
        <v/>
      </c>
      <c r="BY54" s="85">
        <f>(BX8+BX9+BX12)*6.75%*-1</f>
        <v/>
      </c>
      <c r="BZ54" s="85">
        <f>(BY8+BY9+BY12)*6.75%*-1</f>
        <v/>
      </c>
      <c r="CA54" s="85">
        <f>(BZ8+BZ9+BZ12)*6.75%*-1</f>
        <v/>
      </c>
      <c r="CB54" s="296">
        <f>(CA8+CA9+CA12)*6.75%*-1</f>
        <v/>
      </c>
      <c r="CC54" s="87">
        <f>(CB8+CB9+CB12)*6.75%*-1</f>
        <v/>
      </c>
      <c r="CD54" s="85">
        <f>(CC8+CC9+CC12)*6.75%*-1</f>
        <v/>
      </c>
      <c r="CE54" s="85">
        <f>(CD8+CD9+CD12)*6.75%*-1</f>
        <v/>
      </c>
      <c r="CF54" s="85">
        <f>(CE8+CE9+CE12)*6.75%*-1</f>
        <v/>
      </c>
      <c r="CG54" s="85">
        <f>(CF8+CF9+CF12)*6.75%*-1</f>
        <v/>
      </c>
      <c r="CH54" s="85">
        <f>(CG8+CG9+CG12)*6.75%*-1</f>
        <v/>
      </c>
      <c r="CI54" s="85">
        <f>(CH8+CH9+CH12)*6.75%*-1</f>
        <v/>
      </c>
      <c r="CJ54" s="85">
        <f>(CI8+CI9+CI12)*6.75%*-1</f>
        <v/>
      </c>
      <c r="CK54" s="85">
        <f>(CJ8+CJ9+CJ12)*6.75%*-1</f>
        <v/>
      </c>
      <c r="CL54" s="85">
        <f>(CK8+CK9+CK12)*6.75%*-1</f>
        <v/>
      </c>
      <c r="CM54" s="85">
        <f>(CL8+CL9+CL12)*6.75%*-1</f>
        <v/>
      </c>
      <c r="CN54" s="296">
        <f>(CM8+CM9+CM12)*6.75%*-1</f>
        <v/>
      </c>
      <c r="CO54" s="87">
        <f>(CN8+CN9+CN12)*6.75%*-1</f>
        <v/>
      </c>
      <c r="CP54" s="85">
        <f>(CO8+CO9+CO12)*6.75%*-1</f>
        <v/>
      </c>
      <c r="CQ54" s="85">
        <f>(CP8+CP9+CP12)*6.75%*-1</f>
        <v/>
      </c>
      <c r="CR54" s="85">
        <f>(CQ8+CQ9+CQ12)*6.75%*-1</f>
        <v/>
      </c>
      <c r="CS54" s="85">
        <f>(CR8+CR9+CR12)*6.75%*-1</f>
        <v/>
      </c>
      <c r="CT54" s="85">
        <f>(CS8+CS9+CS12)*6.75%*-1</f>
        <v/>
      </c>
      <c r="CU54" s="85">
        <f>(CT8+CT9+CT12)*6.75%*-1</f>
        <v/>
      </c>
      <c r="CV54" s="85">
        <f>(CU8+CU9+CU12)*6.75%*-1</f>
        <v/>
      </c>
      <c r="CW54" s="85">
        <f>(CV8+CV9+CV12)*6.75%*-1</f>
        <v/>
      </c>
      <c r="CX54" s="85">
        <f>(CW8+CW9+CW12)*6.75%*-1</f>
        <v/>
      </c>
      <c r="CY54" s="85">
        <f>(CX8+CX9+CX12)*6.75%*-1</f>
        <v/>
      </c>
      <c r="CZ54" s="296">
        <f>(CY8+CY9+CY12)*6.75%*-1</f>
        <v/>
      </c>
      <c r="DA54" s="87">
        <f>(CZ8+CZ9+CZ12)*6.75%*-1</f>
        <v/>
      </c>
      <c r="DB54" s="85">
        <f>(DA8+DA9+DA12)*6.75%*-1</f>
        <v/>
      </c>
      <c r="DC54" s="85">
        <f>(DB8+DB9+DB12)*6.75%*-1</f>
        <v/>
      </c>
      <c r="DD54" s="85">
        <f>(DC8+DC9+DC12)*6.75%*-1</f>
        <v/>
      </c>
      <c r="DE54" s="85">
        <f>(DD8+DD9+DD12)*6.75%*-1</f>
        <v/>
      </c>
      <c r="DF54" s="85">
        <f>(DE8+DE9+DE12)*6.75%*-1</f>
        <v/>
      </c>
      <c r="DG54" s="85">
        <f>(DF8+DF9+DF12)*6.75%*-1</f>
        <v/>
      </c>
      <c r="DH54" s="85">
        <f>(DG8+DG9+DG12)*6.75%*-1</f>
        <v/>
      </c>
      <c r="DI54" s="85">
        <f>(DH8+DH9+DH12)*6.75%*-1</f>
        <v/>
      </c>
      <c r="DJ54" s="85">
        <f>(DI8+DI9+DI12)*6.75%*-1</f>
        <v/>
      </c>
      <c r="DK54" s="85">
        <f>(DJ8+DJ9+DJ12)*6.75%*-1</f>
        <v/>
      </c>
      <c r="DL54" s="85">
        <f>(DK8+DK9+DK12)*6.75%*-1</f>
        <v/>
      </c>
      <c r="DM54" s="85">
        <f>(DL8+DL9+DL12)*6.75%*-1</f>
        <v/>
      </c>
      <c r="DN54" s="85">
        <f>(DM8+DM9+DM12)*6.75%*-1</f>
        <v/>
      </c>
      <c r="DO54" s="85">
        <f>(DN8+DN9+DN12)*6.75%*-1</f>
        <v/>
      </c>
      <c r="DP54" s="85">
        <f>(DO8+DO9+DO12)*6.75%*-1</f>
        <v/>
      </c>
      <c r="DQ54" s="85">
        <f>(DP8+DP9+DP12)*6.75%*-1</f>
        <v/>
      </c>
      <c r="DR54" s="85">
        <f>(DQ8+DQ9+DQ12)*6.75%*-1</f>
        <v/>
      </c>
      <c r="DS54" s="85">
        <f>(DR8+DR9+DR12)*6.75%*-1</f>
        <v/>
      </c>
      <c r="DT54" s="85">
        <f>(DS8+DS9+DS12)*6.75%*-1</f>
        <v/>
      </c>
      <c r="DU54" s="85">
        <f>(DT8+DT9+DT12)*6.75%*-1</f>
        <v/>
      </c>
      <c r="DV54" s="85">
        <f>(DU8+DU9+DU12)*6.75%*-1</f>
        <v/>
      </c>
      <c r="DW54" s="85">
        <f>(DV8+DV9+DV12)*6.75%*-1</f>
        <v/>
      </c>
      <c r="DX54" s="85">
        <f>(DW8+DW9+DW12)*6.75%*-1</f>
        <v/>
      </c>
      <c r="DY54" s="87">
        <f>(DU8+DU9+DU12)*6.75%*-1</f>
        <v/>
      </c>
      <c r="DZ54" s="87">
        <f>(DY8+DY9+DY12)*6.75%*-1</f>
        <v/>
      </c>
      <c r="EA54" s="85">
        <f>(DZ8+DZ9+DZ12)*6.75%*-1</f>
        <v/>
      </c>
      <c r="EB54" s="85">
        <f>(EA8+EA9+EA12)*6.75%*-1</f>
        <v/>
      </c>
      <c r="EC54" s="85">
        <f>(EB8+EB9+EB12)*6.75%*-1</f>
        <v/>
      </c>
      <c r="ED54" s="85">
        <f>(EC8+EC9+EC12)*6.75%*-1</f>
        <v/>
      </c>
      <c r="EE54" s="85">
        <f>(ED8+ED9+ED12)*6.75%*-1</f>
        <v/>
      </c>
      <c r="EF54" s="85">
        <f>(EE8+EE9+EE12)*6.75%*-1</f>
        <v/>
      </c>
      <c r="EG54" s="85">
        <f>(EF8+EF9+EF12)*6.75%*-1</f>
        <v/>
      </c>
      <c r="EH54" s="85">
        <f>(EG8+EG9+EG12)*6.75%*-1</f>
        <v/>
      </c>
      <c r="EI54" s="86">
        <f>(EH8+EH9+EH12)*6.75%*-1</f>
        <v/>
      </c>
      <c r="EJ54" s="86">
        <f>(EI8+EI9+EI12)*6.75%*-1</f>
        <v/>
      </c>
      <c r="EK54" s="85">
        <f>(EJ8+EJ9+EJ12)*6.75%*-1</f>
        <v/>
      </c>
      <c r="EL54" s="85">
        <f>(EK8+EK9+EK12)*6.75%*-1</f>
        <v/>
      </c>
      <c r="EM54" s="85">
        <f>(EL8+EL9+EL12)*6.75%*-1</f>
        <v/>
      </c>
      <c r="EN54" s="85">
        <f>(EM8+EM9+EM12)*6.75%*-1</f>
        <v/>
      </c>
      <c r="EO54" s="85">
        <f>(EN8+EN9+EN12)*6.75%*-1</f>
        <v/>
      </c>
      <c r="EP54" s="85">
        <f>(EO8+EO9+EO12)*6.75%*-1</f>
        <v/>
      </c>
      <c r="EQ54" s="85">
        <f>(EP8+EP9+EP12)*6.75%*-1</f>
        <v/>
      </c>
      <c r="ER54" s="85">
        <f>(EQ8+EQ9+EQ12)*6.75%*-1</f>
        <v/>
      </c>
      <c r="ES54" s="85">
        <f>(ER8+ER9+ER12)*6.75%*-1</f>
        <v/>
      </c>
      <c r="ET54" s="85">
        <f>(ES8+ES9+ES12)*6.75%*-1</f>
        <v/>
      </c>
      <c r="EU54" s="85">
        <f>(ET8+ET9+ET12)*6.75%*-1</f>
        <v/>
      </c>
      <c r="EV54" s="296">
        <f>(EU8+EU9+EU12)*6.75%*-1</f>
        <v/>
      </c>
      <c r="EW54" s="87">
        <f>(EV8+EV9+EV12)*6.75%*-1</f>
        <v/>
      </c>
      <c r="EX54" s="85">
        <f>(EW8+EW9+EW12)*6.75%*-1</f>
        <v/>
      </c>
      <c r="EY54" s="85">
        <f>(EX8+EX9+EX12)*6.75%*-1</f>
        <v/>
      </c>
      <c r="EZ54" s="85">
        <f>(EY8+EY9+EY12)*6.75%*-1</f>
        <v/>
      </c>
      <c r="FA54" s="85">
        <f>(EZ8+EZ9+EZ12)*6.75%*-1</f>
        <v/>
      </c>
      <c r="FB54" s="85">
        <f>(FA8+FA9+FA12)*6.75%*-1</f>
        <v/>
      </c>
      <c r="FC54" s="85">
        <f>(FB8+FB9+FB12)*6.75%*-1</f>
        <v/>
      </c>
      <c r="FD54" s="85">
        <f>(FC8+FC9+FC12)*6.75%*-1</f>
        <v/>
      </c>
      <c r="FE54" s="85">
        <f>(FD8+FD9+FD12)*6.75%*-1</f>
        <v/>
      </c>
      <c r="FF54" s="85">
        <f>(FE8+FE9+FE12)*6.75%*-1</f>
        <v/>
      </c>
      <c r="FG54" s="85">
        <f>(FF8+FF9+FF12)*6.75%*-1</f>
        <v/>
      </c>
      <c r="FH54" s="296">
        <f>(FG8+FG9+FG12)*6.75%*-1</f>
        <v/>
      </c>
      <c r="FI54" s="87">
        <f>(FH8+FH9+FH12)*6.75%*-1</f>
        <v/>
      </c>
      <c r="FJ54" s="85">
        <f>(FI8+FI9+FI12)*6.75%*-1</f>
        <v/>
      </c>
      <c r="FK54" s="85">
        <f>(FJ8+FJ9+FJ12)*6.75%*-1</f>
        <v/>
      </c>
      <c r="FL54" s="85">
        <f>(FK8+FK9+FK12)*6.75%*-1</f>
        <v/>
      </c>
      <c r="FM54" s="85">
        <f>(FL8+FL9+FL12)*6.75%*-1</f>
        <v/>
      </c>
      <c r="FN54" s="85">
        <f>(FM8+FM9+FM12)*6.75%*-1</f>
        <v/>
      </c>
      <c r="FO54" s="85">
        <f>(FN8+FN9+FN12)*6.75%*-1</f>
        <v/>
      </c>
      <c r="FP54" s="85">
        <f>(FO8+FO9+FO12)*6.75%*-1</f>
        <v/>
      </c>
      <c r="FQ54" s="85">
        <f>(FP8+FP9+FP12)*6.75%*-1</f>
        <v/>
      </c>
      <c r="FR54" s="85">
        <f>(FQ8+FQ9+FQ12)*6.75%*-1</f>
        <v/>
      </c>
      <c r="FS54" s="85">
        <f>(FR8+FR9+FR12)*6.75%*-1</f>
        <v/>
      </c>
      <c r="FT54" s="85">
        <f>(FS8+FS9+FS12)*6.75%*-1</f>
        <v/>
      </c>
      <c r="FU54" s="85">
        <f>(FT8+FT9+FT12)*6.75%*-1</f>
        <v/>
      </c>
      <c r="FV54" s="85">
        <f>(FU8+FU9+FU12)*6.75%*-1</f>
        <v/>
      </c>
      <c r="FW54" s="85">
        <f>(FV8+FV9+FV12)*6.75%*-1</f>
        <v/>
      </c>
      <c r="FX54" s="85">
        <f>(FW8+FW9+FW12)*6.75%*-1</f>
        <v/>
      </c>
      <c r="FY54" s="85">
        <f>(FX8+FX9+FX12)*6.75%*-1</f>
        <v/>
      </c>
      <c r="FZ54" s="85">
        <f>(FY8+FY9+FY12)*6.75%*-1</f>
        <v/>
      </c>
      <c r="GA54" s="85">
        <f>(FZ8+FZ9+FZ12)*6.75%*-1</f>
        <v/>
      </c>
      <c r="GB54" s="85">
        <f>(GA8+GA9+GA12)*6.75%*-1</f>
        <v/>
      </c>
      <c r="GC54" s="85">
        <f>(GB8+GB9+GB12)*6.75%*-1</f>
        <v/>
      </c>
      <c r="GD54" s="85">
        <f>(GC8+GC9+GC12)*6.75%*-1</f>
        <v/>
      </c>
      <c r="GE54" s="85">
        <f>(GD8+GD9+GD12)*6.75%*-1</f>
        <v/>
      </c>
      <c r="GF54" s="85">
        <f>(GE8+GE9+GE12)*6.75%*-1</f>
        <v/>
      </c>
      <c r="GG54" s="85">
        <f>(GF8+GF9+GF12)*6.75%*-1</f>
        <v/>
      </c>
      <c r="GH54" s="85">
        <f>(GG8+GG9+GG12)*6.75%*-1</f>
        <v/>
      </c>
      <c r="GI54" s="85">
        <f>(GH8+GH9+GH12)*6.75%*-1</f>
        <v/>
      </c>
      <c r="GJ54" s="85">
        <f>(GI8+GI9+GI12)*6.75%*-1</f>
        <v/>
      </c>
      <c r="GK54" s="85">
        <f>(GJ8+GJ9+GJ12)*6.75%*-1</f>
        <v/>
      </c>
      <c r="GL54" s="85">
        <f>(GK8+GK9+GK12)*6.75%*-1</f>
        <v/>
      </c>
      <c r="GM54" s="85">
        <f>(GL8+GL9+GL12)*6.75%*-1</f>
        <v/>
      </c>
      <c r="GN54" s="85">
        <f>(GM8+GM9+GM12)*6.75%*-1</f>
        <v/>
      </c>
      <c r="GO54" s="85">
        <f>(GN8+GN9+GN12)*6.75%*-1</f>
        <v/>
      </c>
      <c r="GP54" s="85">
        <f>(GO8+GO9+GO12)*6.75%*-1</f>
        <v/>
      </c>
      <c r="GQ54" s="85">
        <f>(GP8+GP9+GP12)*6.75%*-1</f>
        <v/>
      </c>
      <c r="GR54" s="85">
        <f>(GQ8+GQ9+GQ12)*6.75%*-1</f>
        <v/>
      </c>
      <c r="GS54" s="85">
        <f>(GR8+GR9+GR12)*6.75%*-1</f>
        <v/>
      </c>
      <c r="GT54" s="85">
        <f>(GS8+GS9+GS12)*6.75%*-1</f>
        <v/>
      </c>
      <c r="GU54" s="85">
        <f>(GT8+GT9+GT12)*6.75%*-1</f>
        <v/>
      </c>
      <c r="GV54" s="85">
        <f>(GU8+GU9+GU12)*6.75%*-1</f>
        <v/>
      </c>
      <c r="GW54" s="85">
        <f>(GV8+GV9+GV12)*6.75%*-1</f>
        <v/>
      </c>
      <c r="GX54" s="85">
        <f>(GW8+GW9+GW12)*6.75%*-1</f>
        <v/>
      </c>
      <c r="GY54" s="85">
        <f>(GX8+GX9+GX12)*6.75%*-1</f>
        <v/>
      </c>
      <c r="GZ54" s="85">
        <f>(GY8+GY9+GY12)*6.75%*-1</f>
        <v/>
      </c>
      <c r="HA54" s="85">
        <f>(GZ8+GZ9+GZ12)*6.75%*-1</f>
        <v/>
      </c>
      <c r="HB54" s="85">
        <f>(HA8+HA9+HA12)*6.75%*-1</f>
        <v/>
      </c>
      <c r="HC54" s="85">
        <f>(HB8+HB9+HB12)*6.75%*-1</f>
        <v/>
      </c>
      <c r="HD54" s="85">
        <f>(HC8+HC9+HC12)*6.75%*-1</f>
        <v/>
      </c>
      <c r="HE54" s="85">
        <f>(HD8+HD9+HD12)*6.75%*-1</f>
        <v/>
      </c>
      <c r="HF54" s="85">
        <f>(HE8+HE9+HE12)*6.75%*-1</f>
        <v/>
      </c>
      <c r="HG54" s="85">
        <f>(HF8+HF9+HF12)*6.75%*-1</f>
        <v/>
      </c>
      <c r="HH54" s="85">
        <f>(HG8+HG9+HG12)*6.75%*-1</f>
        <v/>
      </c>
      <c r="HI54" s="85">
        <f>(HH8+HH9+HH12)*6.75%*-1</f>
        <v/>
      </c>
      <c r="HJ54" s="85">
        <f>(HI8+HI9+HI12)*6.75%*-1</f>
        <v/>
      </c>
      <c r="HK54" s="85">
        <f>(HJ8+HJ9+HJ12)*6.75%*-1</f>
        <v/>
      </c>
      <c r="HL54" s="85">
        <f>(HK8+HK9+HK12)*6.75%*-1</f>
        <v/>
      </c>
      <c r="HM54" s="85">
        <f>(HL8+HL9+HL12)*6.75%*-1</f>
        <v/>
      </c>
      <c r="HN54" s="85">
        <f>(HM8+HM9+HM12)*6.75%*-1</f>
        <v/>
      </c>
      <c r="HO54" s="85">
        <f>(HN8+HN9+HN12)*6.75%*-1</f>
        <v/>
      </c>
      <c r="HP54" s="85">
        <f>(HO8+HO9+HO12)*6.75%*-1</f>
        <v/>
      </c>
      <c r="HQ54" s="85">
        <f>(HP8+HP9+HP12)*6.75%*-1</f>
        <v/>
      </c>
      <c r="HR54" s="85">
        <f>(HQ8+HQ9+HQ12)*6.75%*-1</f>
        <v/>
      </c>
      <c r="HS54" s="85">
        <f>(HR8+HR9+HR12)*6.75%*-1</f>
        <v/>
      </c>
      <c r="HT54" s="85">
        <f>(HS8+HS9+HS12)*6.75%*-1</f>
        <v/>
      </c>
      <c r="HU54" s="85">
        <f>(HT8+HT9+HT12)*6.75%*-1</f>
        <v/>
      </c>
    </row>
    <row r="55" ht="16.2" customHeight="1">
      <c r="A55" s="1" t="n"/>
      <c r="B55" s="145" t="n"/>
      <c r="C55" s="53" t="n"/>
      <c r="D55" s="53" t="n"/>
      <c r="E55" s="53" t="n"/>
      <c r="F55" s="53" t="n"/>
      <c r="G55" s="53" t="n"/>
      <c r="H55" s="53" t="n"/>
      <c r="I55" s="53" t="n"/>
      <c r="J55" s="185" t="n"/>
      <c r="K55" s="53" t="n"/>
      <c r="L55" s="53" t="n"/>
      <c r="M55" s="186" t="n"/>
      <c r="N55" s="186" t="n"/>
      <c r="O55" s="186" t="n"/>
      <c r="P55" s="186" t="n"/>
      <c r="Q55" s="186" t="n"/>
      <c r="R55" s="186" t="n"/>
      <c r="S55" s="186" t="n"/>
      <c r="T55" s="186" t="n"/>
      <c r="U55" s="186" t="n"/>
      <c r="V55" s="186" t="n"/>
      <c r="W55" s="186" t="n"/>
      <c r="X55" s="186" t="n"/>
      <c r="Y55" s="186" t="n"/>
      <c r="Z55" s="53" t="n"/>
      <c r="AA55" s="53" t="n"/>
      <c r="AB55" s="53" t="n"/>
      <c r="AC55" s="53" t="n"/>
      <c r="AD55" s="13" t="n"/>
      <c r="AE55" s="240" t="n"/>
      <c r="AF55" s="13" t="n"/>
      <c r="AG55" s="53" t="n"/>
      <c r="AH55" s="53" t="n"/>
      <c r="AI55" s="53" t="n"/>
      <c r="AJ55" s="53" t="n"/>
      <c r="AK55" s="53" t="n"/>
      <c r="AL55" s="53" t="n"/>
      <c r="AM55" s="53" t="n"/>
      <c r="AN55" s="53" t="n"/>
      <c r="AO55" s="53" t="n"/>
      <c r="AP55" s="53" t="n"/>
      <c r="AQ55" s="53" t="n"/>
      <c r="AR55" s="53" t="n"/>
      <c r="AS55" s="53" t="n"/>
      <c r="AT55" s="53" t="n"/>
      <c r="AU55" s="53" t="n"/>
      <c r="AV55" s="53" t="n"/>
      <c r="AW55" s="53" t="n"/>
      <c r="AX55" s="53" t="n"/>
      <c r="AY55" s="53" t="n"/>
      <c r="AZ55" s="53" t="n"/>
      <c r="BA55" s="53" t="n"/>
      <c r="BB55" s="53" t="n"/>
      <c r="BC55" s="53" t="n"/>
      <c r="BD55" s="307" t="n"/>
      <c r="BE55" s="53" t="n"/>
      <c r="BF55" s="53" t="n"/>
      <c r="BG55" s="53" t="n"/>
      <c r="BH55" s="53" t="n"/>
      <c r="BI55" s="53" t="n"/>
      <c r="BJ55" s="53" t="n"/>
      <c r="BK55" s="53" t="n"/>
      <c r="BL55" s="53" t="n"/>
      <c r="BM55" s="53" t="n"/>
      <c r="BN55" s="53" t="n"/>
      <c r="BO55" s="53" t="n"/>
      <c r="BP55" s="307" t="n"/>
      <c r="BQ55" s="53" t="n"/>
      <c r="BR55" s="53" t="n"/>
      <c r="BS55" s="53" t="n"/>
      <c r="BT55" s="53" t="n"/>
      <c r="BU55" s="53" t="n"/>
      <c r="BV55" s="53" t="n"/>
      <c r="BW55" s="53" t="n"/>
      <c r="BX55" s="53" t="n"/>
      <c r="BY55" s="53" t="n"/>
      <c r="BZ55" s="53" t="n"/>
      <c r="CA55" s="53" t="n"/>
      <c r="CB55" s="307" t="n"/>
      <c r="CC55" s="53" t="n"/>
      <c r="CD55" s="53" t="n"/>
      <c r="CE55" s="53" t="n"/>
      <c r="CF55" s="53" t="n"/>
      <c r="CG55" s="53" t="n"/>
      <c r="CH55" s="53" t="n"/>
      <c r="CI55" s="53" t="n"/>
      <c r="CJ55" s="53" t="n"/>
      <c r="CK55" s="53" t="n"/>
      <c r="CL55" s="53" t="n"/>
      <c r="CM55" s="53" t="n"/>
      <c r="CN55" s="307" t="n"/>
      <c r="CO55" s="53" t="n"/>
      <c r="CP55" s="53" t="n"/>
      <c r="CQ55" s="53" t="n"/>
      <c r="CR55" s="53" t="n"/>
      <c r="CS55" s="53" t="n"/>
      <c r="CT55" s="53" t="n"/>
      <c r="CU55" s="53" t="n"/>
      <c r="CV55" s="53" t="n"/>
      <c r="CW55" s="53" t="n"/>
      <c r="CX55" s="53" t="n"/>
      <c r="CY55" s="53" t="n"/>
      <c r="CZ55" s="307" t="n"/>
      <c r="DA55" s="53" t="n"/>
      <c r="DB55" s="53" t="n"/>
      <c r="DC55" s="53" t="n"/>
      <c r="DD55" s="53" t="n"/>
      <c r="DE55" s="53" t="n"/>
      <c r="DF55" s="53" t="n"/>
      <c r="DG55" s="53" t="n"/>
      <c r="DH55" s="53" t="n"/>
      <c r="DI55" s="53" t="n"/>
      <c r="DJ55" s="53" t="n"/>
      <c r="DK55" s="53" t="n"/>
      <c r="DL55" s="53" t="n"/>
      <c r="DM55" s="53" t="n"/>
      <c r="DN55" s="53" t="n"/>
      <c r="DO55" s="53" t="n"/>
      <c r="DP55" s="53" t="n"/>
      <c r="DQ55" s="53" t="n"/>
      <c r="DR55" s="53" t="n"/>
      <c r="DS55" s="53" t="n"/>
      <c r="DT55" s="53" t="n"/>
      <c r="DU55" s="53" t="n"/>
      <c r="DV55" s="53" t="n"/>
      <c r="DW55" s="53" t="n"/>
      <c r="DX55" s="53" t="n"/>
      <c r="DY55" s="53" t="n"/>
      <c r="DZ55" s="53" t="n"/>
      <c r="EA55" s="53" t="n"/>
      <c r="EB55" s="53" t="n"/>
      <c r="EC55" s="53" t="n"/>
      <c r="ED55" s="53" t="n"/>
      <c r="EE55" s="53" t="n"/>
      <c r="EF55" s="53" t="n"/>
      <c r="EG55" s="53" t="n"/>
      <c r="EH55" s="53" t="n"/>
      <c r="EI55" s="53" t="n"/>
      <c r="EJ55" s="53" t="n"/>
      <c r="EK55" s="53" t="n"/>
      <c r="EL55" s="53" t="n"/>
      <c r="EM55" s="53" t="n"/>
      <c r="EN55" s="53" t="n"/>
      <c r="EO55" s="53" t="n"/>
      <c r="EP55" s="53" t="n"/>
      <c r="EQ55" s="53" t="n"/>
      <c r="ER55" s="53" t="n"/>
      <c r="ES55" s="53" t="n"/>
      <c r="ET55" s="53" t="n"/>
      <c r="EU55" s="53" t="n"/>
      <c r="EV55" s="53" t="n"/>
      <c r="EW55" s="53" t="n"/>
      <c r="EX55" s="53" t="n"/>
      <c r="EY55" s="53" t="n"/>
      <c r="EZ55" s="53" t="n"/>
      <c r="FA55" s="53" t="n"/>
      <c r="FB55" s="53" t="n"/>
      <c r="FC55" s="53" t="n"/>
      <c r="FD55" s="53" t="n"/>
      <c r="FE55" s="53" t="n"/>
      <c r="FF55" s="53" t="n"/>
      <c r="FG55" s="53" t="n"/>
      <c r="FH55" s="53" t="n"/>
      <c r="FI55" s="53" t="n"/>
      <c r="FJ55" s="53" t="n"/>
      <c r="FK55" s="53" t="n"/>
      <c r="FL55" s="53" t="n"/>
      <c r="FM55" s="53" t="n"/>
      <c r="FN55" s="53" t="n"/>
      <c r="FO55" s="53" t="n"/>
      <c r="FP55" s="53" t="n"/>
      <c r="FQ55" s="53" t="n"/>
      <c r="FR55" s="53" t="n"/>
      <c r="FS55" s="53" t="n"/>
      <c r="FT55" s="53" t="n"/>
      <c r="FU55" s="53" t="n"/>
      <c r="FV55" s="53" t="n"/>
      <c r="FW55" s="53" t="n"/>
      <c r="FX55" s="53" t="n"/>
      <c r="FY55" s="53" t="n"/>
      <c r="FZ55" s="53" t="n"/>
      <c r="GA55" s="53" t="n"/>
      <c r="GB55" s="53" t="n"/>
      <c r="GC55" s="53" t="n"/>
      <c r="GD55" s="53" t="n"/>
      <c r="GE55" s="53" t="n"/>
      <c r="GF55" s="53" t="n"/>
      <c r="GG55" s="53" t="n"/>
      <c r="GH55" s="53" t="n"/>
      <c r="GI55" s="53" t="n"/>
      <c r="GJ55" s="53" t="n"/>
      <c r="GK55" s="53" t="n"/>
      <c r="GL55" s="53" t="n"/>
      <c r="GM55" s="53" t="n"/>
      <c r="GN55" s="53" t="n"/>
      <c r="GO55" s="53" t="n"/>
      <c r="GP55" s="53" t="n"/>
      <c r="GQ55" s="53" t="n"/>
      <c r="GR55" s="53" t="n"/>
      <c r="GS55" s="53" t="n"/>
      <c r="GT55" s="53" t="n"/>
      <c r="GU55" s="53" t="n"/>
      <c r="GV55" s="53" t="n"/>
      <c r="GW55" s="53" t="n"/>
      <c r="GX55" s="53" t="n"/>
      <c r="GY55" s="53" t="n"/>
      <c r="GZ55" s="53" t="n"/>
      <c r="HA55" s="53" t="n"/>
      <c r="HB55" s="53" t="n"/>
      <c r="HC55" s="53" t="n"/>
      <c r="HD55" s="53" t="n"/>
      <c r="HE55" s="53" t="n"/>
      <c r="HF55" s="53" t="n"/>
      <c r="HG55" s="53" t="n"/>
      <c r="HH55" s="53" t="n"/>
      <c r="HI55" s="53" t="n"/>
      <c r="HJ55" s="53" t="n"/>
      <c r="HK55" s="53" t="n"/>
      <c r="HL55" s="53" t="n"/>
      <c r="HM55" s="53" t="n"/>
      <c r="HN55" s="53" t="n"/>
      <c r="HO55" s="53" t="n"/>
      <c r="HP55" s="53" t="n"/>
      <c r="HQ55" s="53" t="n"/>
      <c r="HR55" s="53" t="n"/>
      <c r="HS55" s="53" t="n"/>
      <c r="HT55" s="53" t="n"/>
      <c r="HU55" s="53" t="n"/>
    </row>
    <row r="56" ht="16.2" customHeight="1">
      <c r="A56" s="19" t="inlineStr">
        <is>
          <t>DESAPROPRIAÇÃO (-)</t>
        </is>
      </c>
      <c r="B56" s="139" t="n"/>
      <c r="C56" s="20" t="n"/>
      <c r="D56" s="22" t="n"/>
      <c r="E56" s="20" t="n"/>
      <c r="F56" s="20" t="n"/>
      <c r="G56" s="20" t="n"/>
      <c r="H56" s="20" t="n"/>
      <c r="I56" s="21" t="n"/>
      <c r="J56" s="175" t="n"/>
      <c r="K56" s="21" t="n"/>
      <c r="L56" s="108" t="n"/>
      <c r="M56" s="220" t="n"/>
      <c r="N56" s="220" t="n"/>
      <c r="O56" s="220" t="n"/>
      <c r="P56" s="220" t="n"/>
      <c r="Q56" s="220" t="n"/>
      <c r="R56" s="220" t="n"/>
      <c r="S56" s="220" t="n"/>
      <c r="T56" s="220" t="n"/>
      <c r="U56" s="220" t="n"/>
      <c r="V56" s="220" t="n"/>
      <c r="W56" s="220" t="n"/>
      <c r="X56" s="220" t="n"/>
      <c r="Y56" s="220" t="n"/>
      <c r="Z56" s="220" t="n"/>
      <c r="AA56" s="220" t="n"/>
      <c r="AB56" s="220" t="n"/>
      <c r="AC56" s="220" t="n"/>
      <c r="AD56" s="200" t="n"/>
      <c r="AE56" s="241" t="n"/>
      <c r="AF56" s="200" t="n"/>
      <c r="AG56" s="22" t="n"/>
      <c r="AH56" s="22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1" t="n"/>
      <c r="AR56" s="21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20" t="n"/>
      <c r="BC56" s="20" t="n"/>
      <c r="BD56" s="299" t="n"/>
      <c r="BE56" s="22" t="n"/>
      <c r="BF56" s="20" t="n"/>
      <c r="BG56" s="20" t="n"/>
      <c r="BH56" s="20" t="n"/>
      <c r="BI56" s="20" t="n"/>
      <c r="BJ56" s="20" t="n"/>
      <c r="BK56" s="20" t="n"/>
      <c r="BL56" s="20" t="n"/>
      <c r="BM56" s="20" t="n"/>
      <c r="BN56" s="20" t="n"/>
      <c r="BO56" s="20" t="n"/>
      <c r="BP56" s="299" t="n"/>
      <c r="BQ56" s="22" t="n"/>
      <c r="BR56" s="20" t="n"/>
      <c r="BS56" s="20" t="n"/>
      <c r="BT56" s="20" t="n"/>
      <c r="BU56" s="20" t="n"/>
      <c r="BV56" s="20" t="n"/>
      <c r="BW56" s="20" t="n"/>
      <c r="BX56" s="20" t="n"/>
      <c r="BY56" s="20" t="n"/>
      <c r="BZ56" s="20" t="n"/>
      <c r="CA56" s="20" t="n"/>
      <c r="CB56" s="299" t="n"/>
      <c r="CC56" s="22" t="n"/>
      <c r="CD56" s="20" t="n"/>
      <c r="CE56" s="20" t="n"/>
      <c r="CF56" s="20" t="n"/>
      <c r="CG56" s="20" t="n"/>
      <c r="CH56" s="20" t="n"/>
      <c r="CI56" s="20" t="n"/>
      <c r="CJ56" s="20" t="n"/>
      <c r="CK56" s="20" t="n"/>
      <c r="CL56" s="20" t="n"/>
      <c r="CM56" s="20" t="n"/>
      <c r="CN56" s="299" t="n"/>
      <c r="CO56" s="22" t="n"/>
      <c r="CP56" s="20" t="n"/>
      <c r="CQ56" s="20" t="n"/>
      <c r="CR56" s="20" t="n"/>
      <c r="CS56" s="20" t="n"/>
      <c r="CT56" s="20" t="n"/>
      <c r="CU56" s="20" t="n"/>
      <c r="CV56" s="20" t="n"/>
      <c r="CW56" s="20" t="n"/>
      <c r="CX56" s="20" t="n"/>
      <c r="CY56" s="20" t="n"/>
      <c r="CZ56" s="299" t="n"/>
      <c r="DA56" s="22" t="n"/>
      <c r="DB56" s="20" t="n"/>
      <c r="DC56" s="20" t="n"/>
      <c r="DD56" s="20" t="n"/>
      <c r="DE56" s="20" t="n"/>
      <c r="DF56" s="20" t="n"/>
      <c r="DG56" s="20" t="n"/>
      <c r="DH56" s="20" t="n"/>
      <c r="DI56" s="20" t="n"/>
      <c r="DJ56" s="21" t="n"/>
      <c r="DK56" s="20" t="n"/>
      <c r="DL56" s="21" t="n"/>
      <c r="DM56" s="20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n"/>
      <c r="DZ56" s="21" t="n"/>
      <c r="EA56" s="21" t="n"/>
      <c r="EB56" s="21" t="n"/>
      <c r="EC56" s="21" t="n"/>
      <c r="ED56" s="21" t="n"/>
      <c r="EE56" s="21" t="n"/>
      <c r="EF56" s="21" t="n"/>
      <c r="EG56" s="21" t="n"/>
      <c r="EH56" s="21" t="n"/>
      <c r="EI56" s="21" t="n"/>
      <c r="EJ56" s="21" t="n"/>
      <c r="EK56" s="21" t="n"/>
      <c r="EL56" s="21" t="n"/>
      <c r="EM56" s="21" t="n"/>
      <c r="EN56" s="21" t="n"/>
      <c r="EO56" s="21" t="n"/>
      <c r="EP56" s="21" t="n"/>
      <c r="EQ56" s="21" t="n"/>
      <c r="ER56" s="21" t="n"/>
      <c r="ES56" s="21" t="n"/>
      <c r="ET56" s="21" t="n"/>
      <c r="EU56" s="21" t="n"/>
      <c r="EV56" s="21" t="n"/>
      <c r="EW56" s="21" t="n"/>
      <c r="EX56" s="21" t="n"/>
      <c r="EY56" s="21" t="n"/>
      <c r="EZ56" s="21" t="n"/>
      <c r="FA56" s="21" t="n"/>
      <c r="FB56" s="21" t="n"/>
      <c r="FC56" s="21" t="n"/>
      <c r="FD56" s="21" t="n"/>
      <c r="FE56" s="21" t="n"/>
      <c r="FF56" s="21" t="n"/>
      <c r="FG56" s="21" t="n"/>
      <c r="FH56" s="21" t="n"/>
      <c r="FI56" s="21" t="n"/>
      <c r="FJ56" s="21" t="n"/>
      <c r="FK56" s="21" t="n"/>
      <c r="FL56" s="21" t="n"/>
      <c r="FM56" s="21" t="n"/>
      <c r="FN56" s="21" t="n"/>
      <c r="FO56" s="21" t="n"/>
      <c r="FP56" s="21" t="n"/>
      <c r="FQ56" s="21" t="n"/>
      <c r="FR56" s="21" t="n"/>
      <c r="FS56" s="21" t="n"/>
      <c r="FT56" s="21" t="n"/>
      <c r="FU56" s="21" t="n"/>
      <c r="FV56" s="21" t="n"/>
      <c r="FW56" s="21" t="n"/>
      <c r="FX56" s="21" t="n"/>
      <c r="FY56" s="21" t="n"/>
      <c r="FZ56" s="21" t="n"/>
      <c r="GA56" s="21" t="n"/>
      <c r="GB56" s="21" t="n"/>
      <c r="GC56" s="21" t="n"/>
      <c r="GD56" s="21" t="n"/>
      <c r="GE56" s="21" t="n"/>
      <c r="GF56" s="21" t="n"/>
      <c r="GG56" s="21" t="n"/>
      <c r="GH56" s="21" t="n"/>
      <c r="GI56" s="21" t="n"/>
      <c r="GJ56" s="21" t="n"/>
      <c r="GK56" s="21" t="n"/>
      <c r="GL56" s="21" t="n"/>
      <c r="GM56" s="21" t="n"/>
      <c r="GN56" s="21" t="n"/>
      <c r="GO56" s="21" t="n"/>
      <c r="GP56" s="21" t="n"/>
      <c r="GQ56" s="21" t="n"/>
      <c r="GR56" s="21" t="n"/>
      <c r="GS56" s="21" t="n"/>
      <c r="GT56" s="21" t="n"/>
      <c r="GU56" s="21" t="n"/>
      <c r="GV56" s="21" t="n"/>
      <c r="GW56" s="21" t="n"/>
      <c r="GX56" s="21" t="n"/>
      <c r="GY56" s="21" t="n"/>
      <c r="GZ56" s="21" t="n"/>
      <c r="HA56" s="21" t="n"/>
      <c r="HB56" s="21" t="n"/>
      <c r="HC56" s="21" t="n"/>
      <c r="HD56" s="21" t="n"/>
      <c r="HE56" s="21" t="n"/>
      <c r="HF56" s="21" t="n"/>
      <c r="HG56" s="21" t="n"/>
      <c r="HH56" s="21" t="n"/>
      <c r="HI56" s="21" t="n"/>
      <c r="HJ56" s="21" t="n"/>
      <c r="HK56" s="21" t="n"/>
      <c r="HL56" s="21" t="n"/>
      <c r="HM56" s="21" t="n"/>
      <c r="HN56" s="21" t="n"/>
      <c r="HO56" s="21" t="n"/>
      <c r="HP56" s="21" t="n"/>
      <c r="HQ56" s="21" t="n"/>
      <c r="HR56" s="21" t="n"/>
      <c r="HS56" s="21" t="n"/>
      <c r="HT56" s="21" t="n"/>
      <c r="HU56" s="21" t="n"/>
    </row>
    <row r="57" ht="16.2" customHeight="1">
      <c r="A57" s="7" t="inlineStr">
        <is>
          <t>Desapropriação</t>
        </is>
      </c>
      <c r="B57" s="136">
        <f>SUM(C57:W57)</f>
        <v/>
      </c>
      <c r="C57" s="85" t="n">
        <v>0</v>
      </c>
      <c r="D57" s="87" t="n">
        <v>0</v>
      </c>
      <c r="E57" s="85" t="n">
        <v>0</v>
      </c>
      <c r="F57" s="85" t="n">
        <v>0</v>
      </c>
      <c r="G57" s="85" t="n">
        <v>0</v>
      </c>
      <c r="H57" s="85" t="n"/>
      <c r="I57" s="86" t="n">
        <v>0</v>
      </c>
      <c r="J57" s="170" t="n">
        <v>0</v>
      </c>
      <c r="K57" s="86" t="n">
        <v>0</v>
      </c>
      <c r="L57" s="34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59" t="n"/>
      <c r="Y57" s="159" t="n"/>
      <c r="Z57" s="159" t="n"/>
      <c r="AA57" s="159" t="n"/>
      <c r="AB57" s="159" t="n"/>
      <c r="AC57" s="159" t="n"/>
      <c r="AD57" s="13" t="n"/>
      <c r="AE57" s="342">
        <f>SUM(AG57:HU57)</f>
        <v/>
      </c>
      <c r="AF57" s="13" t="n"/>
      <c r="AG57" s="328" t="n">
        <v>0</v>
      </c>
      <c r="AH57" s="87" t="n">
        <v>-475000.0000095</v>
      </c>
      <c r="AI57" s="87" t="n">
        <v>-475000.0000095</v>
      </c>
      <c r="AJ57" s="87" t="n">
        <v>-475000.0000095</v>
      </c>
      <c r="AK57" s="87" t="n">
        <v>-475000.0000095</v>
      </c>
      <c r="AL57" s="87" t="n">
        <v>-475000.0000095</v>
      </c>
      <c r="AM57" s="87" t="n">
        <v>-474999.9999525</v>
      </c>
      <c r="AN57" s="85" t="n">
        <v>0</v>
      </c>
      <c r="AO57" s="85" t="n">
        <v>0</v>
      </c>
      <c r="AP57" s="85" t="n">
        <v>0</v>
      </c>
      <c r="AQ57" s="85" t="n">
        <v>0</v>
      </c>
      <c r="AR57" s="85" t="n">
        <v>0</v>
      </c>
      <c r="AS57" s="85" t="n">
        <v>0</v>
      </c>
      <c r="AT57" s="85" t="n">
        <v>0</v>
      </c>
      <c r="AU57" s="85" t="n">
        <v>0</v>
      </c>
      <c r="AV57" s="85" t="n">
        <v>0</v>
      </c>
      <c r="AW57" s="85" t="n">
        <v>0</v>
      </c>
      <c r="AX57" s="85" t="n">
        <v>0</v>
      </c>
      <c r="AY57" s="85" t="n">
        <v>0</v>
      </c>
      <c r="AZ57" s="85" t="n">
        <v>0</v>
      </c>
      <c r="BA57" s="85" t="n">
        <v>0</v>
      </c>
      <c r="BB57" s="85" t="n">
        <v>0</v>
      </c>
      <c r="BC57" s="85" t="n">
        <v>0</v>
      </c>
      <c r="BD57" s="85" t="n">
        <v>0</v>
      </c>
      <c r="BE57" s="85" t="n">
        <v>0</v>
      </c>
      <c r="BF57" s="85" t="n">
        <v>0</v>
      </c>
      <c r="BG57" s="85" t="n">
        <v>0</v>
      </c>
      <c r="BH57" s="85" t="n">
        <v>0</v>
      </c>
      <c r="BI57" s="85" t="n">
        <v>0</v>
      </c>
      <c r="BJ57" s="85" t="n">
        <v>0</v>
      </c>
      <c r="BK57" s="85" t="n">
        <v>0</v>
      </c>
      <c r="BL57" s="85" t="n">
        <v>0</v>
      </c>
      <c r="BM57" s="85" t="n">
        <v>0</v>
      </c>
      <c r="BN57" s="85" t="n">
        <v>0</v>
      </c>
      <c r="BO57" s="85" t="n">
        <v>0</v>
      </c>
      <c r="BP57" s="85" t="n">
        <v>0</v>
      </c>
      <c r="BQ57" s="85" t="n">
        <v>0</v>
      </c>
      <c r="BR57" s="85" t="n">
        <v>0</v>
      </c>
      <c r="BS57" s="85" t="n">
        <v>0</v>
      </c>
      <c r="BT57" s="85" t="n">
        <v>0</v>
      </c>
      <c r="BU57" s="85" t="n">
        <v>0</v>
      </c>
      <c r="BV57" s="85" t="n">
        <v>0</v>
      </c>
      <c r="BW57" s="85" t="n">
        <v>0</v>
      </c>
      <c r="BX57" s="85" t="n">
        <v>0</v>
      </c>
      <c r="BY57" s="85" t="n">
        <v>0</v>
      </c>
      <c r="BZ57" s="85" t="n">
        <v>0</v>
      </c>
      <c r="CA57" s="85" t="n">
        <v>0</v>
      </c>
      <c r="CB57" s="85" t="n">
        <v>0</v>
      </c>
      <c r="CC57" s="85" t="n">
        <v>0</v>
      </c>
      <c r="CD57" s="85" t="n">
        <v>0</v>
      </c>
      <c r="CE57" s="85" t="n">
        <v>0</v>
      </c>
      <c r="CF57" s="85" t="n">
        <v>0</v>
      </c>
      <c r="CG57" s="85" t="n">
        <v>0</v>
      </c>
      <c r="CH57" s="85" t="n">
        <v>0</v>
      </c>
      <c r="CI57" s="85" t="n">
        <v>0</v>
      </c>
      <c r="CJ57" s="85" t="n">
        <v>0</v>
      </c>
      <c r="CK57" s="85" t="n">
        <v>0</v>
      </c>
      <c r="CL57" s="85" t="n">
        <v>0</v>
      </c>
      <c r="CM57" s="85" t="n">
        <v>0</v>
      </c>
      <c r="CN57" s="85" t="n">
        <v>0</v>
      </c>
      <c r="CO57" s="85" t="n">
        <v>0</v>
      </c>
      <c r="CP57" s="85" t="n">
        <v>0</v>
      </c>
      <c r="CQ57" s="85" t="n">
        <v>0</v>
      </c>
      <c r="CR57" s="85" t="n">
        <v>0</v>
      </c>
      <c r="CS57" s="85" t="n">
        <v>0</v>
      </c>
      <c r="CT57" s="85" t="n">
        <v>0</v>
      </c>
      <c r="CU57" s="85" t="n">
        <v>0</v>
      </c>
      <c r="CV57" s="85" t="n">
        <v>0</v>
      </c>
      <c r="CW57" s="85" t="n">
        <v>0</v>
      </c>
      <c r="CX57" s="85" t="n">
        <v>0</v>
      </c>
      <c r="CY57" s="85" t="n">
        <v>0</v>
      </c>
      <c r="CZ57" s="85" t="n">
        <v>0</v>
      </c>
      <c r="DA57" s="85" t="n">
        <v>0</v>
      </c>
      <c r="DB57" s="85" t="n">
        <v>0</v>
      </c>
      <c r="DC57" s="85" t="n">
        <v>0</v>
      </c>
      <c r="DD57" s="85" t="n">
        <v>0</v>
      </c>
      <c r="DE57" s="85" t="n">
        <v>0</v>
      </c>
      <c r="DF57" s="85" t="n">
        <v>0</v>
      </c>
      <c r="DG57" s="85" t="n">
        <v>0</v>
      </c>
      <c r="DH57" s="85" t="n">
        <v>0</v>
      </c>
      <c r="DI57" s="85" t="n">
        <v>0</v>
      </c>
      <c r="DJ57" s="85" t="n">
        <v>0</v>
      </c>
      <c r="DK57" s="85" t="n">
        <v>0</v>
      </c>
      <c r="DL57" s="85" t="n">
        <v>0</v>
      </c>
      <c r="DM57" s="85" t="n">
        <v>0</v>
      </c>
      <c r="DN57" s="85" t="n">
        <v>0</v>
      </c>
      <c r="DO57" s="85" t="n">
        <v>0</v>
      </c>
      <c r="DP57" s="85" t="n">
        <v>0</v>
      </c>
      <c r="DQ57" s="85" t="n">
        <v>0</v>
      </c>
      <c r="DR57" s="85" t="n">
        <v>0</v>
      </c>
      <c r="DS57" s="85" t="n">
        <v>0</v>
      </c>
      <c r="DT57" s="85" t="n">
        <v>0</v>
      </c>
      <c r="DU57" s="85" t="n">
        <v>0</v>
      </c>
      <c r="DV57" s="85" t="n">
        <v>0</v>
      </c>
      <c r="DW57" s="85" t="n">
        <v>0</v>
      </c>
      <c r="DX57" s="85" t="n">
        <v>0</v>
      </c>
      <c r="DY57" s="85" t="n">
        <v>0</v>
      </c>
      <c r="DZ57" s="85" t="n">
        <v>0</v>
      </c>
      <c r="EA57" s="85" t="n">
        <v>0</v>
      </c>
      <c r="EB57" s="85" t="n">
        <v>0</v>
      </c>
      <c r="EC57" s="85" t="n">
        <v>0</v>
      </c>
      <c r="ED57" s="85" t="n">
        <v>0</v>
      </c>
      <c r="EE57" s="85" t="n">
        <v>0</v>
      </c>
      <c r="EF57" s="85" t="n">
        <v>0</v>
      </c>
      <c r="EG57" s="85" t="n">
        <v>0</v>
      </c>
      <c r="EH57" s="85" t="n">
        <v>0</v>
      </c>
      <c r="EI57" s="85" t="n">
        <v>0</v>
      </c>
      <c r="EJ57" s="85" t="n">
        <v>0</v>
      </c>
      <c r="EK57" s="85" t="n">
        <v>0</v>
      </c>
      <c r="EL57" s="85" t="n">
        <v>0</v>
      </c>
      <c r="EM57" s="85" t="n">
        <v>0</v>
      </c>
      <c r="EN57" s="85" t="n">
        <v>0</v>
      </c>
      <c r="EO57" s="85" t="n">
        <v>0</v>
      </c>
      <c r="EP57" s="85" t="n">
        <v>0</v>
      </c>
      <c r="EQ57" s="85" t="n">
        <v>0</v>
      </c>
      <c r="ER57" s="85" t="n">
        <v>0</v>
      </c>
      <c r="ES57" s="85" t="n">
        <v>0</v>
      </c>
      <c r="ET57" s="85" t="n">
        <v>0</v>
      </c>
      <c r="EU57" s="85" t="n">
        <v>0</v>
      </c>
      <c r="EV57" s="85" t="n">
        <v>0</v>
      </c>
      <c r="EW57" s="85" t="n">
        <v>0</v>
      </c>
      <c r="EX57" s="85" t="n">
        <v>0</v>
      </c>
      <c r="EY57" s="85" t="n">
        <v>0</v>
      </c>
      <c r="EZ57" s="85" t="n">
        <v>0</v>
      </c>
      <c r="FA57" s="85" t="n">
        <v>0</v>
      </c>
      <c r="FB57" s="85" t="n">
        <v>0</v>
      </c>
      <c r="FC57" s="85" t="n">
        <v>0</v>
      </c>
      <c r="FD57" s="85" t="n">
        <v>0</v>
      </c>
      <c r="FE57" s="85" t="n">
        <v>0</v>
      </c>
      <c r="FF57" s="85" t="n">
        <v>0</v>
      </c>
      <c r="FG57" s="85" t="n">
        <v>0</v>
      </c>
      <c r="FH57" s="85" t="n">
        <v>0</v>
      </c>
      <c r="FI57" s="85" t="n">
        <v>0</v>
      </c>
      <c r="FJ57" s="85" t="n">
        <v>0</v>
      </c>
      <c r="FK57" s="85" t="n">
        <v>0</v>
      </c>
      <c r="FL57" s="85" t="n">
        <v>0</v>
      </c>
      <c r="FM57" s="85" t="n">
        <v>0</v>
      </c>
      <c r="FN57" s="85" t="n">
        <v>0</v>
      </c>
      <c r="FO57" s="85" t="n">
        <v>1</v>
      </c>
      <c r="FP57" s="85" t="n">
        <v>2</v>
      </c>
      <c r="FQ57" s="85" t="n">
        <v>3</v>
      </c>
      <c r="FR57" s="85" t="n">
        <v>4</v>
      </c>
      <c r="FS57" s="85" t="n">
        <v>5</v>
      </c>
      <c r="FT57" s="85" t="n">
        <v>6</v>
      </c>
      <c r="FU57" s="85" t="n">
        <v>7</v>
      </c>
      <c r="FV57" s="85" t="n">
        <v>8</v>
      </c>
      <c r="FW57" s="85" t="n">
        <v>9</v>
      </c>
      <c r="FX57" s="85" t="n">
        <v>10</v>
      </c>
      <c r="FY57" s="85" t="n">
        <v>11</v>
      </c>
      <c r="FZ57" s="85" t="n">
        <v>12</v>
      </c>
      <c r="GA57" s="85" t="n">
        <v>13</v>
      </c>
      <c r="GB57" s="85" t="n">
        <v>14</v>
      </c>
      <c r="GC57" s="85" t="n">
        <v>15</v>
      </c>
      <c r="GD57" s="85" t="n">
        <v>16</v>
      </c>
      <c r="GE57" s="85" t="n">
        <v>17</v>
      </c>
      <c r="GF57" s="85" t="n">
        <v>18</v>
      </c>
      <c r="GG57" s="85" t="n">
        <v>19</v>
      </c>
      <c r="GH57" s="85" t="n">
        <v>20</v>
      </c>
      <c r="GI57" s="85" t="n">
        <v>21</v>
      </c>
      <c r="GJ57" s="85" t="n">
        <v>22</v>
      </c>
      <c r="GK57" s="85" t="n">
        <v>23</v>
      </c>
      <c r="GL57" s="85" t="n">
        <v>24</v>
      </c>
      <c r="GM57" s="85" t="n">
        <v>25</v>
      </c>
      <c r="GN57" s="85" t="n">
        <v>26</v>
      </c>
      <c r="GO57" s="85" t="n">
        <v>27</v>
      </c>
      <c r="GP57" s="85" t="n">
        <v>28</v>
      </c>
      <c r="GQ57" s="85" t="n">
        <v>29</v>
      </c>
      <c r="GR57" s="85" t="n">
        <v>30</v>
      </c>
      <c r="GS57" s="85" t="n">
        <v>31</v>
      </c>
      <c r="GT57" s="85" t="n">
        <v>32</v>
      </c>
      <c r="GU57" s="85" t="n">
        <v>33</v>
      </c>
      <c r="GV57" s="85" t="n">
        <v>34</v>
      </c>
      <c r="GW57" s="85" t="n">
        <v>35</v>
      </c>
      <c r="GX57" s="85" t="n">
        <v>36</v>
      </c>
      <c r="GY57" s="85" t="n">
        <v>37</v>
      </c>
      <c r="GZ57" s="85" t="n">
        <v>38</v>
      </c>
      <c r="HA57" s="85" t="n">
        <v>39</v>
      </c>
      <c r="HB57" s="85" t="n">
        <v>40</v>
      </c>
      <c r="HC57" s="85" t="n">
        <v>41</v>
      </c>
      <c r="HD57" s="85" t="n">
        <v>42</v>
      </c>
      <c r="HE57" s="85" t="n">
        <v>43</v>
      </c>
      <c r="HF57" s="85" t="n">
        <v>44</v>
      </c>
      <c r="HG57" s="85" t="n">
        <v>45</v>
      </c>
      <c r="HH57" s="85" t="n">
        <v>46</v>
      </c>
      <c r="HI57" s="85" t="n">
        <v>47</v>
      </c>
      <c r="HJ57" s="85" t="n">
        <v>48</v>
      </c>
      <c r="HK57" s="85" t="n">
        <v>49</v>
      </c>
      <c r="HL57" s="85" t="n">
        <v>50</v>
      </c>
      <c r="HM57" s="85" t="n">
        <v>51</v>
      </c>
      <c r="HN57" s="85" t="n">
        <v>52</v>
      </c>
      <c r="HO57" s="85" t="n">
        <v>53</v>
      </c>
      <c r="HP57" s="85" t="n">
        <v>54</v>
      </c>
      <c r="HQ57" s="85" t="n">
        <v>55</v>
      </c>
      <c r="HR57" s="85" t="n">
        <v>56</v>
      </c>
      <c r="HS57" s="85" t="n">
        <v>57</v>
      </c>
      <c r="HT57" s="85" t="n">
        <v>58</v>
      </c>
      <c r="HU57" s="85" t="n">
        <v>59</v>
      </c>
    </row>
    <row r="58" ht="7.2" customHeight="1">
      <c r="A58" s="1" t="n"/>
      <c r="B58" s="143" t="n"/>
      <c r="C58" s="53" t="n"/>
      <c r="D58" s="53" t="n"/>
      <c r="E58" s="53" t="n"/>
      <c r="F58" s="53" t="n"/>
      <c r="G58" s="53" t="n"/>
      <c r="H58" s="53" t="n"/>
      <c r="I58" s="53" t="n"/>
      <c r="J58" s="185" t="n"/>
      <c r="K58" s="53" t="n"/>
      <c r="L58" s="53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3" t="n"/>
      <c r="AE58" s="240" t="n"/>
      <c r="AF58" s="13" t="n"/>
      <c r="AG58" s="53" t="n"/>
      <c r="AH58" s="53" t="n"/>
      <c r="AI58" s="53" t="n"/>
      <c r="AJ58" s="53" t="n"/>
      <c r="AK58" s="53" t="n"/>
      <c r="AL58" s="53" t="n"/>
      <c r="AM58" s="53" t="n"/>
      <c r="AN58" s="53" t="n"/>
      <c r="AO58" s="53" t="n"/>
      <c r="AP58" s="53" t="n"/>
      <c r="AQ58" s="53" t="n"/>
      <c r="AR58" s="53" t="n"/>
      <c r="AS58" s="53" t="n"/>
      <c r="AT58" s="53" t="n"/>
      <c r="AU58" s="53" t="n"/>
      <c r="AV58" s="53" t="n"/>
      <c r="AW58" s="53" t="n"/>
      <c r="AX58" s="53" t="n"/>
      <c r="AY58" s="53" t="n"/>
      <c r="AZ58" s="53" t="n"/>
      <c r="BA58" s="53" t="n"/>
      <c r="BB58" s="53" t="n"/>
      <c r="BC58" s="53" t="n"/>
      <c r="BD58" s="307" t="n"/>
      <c r="BE58" s="53" t="n"/>
      <c r="BF58" s="53" t="n"/>
      <c r="BG58" s="53" t="n"/>
      <c r="BH58" s="53" t="n"/>
      <c r="BI58" s="53" t="n"/>
      <c r="BJ58" s="53" t="n"/>
      <c r="BK58" s="53" t="n"/>
      <c r="BL58" s="53" t="n"/>
      <c r="BM58" s="53" t="n"/>
      <c r="BN58" s="53" t="n"/>
      <c r="BO58" s="53" t="n"/>
      <c r="BP58" s="307" t="n"/>
      <c r="BQ58" s="53" t="n"/>
      <c r="BR58" s="53" t="n"/>
      <c r="BS58" s="53" t="n"/>
      <c r="BT58" s="53" t="n"/>
      <c r="BU58" s="53" t="n"/>
      <c r="BV58" s="53" t="n"/>
      <c r="BW58" s="53" t="n"/>
      <c r="BX58" s="53" t="n"/>
      <c r="BY58" s="53" t="n"/>
      <c r="BZ58" s="53" t="n"/>
      <c r="CA58" s="53" t="n"/>
      <c r="CB58" s="307" t="n"/>
      <c r="CC58" s="53" t="n"/>
      <c r="CD58" s="53" t="n"/>
      <c r="CE58" s="53" t="n"/>
      <c r="CF58" s="53" t="n"/>
      <c r="CG58" s="53" t="n"/>
      <c r="CH58" s="53" t="n"/>
      <c r="CI58" s="53" t="n"/>
      <c r="CJ58" s="53" t="n"/>
      <c r="CK58" s="53" t="n"/>
      <c r="CL58" s="53" t="n"/>
      <c r="CM58" s="53" t="n"/>
      <c r="CN58" s="307" t="n"/>
      <c r="CO58" s="53" t="n"/>
      <c r="CP58" s="53" t="n"/>
      <c r="CQ58" s="53" t="n"/>
      <c r="CR58" s="53" t="n"/>
      <c r="CS58" s="53" t="n"/>
      <c r="CT58" s="53" t="n"/>
      <c r="CU58" s="53" t="n"/>
      <c r="CV58" s="53" t="n"/>
      <c r="CW58" s="53" t="n"/>
      <c r="CX58" s="53" t="n"/>
      <c r="CY58" s="53" t="n"/>
      <c r="CZ58" s="307" t="n"/>
      <c r="DA58" s="53" t="n"/>
      <c r="DB58" s="53" t="n"/>
      <c r="DC58" s="53" t="n"/>
      <c r="DD58" s="53" t="n"/>
      <c r="DE58" s="53" t="n"/>
      <c r="DF58" s="53" t="n"/>
      <c r="DG58" s="53" t="n"/>
      <c r="DH58" s="53" t="n"/>
      <c r="DI58" s="53" t="n"/>
      <c r="DJ58" s="53" t="n"/>
      <c r="DK58" s="53" t="n"/>
      <c r="DL58" s="53" t="n"/>
      <c r="DM58" s="53" t="n"/>
      <c r="DN58" s="53" t="n"/>
      <c r="DO58" s="53" t="n"/>
      <c r="DP58" s="53" t="n"/>
      <c r="DQ58" s="53" t="n"/>
      <c r="DR58" s="53" t="n"/>
      <c r="DS58" s="53" t="n"/>
      <c r="DT58" s="53" t="n"/>
      <c r="DU58" s="53" t="n"/>
      <c r="DV58" s="53" t="n"/>
      <c r="DW58" s="53" t="n"/>
      <c r="DX58" s="53" t="n"/>
      <c r="DY58" s="53" t="n"/>
      <c r="DZ58" s="53" t="n"/>
      <c r="EA58" s="53" t="n"/>
      <c r="EB58" s="53" t="n"/>
      <c r="EC58" s="53" t="n"/>
      <c r="ED58" s="53" t="n"/>
      <c r="EE58" s="53" t="n"/>
      <c r="EF58" s="53" t="n"/>
      <c r="EG58" s="53" t="n"/>
      <c r="EH58" s="53" t="n"/>
      <c r="EI58" s="53" t="n"/>
      <c r="EJ58" s="53" t="n"/>
      <c r="EK58" s="53" t="n"/>
      <c r="EL58" s="53" t="n"/>
      <c r="EM58" s="53" t="n"/>
      <c r="EN58" s="53" t="n"/>
      <c r="EO58" s="53" t="n"/>
      <c r="EP58" s="53" t="n"/>
      <c r="EQ58" s="53" t="n"/>
      <c r="ER58" s="53" t="n"/>
      <c r="ES58" s="53" t="n"/>
      <c r="ET58" s="53" t="n"/>
      <c r="EU58" s="53" t="n"/>
      <c r="EV58" s="53" t="n"/>
      <c r="EW58" s="53" t="n"/>
      <c r="EX58" s="53" t="n"/>
      <c r="EY58" s="53" t="n"/>
      <c r="EZ58" s="53" t="n"/>
      <c r="FA58" s="53" t="n"/>
      <c r="FB58" s="53" t="n"/>
      <c r="FC58" s="53" t="n"/>
      <c r="FD58" s="53" t="n"/>
      <c r="FE58" s="53" t="n"/>
      <c r="FF58" s="53" t="n"/>
      <c r="FG58" s="53" t="n"/>
      <c r="FH58" s="53" t="n"/>
      <c r="FI58" s="53" t="n"/>
      <c r="FJ58" s="53" t="n"/>
      <c r="FK58" s="53" t="n"/>
      <c r="FL58" s="53" t="n"/>
      <c r="FM58" s="53" t="n"/>
      <c r="FN58" s="53" t="n"/>
      <c r="FO58" s="53" t="n"/>
      <c r="FP58" s="53" t="n"/>
      <c r="FQ58" s="53" t="n"/>
      <c r="FR58" s="53" t="n"/>
      <c r="FS58" s="53" t="n"/>
      <c r="FT58" s="53" t="n"/>
      <c r="FU58" s="53" t="n"/>
      <c r="FV58" s="53" t="n"/>
      <c r="FW58" s="53" t="n"/>
      <c r="FX58" s="53" t="n"/>
      <c r="FY58" s="53" t="n"/>
      <c r="FZ58" s="53" t="n"/>
      <c r="GA58" s="53" t="n"/>
      <c r="GB58" s="53" t="n"/>
      <c r="GC58" s="53" t="n"/>
      <c r="GD58" s="53" t="n"/>
      <c r="GE58" s="53" t="n"/>
      <c r="GF58" s="53" t="n"/>
      <c r="GG58" s="53" t="n"/>
      <c r="GH58" s="53" t="n"/>
      <c r="GI58" s="53" t="n"/>
      <c r="GJ58" s="53" t="n"/>
      <c r="GK58" s="53" t="n"/>
      <c r="GL58" s="53" t="n"/>
      <c r="GM58" s="53" t="n"/>
      <c r="GN58" s="53" t="n"/>
      <c r="GO58" s="53" t="n"/>
      <c r="GP58" s="53" t="n"/>
      <c r="GQ58" s="53" t="n"/>
      <c r="GR58" s="53" t="n"/>
      <c r="GS58" s="53" t="n"/>
      <c r="GT58" s="53" t="n"/>
      <c r="GU58" s="53" t="n"/>
      <c r="GV58" s="53" t="n"/>
      <c r="GW58" s="53" t="n"/>
      <c r="GX58" s="53" t="n"/>
      <c r="GY58" s="53" t="n"/>
      <c r="GZ58" s="53" t="n"/>
      <c r="HA58" s="53" t="n"/>
      <c r="HB58" s="53" t="n"/>
      <c r="HC58" s="53" t="n"/>
      <c r="HD58" s="53" t="n"/>
      <c r="HE58" s="53" t="n"/>
      <c r="HF58" s="53" t="n"/>
      <c r="HG58" s="53" t="n"/>
      <c r="HH58" s="53" t="n"/>
      <c r="HI58" s="53" t="n"/>
      <c r="HJ58" s="53" t="n"/>
      <c r="HK58" s="53" t="n"/>
      <c r="HL58" s="53" t="n"/>
      <c r="HM58" s="53" t="n"/>
      <c r="HN58" s="53" t="n"/>
      <c r="HO58" s="53" t="n"/>
      <c r="HP58" s="53" t="n"/>
      <c r="HQ58" s="53" t="n"/>
      <c r="HR58" s="53" t="n"/>
      <c r="HS58" s="53" t="n"/>
      <c r="HT58" s="53" t="n"/>
      <c r="HU58" s="53" t="n"/>
    </row>
    <row r="59" ht="16.2" customHeight="1">
      <c r="A59" s="19" t="inlineStr">
        <is>
          <t>DISTRATOS (-)</t>
        </is>
      </c>
      <c r="B59" s="139" t="n"/>
      <c r="C59" s="20" t="n"/>
      <c r="D59" s="22" t="n"/>
      <c r="E59" s="20" t="n"/>
      <c r="F59" s="20" t="n"/>
      <c r="G59" s="20" t="n"/>
      <c r="H59" s="20" t="n"/>
      <c r="I59" s="21" t="n"/>
      <c r="J59" s="175" t="n"/>
      <c r="K59" s="21" t="n"/>
      <c r="L59" s="108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220" t="n"/>
      <c r="AB59" s="220" t="n"/>
      <c r="AC59" s="220" t="n"/>
      <c r="AD59" s="200" t="n"/>
      <c r="AE59" s="241" t="n"/>
      <c r="AF59" s="200" t="n"/>
      <c r="AG59" s="22" t="n"/>
      <c r="AH59" s="22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1" t="n"/>
      <c r="AR59" s="21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99" t="n"/>
      <c r="BE59" s="22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99" t="n"/>
      <c r="BQ59" s="22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99" t="n"/>
      <c r="CC59" s="22" t="n"/>
      <c r="CD59" s="20" t="n"/>
      <c r="CE59" s="20" t="n"/>
      <c r="CF59" s="20" t="n"/>
      <c r="CG59" s="20" t="n"/>
      <c r="CH59" s="20" t="n"/>
      <c r="CI59" s="20" t="n"/>
      <c r="CJ59" s="20" t="n"/>
      <c r="CK59" s="20" t="n"/>
      <c r="CL59" s="20" t="n"/>
      <c r="CM59" s="20" t="n"/>
      <c r="CN59" s="299" t="n"/>
      <c r="CO59" s="22" t="n"/>
      <c r="CP59" s="20" t="n"/>
      <c r="CQ59" s="20" t="n"/>
      <c r="CR59" s="20" t="n"/>
      <c r="CS59" s="20" t="n"/>
      <c r="CT59" s="20" t="n"/>
      <c r="CU59" s="20" t="n"/>
      <c r="CV59" s="20" t="n"/>
      <c r="CW59" s="20" t="n"/>
      <c r="CX59" s="20" t="n"/>
      <c r="CY59" s="20" t="n"/>
      <c r="CZ59" s="299" t="n"/>
      <c r="DA59" s="22" t="n"/>
      <c r="DB59" s="20" t="n"/>
      <c r="DC59" s="20" t="n"/>
      <c r="DD59" s="20" t="n"/>
      <c r="DE59" s="20" t="n"/>
      <c r="DF59" s="20" t="n"/>
      <c r="DG59" s="20" t="n"/>
      <c r="DH59" s="20" t="n"/>
      <c r="DI59" s="20" t="n"/>
      <c r="DJ59" s="21" t="n"/>
      <c r="DK59" s="20" t="n"/>
      <c r="DL59" s="21" t="n"/>
      <c r="DM59" s="20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n"/>
      <c r="DX59" s="21" t="n"/>
      <c r="DY59" s="21" t="n"/>
      <c r="DZ59" s="21" t="n"/>
      <c r="EA59" s="21" t="n"/>
      <c r="EB59" s="21" t="n"/>
      <c r="EC59" s="21" t="n"/>
      <c r="ED59" s="21" t="n"/>
      <c r="EE59" s="21" t="n"/>
      <c r="EF59" s="21" t="n"/>
      <c r="EG59" s="21" t="n"/>
      <c r="EH59" s="21" t="n"/>
      <c r="EI59" s="21" t="n"/>
      <c r="EJ59" s="21" t="n"/>
      <c r="EK59" s="21" t="n"/>
      <c r="EL59" s="21" t="n"/>
      <c r="EM59" s="21" t="n"/>
      <c r="EN59" s="21" t="n"/>
      <c r="EO59" s="21" t="n"/>
      <c r="EP59" s="21" t="n"/>
      <c r="EQ59" s="21" t="n"/>
      <c r="ER59" s="21" t="n"/>
      <c r="ES59" s="21" t="n"/>
      <c r="ET59" s="21" t="n"/>
      <c r="EU59" s="21" t="n"/>
      <c r="EV59" s="21" t="n"/>
      <c r="EW59" s="21" t="n"/>
      <c r="EX59" s="21" t="n"/>
      <c r="EY59" s="21" t="n"/>
      <c r="EZ59" s="21" t="n"/>
      <c r="FA59" s="21" t="n"/>
      <c r="FB59" s="21" t="n"/>
      <c r="FC59" s="21" t="n"/>
      <c r="FD59" s="21" t="n"/>
      <c r="FE59" s="21" t="n"/>
      <c r="FF59" s="21" t="n"/>
      <c r="FG59" s="21" t="n"/>
      <c r="FH59" s="21" t="n"/>
      <c r="FI59" s="21" t="n"/>
      <c r="FJ59" s="21" t="n"/>
      <c r="FK59" s="21" t="n"/>
      <c r="FL59" s="21" t="n"/>
      <c r="FM59" s="21" t="n"/>
      <c r="FN59" s="21" t="n"/>
      <c r="FO59" s="21" t="n"/>
      <c r="FP59" s="21" t="n"/>
      <c r="FQ59" s="21" t="n"/>
      <c r="FR59" s="21" t="n"/>
      <c r="FS59" s="21" t="n"/>
      <c r="FT59" s="21" t="n"/>
      <c r="FU59" s="21" t="n"/>
      <c r="FV59" s="21" t="n"/>
      <c r="FW59" s="21" t="n"/>
      <c r="FX59" s="21" t="n"/>
      <c r="FY59" s="21" t="n"/>
      <c r="FZ59" s="21" t="n"/>
      <c r="GA59" s="21" t="n"/>
      <c r="GB59" s="21" t="n"/>
      <c r="GC59" s="21" t="n"/>
      <c r="GD59" s="21" t="n"/>
      <c r="GE59" s="21" t="n"/>
      <c r="GF59" s="21" t="n"/>
      <c r="GG59" s="21" t="n"/>
      <c r="GH59" s="21" t="n"/>
      <c r="GI59" s="21" t="n"/>
      <c r="GJ59" s="21" t="n"/>
      <c r="GK59" s="21" t="n"/>
      <c r="GL59" s="21" t="n"/>
      <c r="GM59" s="21" t="n"/>
      <c r="GN59" s="21" t="n"/>
      <c r="GO59" s="21" t="n"/>
      <c r="GP59" s="21" t="n"/>
      <c r="GQ59" s="21" t="n"/>
      <c r="GR59" s="21" t="n"/>
      <c r="GS59" s="21" t="n"/>
      <c r="GT59" s="21" t="n"/>
      <c r="GU59" s="21" t="n"/>
      <c r="GV59" s="21" t="n"/>
      <c r="GW59" s="21" t="n"/>
      <c r="GX59" s="21" t="n"/>
      <c r="GY59" s="21" t="n"/>
      <c r="GZ59" s="21" t="n"/>
      <c r="HA59" s="21" t="n"/>
      <c r="HB59" s="21" t="n"/>
      <c r="HC59" s="21" t="n"/>
      <c r="HD59" s="21" t="n"/>
      <c r="HE59" s="21" t="n"/>
      <c r="HF59" s="21" t="n"/>
      <c r="HG59" s="21" t="n"/>
      <c r="HH59" s="21" t="n"/>
      <c r="HI59" s="21" t="n"/>
      <c r="HJ59" s="21" t="n"/>
      <c r="HK59" s="21" t="n"/>
      <c r="HL59" s="21" t="n"/>
      <c r="HM59" s="21" t="n"/>
      <c r="HN59" s="21" t="n"/>
      <c r="HO59" s="21" t="n"/>
      <c r="HP59" s="21" t="n"/>
      <c r="HQ59" s="21" t="n"/>
      <c r="HR59" s="21" t="n"/>
      <c r="HS59" s="21" t="n"/>
      <c r="HT59" s="21" t="n"/>
      <c r="HU59" s="21" t="n"/>
    </row>
    <row r="60" ht="16.2" customHeight="1">
      <c r="A60" s="7" t="inlineStr">
        <is>
          <t>Devoluções</t>
        </is>
      </c>
      <c r="B60" s="136">
        <f>SUM(C60:W60)</f>
        <v/>
      </c>
      <c r="C60" s="85" t="n"/>
      <c r="D60" s="87" t="n"/>
      <c r="E60" s="85" t="n"/>
      <c r="F60" s="85" t="n"/>
      <c r="G60" s="85" t="n"/>
      <c r="H60" s="85" t="n"/>
      <c r="I60" s="86" t="n"/>
      <c r="J60" s="228" t="n"/>
      <c r="K60" s="229" t="n"/>
      <c r="L60" s="122" t="n"/>
      <c r="M60" s="219" t="n"/>
      <c r="N60" s="219" t="n"/>
      <c r="O60" s="219" t="n"/>
      <c r="P60" s="219" t="n"/>
      <c r="Q60" s="219" t="n"/>
      <c r="R60" s="219" t="n"/>
      <c r="S60" s="219" t="n"/>
      <c r="T60" s="219" t="n"/>
      <c r="U60" s="219" t="n"/>
      <c r="V60" s="219" t="n"/>
      <c r="W60" s="219" t="n"/>
      <c r="X60" s="219" t="n"/>
      <c r="Y60" s="219" t="n"/>
      <c r="Z60" s="219" t="n"/>
      <c r="AA60" s="219" t="n"/>
      <c r="AB60" s="219" t="n"/>
      <c r="AC60" s="219" t="n"/>
      <c r="AD60" s="13" t="n"/>
      <c r="AE60" s="342">
        <f>SUM(AG60:HU60)</f>
        <v/>
      </c>
      <c r="AF60" s="13" t="n"/>
      <c r="AG60" s="87" t="n">
        <v>0</v>
      </c>
      <c r="AH60" s="87" t="n">
        <v>0</v>
      </c>
      <c r="AI60" s="85" t="n">
        <v>0</v>
      </c>
      <c r="AJ60" s="85" t="n">
        <v>0</v>
      </c>
      <c r="AK60" s="85" t="n">
        <v>0</v>
      </c>
      <c r="AL60" s="85" t="n">
        <v>0</v>
      </c>
      <c r="AM60" s="85" t="n">
        <v>0</v>
      </c>
      <c r="AN60" s="85" t="n">
        <v>0</v>
      </c>
      <c r="AO60" s="85" t="n">
        <v>0</v>
      </c>
      <c r="AP60" s="85" t="n">
        <v>0</v>
      </c>
      <c r="AQ60" s="86" t="n">
        <v>0</v>
      </c>
      <c r="AR60" s="86" t="n">
        <v>0</v>
      </c>
      <c r="AS60" s="85" t="n">
        <v>0</v>
      </c>
      <c r="AT60" s="85" t="n">
        <v>0</v>
      </c>
      <c r="AU60" s="85" t="n">
        <v>0</v>
      </c>
      <c r="AV60" s="85" t="n">
        <v>0</v>
      </c>
      <c r="AW60" s="85" t="n">
        <v>0</v>
      </c>
      <c r="AX60" s="85" t="n">
        <v>0</v>
      </c>
      <c r="AY60" s="85" t="n">
        <v>0</v>
      </c>
      <c r="AZ60" s="85" t="n">
        <v>0</v>
      </c>
      <c r="BA60" s="85" t="n">
        <v>0</v>
      </c>
      <c r="BB60" s="85" t="n">
        <v>0</v>
      </c>
      <c r="BC60" s="85" t="n">
        <v>0</v>
      </c>
      <c r="BD60" s="296" t="n">
        <v>0</v>
      </c>
      <c r="BE60" s="87" t="n">
        <v>0</v>
      </c>
      <c r="BF60" s="85" t="n">
        <v>0</v>
      </c>
      <c r="BG60" s="85" t="n">
        <v>0</v>
      </c>
      <c r="BH60" s="85" t="n">
        <v>0</v>
      </c>
      <c r="BI60" s="85" t="n">
        <v>0</v>
      </c>
      <c r="BJ60" s="85" t="n">
        <v>0</v>
      </c>
      <c r="BK60" s="85" t="n">
        <v>0</v>
      </c>
      <c r="BL60" s="85" t="n">
        <v>0</v>
      </c>
      <c r="BM60" s="85" t="n">
        <v>0</v>
      </c>
      <c r="BN60" s="85" t="n">
        <v>0</v>
      </c>
      <c r="BO60" s="85" t="n">
        <v>0</v>
      </c>
      <c r="BP60" s="296" t="n">
        <v>0</v>
      </c>
      <c r="BQ60" s="87" t="n">
        <v>0</v>
      </c>
      <c r="BR60" s="85" t="n">
        <v>0</v>
      </c>
      <c r="BS60" s="85" t="n">
        <v>0</v>
      </c>
      <c r="BT60" s="85" t="n">
        <v>0</v>
      </c>
      <c r="BU60" s="85" t="n">
        <v>0</v>
      </c>
      <c r="BV60" s="85" t="n">
        <v>0</v>
      </c>
      <c r="BW60" s="85" t="n">
        <v>0</v>
      </c>
      <c r="BX60" s="85" t="n">
        <v>0</v>
      </c>
      <c r="BY60" s="85" t="n">
        <v>0</v>
      </c>
      <c r="BZ60" s="85" t="n">
        <v>0</v>
      </c>
      <c r="CA60" s="85" t="n">
        <v>0</v>
      </c>
      <c r="CB60" s="296" t="n">
        <v>0</v>
      </c>
      <c r="CC60" s="87" t="n">
        <v>0</v>
      </c>
      <c r="CD60" s="85" t="n">
        <v>0</v>
      </c>
      <c r="CE60" s="85" t="n">
        <v>0</v>
      </c>
      <c r="CF60" s="85" t="n">
        <v>0</v>
      </c>
      <c r="CG60" s="85" t="n">
        <v>0</v>
      </c>
      <c r="CH60" s="85" t="n">
        <v>0</v>
      </c>
      <c r="CI60" s="85" t="n">
        <v>0</v>
      </c>
      <c r="CJ60" s="85" t="n">
        <v>0</v>
      </c>
      <c r="CK60" s="85" t="n">
        <v>0</v>
      </c>
      <c r="CL60" s="85" t="n">
        <v>0</v>
      </c>
      <c r="CM60" s="85" t="n">
        <v>0</v>
      </c>
      <c r="CN60" s="296" t="n">
        <v>0</v>
      </c>
      <c r="CO60" s="87" t="n">
        <v>0</v>
      </c>
      <c r="CP60" s="85" t="n">
        <v>0</v>
      </c>
      <c r="CQ60" s="85" t="n">
        <v>0</v>
      </c>
      <c r="CR60" s="85" t="n">
        <v>0</v>
      </c>
      <c r="CS60" s="85" t="n">
        <v>0</v>
      </c>
      <c r="CT60" s="85" t="n">
        <v>0</v>
      </c>
      <c r="CU60" s="85" t="n">
        <v>0</v>
      </c>
      <c r="CV60" s="85" t="n">
        <v>0</v>
      </c>
      <c r="CW60" s="85" t="n">
        <v>0</v>
      </c>
      <c r="CX60" s="85" t="n">
        <v>0</v>
      </c>
      <c r="CY60" s="85" t="n">
        <v>0</v>
      </c>
      <c r="CZ60" s="296" t="n">
        <v>0</v>
      </c>
      <c r="DA60" s="87" t="n">
        <v>0</v>
      </c>
      <c r="DB60" s="85" t="n">
        <v>0</v>
      </c>
      <c r="DC60" s="85" t="n">
        <v>0</v>
      </c>
      <c r="DD60" s="85" t="n">
        <v>0</v>
      </c>
      <c r="DE60" s="85" t="n">
        <v>0</v>
      </c>
      <c r="DF60" s="85" t="n">
        <v>0</v>
      </c>
      <c r="DG60" s="85" t="n">
        <v>0</v>
      </c>
      <c r="DH60" s="85" t="n">
        <v>0</v>
      </c>
      <c r="DI60" s="85" t="n">
        <v>0</v>
      </c>
      <c r="DJ60" s="86" t="n">
        <v>0</v>
      </c>
      <c r="DK60" s="85" t="n"/>
      <c r="DL60" s="86" t="n">
        <v>0</v>
      </c>
      <c r="DM60" s="85" t="n"/>
      <c r="DN60" s="86" t="n">
        <v>0</v>
      </c>
      <c r="DO60" s="86" t="n"/>
      <c r="DP60" s="86" t="n"/>
      <c r="DQ60" s="86" t="n"/>
      <c r="DR60" s="86" t="n"/>
      <c r="DS60" s="86" t="n"/>
      <c r="DT60" s="86" t="n"/>
      <c r="DU60" s="86" t="n"/>
      <c r="DV60" s="86" t="n"/>
      <c r="DW60" s="86" t="n"/>
      <c r="DX60" s="86" t="n"/>
      <c r="DY60" s="86" t="n"/>
      <c r="DZ60" s="86" t="n"/>
      <c r="EA60" s="86" t="n"/>
      <c r="EB60" s="86" t="n"/>
      <c r="EC60" s="86" t="n"/>
      <c r="ED60" s="86" t="n"/>
      <c r="EE60" s="86" t="n"/>
      <c r="EF60" s="86" t="n"/>
      <c r="EG60" s="86" t="n"/>
      <c r="EH60" s="86" t="n"/>
      <c r="EI60" s="86" t="n"/>
      <c r="EJ60" s="86" t="n"/>
      <c r="EK60" s="86" t="n"/>
      <c r="EL60" s="86" t="n"/>
      <c r="EM60" s="86" t="n"/>
      <c r="EN60" s="86" t="n"/>
      <c r="EO60" s="86" t="n"/>
      <c r="EP60" s="86" t="n"/>
      <c r="EQ60" s="86" t="n"/>
      <c r="ER60" s="86" t="n"/>
      <c r="ES60" s="86" t="n"/>
      <c r="ET60" s="86" t="n"/>
      <c r="EU60" s="86" t="n"/>
      <c r="EV60" s="86" t="n"/>
      <c r="EW60" s="86" t="n"/>
      <c r="EX60" s="86" t="n"/>
      <c r="EY60" s="86" t="n"/>
      <c r="EZ60" s="86" t="n"/>
      <c r="FA60" s="86" t="n"/>
      <c r="FB60" s="86" t="n"/>
      <c r="FC60" s="86" t="n"/>
      <c r="FD60" s="86" t="n"/>
      <c r="FE60" s="86" t="n"/>
      <c r="FF60" s="86" t="n"/>
      <c r="FG60" s="86" t="n"/>
      <c r="FH60" s="86" t="n"/>
      <c r="FI60" s="86" t="n"/>
      <c r="FJ60" s="86" t="n"/>
      <c r="FK60" s="86" t="n"/>
      <c r="FL60" s="86" t="n"/>
      <c r="FM60" s="86" t="n"/>
      <c r="FN60" s="86" t="n"/>
      <c r="FO60" s="86" t="n"/>
      <c r="FP60" s="86" t="n"/>
      <c r="FQ60" s="86" t="n"/>
      <c r="FR60" s="86" t="n"/>
      <c r="FS60" s="86" t="n"/>
      <c r="FT60" s="86" t="n"/>
      <c r="FU60" s="86" t="n"/>
      <c r="FV60" s="86" t="n"/>
      <c r="FW60" s="86" t="n"/>
      <c r="FX60" s="86" t="n"/>
      <c r="FY60" s="86" t="n"/>
      <c r="FZ60" s="86" t="n"/>
      <c r="GA60" s="86" t="n"/>
      <c r="GB60" s="86" t="n"/>
      <c r="GC60" s="86" t="n"/>
      <c r="GD60" s="86" t="n"/>
      <c r="GE60" s="86" t="n"/>
      <c r="GF60" s="86" t="n"/>
      <c r="GG60" s="86" t="n"/>
      <c r="GH60" s="86" t="n"/>
      <c r="GI60" s="86" t="n"/>
      <c r="GJ60" s="86" t="n"/>
      <c r="GK60" s="86" t="n"/>
      <c r="GL60" s="86" t="n"/>
      <c r="GM60" s="86" t="n"/>
      <c r="GN60" s="86" t="n"/>
      <c r="GO60" s="86" t="n"/>
      <c r="GP60" s="86" t="n"/>
      <c r="GQ60" s="86" t="n"/>
      <c r="GR60" s="86" t="n"/>
      <c r="GS60" s="86" t="n"/>
      <c r="GT60" s="86" t="n"/>
      <c r="GU60" s="86" t="n"/>
      <c r="GV60" s="86" t="n"/>
      <c r="GW60" s="86" t="n"/>
      <c r="GX60" s="86" t="n"/>
      <c r="GY60" s="86" t="n"/>
      <c r="GZ60" s="86" t="n"/>
      <c r="HA60" s="86" t="n"/>
      <c r="HB60" s="86" t="n"/>
      <c r="HC60" s="86" t="n"/>
      <c r="HD60" s="86" t="n"/>
      <c r="HE60" s="86" t="n"/>
      <c r="HF60" s="86" t="n"/>
      <c r="HG60" s="86" t="n"/>
      <c r="HH60" s="86" t="n"/>
      <c r="HI60" s="86" t="n"/>
      <c r="HJ60" s="86" t="n"/>
      <c r="HK60" s="86" t="n"/>
      <c r="HL60" s="86" t="n"/>
      <c r="HM60" s="86" t="n"/>
      <c r="HN60" s="86" t="n"/>
      <c r="HO60" s="86" t="n"/>
      <c r="HP60" s="86" t="n"/>
      <c r="HQ60" s="86" t="n"/>
      <c r="HR60" s="86" t="n"/>
      <c r="HS60" s="86" t="n"/>
      <c r="HT60" s="86" t="n"/>
      <c r="HU60" s="86" t="n"/>
    </row>
    <row r="61" ht="8.4" customHeight="1">
      <c r="A61" s="28" t="n"/>
      <c r="B61" s="146" t="n"/>
      <c r="C61" s="512" t="n"/>
      <c r="D61" s="512" t="n"/>
      <c r="E61" s="512" t="n"/>
      <c r="F61" s="512" t="n"/>
      <c r="G61" s="512" t="n"/>
      <c r="H61" s="512" t="n"/>
      <c r="I61" s="512" t="n"/>
      <c r="J61" s="513" t="n"/>
      <c r="K61" s="512" t="n"/>
      <c r="L61" s="512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514" t="n"/>
      <c r="AA61" s="514" t="n"/>
      <c r="AB61" s="514" t="n"/>
      <c r="AC61" s="514" t="n"/>
      <c r="AD61" s="512" t="n"/>
      <c r="AE61" s="533" t="n"/>
      <c r="AF61" s="512" t="n"/>
      <c r="AG61" s="512" t="n"/>
      <c r="AH61" s="512" t="n"/>
      <c r="AI61" s="512" t="n"/>
      <c r="AJ61" s="512" t="n"/>
      <c r="AK61" s="512" t="n"/>
      <c r="AL61" s="512" t="n"/>
      <c r="AM61" s="512" t="n"/>
      <c r="AN61" s="512" t="n"/>
      <c r="AO61" s="512" t="n"/>
      <c r="AP61" s="512" t="n"/>
      <c r="AQ61" s="512" t="n"/>
      <c r="AR61" s="512" t="n"/>
      <c r="AS61" s="512" t="n"/>
      <c r="AT61" s="512" t="n"/>
      <c r="AU61" s="512" t="n"/>
      <c r="AV61" s="512" t="n"/>
      <c r="AW61" s="512" t="n"/>
      <c r="AX61" s="512" t="n"/>
      <c r="AY61" s="512" t="n"/>
      <c r="AZ61" s="512" t="n"/>
      <c r="BA61" s="512" t="n"/>
      <c r="BB61" s="512" t="n"/>
      <c r="BC61" s="512" t="n"/>
      <c r="BD61" s="515" t="n"/>
      <c r="BE61" s="512" t="n"/>
      <c r="BF61" s="512" t="n"/>
      <c r="BG61" s="512" t="n"/>
      <c r="BH61" s="512" t="n"/>
      <c r="BI61" s="512" t="n"/>
      <c r="BJ61" s="512" t="n"/>
      <c r="BK61" s="512" t="n"/>
      <c r="BL61" s="512" t="n"/>
      <c r="BM61" s="512" t="n"/>
      <c r="BN61" s="512" t="n"/>
      <c r="BO61" s="512" t="n"/>
      <c r="BP61" s="515" t="n"/>
      <c r="BQ61" s="512" t="n"/>
      <c r="BR61" s="512" t="n"/>
      <c r="BS61" s="512" t="n"/>
      <c r="BT61" s="512" t="n"/>
      <c r="BU61" s="512" t="n"/>
      <c r="BV61" s="512" t="n"/>
      <c r="BW61" s="512" t="n"/>
      <c r="BX61" s="512" t="n"/>
      <c r="BY61" s="512" t="n"/>
      <c r="BZ61" s="512" t="n"/>
      <c r="CA61" s="512" t="n"/>
      <c r="CB61" s="515" t="n"/>
      <c r="CC61" s="512" t="n"/>
      <c r="CD61" s="512" t="n"/>
      <c r="CE61" s="512" t="n"/>
      <c r="CF61" s="512" t="n"/>
      <c r="CG61" s="512" t="n"/>
      <c r="CH61" s="512" t="n"/>
      <c r="CI61" s="512" t="n"/>
      <c r="CJ61" s="512" t="n"/>
      <c r="CK61" s="512" t="n"/>
      <c r="CL61" s="512" t="n"/>
      <c r="CM61" s="512" t="n"/>
      <c r="CN61" s="515" t="n"/>
      <c r="CO61" s="512" t="n"/>
      <c r="CP61" s="512" t="n"/>
      <c r="CQ61" s="512" t="n"/>
      <c r="CR61" s="512" t="n"/>
      <c r="CS61" s="512" t="n"/>
      <c r="CT61" s="512" t="n"/>
      <c r="CU61" s="512" t="n"/>
      <c r="CV61" s="512" t="n"/>
      <c r="CW61" s="512" t="n"/>
      <c r="CX61" s="512" t="n"/>
      <c r="CY61" s="512" t="n"/>
      <c r="CZ61" s="515" t="n"/>
      <c r="DA61" s="512" t="n"/>
      <c r="DB61" s="512" t="n"/>
      <c r="DC61" s="512" t="n"/>
      <c r="DD61" s="512" t="n"/>
      <c r="DE61" s="512" t="n"/>
      <c r="DF61" s="512" t="n"/>
      <c r="DG61" s="512" t="n"/>
      <c r="DH61" s="512" t="n"/>
      <c r="DI61" s="512" t="n"/>
      <c r="DJ61" s="512" t="n"/>
      <c r="DK61" s="512" t="n"/>
      <c r="DL61" s="512" t="n"/>
      <c r="DM61" s="512" t="n"/>
      <c r="DN61" s="512" t="n"/>
      <c r="DO61" s="512" t="n"/>
      <c r="DP61" s="512" t="n"/>
      <c r="DQ61" s="512" t="n"/>
      <c r="DR61" s="512" t="n"/>
      <c r="DS61" s="512" t="n"/>
      <c r="DT61" s="512" t="n"/>
      <c r="DU61" s="512" t="n"/>
      <c r="DV61" s="512" t="n"/>
      <c r="DW61" s="512" t="n"/>
      <c r="DX61" s="512" t="n"/>
      <c r="DY61" s="512" t="n"/>
      <c r="DZ61" s="512" t="n"/>
      <c r="EA61" s="512" t="n"/>
      <c r="EB61" s="512" t="n"/>
      <c r="EC61" s="512" t="n"/>
      <c r="ED61" s="512" t="n"/>
      <c r="EE61" s="512" t="n"/>
      <c r="EF61" s="512" t="n"/>
      <c r="EG61" s="512" t="n"/>
      <c r="EH61" s="512" t="n"/>
      <c r="EI61" s="512" t="n"/>
      <c r="EJ61" s="512" t="n"/>
      <c r="EK61" s="512" t="n"/>
      <c r="EL61" s="512" t="n"/>
      <c r="EM61" s="512" t="n"/>
      <c r="EN61" s="512" t="n"/>
      <c r="EO61" s="512" t="n"/>
      <c r="EP61" s="512" t="n"/>
      <c r="EQ61" s="512" t="n"/>
      <c r="ER61" s="512" t="n"/>
      <c r="ES61" s="512" t="n"/>
      <c r="ET61" s="512" t="n"/>
      <c r="EU61" s="512" t="n"/>
      <c r="EV61" s="512" t="n"/>
      <c r="EW61" s="512" t="n"/>
      <c r="EX61" s="512" t="n"/>
      <c r="EY61" s="512" t="n"/>
      <c r="EZ61" s="512" t="n"/>
      <c r="FA61" s="512" t="n"/>
      <c r="FB61" s="512" t="n"/>
      <c r="FC61" s="512" t="n"/>
      <c r="FD61" s="512" t="n"/>
      <c r="FE61" s="512" t="n"/>
      <c r="FF61" s="512" t="n"/>
      <c r="FG61" s="512" t="n"/>
      <c r="FH61" s="512" t="n"/>
      <c r="FI61" s="512" t="n"/>
      <c r="FJ61" s="512" t="n"/>
      <c r="FK61" s="512" t="n"/>
      <c r="FL61" s="512" t="n"/>
      <c r="FM61" s="512" t="n"/>
      <c r="FN61" s="512" t="n"/>
      <c r="FO61" s="512" t="n"/>
      <c r="FP61" s="512" t="n"/>
      <c r="FQ61" s="512" t="n"/>
      <c r="FR61" s="512" t="n"/>
      <c r="FS61" s="512" t="n"/>
      <c r="FT61" s="512" t="n"/>
      <c r="FU61" s="512" t="n"/>
      <c r="FV61" s="512" t="n"/>
      <c r="FW61" s="512" t="n"/>
      <c r="FX61" s="512" t="n"/>
      <c r="FY61" s="512" t="n"/>
      <c r="FZ61" s="512" t="n"/>
      <c r="GA61" s="512" t="n"/>
      <c r="GB61" s="512" t="n"/>
      <c r="GC61" s="512" t="n"/>
      <c r="GD61" s="512" t="n"/>
      <c r="GE61" s="512" t="n"/>
      <c r="GF61" s="512" t="n"/>
      <c r="GG61" s="512" t="n"/>
      <c r="GH61" s="512" t="n"/>
      <c r="GI61" s="512" t="n"/>
      <c r="GJ61" s="512" t="n"/>
      <c r="GK61" s="512" t="n"/>
      <c r="GL61" s="512" t="n"/>
      <c r="GM61" s="512" t="n"/>
      <c r="GN61" s="512" t="n"/>
      <c r="GO61" s="512" t="n"/>
      <c r="GP61" s="512" t="n"/>
      <c r="GQ61" s="512" t="n"/>
      <c r="GR61" s="512" t="n"/>
      <c r="GS61" s="512" t="n"/>
      <c r="GT61" s="512" t="n"/>
      <c r="GU61" s="512" t="n"/>
      <c r="GV61" s="512" t="n"/>
      <c r="GW61" s="512" t="n"/>
      <c r="GX61" s="512" t="n"/>
      <c r="GY61" s="512" t="n"/>
      <c r="GZ61" s="512" t="n"/>
      <c r="HA61" s="512" t="n"/>
      <c r="HB61" s="512" t="n"/>
      <c r="HC61" s="512" t="n"/>
      <c r="HD61" s="512" t="n"/>
      <c r="HE61" s="512" t="n"/>
      <c r="HF61" s="512" t="n"/>
      <c r="HG61" s="512" t="n"/>
      <c r="HH61" s="512" t="n"/>
      <c r="HI61" s="512" t="n"/>
      <c r="HJ61" s="512" t="n"/>
      <c r="HK61" s="512" t="n"/>
      <c r="HL61" s="512" t="n"/>
      <c r="HM61" s="512" t="n"/>
      <c r="HN61" s="512" t="n"/>
      <c r="HO61" s="512" t="n"/>
      <c r="HP61" s="512" t="n"/>
      <c r="HQ61" s="512" t="n"/>
      <c r="HR61" s="512" t="n"/>
      <c r="HS61" s="512" t="n"/>
      <c r="HT61" s="512" t="n"/>
      <c r="HU61" s="512" t="n"/>
    </row>
    <row r="62" ht="16.2" customHeight="1">
      <c r="A62" s="19" t="inlineStr">
        <is>
          <t>DISTRIBUIÇÕES (-)</t>
        </is>
      </c>
      <c r="B62" s="139" t="n"/>
      <c r="C62" s="20" t="n"/>
      <c r="D62" s="22" t="n"/>
      <c r="E62" s="20" t="n"/>
      <c r="F62" s="20" t="n"/>
      <c r="G62" s="20" t="n"/>
      <c r="H62" s="20" t="n"/>
      <c r="I62" s="21" t="n"/>
      <c r="J62" s="175" t="n"/>
      <c r="K62" s="21" t="n"/>
      <c r="L62" s="108" t="n"/>
      <c r="M62" s="220" t="n"/>
      <c r="N62" s="220" t="n"/>
      <c r="O62" s="220" t="n"/>
      <c r="P62" s="220" t="n"/>
      <c r="Q62" s="220" t="n"/>
      <c r="R62" s="220" t="n"/>
      <c r="S62" s="220" t="n"/>
      <c r="T62" s="220" t="n"/>
      <c r="U62" s="220" t="n"/>
      <c r="V62" s="220" t="n"/>
      <c r="W62" s="220" t="n"/>
      <c r="X62" s="220" t="n"/>
      <c r="Y62" s="220" t="n"/>
      <c r="Z62" s="220" t="n"/>
      <c r="AA62" s="220" t="n"/>
      <c r="AB62" s="220" t="n"/>
      <c r="AC62" s="220" t="n"/>
      <c r="AD62" s="200" t="n"/>
      <c r="AE62" s="241" t="n"/>
      <c r="AF62" s="200" t="n"/>
      <c r="AG62" s="22" t="n"/>
      <c r="AH62" s="22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1" t="n"/>
      <c r="AR62" s="21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99" t="n"/>
      <c r="BE62" s="22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99" t="n"/>
      <c r="BQ62" s="22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99" t="n"/>
      <c r="CC62" s="22" t="n"/>
      <c r="CD62" s="20" t="n"/>
      <c r="CE62" s="20" t="n"/>
      <c r="CF62" s="20" t="n"/>
      <c r="CG62" s="20" t="n"/>
      <c r="CH62" s="20" t="n"/>
      <c r="CI62" s="20" t="n"/>
      <c r="CJ62" s="20" t="n"/>
      <c r="CK62" s="20" t="n"/>
      <c r="CL62" s="20" t="n"/>
      <c r="CM62" s="20" t="n"/>
      <c r="CN62" s="299" t="n"/>
      <c r="CO62" s="22" t="n"/>
      <c r="CP62" s="20" t="n"/>
      <c r="CQ62" s="20" t="n"/>
      <c r="CR62" s="20" t="n"/>
      <c r="CS62" s="20" t="n"/>
      <c r="CT62" s="20" t="n"/>
      <c r="CU62" s="20" t="n"/>
      <c r="CV62" s="20" t="n"/>
      <c r="CW62" s="20" t="n"/>
      <c r="CX62" s="20" t="n"/>
      <c r="CY62" s="20" t="n"/>
      <c r="CZ62" s="299" t="n"/>
      <c r="DA62" s="22" t="n"/>
      <c r="DB62" s="20" t="n"/>
      <c r="DC62" s="20" t="n"/>
      <c r="DD62" s="20" t="n"/>
      <c r="DE62" s="20" t="n"/>
      <c r="DF62" s="20" t="n"/>
      <c r="DG62" s="20" t="n"/>
      <c r="DH62" s="20" t="n"/>
      <c r="DI62" s="20" t="n"/>
      <c r="DJ62" s="21" t="n"/>
      <c r="DK62" s="20" t="n"/>
      <c r="DL62" s="21" t="n"/>
      <c r="DM62" s="20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n"/>
      <c r="DZ62" s="21" t="n"/>
      <c r="EA62" s="21" t="n"/>
      <c r="EB62" s="21" t="n"/>
      <c r="EC62" s="21" t="n"/>
      <c r="ED62" s="21" t="n"/>
      <c r="EE62" s="21" t="n"/>
      <c r="EF62" s="21" t="n"/>
      <c r="EG62" s="21" t="n"/>
      <c r="EH62" s="21" t="n"/>
      <c r="EI62" s="21" t="n"/>
      <c r="EJ62" s="21" t="n"/>
      <c r="EK62" s="21" t="n"/>
      <c r="EL62" s="21" t="n"/>
      <c r="EM62" s="21" t="n"/>
      <c r="EN62" s="21" t="n"/>
      <c r="EO62" s="21" t="n"/>
      <c r="EP62" s="21" t="n"/>
      <c r="EQ62" s="21" t="n"/>
      <c r="ER62" s="21" t="n"/>
      <c r="ES62" s="21" t="n"/>
      <c r="ET62" s="21" t="n"/>
      <c r="EU62" s="21" t="n"/>
      <c r="EV62" s="21" t="n"/>
      <c r="EW62" s="21" t="n"/>
      <c r="EX62" s="21" t="n"/>
      <c r="EY62" s="21" t="n"/>
      <c r="EZ62" s="21" t="n"/>
      <c r="FA62" s="21" t="n"/>
      <c r="FB62" s="21" t="n"/>
      <c r="FC62" s="21" t="n"/>
      <c r="FD62" s="21" t="n"/>
      <c r="FE62" s="21" t="n"/>
      <c r="FF62" s="21" t="n"/>
      <c r="FG62" s="21" t="n"/>
      <c r="FH62" s="21" t="n"/>
      <c r="FI62" s="21" t="n"/>
      <c r="FJ62" s="21" t="n"/>
      <c r="FK62" s="21" t="n"/>
      <c r="FL62" s="21" t="n"/>
      <c r="FM62" s="21" t="n"/>
      <c r="FN62" s="21" t="n"/>
      <c r="FO62" s="21" t="n"/>
      <c r="FP62" s="21" t="n"/>
      <c r="FQ62" s="21" t="n"/>
      <c r="FR62" s="21" t="n"/>
      <c r="FS62" s="21" t="n"/>
      <c r="FT62" s="21" t="n"/>
      <c r="FU62" s="21" t="n"/>
      <c r="FV62" s="21" t="n"/>
      <c r="FW62" s="21" t="n"/>
      <c r="FX62" s="21" t="n"/>
      <c r="FY62" s="21" t="n"/>
      <c r="FZ62" s="21" t="n"/>
      <c r="GA62" s="21" t="n"/>
      <c r="GB62" s="21" t="n"/>
      <c r="GC62" s="21" t="n"/>
      <c r="GD62" s="21" t="n"/>
      <c r="GE62" s="21" t="n"/>
      <c r="GF62" s="21" t="n"/>
      <c r="GG62" s="21" t="n"/>
      <c r="GH62" s="21" t="n"/>
      <c r="GI62" s="21" t="n"/>
      <c r="GJ62" s="21" t="n"/>
      <c r="GK62" s="21" t="n"/>
      <c r="GL62" s="21" t="n"/>
      <c r="GM62" s="21" t="n"/>
      <c r="GN62" s="21" t="n"/>
      <c r="GO62" s="21" t="n"/>
      <c r="GP62" s="21" t="n"/>
      <c r="GQ62" s="21" t="n"/>
      <c r="GR62" s="21" t="n"/>
      <c r="GS62" s="21" t="n"/>
      <c r="GT62" s="21" t="n"/>
      <c r="GU62" s="21" t="n"/>
      <c r="GV62" s="21" t="n"/>
      <c r="GW62" s="21" t="n"/>
      <c r="GX62" s="21" t="n"/>
      <c r="GY62" s="21" t="n"/>
      <c r="GZ62" s="21" t="n"/>
      <c r="HA62" s="21" t="n"/>
      <c r="HB62" s="21" t="n"/>
      <c r="HC62" s="21" t="n"/>
      <c r="HD62" s="21" t="n"/>
      <c r="HE62" s="21" t="n"/>
      <c r="HF62" s="21" t="n"/>
      <c r="HG62" s="21" t="n"/>
      <c r="HH62" s="21" t="n"/>
      <c r="HI62" s="21" t="n"/>
      <c r="HJ62" s="21" t="n"/>
      <c r="HK62" s="21" t="n"/>
      <c r="HL62" s="21" t="n"/>
      <c r="HM62" s="21" t="n"/>
      <c r="HN62" s="21" t="n"/>
      <c r="HO62" s="21" t="n"/>
      <c r="HP62" s="21" t="n"/>
      <c r="HQ62" s="21" t="n"/>
      <c r="HR62" s="21" t="n"/>
      <c r="HS62" s="21" t="n"/>
      <c r="HT62" s="21" t="n"/>
      <c r="HU62" s="21" t="n"/>
    </row>
    <row r="63" ht="16.2" customHeight="1">
      <c r="A63" s="7" t="inlineStr">
        <is>
          <t>Devolução de Aporte</t>
        </is>
      </c>
      <c r="B63" s="136">
        <f>SUM(C63:W63)</f>
        <v/>
      </c>
      <c r="C63" s="85" t="n"/>
      <c r="D63" s="85" t="n"/>
      <c r="E63" s="85" t="n"/>
      <c r="F63" s="85" t="n"/>
      <c r="G63" s="85" t="n"/>
      <c r="H63" s="85" t="n"/>
      <c r="I63" s="86" t="n"/>
      <c r="J63" s="224" t="n"/>
      <c r="K63" s="110" t="n"/>
      <c r="L63" s="34" t="n"/>
      <c r="M63" s="159" t="n"/>
      <c r="N63" s="159" t="n"/>
      <c r="O63" s="159" t="n"/>
      <c r="P63" s="159" t="n"/>
      <c r="Q63" s="159" t="n"/>
      <c r="R63" s="159" t="n"/>
      <c r="S63" s="159" t="n"/>
      <c r="T63" s="159" t="n"/>
      <c r="U63" s="159" t="n"/>
      <c r="V63" s="159" t="n"/>
      <c r="W63" s="159" t="n"/>
      <c r="X63" s="159" t="n"/>
      <c r="Y63" s="159" t="n"/>
      <c r="Z63" s="159" t="n"/>
      <c r="AA63" s="159" t="n"/>
      <c r="AB63" s="159" t="n"/>
      <c r="AC63" s="159" t="n"/>
      <c r="AD63" s="53" t="n"/>
      <c r="AE63" s="342">
        <f>SUM(AG63:HU63)</f>
        <v/>
      </c>
      <c r="AF63" s="53" t="n"/>
      <c r="AG63" s="87" t="n">
        <v>0</v>
      </c>
      <c r="AH63" s="87" t="n">
        <v>0</v>
      </c>
      <c r="AI63" s="85" t="n">
        <v>0</v>
      </c>
      <c r="AJ63" s="85" t="n">
        <v>0</v>
      </c>
      <c r="AK63" s="85" t="n">
        <v>0</v>
      </c>
      <c r="AL63" s="85" t="n">
        <v>0</v>
      </c>
      <c r="AM63" s="85" t="n">
        <v>0</v>
      </c>
      <c r="AN63" s="85" t="n">
        <v>0</v>
      </c>
      <c r="AO63" s="85" t="n">
        <v>0</v>
      </c>
      <c r="AP63" s="85" t="n">
        <v>0</v>
      </c>
      <c r="AQ63" s="86" t="n">
        <v>0</v>
      </c>
      <c r="AR63" s="86" t="n">
        <v>0</v>
      </c>
      <c r="AS63" s="85" t="n">
        <v>0</v>
      </c>
      <c r="AT63" s="85" t="n">
        <v>0</v>
      </c>
      <c r="AU63" s="85" t="n">
        <v>0</v>
      </c>
      <c r="AV63" s="85" t="n">
        <v>0</v>
      </c>
      <c r="AW63" s="85" t="n">
        <v>0</v>
      </c>
      <c r="AX63" s="85" t="n">
        <v>0</v>
      </c>
      <c r="AY63" s="85" t="n">
        <v>0</v>
      </c>
      <c r="AZ63" s="85" t="n">
        <v>0</v>
      </c>
      <c r="BA63" s="85" t="n">
        <v>0</v>
      </c>
      <c r="BB63" s="85" t="n">
        <v>0</v>
      </c>
      <c r="BC63" s="85" t="n">
        <v>0</v>
      </c>
      <c r="BD63" s="296" t="n">
        <v>0</v>
      </c>
      <c r="BE63" s="87" t="n">
        <v>0</v>
      </c>
      <c r="BF63" s="85" t="n">
        <v>0</v>
      </c>
      <c r="BG63" s="85" t="n">
        <v>0</v>
      </c>
      <c r="BH63" s="85" t="n"/>
      <c r="BI63" s="85" t="n"/>
      <c r="BJ63" s="85" t="n"/>
      <c r="BK63" s="85" t="n"/>
      <c r="BL63" s="85" t="n"/>
      <c r="BM63" s="85" t="n"/>
      <c r="BN63" s="85" t="n"/>
      <c r="BO63" s="85" t="n"/>
      <c r="BP63" s="85" t="n"/>
      <c r="BQ63" s="87" t="n"/>
      <c r="BR63" s="85" t="n"/>
      <c r="BS63" s="85" t="n"/>
      <c r="BT63" s="85" t="n">
        <v>0</v>
      </c>
      <c r="BU63" s="85" t="n">
        <v>0</v>
      </c>
      <c r="BV63" s="85" t="n">
        <v>0</v>
      </c>
      <c r="BW63" s="85" t="n">
        <v>0</v>
      </c>
      <c r="BX63" s="85" t="n">
        <v>0</v>
      </c>
      <c r="BY63" s="85" t="n">
        <v>0</v>
      </c>
      <c r="BZ63" s="85" t="n">
        <v>0</v>
      </c>
      <c r="CA63" s="85" t="n">
        <v>0</v>
      </c>
      <c r="CB63" s="296" t="n">
        <v>0</v>
      </c>
      <c r="CC63" s="87" t="n">
        <v>0</v>
      </c>
      <c r="CD63" s="85" t="n">
        <v>0</v>
      </c>
      <c r="CE63" s="85" t="n">
        <v>0</v>
      </c>
      <c r="CF63" s="85" t="n">
        <v>0</v>
      </c>
      <c r="CG63" s="85" t="n">
        <v>0</v>
      </c>
      <c r="CH63" s="85" t="n">
        <v>0</v>
      </c>
      <c r="CI63" s="85" t="n">
        <v>0</v>
      </c>
      <c r="CJ63" s="85" t="n">
        <v>0</v>
      </c>
      <c r="CK63" s="85" t="n">
        <v>0</v>
      </c>
      <c r="CL63" s="85" t="n">
        <v>0</v>
      </c>
      <c r="CM63" s="85" t="n">
        <v>0</v>
      </c>
      <c r="CN63" s="296" t="n">
        <v>0</v>
      </c>
      <c r="CO63" s="87" t="n">
        <v>0</v>
      </c>
      <c r="CP63" s="85" t="n">
        <v>0</v>
      </c>
      <c r="CQ63" s="85" t="n">
        <v>0</v>
      </c>
      <c r="CR63" s="85" t="n">
        <v>0</v>
      </c>
      <c r="CS63" s="85" t="n">
        <v>0</v>
      </c>
      <c r="CT63" s="85" t="n">
        <v>0</v>
      </c>
      <c r="CU63" s="85" t="n">
        <v>0</v>
      </c>
      <c r="CV63" s="85" t="n">
        <v>0</v>
      </c>
      <c r="CW63" s="85" t="n">
        <v>0</v>
      </c>
      <c r="CX63" s="85" t="n">
        <v>0</v>
      </c>
      <c r="CY63" s="85" t="n">
        <v>0</v>
      </c>
      <c r="CZ63" s="296" t="n">
        <v>0</v>
      </c>
      <c r="DA63" s="87" t="n">
        <v>0</v>
      </c>
      <c r="DB63" s="85" t="n">
        <v>0</v>
      </c>
      <c r="DC63" s="85" t="n">
        <v>0</v>
      </c>
      <c r="DD63" s="85" t="n">
        <v>0</v>
      </c>
      <c r="DE63" s="85" t="n">
        <v>0</v>
      </c>
      <c r="DF63" s="85" t="n">
        <v>0</v>
      </c>
      <c r="DG63" s="85" t="n">
        <v>0</v>
      </c>
      <c r="DH63" s="85" t="n">
        <v>0</v>
      </c>
      <c r="DI63" s="85" t="n">
        <v>0</v>
      </c>
      <c r="DJ63" s="86" t="n"/>
      <c r="DK63" s="85" t="n"/>
      <c r="DL63" s="86" t="n"/>
      <c r="DM63" s="85" t="n"/>
      <c r="DN63" s="86" t="n"/>
      <c r="DO63" s="86" t="n"/>
      <c r="DP63" s="86" t="n"/>
      <c r="DQ63" s="86" t="n"/>
      <c r="DR63" s="86" t="n"/>
      <c r="DS63" s="86" t="n"/>
      <c r="DT63" s="86" t="n"/>
      <c r="DU63" s="86" t="n"/>
      <c r="DV63" s="86" t="n"/>
      <c r="DW63" s="86" t="n"/>
      <c r="DX63" s="86" t="n"/>
      <c r="DY63" s="86" t="n"/>
      <c r="DZ63" s="86" t="n"/>
      <c r="EA63" s="86" t="n"/>
      <c r="EB63" s="86" t="n"/>
      <c r="EC63" s="86" t="n"/>
      <c r="ED63" s="86" t="n"/>
      <c r="EE63" s="86" t="n"/>
      <c r="EF63" s="86" t="n"/>
      <c r="EG63" s="86" t="n"/>
      <c r="EH63" s="86" t="n"/>
      <c r="EI63" s="86" t="n"/>
      <c r="EJ63" s="86" t="n"/>
      <c r="EK63" s="86" t="n"/>
      <c r="EL63" s="86" t="n"/>
      <c r="EM63" s="86" t="n"/>
      <c r="EN63" s="86" t="n"/>
      <c r="EO63" s="86" t="n"/>
      <c r="EP63" s="86" t="n"/>
      <c r="EQ63" s="86" t="n"/>
      <c r="ER63" s="86" t="n"/>
      <c r="ES63" s="86" t="n"/>
      <c r="ET63" s="86" t="n"/>
      <c r="EU63" s="86" t="n"/>
      <c r="EV63" s="86" t="n"/>
      <c r="EW63" s="86" t="n"/>
      <c r="EX63" s="86" t="n"/>
      <c r="EY63" s="86" t="n"/>
      <c r="EZ63" s="86" t="n"/>
      <c r="FA63" s="86" t="n"/>
      <c r="FB63" s="86" t="n"/>
      <c r="FC63" s="86" t="n"/>
      <c r="FD63" s="86" t="n"/>
      <c r="FE63" s="86" t="n"/>
      <c r="FF63" s="86" t="n"/>
      <c r="FG63" s="86" t="n"/>
      <c r="FH63" s="86" t="n"/>
      <c r="FI63" s="86" t="n"/>
      <c r="FJ63" s="86" t="n"/>
      <c r="FK63" s="86" t="n"/>
      <c r="FL63" s="86" t="n"/>
      <c r="FM63" s="86" t="n"/>
      <c r="FN63" s="86" t="n"/>
      <c r="FO63" s="86" t="n"/>
      <c r="FP63" s="86" t="n"/>
      <c r="FQ63" s="86" t="n"/>
      <c r="FR63" s="86" t="n"/>
      <c r="FS63" s="86" t="n"/>
      <c r="FT63" s="86" t="n"/>
      <c r="FU63" s="86" t="n"/>
      <c r="FV63" s="86" t="n"/>
      <c r="FW63" s="86" t="n"/>
      <c r="FX63" s="86" t="n"/>
      <c r="FY63" s="86" t="n"/>
      <c r="FZ63" s="86" t="n"/>
      <c r="GA63" s="86" t="n"/>
      <c r="GB63" s="86" t="n"/>
      <c r="GC63" s="86" t="n"/>
      <c r="GD63" s="86" t="n"/>
      <c r="GE63" s="86" t="n"/>
      <c r="GF63" s="86" t="n"/>
      <c r="GG63" s="86" t="n"/>
      <c r="GH63" s="86" t="n"/>
      <c r="GI63" s="86" t="n"/>
      <c r="GJ63" s="86" t="n"/>
      <c r="GK63" s="86" t="n"/>
      <c r="GL63" s="86" t="n"/>
      <c r="GM63" s="86" t="n"/>
      <c r="GN63" s="86" t="n"/>
      <c r="GO63" s="86" t="n"/>
      <c r="GP63" s="86" t="n"/>
      <c r="GQ63" s="86" t="n"/>
      <c r="GR63" s="86" t="n"/>
      <c r="GS63" s="86" t="n"/>
      <c r="GT63" s="86" t="n"/>
      <c r="GU63" s="86" t="n"/>
      <c r="GV63" s="86" t="n"/>
      <c r="GW63" s="86" t="n"/>
      <c r="GX63" s="86" t="n"/>
      <c r="GY63" s="86" t="n"/>
      <c r="GZ63" s="86" t="n"/>
      <c r="HA63" s="86" t="n"/>
      <c r="HB63" s="86" t="n"/>
      <c r="HC63" s="86" t="n"/>
      <c r="HD63" s="86" t="n"/>
      <c r="HE63" s="86" t="n"/>
      <c r="HF63" s="86" t="n"/>
      <c r="HG63" s="86" t="n"/>
      <c r="HH63" s="86" t="n"/>
      <c r="HI63" s="86" t="n"/>
      <c r="HJ63" s="86" t="n"/>
      <c r="HK63" s="86" t="n"/>
      <c r="HL63" s="86" t="n"/>
      <c r="HM63" s="86" t="n"/>
      <c r="HN63" s="86" t="n"/>
      <c r="HO63" s="86" t="n"/>
      <c r="HP63" s="86" t="n"/>
      <c r="HQ63" s="86" t="n"/>
      <c r="HR63" s="86" t="n"/>
      <c r="HS63" s="86" t="n"/>
      <c r="HT63" s="86" t="n"/>
      <c r="HU63" s="86" t="n"/>
    </row>
    <row r="64" ht="12.75" customHeight="1">
      <c r="A64" s="23" t="inlineStr">
        <is>
          <t>Distribuição de Resultado</t>
        </is>
      </c>
      <c r="B64" s="136">
        <f>SUM(C64:AA64)</f>
        <v/>
      </c>
      <c r="C64" s="24" t="n"/>
      <c r="D64" s="33" t="n"/>
      <c r="E64" s="24" t="n"/>
      <c r="F64" s="24" t="n"/>
      <c r="G64" s="24" t="n"/>
      <c r="H64" s="24" t="n"/>
      <c r="I64" s="25" t="n"/>
      <c r="J64" s="209" t="n"/>
      <c r="K64" s="118" t="n"/>
      <c r="L64" s="122" t="n"/>
      <c r="M64" s="219" t="n"/>
      <c r="N64" s="219" t="n"/>
      <c r="O64" s="219" t="n"/>
      <c r="P64" s="219" t="n"/>
      <c r="Q64" s="219" t="n"/>
      <c r="R64" s="219" t="n"/>
      <c r="S64" s="219" t="n"/>
      <c r="T64" s="219" t="n"/>
      <c r="U64" s="219" t="n"/>
      <c r="V64" s="219" t="n"/>
      <c r="W64" s="219" t="n"/>
      <c r="X64" s="219" t="n"/>
      <c r="Y64" s="219" t="n"/>
      <c r="Z64" s="219" t="n"/>
      <c r="AA64" s="219" t="n"/>
      <c r="AB64" s="219" t="n"/>
      <c r="AC64" s="219" t="n"/>
      <c r="AD64" s="53" t="n"/>
      <c r="AE64" s="86">
        <f>SUM(AG64:DX64)</f>
        <v/>
      </c>
      <c r="AF64" s="53" t="n"/>
      <c r="AG64" s="26" t="n"/>
      <c r="AH64" s="26" t="n"/>
      <c r="AI64" s="25" t="n"/>
      <c r="AJ64" s="25" t="n"/>
      <c r="AK64" s="25" t="n"/>
      <c r="AL64" s="25" t="n"/>
      <c r="AM64" s="85" t="n"/>
      <c r="AN64" s="24" t="n"/>
      <c r="AO64" s="24" t="n"/>
      <c r="AP64" s="24" t="n"/>
      <c r="AQ64" s="25" t="n"/>
      <c r="AR64" s="25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300" t="n"/>
      <c r="BE64" s="26" t="n"/>
      <c r="BF64" s="24" t="n"/>
      <c r="BG64" s="24" t="n"/>
      <c r="BH64" s="24" t="n"/>
      <c r="BI64" s="24" t="n"/>
      <c r="BJ64" s="24" t="n"/>
      <c r="BK64" s="24" t="n"/>
      <c r="BL64" s="24" t="n"/>
      <c r="BM64" s="24" t="n"/>
      <c r="BN64" s="24" t="n"/>
      <c r="BO64" s="24" t="n"/>
      <c r="BP64" s="24" t="n"/>
      <c r="BQ64" s="26" t="n"/>
      <c r="BR64" s="24" t="n"/>
      <c r="BS64" s="85" t="n"/>
      <c r="BT64" s="85" t="n"/>
      <c r="BU64" s="85" t="n"/>
      <c r="BV64" s="85" t="n"/>
      <c r="BW64" s="85" t="n"/>
      <c r="BX64" s="85" t="n"/>
      <c r="BY64" s="24" t="n"/>
      <c r="BZ64" s="24" t="n"/>
      <c r="CA64" s="24" t="n"/>
      <c r="CB64" s="24" t="n"/>
      <c r="CC64" s="26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300" t="n"/>
      <c r="DA64" s="26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5" t="n"/>
      <c r="DK64" s="24" t="n"/>
      <c r="DL64" s="24" t="n"/>
      <c r="DM64" s="24" t="n"/>
      <c r="DN64" s="24" t="n"/>
      <c r="DO64" s="24" t="n"/>
      <c r="DP64" s="24" t="n"/>
      <c r="DQ64" s="24" t="n"/>
      <c r="DR64" s="24" t="n"/>
      <c r="DS64" s="24" t="n"/>
      <c r="DT64" s="24" t="n"/>
      <c r="DU64" s="24" t="n"/>
      <c r="DV64" s="24" t="n"/>
      <c r="DW64" s="24" t="n"/>
      <c r="DX64" s="24" t="n"/>
      <c r="DY64" s="24" t="n"/>
      <c r="DZ64" s="24" t="n"/>
      <c r="EA64" s="24" t="n"/>
      <c r="EB64" s="24" t="n"/>
      <c r="EC64" s="24" t="n"/>
      <c r="ED64" s="24" t="n"/>
      <c r="EE64" s="24" t="n"/>
      <c r="EF64" s="24" t="n"/>
      <c r="EG64" s="24" t="n"/>
      <c r="EH64" s="24" t="n"/>
      <c r="EI64" s="24" t="n"/>
      <c r="EJ64" s="24" t="n"/>
      <c r="EK64" s="24" t="n"/>
      <c r="EL64" s="24" t="n"/>
      <c r="EM64" s="24" t="n"/>
      <c r="EN64" s="24" t="n"/>
      <c r="EO64" s="24" t="n"/>
      <c r="EP64" s="24" t="n"/>
      <c r="EQ64" s="24" t="n"/>
      <c r="ER64" s="24" t="n"/>
      <c r="ES64" s="24" t="n"/>
      <c r="ET64" s="24" t="n"/>
      <c r="EU64" s="24" t="n"/>
      <c r="EV64" s="24" t="n"/>
      <c r="EW64" s="24" t="n"/>
      <c r="EX64" s="24" t="n"/>
      <c r="EY64" s="24" t="n"/>
      <c r="EZ64" s="24" t="n"/>
      <c r="FA64" s="24" t="n"/>
      <c r="FB64" s="24" t="n"/>
      <c r="FC64" s="24" t="n"/>
      <c r="FD64" s="24" t="n"/>
      <c r="FE64" s="24" t="n"/>
      <c r="FF64" s="24" t="n"/>
      <c r="FG64" s="24" t="n"/>
      <c r="FH64" s="24" t="n"/>
      <c r="FI64" s="24" t="n"/>
      <c r="FJ64" s="24" t="n"/>
      <c r="FK64" s="24" t="n"/>
      <c r="FL64" s="24" t="n"/>
      <c r="FM64" s="24" t="n"/>
      <c r="FN64" s="24" t="n"/>
      <c r="FO64" s="24" t="n"/>
      <c r="FP64" s="24" t="n"/>
      <c r="FQ64" s="24" t="n"/>
      <c r="FR64" s="24" t="n"/>
      <c r="FS64" s="24" t="n"/>
      <c r="FT64" s="24" t="n"/>
      <c r="FU64" s="24" t="n"/>
      <c r="FV64" s="24" t="n"/>
      <c r="FW64" s="24" t="n"/>
      <c r="FX64" s="24" t="n"/>
      <c r="FY64" s="24" t="n"/>
      <c r="FZ64" s="24" t="n"/>
      <c r="GA64" s="24" t="n"/>
      <c r="GB64" s="24" t="n"/>
      <c r="GC64" s="24" t="n"/>
      <c r="GD64" s="24" t="n"/>
      <c r="GE64" s="24" t="n"/>
      <c r="GF64" s="24" t="n"/>
      <c r="GG64" s="24" t="n"/>
      <c r="GH64" s="24" t="n"/>
      <c r="GI64" s="24" t="n"/>
      <c r="GJ64" s="24" t="n"/>
      <c r="GK64" s="24" t="n"/>
      <c r="GL64" s="24" t="n"/>
      <c r="GM64" s="24" t="n"/>
      <c r="GN64" s="24" t="n"/>
      <c r="GO64" s="24" t="n"/>
      <c r="GP64" s="24" t="n"/>
      <c r="GQ64" s="24" t="n"/>
      <c r="GR64" s="24" t="n"/>
      <c r="GS64" s="24" t="n"/>
      <c r="GT64" s="24" t="n"/>
      <c r="GU64" s="24" t="n"/>
      <c r="GV64" s="24" t="n"/>
      <c r="GW64" s="24" t="n"/>
      <c r="GX64" s="24" t="n"/>
      <c r="GY64" s="24" t="n"/>
      <c r="GZ64" s="24" t="n"/>
      <c r="HA64" s="24" t="n"/>
      <c r="HB64" s="24" t="n"/>
      <c r="HC64" s="24" t="n"/>
      <c r="HD64" s="24" t="n"/>
      <c r="HE64" s="24" t="n"/>
      <c r="HF64" s="24" t="n"/>
      <c r="HG64" s="24" t="n"/>
      <c r="HH64" s="24" t="n"/>
      <c r="HI64" s="24" t="n"/>
      <c r="HJ64" s="24" t="n"/>
      <c r="HK64" s="24" t="n"/>
      <c r="HL64" s="24" t="n"/>
      <c r="HM64" s="24" t="n"/>
      <c r="HN64" s="24" t="n"/>
      <c r="HO64" s="24" t="n"/>
      <c r="HP64" s="24" t="n"/>
      <c r="HQ64" s="24" t="n"/>
      <c r="HR64" s="24" t="n"/>
      <c r="HS64" s="24" t="n"/>
      <c r="HT64" s="24" t="n"/>
      <c r="HU64" s="24" t="n"/>
    </row>
    <row r="65" ht="16.2" customHeight="1">
      <c r="A65" s="12" t="inlineStr">
        <is>
          <t>Subtotal</t>
        </is>
      </c>
      <c r="B65" s="140">
        <f>SUM(C65:W65)</f>
        <v/>
      </c>
      <c r="C65" s="30">
        <f>SUM(C63:C64)</f>
        <v/>
      </c>
      <c r="D65" s="30">
        <f>SUM(D63:D64)</f>
        <v/>
      </c>
      <c r="E65" s="30">
        <f>SUM(E63:E64)</f>
        <v/>
      </c>
      <c r="F65" s="30">
        <f>SUM(F63:F64)</f>
        <v/>
      </c>
      <c r="G65" s="30">
        <f>SUM(G63:G64)</f>
        <v/>
      </c>
      <c r="H65" s="30">
        <f>SUM(H63:H64)</f>
        <v/>
      </c>
      <c r="I65" s="31">
        <f>SUM(I63:I64)</f>
        <v/>
      </c>
      <c r="J65" s="187">
        <f>SUM(J63:J64)</f>
        <v/>
      </c>
      <c r="K65" s="31">
        <f>SUM(K63:K64)</f>
        <v/>
      </c>
      <c r="L65" s="30">
        <f>SUM(L63:L64)</f>
        <v/>
      </c>
      <c r="M65" s="30">
        <f>SUM(M63:M64)</f>
        <v/>
      </c>
      <c r="N65" s="30">
        <f>SUM(N63:N64)</f>
        <v/>
      </c>
      <c r="O65" s="30">
        <f>SUM(O63:O64)</f>
        <v/>
      </c>
      <c r="P65" s="30">
        <f>SUM(P63:P64)</f>
        <v/>
      </c>
      <c r="Q65" s="30">
        <f>SUM(Q63:Q64)</f>
        <v/>
      </c>
      <c r="R65" s="30">
        <f>SUM(R63:R64)</f>
        <v/>
      </c>
      <c r="S65" s="30">
        <f>SUM(S63:S64)</f>
        <v/>
      </c>
      <c r="T65" s="30">
        <f>SUM(T63:T64)</f>
        <v/>
      </c>
      <c r="U65" s="30">
        <f>SUM(U63:U64)</f>
        <v/>
      </c>
      <c r="V65" s="30">
        <f>SUM(V63:V64)</f>
        <v/>
      </c>
      <c r="W65" s="30">
        <f>SUM(W63:W64)</f>
        <v/>
      </c>
      <c r="X65" s="30">
        <f>SUM(X63:X64)</f>
        <v/>
      </c>
      <c r="Y65" s="30">
        <f>SUM(Y63:Y64)</f>
        <v/>
      </c>
      <c r="Z65" s="30">
        <f>SUM(Z63:Z64)</f>
        <v/>
      </c>
      <c r="AA65" s="30">
        <f>SUM(AA63:AA64)</f>
        <v/>
      </c>
      <c r="AB65" s="30">
        <f>SUM(AB63:AB64)</f>
        <v/>
      </c>
      <c r="AC65" s="30" t="n"/>
      <c r="AD65" s="13" t="n"/>
      <c r="AE65" s="188">
        <f>SUM(AG65:DX65)</f>
        <v/>
      </c>
      <c r="AF65" s="13" t="n"/>
      <c r="AG65" s="32">
        <f>SUM(AG63:AG64)</f>
        <v/>
      </c>
      <c r="AH65" s="32">
        <f>SUM(AH63:AH64)</f>
        <v/>
      </c>
      <c r="AI65" s="30">
        <f>SUM(AI63:AI64)</f>
        <v/>
      </c>
      <c r="AJ65" s="30">
        <f>SUM(AJ63:AJ64)</f>
        <v/>
      </c>
      <c r="AK65" s="30">
        <f>SUM(AK63:AK64)</f>
        <v/>
      </c>
      <c r="AL65" s="30">
        <f>SUM(AL63:AL64)</f>
        <v/>
      </c>
      <c r="AM65" s="30">
        <f>SUM(AM63:AM64)</f>
        <v/>
      </c>
      <c r="AN65" s="30">
        <f>SUM(AN63:AN64)</f>
        <v/>
      </c>
      <c r="AO65" s="30">
        <f>SUM(AO63:AO64)</f>
        <v/>
      </c>
      <c r="AP65" s="30">
        <f>SUM(AP63:AP64)</f>
        <v/>
      </c>
      <c r="AQ65" s="31">
        <f>SUM(AQ63:AQ64)</f>
        <v/>
      </c>
      <c r="AR65" s="31">
        <f>SUM(AR63:AR64)</f>
        <v/>
      </c>
      <c r="AS65" s="30">
        <f>SUM(AS63:AS64)</f>
        <v/>
      </c>
      <c r="AT65" s="30">
        <f>SUM(AT63:AT64)</f>
        <v/>
      </c>
      <c r="AU65" s="30">
        <f>SUM(AU63:AU64)</f>
        <v/>
      </c>
      <c r="AV65" s="30">
        <f>SUM(AV63:AV64)</f>
        <v/>
      </c>
      <c r="AW65" s="30">
        <f>SUM(AW63:AW64)</f>
        <v/>
      </c>
      <c r="AX65" s="30">
        <f>SUM(AX63:AX64)</f>
        <v/>
      </c>
      <c r="AY65" s="30">
        <f>SUM(AY63:AY64)</f>
        <v/>
      </c>
      <c r="AZ65" s="30">
        <f>SUM(AZ63:AZ64)</f>
        <v/>
      </c>
      <c r="BA65" s="30">
        <f>SUM(BA63:BA64)</f>
        <v/>
      </c>
      <c r="BB65" s="30">
        <f>SUM(BB63:BB64)</f>
        <v/>
      </c>
      <c r="BC65" s="30">
        <f>SUM(BC63:BC64)</f>
        <v/>
      </c>
      <c r="BD65" s="308">
        <f>SUM(BD63:BD64)</f>
        <v/>
      </c>
      <c r="BE65" s="32">
        <f>SUM(BE63:BE64)</f>
        <v/>
      </c>
      <c r="BF65" s="30">
        <f>SUM(BF63:BF64)</f>
        <v/>
      </c>
      <c r="BG65" s="30">
        <f>SUM(BG63:BG64)</f>
        <v/>
      </c>
      <c r="BH65" s="30">
        <f>SUM(BH63:BH64)</f>
        <v/>
      </c>
      <c r="BI65" s="30">
        <f>SUM(BI63:BI64)</f>
        <v/>
      </c>
      <c r="BJ65" s="30">
        <f>SUM(BJ63:BJ64)</f>
        <v/>
      </c>
      <c r="BK65" s="30">
        <f>SUM(BK63:BK64)</f>
        <v/>
      </c>
      <c r="BL65" s="30">
        <f>SUM(BL63:BL64)</f>
        <v/>
      </c>
      <c r="BM65" s="30">
        <f>SUM(BM63:BM64)</f>
        <v/>
      </c>
      <c r="BN65" s="30">
        <f>SUM(BN63:BN64)</f>
        <v/>
      </c>
      <c r="BO65" s="30">
        <f>SUM(BO63:BO64)</f>
        <v/>
      </c>
      <c r="BP65" s="308">
        <f>SUM(BP63:BP64)</f>
        <v/>
      </c>
      <c r="BQ65" s="32">
        <f>SUM(BQ63:BQ64)</f>
        <v/>
      </c>
      <c r="BR65" s="30">
        <f>SUM(BR63:BR64)</f>
        <v/>
      </c>
      <c r="BS65" s="30">
        <f>SUM(BS63:BS64)</f>
        <v/>
      </c>
      <c r="BT65" s="30">
        <f>SUM(BT63:BT64)</f>
        <v/>
      </c>
      <c r="BU65" s="30">
        <f>SUM(BU63:BU64)</f>
        <v/>
      </c>
      <c r="BV65" s="30">
        <f>SUM(BV63:BV64)</f>
        <v/>
      </c>
      <c r="BW65" s="30">
        <f>SUM(BW63:BW64)</f>
        <v/>
      </c>
      <c r="BX65" s="30">
        <f>SUM(BX63:BX64)</f>
        <v/>
      </c>
      <c r="BY65" s="30">
        <f>SUM(BY63:BY64)</f>
        <v/>
      </c>
      <c r="BZ65" s="30">
        <f>SUM(BZ63:BZ64)</f>
        <v/>
      </c>
      <c r="CA65" s="30">
        <f>SUM(CA63:CA64)</f>
        <v/>
      </c>
      <c r="CB65" s="308">
        <f>SUM(CB63:CB64)</f>
        <v/>
      </c>
      <c r="CC65" s="32">
        <f>SUM(CC63:CC64)</f>
        <v/>
      </c>
      <c r="CD65" s="30">
        <f>SUM(CD63:CD64)</f>
        <v/>
      </c>
      <c r="CE65" s="30">
        <f>SUM(CE63:CE64)</f>
        <v/>
      </c>
      <c r="CF65" s="30">
        <f>SUM(CF63:CF64)</f>
        <v/>
      </c>
      <c r="CG65" s="30">
        <f>SUM(CG63:CG64)</f>
        <v/>
      </c>
      <c r="CH65" s="30">
        <f>SUM(CH63:CH64)</f>
        <v/>
      </c>
      <c r="CI65" s="30">
        <f>SUM(CI63:CI64)</f>
        <v/>
      </c>
      <c r="CJ65" s="30">
        <f>SUM(CJ63:CJ64)</f>
        <v/>
      </c>
      <c r="CK65" s="30">
        <f>SUM(CK63:CK64)</f>
        <v/>
      </c>
      <c r="CL65" s="30">
        <f>SUM(CL63:CL64)</f>
        <v/>
      </c>
      <c r="CM65" s="30">
        <f>SUM(CM63:CM64)</f>
        <v/>
      </c>
      <c r="CN65" s="308">
        <f>SUM(CN63:CN64)</f>
        <v/>
      </c>
      <c r="CO65" s="32">
        <f>SUM(CO63:CO64)</f>
        <v/>
      </c>
      <c r="CP65" s="30">
        <f>SUM(CP63:CP64)</f>
        <v/>
      </c>
      <c r="CQ65" s="30">
        <f>SUM(CQ63:CQ64)</f>
        <v/>
      </c>
      <c r="CR65" s="30">
        <f>SUM(CR63:CR64)</f>
        <v/>
      </c>
      <c r="CS65" s="30">
        <f>SUM(CS63:CS64)</f>
        <v/>
      </c>
      <c r="CT65" s="30">
        <f>SUM(CT63:CT64)</f>
        <v/>
      </c>
      <c r="CU65" s="30">
        <f>SUM(CU63:CU64)</f>
        <v/>
      </c>
      <c r="CV65" s="30">
        <f>SUM(CV63:CV64)</f>
        <v/>
      </c>
      <c r="CW65" s="30">
        <f>SUM(CW63:CW64)</f>
        <v/>
      </c>
      <c r="CX65" s="30">
        <f>SUM(CX63:CX64)</f>
        <v/>
      </c>
      <c r="CY65" s="30">
        <f>SUM(CY63:CY64)</f>
        <v/>
      </c>
      <c r="CZ65" s="308">
        <f>SUM(CZ63:CZ64)</f>
        <v/>
      </c>
      <c r="DA65" s="32">
        <f>SUM(DA63:DA64)</f>
        <v/>
      </c>
      <c r="DB65" s="30">
        <f>SUM(DB63:DB64)</f>
        <v/>
      </c>
      <c r="DC65" s="30">
        <f>SUM(DC63:DC64)</f>
        <v/>
      </c>
      <c r="DD65" s="30">
        <f>SUM(DD63:DD64)</f>
        <v/>
      </c>
      <c r="DE65" s="30">
        <f>SUM(DE63:DE64)</f>
        <v/>
      </c>
      <c r="DF65" s="30">
        <f>SUM(DF63:DF64)</f>
        <v/>
      </c>
      <c r="DG65" s="30">
        <f>SUM(DG63:DG64)</f>
        <v/>
      </c>
      <c r="DH65" s="30">
        <f>SUM(DH63:DH64)</f>
        <v/>
      </c>
      <c r="DI65" s="30">
        <f>SUM(DI63:DI64)</f>
        <v/>
      </c>
      <c r="DJ65" s="31">
        <f>SUM(DJ64:DJ64)</f>
        <v/>
      </c>
      <c r="DK65" s="31">
        <f>SUM(DK64:DK64)</f>
        <v/>
      </c>
      <c r="DL65" s="31">
        <f>SUM(DL64:DL64)</f>
        <v/>
      </c>
      <c r="DM65" s="31">
        <f>SUM(DM64:DM64)</f>
        <v/>
      </c>
      <c r="DN65" s="31">
        <f>SUM(DN64:DN64)</f>
        <v/>
      </c>
      <c r="DO65" s="31">
        <f>SUM(DO64:DO64)</f>
        <v/>
      </c>
      <c r="DP65" s="31">
        <f>SUM(DP64:DP64)</f>
        <v/>
      </c>
      <c r="DQ65" s="31">
        <f>SUM(DQ64:DQ64)</f>
        <v/>
      </c>
      <c r="DR65" s="31">
        <f>SUM(DR64:DR64)</f>
        <v/>
      </c>
      <c r="DS65" s="31">
        <f>SUM(DS64:DS64)</f>
        <v/>
      </c>
      <c r="DT65" s="31">
        <f>SUM(DT64:DT64)</f>
        <v/>
      </c>
      <c r="DU65" s="31">
        <f>SUM(DU64:DU64)</f>
        <v/>
      </c>
      <c r="DV65" s="31">
        <f>SUM(DV64:DV64)</f>
        <v/>
      </c>
      <c r="DW65" s="31">
        <f>SUM(DW64:DW64)</f>
        <v/>
      </c>
      <c r="DX65" s="31">
        <f>SUM(DX64:DX64)</f>
        <v/>
      </c>
      <c r="DY65" s="31" t="n"/>
      <c r="DZ65" s="31" t="n"/>
      <c r="EA65" s="31" t="n"/>
      <c r="EB65" s="31" t="n"/>
      <c r="EC65" s="31" t="n"/>
      <c r="ED65" s="31" t="n"/>
      <c r="EE65" s="31" t="n"/>
      <c r="EF65" s="31" t="n"/>
      <c r="EG65" s="31" t="n"/>
      <c r="EH65" s="31" t="n"/>
      <c r="EI65" s="31" t="n"/>
      <c r="EJ65" s="31" t="n"/>
      <c r="EK65" s="31" t="n"/>
      <c r="EL65" s="31" t="n"/>
      <c r="EM65" s="31" t="n"/>
      <c r="EN65" s="31" t="n"/>
      <c r="EO65" s="31" t="n"/>
      <c r="EP65" s="31" t="n"/>
      <c r="EQ65" s="31" t="n"/>
      <c r="ER65" s="31" t="n"/>
      <c r="ES65" s="31" t="n"/>
      <c r="ET65" s="31" t="n"/>
      <c r="EU65" s="31" t="n"/>
      <c r="EV65" s="31" t="n"/>
      <c r="EW65" s="31" t="n"/>
      <c r="EX65" s="31" t="n"/>
      <c r="EY65" s="31" t="n"/>
      <c r="EZ65" s="31" t="n"/>
      <c r="FA65" s="31" t="n"/>
      <c r="FB65" s="31" t="n"/>
      <c r="FC65" s="31" t="n"/>
      <c r="FD65" s="31" t="n"/>
      <c r="FE65" s="31" t="n"/>
      <c r="FF65" s="31" t="n"/>
      <c r="FG65" s="31" t="n"/>
      <c r="FH65" s="31" t="n"/>
      <c r="FI65" s="31" t="n"/>
      <c r="FJ65" s="31" t="n"/>
      <c r="FK65" s="31" t="n"/>
      <c r="FL65" s="31" t="n"/>
      <c r="FM65" s="31" t="n"/>
      <c r="FN65" s="31" t="n"/>
      <c r="FO65" s="31" t="n"/>
      <c r="FP65" s="31" t="n"/>
      <c r="FQ65" s="31" t="n"/>
      <c r="FR65" s="31" t="n"/>
      <c r="FS65" s="31" t="n"/>
      <c r="FT65" s="31" t="n"/>
      <c r="FU65" s="31" t="n"/>
      <c r="FV65" s="31" t="n"/>
      <c r="FW65" s="31" t="n"/>
      <c r="FX65" s="31" t="n"/>
      <c r="FY65" s="31" t="n"/>
      <c r="FZ65" s="31" t="n"/>
      <c r="GA65" s="31" t="n"/>
      <c r="GB65" s="31" t="n"/>
      <c r="GC65" s="31" t="n"/>
      <c r="GD65" s="31" t="n"/>
      <c r="GE65" s="31" t="n"/>
      <c r="GF65" s="31" t="n"/>
      <c r="GG65" s="31" t="n"/>
      <c r="GH65" s="31" t="n"/>
      <c r="GI65" s="31" t="n"/>
      <c r="GJ65" s="31" t="n"/>
      <c r="GK65" s="31" t="n"/>
      <c r="GL65" s="31" t="n"/>
      <c r="GM65" s="31" t="n"/>
      <c r="GN65" s="31" t="n"/>
      <c r="GO65" s="31" t="n"/>
      <c r="GP65" s="31" t="n"/>
      <c r="GQ65" s="31" t="n"/>
      <c r="GR65" s="31" t="n"/>
      <c r="GS65" s="31" t="n"/>
      <c r="GT65" s="31" t="n"/>
      <c r="GU65" s="31" t="n"/>
      <c r="GV65" s="31" t="n"/>
      <c r="GW65" s="31" t="n"/>
      <c r="GX65" s="31" t="n"/>
      <c r="GY65" s="31" t="n"/>
      <c r="GZ65" s="31" t="n"/>
      <c r="HA65" s="31" t="n"/>
      <c r="HB65" s="31" t="n"/>
      <c r="HC65" s="31" t="n"/>
      <c r="HD65" s="31" t="n"/>
      <c r="HE65" s="31" t="n"/>
      <c r="HF65" s="31" t="n"/>
      <c r="HG65" s="31" t="n"/>
      <c r="HH65" s="31" t="n"/>
      <c r="HI65" s="31" t="n"/>
      <c r="HJ65" s="31" t="n"/>
      <c r="HK65" s="31" t="n"/>
      <c r="HL65" s="31" t="n"/>
      <c r="HM65" s="31" t="n"/>
      <c r="HN65" s="31" t="n"/>
      <c r="HO65" s="31" t="n"/>
      <c r="HP65" s="31" t="n"/>
      <c r="HQ65" s="31" t="n"/>
      <c r="HR65" s="31" t="n"/>
      <c r="HS65" s="31" t="n"/>
      <c r="HT65" s="31" t="n"/>
      <c r="HU65" s="31" t="n"/>
    </row>
    <row r="66" ht="16.2" customHeight="1">
      <c r="A66" s="28" t="n"/>
      <c r="B66" s="146" t="n"/>
      <c r="C66" s="512" t="n"/>
      <c r="D66" s="512" t="n"/>
      <c r="E66" s="512" t="n"/>
      <c r="F66" s="512" t="n"/>
      <c r="G66" s="512" t="n"/>
      <c r="H66" s="512" t="n"/>
      <c r="I66" s="512" t="n"/>
      <c r="J66" s="513" t="n"/>
      <c r="K66" s="512" t="n"/>
      <c r="L66" s="512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514" t="n"/>
      <c r="AA66" s="514" t="n"/>
      <c r="AB66" s="514" t="n"/>
      <c r="AC66" s="514" t="n"/>
      <c r="AD66" s="512" t="n"/>
      <c r="AE66" s="533" t="n"/>
      <c r="AF66" s="512" t="n"/>
      <c r="AG66" s="512" t="n"/>
      <c r="AH66" s="512" t="n"/>
      <c r="AI66" s="512" t="n"/>
      <c r="AJ66" s="512" t="n"/>
      <c r="AK66" s="512" t="n"/>
      <c r="AL66" s="512" t="n"/>
      <c r="AM66" s="512" t="n"/>
      <c r="AN66" s="512" t="n"/>
      <c r="AO66" s="512" t="n"/>
      <c r="AP66" s="512" t="n"/>
      <c r="AQ66" s="512" t="n"/>
      <c r="AR66" s="512" t="n"/>
      <c r="AS66" s="512" t="n"/>
      <c r="AT66" s="512" t="n"/>
      <c r="AU66" s="512" t="n"/>
      <c r="AV66" s="512" t="n"/>
      <c r="AW66" s="512" t="n"/>
      <c r="AX66" s="512" t="n"/>
      <c r="AY66" s="512" t="n"/>
      <c r="AZ66" s="512" t="n"/>
      <c r="BA66" s="512" t="n"/>
      <c r="BB66" s="512" t="n"/>
      <c r="BC66" s="512" t="n"/>
      <c r="BD66" s="515" t="n"/>
      <c r="BE66" s="512" t="n"/>
      <c r="BF66" s="512" t="n"/>
      <c r="BG66" s="512" t="n"/>
      <c r="BH66" s="512" t="n"/>
      <c r="BI66" s="512" t="n"/>
      <c r="BJ66" s="512" t="n"/>
      <c r="BK66" s="512" t="n"/>
      <c r="BL66" s="512" t="n"/>
      <c r="BM66" s="512" t="n"/>
      <c r="BN66" s="512" t="n"/>
      <c r="BO66" s="512" t="n"/>
      <c r="BP66" s="515" t="n"/>
      <c r="BQ66" s="512" t="n"/>
      <c r="BR66" s="512" t="n"/>
      <c r="BS66" s="512" t="n"/>
      <c r="BT66" s="512" t="n"/>
      <c r="BU66" s="512" t="n"/>
      <c r="BV66" s="512" t="n"/>
      <c r="BW66" s="512" t="n"/>
      <c r="BX66" s="512" t="n"/>
      <c r="BY66" s="512" t="n"/>
      <c r="BZ66" s="512" t="n"/>
      <c r="CA66" s="512" t="n"/>
      <c r="CB66" s="515" t="n"/>
      <c r="CC66" s="512" t="n"/>
      <c r="CD66" s="512" t="n"/>
      <c r="CE66" s="512" t="n"/>
      <c r="CF66" s="512" t="n"/>
      <c r="CG66" s="512" t="n"/>
      <c r="CH66" s="512" t="n"/>
      <c r="CI66" s="512" t="n"/>
      <c r="CJ66" s="512" t="n"/>
      <c r="CK66" s="512" t="n"/>
      <c r="CL66" s="512" t="n"/>
      <c r="CM66" s="512" t="n"/>
      <c r="CN66" s="515" t="n"/>
      <c r="CO66" s="512" t="n"/>
      <c r="CP66" s="512" t="n"/>
      <c r="CQ66" s="512" t="n"/>
      <c r="CR66" s="512" t="n"/>
      <c r="CS66" s="512" t="n"/>
      <c r="CT66" s="512" t="n"/>
      <c r="CU66" s="512" t="n"/>
      <c r="CV66" s="512" t="n"/>
      <c r="CW66" s="512" t="n"/>
      <c r="CX66" s="512" t="n"/>
      <c r="CY66" s="512" t="n"/>
      <c r="CZ66" s="515" t="n"/>
      <c r="DA66" s="512" t="n"/>
      <c r="DB66" s="512" t="n"/>
      <c r="DC66" s="512" t="n"/>
      <c r="DD66" s="512" t="n"/>
      <c r="DE66" s="512" t="n"/>
      <c r="DF66" s="512" t="n"/>
      <c r="DG66" s="512" t="n"/>
      <c r="DH66" s="512" t="n"/>
      <c r="DI66" s="512" t="n"/>
      <c r="DJ66" s="512" t="n"/>
      <c r="DK66" s="512" t="n"/>
      <c r="DL66" s="512" t="n"/>
      <c r="DM66" s="512" t="n"/>
      <c r="DN66" s="512" t="n"/>
      <c r="DO66" s="512" t="n"/>
      <c r="DP66" s="512" t="n"/>
      <c r="DQ66" s="512" t="n"/>
      <c r="DR66" s="512" t="n"/>
      <c r="DS66" s="512" t="n"/>
      <c r="DT66" s="512" t="n"/>
      <c r="DU66" s="512" t="n"/>
      <c r="DV66" s="512" t="n"/>
      <c r="DW66" s="512" t="n"/>
      <c r="DX66" s="512" t="n"/>
      <c r="DY66" s="512" t="n"/>
      <c r="DZ66" s="512" t="n"/>
      <c r="EA66" s="512" t="n"/>
      <c r="EB66" s="512" t="n"/>
      <c r="EC66" s="512" t="n"/>
      <c r="ED66" s="512" t="n"/>
      <c r="EE66" s="512" t="n"/>
      <c r="EF66" s="512" t="n"/>
      <c r="EG66" s="512" t="n"/>
      <c r="EH66" s="512" t="n"/>
      <c r="EI66" s="512" t="n"/>
      <c r="EJ66" s="512" t="n"/>
      <c r="EK66" s="512" t="n"/>
      <c r="EL66" s="512" t="n"/>
      <c r="EM66" s="512" t="n"/>
      <c r="EN66" s="512" t="n"/>
      <c r="EO66" s="512" t="n"/>
      <c r="EP66" s="512" t="n"/>
      <c r="EQ66" s="512" t="n"/>
      <c r="ER66" s="512" t="n"/>
      <c r="ES66" s="512" t="n"/>
      <c r="ET66" s="512" t="n"/>
      <c r="EU66" s="512" t="n"/>
      <c r="EV66" s="512" t="n"/>
      <c r="EW66" s="512" t="n"/>
      <c r="EX66" s="512" t="n"/>
      <c r="EY66" s="512" t="n"/>
      <c r="EZ66" s="512" t="n"/>
      <c r="FA66" s="512" t="n"/>
      <c r="FB66" s="512" t="n"/>
      <c r="FC66" s="512" t="n"/>
      <c r="FD66" s="512" t="n"/>
      <c r="FE66" s="512" t="n"/>
      <c r="FF66" s="512" t="n"/>
      <c r="FG66" s="512" t="n"/>
      <c r="FH66" s="512" t="n"/>
      <c r="FI66" s="512" t="n"/>
      <c r="FJ66" s="512" t="n"/>
      <c r="FK66" s="512" t="n"/>
      <c r="FL66" s="512" t="n"/>
      <c r="FM66" s="512" t="n"/>
      <c r="FN66" s="512" t="n"/>
      <c r="FO66" s="512" t="n"/>
      <c r="FP66" s="512" t="n"/>
      <c r="FQ66" s="512" t="n"/>
      <c r="FR66" s="512" t="n"/>
      <c r="FS66" s="512" t="n"/>
      <c r="FT66" s="512" t="n"/>
      <c r="FU66" s="512" t="n"/>
      <c r="FV66" s="512" t="n"/>
      <c r="FW66" s="512" t="n"/>
      <c r="FX66" s="512" t="n"/>
      <c r="FY66" s="512" t="n"/>
      <c r="FZ66" s="512" t="n"/>
      <c r="GA66" s="512" t="n"/>
      <c r="GB66" s="512" t="n"/>
      <c r="GC66" s="512" t="n"/>
      <c r="GD66" s="512" t="n"/>
      <c r="GE66" s="512" t="n"/>
      <c r="GF66" s="512" t="n"/>
      <c r="GG66" s="512" t="n"/>
      <c r="GH66" s="512" t="n"/>
      <c r="GI66" s="512" t="n"/>
      <c r="GJ66" s="512" t="n"/>
      <c r="GK66" s="512" t="n"/>
      <c r="GL66" s="512" t="n"/>
      <c r="GM66" s="512" t="n"/>
      <c r="GN66" s="512" t="n"/>
      <c r="GO66" s="512" t="n"/>
      <c r="GP66" s="512" t="n"/>
      <c r="GQ66" s="512" t="n"/>
      <c r="GR66" s="512" t="n"/>
      <c r="GS66" s="512" t="n"/>
      <c r="GT66" s="512" t="n"/>
      <c r="GU66" s="512" t="n"/>
      <c r="GV66" s="512" t="n"/>
      <c r="GW66" s="512" t="n"/>
      <c r="GX66" s="512" t="n"/>
      <c r="GY66" s="512" t="n"/>
      <c r="GZ66" s="512" t="n"/>
      <c r="HA66" s="512" t="n"/>
      <c r="HB66" s="512" t="n"/>
      <c r="HC66" s="512" t="n"/>
      <c r="HD66" s="512" t="n"/>
      <c r="HE66" s="512" t="n"/>
      <c r="HF66" s="512" t="n"/>
      <c r="HG66" s="512" t="n"/>
      <c r="HH66" s="512" t="n"/>
      <c r="HI66" s="512" t="n"/>
      <c r="HJ66" s="512" t="n"/>
      <c r="HK66" s="512" t="n"/>
      <c r="HL66" s="512" t="n"/>
      <c r="HM66" s="512" t="n"/>
      <c r="HN66" s="512" t="n"/>
      <c r="HO66" s="512" t="n"/>
      <c r="HP66" s="512" t="n"/>
      <c r="HQ66" s="512" t="n"/>
      <c r="HR66" s="512" t="n"/>
      <c r="HS66" s="512" t="n"/>
      <c r="HT66" s="512" t="n"/>
      <c r="HU66" s="512" t="n"/>
    </row>
    <row r="67" ht="16.2" customHeight="1">
      <c r="A67" s="101" t="inlineStr">
        <is>
          <t>DESPESAS OP+TERRENO+IMP+DISTR (-)</t>
        </is>
      </c>
      <c r="B67" s="136">
        <f>SUM(C67:W67)</f>
        <v/>
      </c>
      <c r="C67" s="94">
        <f>C65+C54+C50+C57+C60</f>
        <v/>
      </c>
      <c r="D67" s="94">
        <f>D65+D54+D50+D57+D60</f>
        <v/>
      </c>
      <c r="E67" s="94">
        <f>E65+E54+E50+E57+E60</f>
        <v/>
      </c>
      <c r="F67" s="94">
        <f>F65+F54+F50+F57+F60</f>
        <v/>
      </c>
      <c r="G67" s="94">
        <f>G65+G54+G50+G57+G60</f>
        <v/>
      </c>
      <c r="H67" s="94">
        <f>H65+H54+H50+H57+H60</f>
        <v/>
      </c>
      <c r="I67" s="94">
        <f>I65+I54+I50+I57+I60</f>
        <v/>
      </c>
      <c r="J67" s="94">
        <f>J65+J54+J50+J57+J60</f>
        <v/>
      </c>
      <c r="K67" s="94">
        <f>K65+K54+K50+K57+K60</f>
        <v/>
      </c>
      <c r="L67" s="94">
        <f>L65+L54+L50+L57+L60</f>
        <v/>
      </c>
      <c r="M67" s="94">
        <f>M65+M54+M50+M57+M60</f>
        <v/>
      </c>
      <c r="N67" s="94">
        <f>N65+N54+N50+N57+N60</f>
        <v/>
      </c>
      <c r="O67" s="94">
        <f>O65+O54+O50+O57+O60</f>
        <v/>
      </c>
      <c r="P67" s="94">
        <f>P65+P54+P50+P57+P60</f>
        <v/>
      </c>
      <c r="Q67" s="94">
        <f>Q65+Q54+Q50+Q57+Q60</f>
        <v/>
      </c>
      <c r="R67" s="94">
        <f>R65+R54+R50+R57+R60</f>
        <v/>
      </c>
      <c r="S67" s="94">
        <f>S65+S54+S50+S57+S60</f>
        <v/>
      </c>
      <c r="T67" s="94">
        <f>T65+T54+T50+T57+T60</f>
        <v/>
      </c>
      <c r="U67" s="94">
        <f>U65+U54+U50+U57+U60</f>
        <v/>
      </c>
      <c r="V67" s="94">
        <f>V65+V54+V50+V57+V60</f>
        <v/>
      </c>
      <c r="W67" s="94">
        <f>W65+W54+W50+W57+W60</f>
        <v/>
      </c>
      <c r="X67" s="94">
        <f>X65+X54+X50+X57+X60</f>
        <v/>
      </c>
      <c r="Y67" s="94">
        <f>Y65+Y54+Y50+Y57+Y60</f>
        <v/>
      </c>
      <c r="Z67" s="94">
        <f>Z65+Z54+Z50+Z57+Z60</f>
        <v/>
      </c>
      <c r="AA67" s="94">
        <f>AA65+AA54+AA50+AA57+AA60</f>
        <v/>
      </c>
      <c r="AB67" s="94">
        <f>AB65+AB54+AB50+AB57+AB60</f>
        <v/>
      </c>
      <c r="AC67" s="94">
        <f>AC65+AC54+AC50+AC57+AC60</f>
        <v/>
      </c>
      <c r="AD67" s="13" t="n"/>
      <c r="AE67" s="86">
        <f>SUM(AG67:DX67)</f>
        <v/>
      </c>
      <c r="AF67" s="13" t="n"/>
      <c r="AG67" s="94">
        <f>AG65+AG54+AG50+AG57+AG60</f>
        <v/>
      </c>
      <c r="AH67" s="94">
        <f>AH65+AH54+AH50+AH57+AH60</f>
        <v/>
      </c>
      <c r="AI67" s="94">
        <f>AI65+AI54+AI50+AI57+AI60</f>
        <v/>
      </c>
      <c r="AJ67" s="94">
        <f>AJ65+AJ54+AJ50+AJ57+AJ60</f>
        <v/>
      </c>
      <c r="AK67" s="94">
        <f>AK65+AK54+AK50+AK57+AK60</f>
        <v/>
      </c>
      <c r="AL67" s="94">
        <f>AL65+AL54+AL50+AL57+AL60</f>
        <v/>
      </c>
      <c r="AM67" s="94">
        <f>AM65+AM54+AM50+AM57+AM60</f>
        <v/>
      </c>
      <c r="AN67" s="94">
        <f>AN65+AN54+AN50+AN57+AN60</f>
        <v/>
      </c>
      <c r="AO67" s="94">
        <f>AO65+AO54+AO50+AO57+AO60</f>
        <v/>
      </c>
      <c r="AP67" s="94">
        <f>AP65+AP54+AP50+AP57+AP60</f>
        <v/>
      </c>
      <c r="AQ67" s="91">
        <f>AQ65+AQ54+AQ50+AQ57+AQ60</f>
        <v/>
      </c>
      <c r="AR67" s="91">
        <f>AR65+AR54+AR50+AR57+AR60</f>
        <v/>
      </c>
      <c r="AS67" s="94">
        <f>AS65+AS54+AS50+AS57+AS60</f>
        <v/>
      </c>
      <c r="AT67" s="94">
        <f>AT65+AT54+AT50+AT57+AT60</f>
        <v/>
      </c>
      <c r="AU67" s="94">
        <f>AU65+AU54+AU50+AU57+AU60</f>
        <v/>
      </c>
      <c r="AV67" s="94">
        <f>AV65+AV54+AV50+AV57+AV60</f>
        <v/>
      </c>
      <c r="AW67" s="94">
        <f>AW65+AW54+AW50+AW57+AW60</f>
        <v/>
      </c>
      <c r="AX67" s="94">
        <f>AX65+AX54+AX50+AX57+AX60</f>
        <v/>
      </c>
      <c r="AY67" s="94">
        <f>AY65+AY54+AY50+AY57+AY60</f>
        <v/>
      </c>
      <c r="AZ67" s="94">
        <f>AZ65+AZ54+AZ50+AZ57+AZ60</f>
        <v/>
      </c>
      <c r="BA67" s="94">
        <f>BA65+BA54+BA50+BA57+BA60</f>
        <v/>
      </c>
      <c r="BB67" s="94">
        <f>BB65+BB54+BB50+BB57+BB60</f>
        <v/>
      </c>
      <c r="BC67" s="94">
        <f>BC65+BC54+BC50+BC57+BC60</f>
        <v/>
      </c>
      <c r="BD67" s="94">
        <f>BD65+BD54+BD50+BD57+BD60</f>
        <v/>
      </c>
      <c r="BE67" s="94">
        <f>BE65+BE54+BE50+BE57+BE60</f>
        <v/>
      </c>
      <c r="BF67" s="94">
        <f>BF65+BF54+BF50+BF57+BF60</f>
        <v/>
      </c>
      <c r="BG67" s="94">
        <f>BG65+BG54+BG50+BG57+BG60</f>
        <v/>
      </c>
      <c r="BH67" s="94">
        <f>BH65+BH54+BH50+BH57+BH60</f>
        <v/>
      </c>
      <c r="BI67" s="94">
        <f>BI65+BI54+BI50+BI57+BI60</f>
        <v/>
      </c>
      <c r="BJ67" s="94">
        <f>BJ65+BJ54+BJ50+BJ57+BJ60</f>
        <v/>
      </c>
      <c r="BK67" s="94">
        <f>BK65+BK54+BK50+BK57+BK60</f>
        <v/>
      </c>
      <c r="BL67" s="94">
        <f>BL65+BL54+BL50+BL57+BL60</f>
        <v/>
      </c>
      <c r="BM67" s="94">
        <f>BM65+BM54+BM50+BM57+BM60</f>
        <v/>
      </c>
      <c r="BN67" s="94">
        <f>BN65+BN54+BN50+BN57+BN60</f>
        <v/>
      </c>
      <c r="BO67" s="94">
        <f>BO65+BO54+BO50+BO57+BO60</f>
        <v/>
      </c>
      <c r="BP67" s="94">
        <f>BP65+BP54+BP50+BP57+BP60</f>
        <v/>
      </c>
      <c r="BQ67" s="94">
        <f>BQ65+BQ54+BQ50+BQ57+BQ60</f>
        <v/>
      </c>
      <c r="BR67" s="94">
        <f>BR65+BR54+BR50+BR57+BR60</f>
        <v/>
      </c>
      <c r="BS67" s="94">
        <f>BS65+BS54+BS50+BS57+BS60</f>
        <v/>
      </c>
      <c r="BT67" s="94">
        <f>BT65+BT54+BT50+BT57+BT60</f>
        <v/>
      </c>
      <c r="BU67" s="94">
        <f>BU65+BU54+BU50+BU57+BU60</f>
        <v/>
      </c>
      <c r="BV67" s="94">
        <f>BV65+BV54+BV50+BV57+BV60</f>
        <v/>
      </c>
      <c r="BW67" s="94">
        <f>BW65+BW54+BW50+BW57+BW60</f>
        <v/>
      </c>
      <c r="BX67" s="94">
        <f>BX65+BX54+BX50+BX57+BX60</f>
        <v/>
      </c>
      <c r="BY67" s="94">
        <f>BY65+BY54+BY50+BY57+BY60</f>
        <v/>
      </c>
      <c r="BZ67" s="94">
        <f>BZ65+BZ54+BZ50+BZ57+BZ60</f>
        <v/>
      </c>
      <c r="CA67" s="94">
        <f>CA65+CA54+CA50+CA57+CA60</f>
        <v/>
      </c>
      <c r="CB67" s="94">
        <f>CB65+CB54+CB50+CB57+CB60</f>
        <v/>
      </c>
      <c r="CC67" s="94">
        <f>CC65+CC54+CC50+CC57+CC60</f>
        <v/>
      </c>
      <c r="CD67" s="94">
        <f>CD65+CD54+CD50+CD57+CD60</f>
        <v/>
      </c>
      <c r="CE67" s="94">
        <f>CE65+CE54+CE50+CE57+CE60</f>
        <v/>
      </c>
      <c r="CF67" s="94">
        <f>CF65+CF54+CF50+CF57+CF60</f>
        <v/>
      </c>
      <c r="CG67" s="94">
        <f>CG65+CG54+CG50+CG57+CG60</f>
        <v/>
      </c>
      <c r="CH67" s="94">
        <f>CH65+CH54+CH50+CH57+CH60</f>
        <v/>
      </c>
      <c r="CI67" s="94">
        <f>CI65+CI54+CI50+CI57+CI60</f>
        <v/>
      </c>
      <c r="CJ67" s="94">
        <f>CJ65+CJ54+CJ50+CJ57+CJ60</f>
        <v/>
      </c>
      <c r="CK67" s="94">
        <f>CK65+CK54+CK50+CK57+CK60</f>
        <v/>
      </c>
      <c r="CL67" s="94">
        <f>CL65+CL54+CL50+CL57+CL60</f>
        <v/>
      </c>
      <c r="CM67" s="94">
        <f>CM65+CM54+CM50+CM57+CM60</f>
        <v/>
      </c>
      <c r="CN67" s="94">
        <f>CN65+CN54+CN50+CN57+CN60</f>
        <v/>
      </c>
      <c r="CO67" s="94">
        <f>CO65+CO54+CO50+CO57+CO60</f>
        <v/>
      </c>
      <c r="CP67" s="94">
        <f>CP65+CP54+CP50+CP57+CP60</f>
        <v/>
      </c>
      <c r="CQ67" s="94">
        <f>CQ65+CQ54+CQ50+CQ57+CQ60</f>
        <v/>
      </c>
      <c r="CR67" s="94">
        <f>CR65+CR54+CR50+CR57+CR60</f>
        <v/>
      </c>
      <c r="CS67" s="94">
        <f>CS65+CS54+CS50+CS57+CS60</f>
        <v/>
      </c>
      <c r="CT67" s="94">
        <f>CT65+CT54+CT50+CT57+CT60</f>
        <v/>
      </c>
      <c r="CU67" s="94">
        <f>CU65+CU54+CU50+CU57+CU60</f>
        <v/>
      </c>
      <c r="CV67" s="94">
        <f>CV65+CV54+CV50+CV57+CV60</f>
        <v/>
      </c>
      <c r="CW67" s="94">
        <f>CW65+CW54+CW50+CW57+CW60</f>
        <v/>
      </c>
      <c r="CX67" s="94">
        <f>CX65+CX54+CX50+CX57+CX60</f>
        <v/>
      </c>
      <c r="CY67" s="94">
        <f>CY65+CY54+CY50+CY57+CY60</f>
        <v/>
      </c>
      <c r="CZ67" s="94">
        <f>CZ65+CZ54+CZ50+CZ57+CZ60</f>
        <v/>
      </c>
      <c r="DA67" s="94">
        <f>DA65+DA54+DA50+DA57+DA60</f>
        <v/>
      </c>
      <c r="DB67" s="94">
        <f>DB65+DB54+DB50+DB57+DB60</f>
        <v/>
      </c>
      <c r="DC67" s="94">
        <f>DC65+DC54+DC50+DC57+DC60</f>
        <v/>
      </c>
      <c r="DD67" s="94">
        <f>DD65+DD54+DD50+DD57+DD60</f>
        <v/>
      </c>
      <c r="DE67" s="94">
        <f>DE65+DE54+DE50+DE57+DE60</f>
        <v/>
      </c>
      <c r="DF67" s="94">
        <f>DF65+DF54+DF50+DF57+DF60</f>
        <v/>
      </c>
      <c r="DG67" s="94">
        <f>DG65+DG54+DG50+DG57+DG60</f>
        <v/>
      </c>
      <c r="DH67" s="94">
        <f>DH65+DH54+DH50+DH57+DH60</f>
        <v/>
      </c>
      <c r="DI67" s="94">
        <f>DI65+DI54+DI50+DI57+DI60</f>
        <v/>
      </c>
      <c r="DJ67" s="94">
        <f>DJ65+DJ54+DJ50+DJ57+DJ60</f>
        <v/>
      </c>
      <c r="DK67" s="94">
        <f>DK65+DK54+DK50+DK57+DK60</f>
        <v/>
      </c>
      <c r="DL67" s="94">
        <f>DL65+DL54+DL50+DL57+DL60</f>
        <v/>
      </c>
      <c r="DM67" s="94">
        <f>DM65+DM54+DM50+DM57+DM60</f>
        <v/>
      </c>
      <c r="DN67" s="94">
        <f>DN65+DN54+DN50+DN57+DN60</f>
        <v/>
      </c>
      <c r="DO67" s="94">
        <f>DO65+DO54+DO50+DO57+DO60</f>
        <v/>
      </c>
      <c r="DP67" s="94">
        <f>DP65+DP54+DP50+DP57+DP60</f>
        <v/>
      </c>
      <c r="DQ67" s="94">
        <f>DQ65+DQ54+DQ50+DQ57+DQ60</f>
        <v/>
      </c>
      <c r="DR67" s="94">
        <f>DR65+DR54+DR50+DR57+DR60</f>
        <v/>
      </c>
      <c r="DS67" s="94">
        <f>DS65+DS54+DS50+DS57+DS60</f>
        <v/>
      </c>
      <c r="DT67" s="94">
        <f>DT65+DT54+DT50+DT57+DT60</f>
        <v/>
      </c>
      <c r="DU67" s="94">
        <f>DU65+DU54+DU50+DU57+DU60</f>
        <v/>
      </c>
      <c r="DV67" s="94">
        <f>DV65+DV54+DV50+DV57+DV60</f>
        <v/>
      </c>
      <c r="DW67" s="94">
        <f>DW65+DW54+DW50+DW57+DW60</f>
        <v/>
      </c>
      <c r="DX67" s="94">
        <f>DX65+DX54+DX50+DX57+DX60</f>
        <v/>
      </c>
      <c r="DY67" s="94">
        <f>DY65+DY54+DY50+DY57+DY60</f>
        <v/>
      </c>
      <c r="DZ67" s="94">
        <f>DZ65+DZ54+DZ50+DZ57+DZ60</f>
        <v/>
      </c>
      <c r="EA67" s="94">
        <f>EA65+EA54+EA50+EA57+EA60</f>
        <v/>
      </c>
      <c r="EB67" s="94">
        <f>EB65+EB54+EB50+EB57+EB60</f>
        <v/>
      </c>
      <c r="EC67" s="94">
        <f>EC65+EC54+EC50+EC57+EC60</f>
        <v/>
      </c>
      <c r="ED67" s="94">
        <f>ED65+ED54+ED50+ED57+ED60</f>
        <v/>
      </c>
      <c r="EE67" s="94">
        <f>EE65+EE54+EE50+EE57+EE60</f>
        <v/>
      </c>
      <c r="EF67" s="94">
        <f>EF65+EF54+EF50+EF57+EF60</f>
        <v/>
      </c>
      <c r="EG67" s="94">
        <f>EG65+EG54+EG50+EG57+EG60</f>
        <v/>
      </c>
      <c r="EH67" s="94">
        <f>EH65+EH54+EH50+EH57+EH60</f>
        <v/>
      </c>
      <c r="EI67" s="94">
        <f>EI65+EI54+EI50+EI57+EI60</f>
        <v/>
      </c>
      <c r="EJ67" s="94">
        <f>EJ65+EJ54+EJ50+EJ57+EJ60</f>
        <v/>
      </c>
      <c r="EK67" s="94">
        <f>EK65+EK54+EK50+EK57+EK60</f>
        <v/>
      </c>
      <c r="EL67" s="94">
        <f>EL65+EL54+EL50+EL57+EL60</f>
        <v/>
      </c>
      <c r="EM67" s="94">
        <f>EM65+EM54+EM50+EM57+EM60</f>
        <v/>
      </c>
      <c r="EN67" s="94">
        <f>EN65+EN54+EN50+EN57+EN60</f>
        <v/>
      </c>
      <c r="EO67" s="94">
        <f>EO65+EO54+EO50+EO57+EO60</f>
        <v/>
      </c>
      <c r="EP67" s="94">
        <f>EP65+EP54+EP50+EP57+EP60</f>
        <v/>
      </c>
      <c r="EQ67" s="94">
        <f>EQ65+EQ54+EQ50+EQ57+EQ60</f>
        <v/>
      </c>
      <c r="ER67" s="94">
        <f>ER65+ER54+ER50+ER57+ER60</f>
        <v/>
      </c>
      <c r="ES67" s="94">
        <f>ES65+ES54+ES50+ES57+ES60</f>
        <v/>
      </c>
      <c r="ET67" s="94">
        <f>ET65+ET54+ET50+ET57+ET60</f>
        <v/>
      </c>
      <c r="EU67" s="94">
        <f>EU65+EU54+EU50+EU57+EU60</f>
        <v/>
      </c>
      <c r="EV67" s="94">
        <f>EV65+EV54+EV50+EV57+EV60</f>
        <v/>
      </c>
      <c r="EW67" s="94">
        <f>EW65+EW54+EW50+EW57+EW60</f>
        <v/>
      </c>
      <c r="EX67" s="94">
        <f>EX65+EX54+EX50+EX57+EX60</f>
        <v/>
      </c>
      <c r="EY67" s="94">
        <f>EY65+EY54+EY50+EY57+EY60</f>
        <v/>
      </c>
      <c r="EZ67" s="94">
        <f>EZ65+EZ54+EZ50+EZ57+EZ60</f>
        <v/>
      </c>
      <c r="FA67" s="94">
        <f>FA65+FA54+FA50+FA57+FA60</f>
        <v/>
      </c>
      <c r="FB67" s="94">
        <f>FB65+FB54+FB50+FB57+FB60</f>
        <v/>
      </c>
      <c r="FC67" s="94">
        <f>FC65+FC54+FC50+FC57+FC60</f>
        <v/>
      </c>
      <c r="FD67" s="94">
        <f>FD65+FD54+FD50+FD57+FD60</f>
        <v/>
      </c>
      <c r="FE67" s="94">
        <f>FE65+FE54+FE50+FE57+FE60</f>
        <v/>
      </c>
      <c r="FF67" s="94">
        <f>FF65+FF54+FF50+FF57+FF60</f>
        <v/>
      </c>
      <c r="FG67" s="94">
        <f>FG65+FG54+FG50+FG57+FG60</f>
        <v/>
      </c>
      <c r="FH67" s="94">
        <f>FH65+FH54+FH50+FH57+FH60</f>
        <v/>
      </c>
      <c r="FI67" s="94">
        <f>FI65+FI54+FI50+FI57+FI60</f>
        <v/>
      </c>
      <c r="FJ67" s="94">
        <f>FJ65+FJ54+FJ50+FJ57+FJ60</f>
        <v/>
      </c>
      <c r="FK67" s="94">
        <f>FK65+FK54+FK50+FK57+FK60</f>
        <v/>
      </c>
      <c r="FL67" s="94">
        <f>FL65+FL54+FL50+FL57+FL60</f>
        <v/>
      </c>
      <c r="FM67" s="94">
        <f>FM65+FM54+FM50+FM57+FM60</f>
        <v/>
      </c>
      <c r="FN67" s="94">
        <f>FN65+FN54+FN50+FN57+FN60</f>
        <v/>
      </c>
      <c r="FO67" s="94">
        <f>FO65+FO54+FO50+FO57+FO60</f>
        <v/>
      </c>
      <c r="FP67" s="94">
        <f>FP65+FP54+FP50+FP57+FP60</f>
        <v/>
      </c>
      <c r="FQ67" s="94">
        <f>FQ65+FQ54+FQ50+FQ57+FQ60</f>
        <v/>
      </c>
      <c r="FR67" s="94">
        <f>FR65+FR54+FR50+FR57+FR60</f>
        <v/>
      </c>
      <c r="FS67" s="94">
        <f>FS65+FS54+FS50+FS57+FS60</f>
        <v/>
      </c>
      <c r="FT67" s="94">
        <f>FT65+FT54+FT50+FT57+FT60</f>
        <v/>
      </c>
      <c r="FU67" s="94">
        <f>FU65+FU54+FU50+FU57+FU60</f>
        <v/>
      </c>
      <c r="FV67" s="94">
        <f>FV65+FV54+FV50+FV57+FV60</f>
        <v/>
      </c>
      <c r="FW67" s="94">
        <f>FW65+FW54+FW50+FW57+FW60</f>
        <v/>
      </c>
      <c r="FX67" s="94">
        <f>FX65+FX54+FX50+FX57+FX60</f>
        <v/>
      </c>
      <c r="FY67" s="94">
        <f>FY65+FY54+FY50+FY57+FY60</f>
        <v/>
      </c>
      <c r="FZ67" s="94">
        <f>FZ65+FZ54+FZ50+FZ57+FZ60</f>
        <v/>
      </c>
      <c r="GA67" s="94">
        <f>GA65+GA54+GA50+GA57+GA60</f>
        <v/>
      </c>
      <c r="GB67" s="94">
        <f>GB65+GB54+GB50+GB57+GB60</f>
        <v/>
      </c>
      <c r="GC67" s="94">
        <f>GC65+GC54+GC50+GC57+GC60</f>
        <v/>
      </c>
      <c r="GD67" s="94">
        <f>GD65+GD54+GD50+GD57+GD60</f>
        <v/>
      </c>
      <c r="GE67" s="94">
        <f>GE65+GE54+GE50+GE57+GE60</f>
        <v/>
      </c>
      <c r="GF67" s="94">
        <f>GF65+GF54+GF50+GF57+GF60</f>
        <v/>
      </c>
      <c r="GG67" s="94">
        <f>GG65+GG54+GG50+GG57+GG60</f>
        <v/>
      </c>
      <c r="GH67" s="94">
        <f>GH65+GH54+GH50+GH57+GH60</f>
        <v/>
      </c>
      <c r="GI67" s="94">
        <f>GI65+GI54+GI50+GI57+GI60</f>
        <v/>
      </c>
      <c r="GJ67" s="94">
        <f>GJ65+GJ54+GJ50+GJ57+GJ60</f>
        <v/>
      </c>
      <c r="GK67" s="94">
        <f>GK65+GK54+GK50+GK57+GK60</f>
        <v/>
      </c>
      <c r="GL67" s="94">
        <f>GL65+GL54+GL50+GL57+GL60</f>
        <v/>
      </c>
      <c r="GM67" s="94">
        <f>GM65+GM54+GM50+GM57+GM60</f>
        <v/>
      </c>
      <c r="GN67" s="94">
        <f>GN65+GN54+GN50+GN57+GN60</f>
        <v/>
      </c>
      <c r="GO67" s="94">
        <f>GO65+GO54+GO50+GO57+GO60</f>
        <v/>
      </c>
      <c r="GP67" s="94">
        <f>GP65+GP54+GP50+GP57+GP60</f>
        <v/>
      </c>
      <c r="GQ67" s="94">
        <f>GQ65+GQ54+GQ50+GQ57+GQ60</f>
        <v/>
      </c>
      <c r="GR67" s="94">
        <f>GR65+GR54+GR50+GR57+GR60</f>
        <v/>
      </c>
      <c r="GS67" s="94">
        <f>GS65+GS54+GS50+GS57+GS60</f>
        <v/>
      </c>
      <c r="GT67" s="94">
        <f>GT65+GT54+GT50+GT57+GT60</f>
        <v/>
      </c>
      <c r="GU67" s="94">
        <f>GU65+GU54+GU50+GU57+GU60</f>
        <v/>
      </c>
      <c r="GV67" s="94">
        <f>GV65+GV54+GV50+GV57+GV60</f>
        <v/>
      </c>
      <c r="GW67" s="94">
        <f>GW65+GW54+GW50+GW57+GW60</f>
        <v/>
      </c>
      <c r="GX67" s="94">
        <f>GX65+GX54+GX50+GX57+GX60</f>
        <v/>
      </c>
      <c r="GY67" s="94">
        <f>GY65+GY54+GY50+GY57+GY60</f>
        <v/>
      </c>
      <c r="GZ67" s="94">
        <f>GZ65+GZ54+GZ50+GZ57+GZ60</f>
        <v/>
      </c>
      <c r="HA67" s="94">
        <f>HA65+HA54+HA50+HA57+HA60</f>
        <v/>
      </c>
      <c r="HB67" s="94">
        <f>HB65+HB54+HB50+HB57+HB60</f>
        <v/>
      </c>
      <c r="HC67" s="94">
        <f>HC65+HC54+HC50+HC57+HC60</f>
        <v/>
      </c>
      <c r="HD67" s="94">
        <f>HD65+HD54+HD50+HD57+HD60</f>
        <v/>
      </c>
      <c r="HE67" s="94">
        <f>HE65+HE54+HE50+HE57+HE60</f>
        <v/>
      </c>
      <c r="HF67" s="94">
        <f>HF65+HF54+HF50+HF57+HF60</f>
        <v/>
      </c>
      <c r="HG67" s="94">
        <f>HG65+HG54+HG50+HG57+HG60</f>
        <v/>
      </c>
      <c r="HH67" s="94">
        <f>HH65+HH54+HH50+HH57+HH60</f>
        <v/>
      </c>
      <c r="HI67" s="94">
        <f>HI65+HI54+HI50+HI57+HI60</f>
        <v/>
      </c>
      <c r="HJ67" s="94">
        <f>HJ65+HJ54+HJ50+HJ57+HJ60</f>
        <v/>
      </c>
      <c r="HK67" s="94">
        <f>HK65+HK54+HK50+HK57+HK60</f>
        <v/>
      </c>
      <c r="HL67" s="94">
        <f>HL65+HL54+HL50+HL57+HL60</f>
        <v/>
      </c>
      <c r="HM67" s="94">
        <f>HM65+HM54+HM50+HM57+HM60</f>
        <v/>
      </c>
      <c r="HN67" s="94">
        <f>HN65+HN54+HN50+HN57+HN60</f>
        <v/>
      </c>
      <c r="HO67" s="94">
        <f>HO65+HO54+HO50+HO57+HO60</f>
        <v/>
      </c>
      <c r="HP67" s="94">
        <f>HP65+HP54+HP50+HP57+HP60</f>
        <v/>
      </c>
      <c r="HQ67" s="94">
        <f>HQ65+HQ54+HQ50+HQ57+HQ60</f>
        <v/>
      </c>
      <c r="HR67" s="94">
        <f>HR65+HR54+HR50+HR57+HR60</f>
        <v/>
      </c>
      <c r="HS67" s="94">
        <f>HS65+HS54+HS50+HS57+HS60</f>
        <v/>
      </c>
      <c r="HT67" s="94">
        <f>HT65+HT54+HT50+HT57+HT60</f>
        <v/>
      </c>
      <c r="HU67" s="94">
        <f>HU65+HU54+HU50+HU57+HU60</f>
        <v/>
      </c>
    </row>
    <row r="68" ht="16.2" customHeight="1" thickBot="1">
      <c r="A68" s="102" t="inlineStr">
        <is>
          <t>TOTAL ACUMULADO</t>
        </is>
      </c>
      <c r="B68" s="147" t="n"/>
      <c r="C68" s="35" t="n">
        <v>0</v>
      </c>
      <c r="D68" s="37">
        <f>C68+D67</f>
        <v/>
      </c>
      <c r="E68" s="35">
        <f>D68+E67</f>
        <v/>
      </c>
      <c r="F68" s="35">
        <f>E68+F67</f>
        <v/>
      </c>
      <c r="G68" s="35">
        <f>F68+G67</f>
        <v/>
      </c>
      <c r="H68" s="35">
        <f>G68+H67</f>
        <v/>
      </c>
      <c r="I68" s="36">
        <f>H68+I67</f>
        <v/>
      </c>
      <c r="J68" s="190">
        <f>I68+J67</f>
        <v/>
      </c>
      <c r="K68" s="36">
        <f>J68+K67</f>
        <v/>
      </c>
      <c r="L68" s="111">
        <f>K68+L67</f>
        <v/>
      </c>
      <c r="M68" s="226">
        <f>L68+M67</f>
        <v/>
      </c>
      <c r="N68" s="226">
        <f>M68+N67</f>
        <v/>
      </c>
      <c r="O68" s="226">
        <f>N68+O67</f>
        <v/>
      </c>
      <c r="P68" s="226">
        <f>O68+P67</f>
        <v/>
      </c>
      <c r="Q68" s="226">
        <f>P68+Q67</f>
        <v/>
      </c>
      <c r="R68" s="226">
        <f>Q68+R67</f>
        <v/>
      </c>
      <c r="S68" s="226">
        <f>R68+S67</f>
        <v/>
      </c>
      <c r="T68" s="226">
        <f>S68+T67</f>
        <v/>
      </c>
      <c r="U68" s="226">
        <f>T68+U67</f>
        <v/>
      </c>
      <c r="V68" s="226">
        <f>U68+V67</f>
        <v/>
      </c>
      <c r="W68" s="226">
        <f>V68+W67</f>
        <v/>
      </c>
      <c r="X68" s="226">
        <f>W68+X67</f>
        <v/>
      </c>
      <c r="Y68" s="226">
        <f>X68+Y67</f>
        <v/>
      </c>
      <c r="Z68" s="226">
        <f>Y68+Z67</f>
        <v/>
      </c>
      <c r="AA68" s="226">
        <f>Z68+AA67</f>
        <v/>
      </c>
      <c r="AB68" s="226">
        <f>AA68+AB67</f>
        <v/>
      </c>
      <c r="AC68" s="226">
        <f>AB68+AC67</f>
        <v/>
      </c>
      <c r="AD68" s="201" t="n"/>
      <c r="AE68" s="247" t="n">
        <v>0</v>
      </c>
      <c r="AF68" s="201" t="n"/>
      <c r="AG68" s="37">
        <f>AA68+AG67</f>
        <v/>
      </c>
      <c r="AH68" s="37">
        <f>AG68+AH67</f>
        <v/>
      </c>
      <c r="AI68" s="35">
        <f>AH68+AI67</f>
        <v/>
      </c>
      <c r="AJ68" s="35">
        <f>AI68+AJ67</f>
        <v/>
      </c>
      <c r="AK68" s="35">
        <f>AJ68+AK67</f>
        <v/>
      </c>
      <c r="AL68" s="35">
        <f>AK68+AL67</f>
        <v/>
      </c>
      <c r="AM68" s="35">
        <f>AL68+AM67</f>
        <v/>
      </c>
      <c r="AN68" s="35">
        <f>AM68+AN67</f>
        <v/>
      </c>
      <c r="AO68" s="35">
        <f>AN68+AO67</f>
        <v/>
      </c>
      <c r="AP68" s="35">
        <f>AO68+AP67</f>
        <v/>
      </c>
      <c r="AQ68" s="36">
        <f>AP68+AQ67</f>
        <v/>
      </c>
      <c r="AR68" s="36">
        <f>AQ68+AR67</f>
        <v/>
      </c>
      <c r="AS68" s="35">
        <f>AR68+AS67</f>
        <v/>
      </c>
      <c r="AT68" s="35">
        <f>AS68+AT67</f>
        <v/>
      </c>
      <c r="AU68" s="35">
        <f>AT68+AU67</f>
        <v/>
      </c>
      <c r="AV68" s="35">
        <f>AU68+AV67</f>
        <v/>
      </c>
      <c r="AW68" s="35">
        <f>AV68+AW67</f>
        <v/>
      </c>
      <c r="AX68" s="35">
        <f>AW68+AX67</f>
        <v/>
      </c>
      <c r="AY68" s="35">
        <f>AX68+AY67</f>
        <v/>
      </c>
      <c r="AZ68" s="35">
        <f>AY68+AZ67</f>
        <v/>
      </c>
      <c r="BA68" s="35">
        <f>AZ68+BA67</f>
        <v/>
      </c>
      <c r="BB68" s="35">
        <f>BA68+BB67</f>
        <v/>
      </c>
      <c r="BC68" s="35">
        <f>BB68+BC67</f>
        <v/>
      </c>
      <c r="BD68" s="310">
        <f>BC68+BD67</f>
        <v/>
      </c>
      <c r="BE68" s="37">
        <f>BD68+BE67</f>
        <v/>
      </c>
      <c r="BF68" s="35">
        <f>BE68+BF67</f>
        <v/>
      </c>
      <c r="BG68" s="35">
        <f>BF68+BG67</f>
        <v/>
      </c>
      <c r="BH68" s="35">
        <f>BG68+BH67</f>
        <v/>
      </c>
      <c r="BI68" s="35">
        <f>BH68+BI67</f>
        <v/>
      </c>
      <c r="BJ68" s="35">
        <f>BI68+BJ67</f>
        <v/>
      </c>
      <c r="BK68" s="35">
        <f>BJ68+BK67</f>
        <v/>
      </c>
      <c r="BL68" s="35">
        <f>BK68+BL67</f>
        <v/>
      </c>
      <c r="BM68" s="35">
        <f>BL68+BM67</f>
        <v/>
      </c>
      <c r="BN68" s="35">
        <f>BM68+BN67</f>
        <v/>
      </c>
      <c r="BO68" s="35">
        <f>BN68+BO67</f>
        <v/>
      </c>
      <c r="BP68" s="310">
        <f>BO68+BP67</f>
        <v/>
      </c>
      <c r="BQ68" s="37">
        <f>BP68+BQ67</f>
        <v/>
      </c>
      <c r="BR68" s="35">
        <f>BQ68+BR67</f>
        <v/>
      </c>
      <c r="BS68" s="35">
        <f>BR68+BS67</f>
        <v/>
      </c>
      <c r="BT68" s="35">
        <f>BS68+BT67</f>
        <v/>
      </c>
      <c r="BU68" s="35">
        <f>BT68+BU67</f>
        <v/>
      </c>
      <c r="BV68" s="35">
        <f>BU68+BV67</f>
        <v/>
      </c>
      <c r="BW68" s="35">
        <f>BV68+BW67</f>
        <v/>
      </c>
      <c r="BX68" s="35">
        <f>BW68+BX67</f>
        <v/>
      </c>
      <c r="BY68" s="35">
        <f>BX68+BY67</f>
        <v/>
      </c>
      <c r="BZ68" s="35">
        <f>BY68+BZ67</f>
        <v/>
      </c>
      <c r="CA68" s="35">
        <f>BZ68+CA67</f>
        <v/>
      </c>
      <c r="CB68" s="310">
        <f>CA68+CB67</f>
        <v/>
      </c>
      <c r="CC68" s="37">
        <f>CB68+CC67</f>
        <v/>
      </c>
      <c r="CD68" s="35">
        <f>CC68+CD67</f>
        <v/>
      </c>
      <c r="CE68" s="35">
        <f>CD68+CE67</f>
        <v/>
      </c>
      <c r="CF68" s="35">
        <f>CE68+CF67</f>
        <v/>
      </c>
      <c r="CG68" s="35">
        <f>CF68+CG67</f>
        <v/>
      </c>
      <c r="CH68" s="35">
        <f>CG68+CH67</f>
        <v/>
      </c>
      <c r="CI68" s="35">
        <f>CH68+CI67</f>
        <v/>
      </c>
      <c r="CJ68" s="35">
        <f>CI68+CJ67</f>
        <v/>
      </c>
      <c r="CK68" s="35">
        <f>CJ68+CK67</f>
        <v/>
      </c>
      <c r="CL68" s="35">
        <f>CK68+CL67</f>
        <v/>
      </c>
      <c r="CM68" s="35">
        <f>CL68+CM67</f>
        <v/>
      </c>
      <c r="CN68" s="310">
        <f>CM68+CN67</f>
        <v/>
      </c>
      <c r="CO68" s="37">
        <f>CN68+CO67</f>
        <v/>
      </c>
      <c r="CP68" s="35">
        <f>CO68+CP67</f>
        <v/>
      </c>
      <c r="CQ68" s="35">
        <f>CP68+CQ67</f>
        <v/>
      </c>
      <c r="CR68" s="35">
        <f>CQ68+CR67</f>
        <v/>
      </c>
      <c r="CS68" s="35">
        <f>CR68+CS67</f>
        <v/>
      </c>
      <c r="CT68" s="35">
        <f>CS68+CT67</f>
        <v/>
      </c>
      <c r="CU68" s="35">
        <f>CT68+CU67</f>
        <v/>
      </c>
      <c r="CV68" s="35">
        <f>CU68+CV67</f>
        <v/>
      </c>
      <c r="CW68" s="35">
        <f>CV68+CW67</f>
        <v/>
      </c>
      <c r="CX68" s="35">
        <f>CW68+CX67</f>
        <v/>
      </c>
      <c r="CY68" s="35">
        <f>CX68+CY67</f>
        <v/>
      </c>
      <c r="CZ68" s="310">
        <f>CY68+CZ67</f>
        <v/>
      </c>
      <c r="DA68" s="37">
        <f>CZ68+DA67</f>
        <v/>
      </c>
      <c r="DB68" s="35">
        <f>DA68+DB67</f>
        <v/>
      </c>
      <c r="DC68" s="35">
        <f>DB68+DC67</f>
        <v/>
      </c>
      <c r="DD68" s="35">
        <f>DC68+DD67</f>
        <v/>
      </c>
      <c r="DE68" s="35">
        <f>DD68+DE67</f>
        <v/>
      </c>
      <c r="DF68" s="35">
        <f>DE68+DF67</f>
        <v/>
      </c>
      <c r="DG68" s="35">
        <f>DF68+DG67</f>
        <v/>
      </c>
      <c r="DH68" s="35">
        <f>DG68+DH67</f>
        <v/>
      </c>
      <c r="DI68" s="35">
        <f>DH68+DI67</f>
        <v/>
      </c>
      <c r="DJ68" s="36">
        <f>DI68+DJ67</f>
        <v/>
      </c>
      <c r="DK68" s="35">
        <f>DJ68+DK67</f>
        <v/>
      </c>
      <c r="DL68" s="36">
        <f>DK68+DL67</f>
        <v/>
      </c>
      <c r="DM68" s="35">
        <f>DL68+DM67</f>
        <v/>
      </c>
      <c r="DN68" s="36">
        <f>DM68+DN67</f>
        <v/>
      </c>
      <c r="DO68" s="36">
        <f>DN68+DO67</f>
        <v/>
      </c>
      <c r="DP68" s="36">
        <f>DO68+DP67</f>
        <v/>
      </c>
      <c r="DQ68" s="36">
        <f>DP68+DQ67</f>
        <v/>
      </c>
      <c r="DR68" s="36">
        <f>DQ68+DR67</f>
        <v/>
      </c>
      <c r="DS68" s="36">
        <f>DR68+DS67</f>
        <v/>
      </c>
      <c r="DT68" s="36">
        <f>DS68+DT67</f>
        <v/>
      </c>
      <c r="DU68" s="36">
        <f>DT68+DU67</f>
        <v/>
      </c>
      <c r="DV68" s="36">
        <f>DU68+DV67</f>
        <v/>
      </c>
      <c r="DW68" s="36">
        <f>DV68+DW67</f>
        <v/>
      </c>
      <c r="DX68" s="36">
        <f>DW68+DX67</f>
        <v/>
      </c>
      <c r="DY68" s="36">
        <f>DX68+DY67</f>
        <v/>
      </c>
      <c r="DZ68" s="36">
        <f>DY68+DZ67</f>
        <v/>
      </c>
      <c r="EA68" s="36">
        <f>DZ68+EA67</f>
        <v/>
      </c>
      <c r="EB68" s="36">
        <f>EA68+EB67</f>
        <v/>
      </c>
      <c r="EC68" s="36">
        <f>EB68+EC67</f>
        <v/>
      </c>
      <c r="ED68" s="36">
        <f>EC68+ED67</f>
        <v/>
      </c>
      <c r="EE68" s="36">
        <f>ED68+EE67</f>
        <v/>
      </c>
      <c r="EF68" s="36">
        <f>EE68+EF67</f>
        <v/>
      </c>
      <c r="EG68" s="36">
        <f>EF68+EG67</f>
        <v/>
      </c>
      <c r="EH68" s="36">
        <f>EG68+EH67</f>
        <v/>
      </c>
      <c r="EI68" s="36">
        <f>EH68+EI67</f>
        <v/>
      </c>
      <c r="EJ68" s="36">
        <f>EI68+EJ67</f>
        <v/>
      </c>
      <c r="EK68" s="36">
        <f>EJ68+EK67</f>
        <v/>
      </c>
      <c r="EL68" s="36">
        <f>EK68+EL67</f>
        <v/>
      </c>
      <c r="EM68" s="36">
        <f>EL68+EM67</f>
        <v/>
      </c>
      <c r="EN68" s="36">
        <f>EM68+EN67</f>
        <v/>
      </c>
      <c r="EO68" s="36">
        <f>EN68+EO67</f>
        <v/>
      </c>
      <c r="EP68" s="36">
        <f>EO68+EP67</f>
        <v/>
      </c>
      <c r="EQ68" s="36">
        <f>EP68+EQ67</f>
        <v/>
      </c>
      <c r="ER68" s="36">
        <f>EQ68+ER67</f>
        <v/>
      </c>
      <c r="ES68" s="36">
        <f>ER68+ES67</f>
        <v/>
      </c>
      <c r="ET68" s="36">
        <f>ES68+ET67</f>
        <v/>
      </c>
      <c r="EU68" s="36">
        <f>ET68+EU67</f>
        <v/>
      </c>
      <c r="EV68" s="36">
        <f>EU68+EV67</f>
        <v/>
      </c>
      <c r="EW68" s="36">
        <f>EV68+EW67</f>
        <v/>
      </c>
      <c r="EX68" s="36">
        <f>EW68+EX67</f>
        <v/>
      </c>
      <c r="EY68" s="36">
        <f>EX68+EY67</f>
        <v/>
      </c>
      <c r="EZ68" s="36">
        <f>EY68+EZ67</f>
        <v/>
      </c>
      <c r="FA68" s="36">
        <f>EZ68+FA67</f>
        <v/>
      </c>
      <c r="FB68" s="36">
        <f>FA68+FB67</f>
        <v/>
      </c>
      <c r="FC68" s="36">
        <f>FB68+FC67</f>
        <v/>
      </c>
      <c r="FD68" s="36">
        <f>FC68+FD67</f>
        <v/>
      </c>
      <c r="FE68" s="36">
        <f>FD68+FE67</f>
        <v/>
      </c>
      <c r="FF68" s="36">
        <f>FE68+FF67</f>
        <v/>
      </c>
      <c r="FG68" s="36">
        <f>FF68+FG67</f>
        <v/>
      </c>
      <c r="FH68" s="36">
        <f>FG68+FH67</f>
        <v/>
      </c>
      <c r="FI68" s="36">
        <f>FH68+FI67</f>
        <v/>
      </c>
      <c r="FJ68" s="36">
        <f>FI68+FJ67</f>
        <v/>
      </c>
      <c r="FK68" s="36">
        <f>FJ68+FK67</f>
        <v/>
      </c>
      <c r="FL68" s="36">
        <f>FK68+FL67</f>
        <v/>
      </c>
      <c r="FM68" s="36">
        <f>FL68+FM67</f>
        <v/>
      </c>
      <c r="FN68" s="36">
        <f>FM68+FN67</f>
        <v/>
      </c>
      <c r="FO68" s="36">
        <f>FN68+FO67</f>
        <v/>
      </c>
      <c r="FP68" s="36">
        <f>FO68+FP67</f>
        <v/>
      </c>
      <c r="FQ68" s="36">
        <f>FP68+FQ67</f>
        <v/>
      </c>
      <c r="FR68" s="36">
        <f>FQ68+FR67</f>
        <v/>
      </c>
      <c r="FS68" s="36">
        <f>FR68+FS67</f>
        <v/>
      </c>
      <c r="FT68" s="36">
        <f>FS68+FT67</f>
        <v/>
      </c>
      <c r="FU68" s="36">
        <f>FT68+FU67</f>
        <v/>
      </c>
      <c r="FV68" s="36">
        <f>FU68+FV67</f>
        <v/>
      </c>
      <c r="FW68" s="36">
        <f>FV68+FW67</f>
        <v/>
      </c>
      <c r="FX68" s="36">
        <f>FW68+FX67</f>
        <v/>
      </c>
      <c r="FY68" s="36">
        <f>FX68+FY67</f>
        <v/>
      </c>
      <c r="FZ68" s="36">
        <f>FY68+FZ67</f>
        <v/>
      </c>
      <c r="GA68" s="36">
        <f>FZ68+GA67</f>
        <v/>
      </c>
      <c r="GB68" s="36">
        <f>GA68+GB67</f>
        <v/>
      </c>
      <c r="GC68" s="36">
        <f>GB68+GC67</f>
        <v/>
      </c>
      <c r="GD68" s="36">
        <f>GC68+GD67</f>
        <v/>
      </c>
      <c r="GE68" s="36">
        <f>GD68+GE67</f>
        <v/>
      </c>
      <c r="GF68" s="36">
        <f>GE68+GF67</f>
        <v/>
      </c>
      <c r="GG68" s="36">
        <f>GF68+GG67</f>
        <v/>
      </c>
      <c r="GH68" s="36">
        <f>GG68+GH67</f>
        <v/>
      </c>
      <c r="GI68" s="36">
        <f>GH68+GI67</f>
        <v/>
      </c>
      <c r="GJ68" s="36">
        <f>GI68+GJ67</f>
        <v/>
      </c>
      <c r="GK68" s="36">
        <f>GJ68+GK67</f>
        <v/>
      </c>
      <c r="GL68" s="36">
        <f>GK68+GL67</f>
        <v/>
      </c>
      <c r="GM68" s="36">
        <f>GL68+GM67</f>
        <v/>
      </c>
      <c r="GN68" s="36">
        <f>GM68+GN67</f>
        <v/>
      </c>
      <c r="GO68" s="36">
        <f>GN68+GO67</f>
        <v/>
      </c>
      <c r="GP68" s="36">
        <f>GO68+GP67</f>
        <v/>
      </c>
      <c r="GQ68" s="36">
        <f>GP68+GQ67</f>
        <v/>
      </c>
      <c r="GR68" s="36">
        <f>GQ68+GR67</f>
        <v/>
      </c>
      <c r="GS68" s="36">
        <f>GR68+GS67</f>
        <v/>
      </c>
      <c r="GT68" s="36">
        <f>GS68+GT67</f>
        <v/>
      </c>
      <c r="GU68" s="36">
        <f>GT68+GU67</f>
        <v/>
      </c>
      <c r="GV68" s="36">
        <f>GU68+GV67</f>
        <v/>
      </c>
      <c r="GW68" s="36">
        <f>GV68+GW67</f>
        <v/>
      </c>
      <c r="GX68" s="36">
        <f>GW68+GX67</f>
        <v/>
      </c>
      <c r="GY68" s="36">
        <f>GX68+GY67</f>
        <v/>
      </c>
      <c r="GZ68" s="36">
        <f>GY68+GZ67</f>
        <v/>
      </c>
      <c r="HA68" s="36">
        <f>GZ68+HA67</f>
        <v/>
      </c>
      <c r="HB68" s="36">
        <f>HA68+HB67</f>
        <v/>
      </c>
      <c r="HC68" s="36">
        <f>HB68+HC67</f>
        <v/>
      </c>
      <c r="HD68" s="36">
        <f>HC68+HD67</f>
        <v/>
      </c>
      <c r="HE68" s="36">
        <f>HD68+HE67</f>
        <v/>
      </c>
      <c r="HF68" s="36">
        <f>HE68+HF67</f>
        <v/>
      </c>
      <c r="HG68" s="36">
        <f>HF68+HG67</f>
        <v/>
      </c>
      <c r="HH68" s="36">
        <f>HG68+HH67</f>
        <v/>
      </c>
      <c r="HI68" s="36">
        <f>HH68+HI67</f>
        <v/>
      </c>
      <c r="HJ68" s="36">
        <f>HI68+HJ67</f>
        <v/>
      </c>
      <c r="HK68" s="36">
        <f>HJ68+HK67</f>
        <v/>
      </c>
      <c r="HL68" s="36">
        <f>HK68+HL67</f>
        <v/>
      </c>
      <c r="HM68" s="36">
        <f>HL68+HM67</f>
        <v/>
      </c>
      <c r="HN68" s="36">
        <f>HM68+HN67</f>
        <v/>
      </c>
      <c r="HO68" s="36">
        <f>HN68+HO67</f>
        <v/>
      </c>
      <c r="HP68" s="36">
        <f>HO68+HP67</f>
        <v/>
      </c>
      <c r="HQ68" s="36">
        <f>HP68+HQ67</f>
        <v/>
      </c>
      <c r="HR68" s="36">
        <f>HQ68+HR67</f>
        <v/>
      </c>
      <c r="HS68" s="36">
        <f>HR68+HS67</f>
        <v/>
      </c>
      <c r="HT68" s="36">
        <f>HS68+HT67</f>
        <v/>
      </c>
      <c r="HU68" s="36">
        <f>HT68+HU67</f>
        <v/>
      </c>
    </row>
    <row r="69" ht="6.6" customHeight="1" thickTop="1">
      <c r="A69" s="1" t="n"/>
      <c r="B69" s="128" t="n"/>
      <c r="C69" s="512" t="n"/>
      <c r="D69" s="512" t="n"/>
      <c r="E69" s="512" t="n"/>
      <c r="F69" s="512" t="n"/>
      <c r="G69" s="512" t="n"/>
      <c r="H69" s="512" t="n"/>
      <c r="I69" s="512" t="n"/>
      <c r="J69" s="513" t="n"/>
      <c r="K69" s="512" t="n"/>
      <c r="L69" s="512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514" t="n"/>
      <c r="AA69" s="514" t="n"/>
      <c r="AB69" s="514" t="n"/>
      <c r="AC69" s="514" t="n"/>
      <c r="AD69" s="512" t="n"/>
      <c r="AE69" s="533" t="n"/>
      <c r="AF69" s="512" t="n"/>
      <c r="AG69" s="512" t="n"/>
      <c r="AH69" s="512" t="n"/>
      <c r="AI69" s="512" t="n"/>
      <c r="AJ69" s="512" t="n"/>
      <c r="AK69" s="512" t="n"/>
      <c r="AL69" s="512" t="n"/>
      <c r="AM69" s="512" t="n"/>
      <c r="AN69" s="512" t="n"/>
      <c r="AO69" s="512" t="n"/>
      <c r="AP69" s="512" t="n"/>
      <c r="AQ69" s="512" t="n"/>
      <c r="AR69" s="512" t="n"/>
      <c r="AS69" s="512" t="n"/>
      <c r="AT69" s="512" t="n"/>
      <c r="AU69" s="512" t="n"/>
      <c r="AV69" s="512" t="n"/>
      <c r="AW69" s="512" t="n"/>
      <c r="AX69" s="512" t="n"/>
      <c r="AY69" s="512" t="n"/>
      <c r="AZ69" s="512" t="n"/>
      <c r="BA69" s="512" t="n"/>
      <c r="BB69" s="512" t="n"/>
      <c r="BC69" s="512" t="n"/>
      <c r="BD69" s="515" t="n"/>
      <c r="BE69" s="512" t="n"/>
      <c r="BF69" s="512" t="n"/>
      <c r="BG69" s="512" t="n"/>
      <c r="BH69" s="512" t="n"/>
      <c r="BI69" s="512" t="n"/>
      <c r="BJ69" s="512" t="n"/>
      <c r="BK69" s="512" t="n"/>
      <c r="BL69" s="512" t="n"/>
      <c r="BM69" s="512" t="n"/>
      <c r="BN69" s="512" t="n"/>
      <c r="BO69" s="512" t="n"/>
      <c r="BP69" s="515" t="n"/>
      <c r="BQ69" s="512" t="n"/>
      <c r="BR69" s="512" t="n"/>
      <c r="BS69" s="512" t="n"/>
      <c r="BT69" s="512" t="n"/>
      <c r="BU69" s="512" t="n"/>
      <c r="BV69" s="512" t="n"/>
      <c r="BW69" s="512" t="n"/>
      <c r="BX69" s="512" t="n"/>
      <c r="BY69" s="512" t="n"/>
      <c r="BZ69" s="512" t="n"/>
      <c r="CA69" s="512" t="n"/>
      <c r="CB69" s="515" t="n"/>
      <c r="CC69" s="512" t="n"/>
      <c r="CD69" s="512" t="n"/>
      <c r="CE69" s="512" t="n"/>
      <c r="CF69" s="512" t="n"/>
      <c r="CG69" s="512" t="n"/>
      <c r="CH69" s="512" t="n"/>
      <c r="CI69" s="512" t="n"/>
      <c r="CJ69" s="512" t="n"/>
      <c r="CK69" s="512" t="n"/>
      <c r="CL69" s="512" t="n"/>
      <c r="CM69" s="512" t="n"/>
      <c r="CN69" s="515" t="n"/>
      <c r="CO69" s="512" t="n"/>
      <c r="CP69" s="512" t="n"/>
      <c r="CQ69" s="512" t="n"/>
      <c r="CR69" s="512" t="n"/>
      <c r="CS69" s="512" t="n"/>
      <c r="CT69" s="512" t="n"/>
      <c r="CU69" s="512" t="n"/>
      <c r="CV69" s="512" t="n"/>
      <c r="CW69" s="512" t="n"/>
      <c r="CX69" s="512" t="n"/>
      <c r="CY69" s="512" t="n"/>
      <c r="CZ69" s="515" t="n"/>
      <c r="DA69" s="512" t="n"/>
      <c r="DB69" s="512" t="n"/>
      <c r="DC69" s="512" t="n"/>
      <c r="DD69" s="512" t="n"/>
      <c r="DE69" s="512" t="n"/>
      <c r="DF69" s="512" t="n"/>
      <c r="DG69" s="512" t="n"/>
      <c r="DH69" s="512" t="n"/>
      <c r="DI69" s="512" t="n"/>
      <c r="DJ69" s="512" t="n"/>
      <c r="DK69" s="512" t="n"/>
      <c r="DL69" s="512" t="n"/>
      <c r="DM69" s="512" t="n"/>
      <c r="DN69" s="512" t="n"/>
      <c r="DO69" s="512" t="n"/>
      <c r="DP69" s="512" t="n"/>
      <c r="DQ69" s="512" t="n"/>
      <c r="DR69" s="512" t="n"/>
      <c r="DS69" s="512" t="n"/>
      <c r="DT69" s="512" t="n"/>
      <c r="DU69" s="512" t="n"/>
      <c r="DV69" s="512" t="n"/>
      <c r="DW69" s="512" t="n"/>
      <c r="DX69" s="512" t="n"/>
      <c r="DY69" s="512" t="n"/>
      <c r="DZ69" s="512" t="n"/>
      <c r="EA69" s="512" t="n"/>
      <c r="EB69" s="512" t="n"/>
      <c r="EC69" s="512" t="n"/>
      <c r="ED69" s="512" t="n"/>
      <c r="EE69" s="512" t="n"/>
      <c r="EF69" s="512" t="n"/>
      <c r="EG69" s="512" t="n"/>
      <c r="EH69" s="512" t="n"/>
      <c r="EI69" s="512" t="n"/>
      <c r="EJ69" s="512" t="n"/>
      <c r="EK69" s="512" t="n"/>
      <c r="EL69" s="512" t="n"/>
      <c r="EM69" s="512" t="n"/>
      <c r="EN69" s="512" t="n"/>
      <c r="EO69" s="512" t="n"/>
      <c r="EP69" s="512" t="n"/>
      <c r="EQ69" s="512" t="n"/>
      <c r="ER69" s="512" t="n"/>
      <c r="ES69" s="512" t="n"/>
      <c r="ET69" s="512" t="n"/>
      <c r="EU69" s="512" t="n"/>
      <c r="EV69" s="512" t="n"/>
      <c r="EW69" s="512" t="n"/>
      <c r="EX69" s="512" t="n"/>
      <c r="EY69" s="512" t="n"/>
      <c r="EZ69" s="512" t="n"/>
      <c r="FA69" s="512" t="n"/>
      <c r="FB69" s="512" t="n"/>
      <c r="FC69" s="512" t="n"/>
      <c r="FD69" s="512" t="n"/>
      <c r="FE69" s="512" t="n"/>
      <c r="FF69" s="512" t="n"/>
      <c r="FG69" s="512" t="n"/>
      <c r="FH69" s="512" t="n"/>
      <c r="FI69" s="512" t="n"/>
      <c r="FJ69" s="512" t="n"/>
      <c r="FK69" s="512" t="n"/>
      <c r="FL69" s="512" t="n"/>
      <c r="FM69" s="512" t="n"/>
      <c r="FN69" s="512" t="n"/>
      <c r="FO69" s="512" t="n"/>
      <c r="FP69" s="512" t="n"/>
      <c r="FQ69" s="512" t="n"/>
      <c r="FR69" s="512" t="n"/>
      <c r="FS69" s="512" t="n"/>
      <c r="FT69" s="512" t="n"/>
      <c r="FU69" s="512" t="n"/>
      <c r="FV69" s="512" t="n"/>
      <c r="FW69" s="512" t="n"/>
      <c r="FX69" s="512" t="n"/>
      <c r="FY69" s="512" t="n"/>
      <c r="FZ69" s="512" t="n"/>
      <c r="GA69" s="512" t="n"/>
      <c r="GB69" s="512" t="n"/>
      <c r="GC69" s="512" t="n"/>
      <c r="GD69" s="512" t="n"/>
      <c r="GE69" s="512" t="n"/>
      <c r="GF69" s="512" t="n"/>
      <c r="GG69" s="512" t="n"/>
      <c r="GH69" s="512" t="n"/>
      <c r="GI69" s="512" t="n"/>
      <c r="GJ69" s="512" t="n"/>
      <c r="GK69" s="512" t="n"/>
      <c r="GL69" s="512" t="n"/>
      <c r="GM69" s="512" t="n"/>
      <c r="GN69" s="512" t="n"/>
      <c r="GO69" s="512" t="n"/>
      <c r="GP69" s="512" t="n"/>
      <c r="GQ69" s="512" t="n"/>
      <c r="GR69" s="512" t="n"/>
      <c r="GS69" s="512" t="n"/>
      <c r="GT69" s="512" t="n"/>
      <c r="GU69" s="512" t="n"/>
      <c r="GV69" s="512" t="n"/>
      <c r="GW69" s="512" t="n"/>
      <c r="GX69" s="512" t="n"/>
      <c r="GY69" s="512" t="n"/>
      <c r="GZ69" s="512" t="n"/>
      <c r="HA69" s="512" t="n"/>
      <c r="HB69" s="512" t="n"/>
      <c r="HC69" s="512" t="n"/>
      <c r="HD69" s="512" t="n"/>
      <c r="HE69" s="512" t="n"/>
      <c r="HF69" s="512" t="n"/>
      <c r="HG69" s="512" t="n"/>
      <c r="HH69" s="512" t="n"/>
      <c r="HI69" s="512" t="n"/>
      <c r="HJ69" s="512" t="n"/>
      <c r="HK69" s="512" t="n"/>
      <c r="HL69" s="512" t="n"/>
      <c r="HM69" s="512" t="n"/>
      <c r="HN69" s="512" t="n"/>
      <c r="HO69" s="512" t="n"/>
      <c r="HP69" s="512" t="n"/>
      <c r="HQ69" s="512" t="n"/>
      <c r="HR69" s="512" t="n"/>
      <c r="HS69" s="512" t="n"/>
      <c r="HT69" s="512" t="n"/>
      <c r="HU69" s="512" t="n"/>
    </row>
    <row r="70" ht="16.2" customHeight="1" thickBot="1">
      <c r="A70" s="124" t="inlineStr">
        <is>
          <t>SALDO DE CAIXA (MENSAL)</t>
        </is>
      </c>
      <c r="B70" s="148" t="n"/>
      <c r="C70" s="534">
        <f>C20+C67</f>
        <v/>
      </c>
      <c r="D70" s="534">
        <f>D20+D67</f>
        <v/>
      </c>
      <c r="E70" s="534">
        <f>E20+E67</f>
        <v/>
      </c>
      <c r="F70" s="534">
        <f>F20+F67</f>
        <v/>
      </c>
      <c r="G70" s="534">
        <f>G20+G67</f>
        <v/>
      </c>
      <c r="H70" s="534">
        <f>H20+H67</f>
        <v/>
      </c>
      <c r="I70" s="534">
        <f>I20+I67</f>
        <v/>
      </c>
      <c r="J70" s="534">
        <f>J20+J67</f>
        <v/>
      </c>
      <c r="K70" s="534">
        <f>K20+K67</f>
        <v/>
      </c>
      <c r="L70" s="534">
        <f>L20+L67</f>
        <v/>
      </c>
      <c r="M70" s="535">
        <f>M20+M67</f>
        <v/>
      </c>
      <c r="N70" s="535">
        <f>N20+N67</f>
        <v/>
      </c>
      <c r="O70" s="535">
        <f>O20+O67</f>
        <v/>
      </c>
      <c r="P70" s="535">
        <f>P20+P67</f>
        <v/>
      </c>
      <c r="Q70" s="535">
        <f>Q20+Q67</f>
        <v/>
      </c>
      <c r="R70" s="535">
        <f>R20+R67</f>
        <v/>
      </c>
      <c r="S70" s="535">
        <f>S20+S67</f>
        <v/>
      </c>
      <c r="T70" s="535">
        <f>T20+T67</f>
        <v/>
      </c>
      <c r="U70" s="535">
        <f>U20+U67</f>
        <v/>
      </c>
      <c r="V70" s="535">
        <f>V20+V67</f>
        <v/>
      </c>
      <c r="W70" s="535">
        <f>W20+W67</f>
        <v/>
      </c>
      <c r="X70" s="535">
        <f>X20+X67</f>
        <v/>
      </c>
      <c r="Y70" s="535">
        <f>Y20+Y67</f>
        <v/>
      </c>
      <c r="Z70" s="535">
        <f>Z20+Z67</f>
        <v/>
      </c>
      <c r="AA70" s="535">
        <f>AA20+AA67</f>
        <v/>
      </c>
      <c r="AB70" s="535">
        <f>AB20+AB67</f>
        <v/>
      </c>
      <c r="AC70" s="535">
        <f>AC20+AC67</f>
        <v/>
      </c>
      <c r="AD70" s="13" t="n"/>
      <c r="AE70" s="246" t="n">
        <v>0</v>
      </c>
      <c r="AF70" s="13" t="n"/>
      <c r="AG70" s="534">
        <f>AG20+AG67</f>
        <v/>
      </c>
      <c r="AH70" s="534">
        <f>AH20+AH67</f>
        <v/>
      </c>
      <c r="AI70" s="534">
        <f>AI20+AI67</f>
        <v/>
      </c>
      <c r="AJ70" s="534">
        <f>AJ20+AJ67</f>
        <v/>
      </c>
      <c r="AK70" s="534">
        <f>AK20+AK67</f>
        <v/>
      </c>
      <c r="AL70" s="534">
        <f>AL20+AL67</f>
        <v/>
      </c>
      <c r="AM70" s="534">
        <f>AM20+AM67</f>
        <v/>
      </c>
      <c r="AN70" s="534">
        <f>AN20+AN67</f>
        <v/>
      </c>
      <c r="AO70" s="534">
        <f>AO20+AO67</f>
        <v/>
      </c>
      <c r="AP70" s="534">
        <f>AP20+AP67</f>
        <v/>
      </c>
      <c r="AQ70" s="534">
        <f>AQ20+AQ67</f>
        <v/>
      </c>
      <c r="AR70" s="534">
        <f>AR20+AR67</f>
        <v/>
      </c>
      <c r="AS70" s="534">
        <f>AS20+AS67</f>
        <v/>
      </c>
      <c r="AT70" s="534">
        <f>AT20+AT67</f>
        <v/>
      </c>
      <c r="AU70" s="534">
        <f>AU20+AU67</f>
        <v/>
      </c>
      <c r="AV70" s="534">
        <f>AV20+AV67</f>
        <v/>
      </c>
      <c r="AW70" s="534">
        <f>AW20+AW67</f>
        <v/>
      </c>
      <c r="AX70" s="534">
        <f>AX20+AX67</f>
        <v/>
      </c>
      <c r="AY70" s="534">
        <f>AY20+AY67</f>
        <v/>
      </c>
      <c r="AZ70" s="534">
        <f>AZ20+AZ67</f>
        <v/>
      </c>
      <c r="BA70" s="534">
        <f>BA20+BA67</f>
        <v/>
      </c>
      <c r="BB70" s="534">
        <f>BB20+BB67</f>
        <v/>
      </c>
      <c r="BC70" s="534">
        <f>BC20+BC67</f>
        <v/>
      </c>
      <c r="BD70" s="536">
        <f>BD20+BD67</f>
        <v/>
      </c>
      <c r="BE70" s="534">
        <f>BE20+BE67</f>
        <v/>
      </c>
      <c r="BF70" s="534">
        <f>BF20+BF67</f>
        <v/>
      </c>
      <c r="BG70" s="534">
        <f>BG20+BG67</f>
        <v/>
      </c>
      <c r="BH70" s="534">
        <f>BH20+BH67</f>
        <v/>
      </c>
      <c r="BI70" s="534">
        <f>BI20+BI67</f>
        <v/>
      </c>
      <c r="BJ70" s="534">
        <f>BJ20+BJ67</f>
        <v/>
      </c>
      <c r="BK70" s="534">
        <f>BK20+BK67</f>
        <v/>
      </c>
      <c r="BL70" s="534">
        <f>BL20+BL67</f>
        <v/>
      </c>
      <c r="BM70" s="534">
        <f>BM20+BM67</f>
        <v/>
      </c>
      <c r="BN70" s="534">
        <f>BN20+BN67</f>
        <v/>
      </c>
      <c r="BO70" s="534">
        <f>BO20+BO67</f>
        <v/>
      </c>
      <c r="BP70" s="536">
        <f>BP20+BP67</f>
        <v/>
      </c>
      <c r="BQ70" s="534">
        <f>BQ20+BQ67</f>
        <v/>
      </c>
      <c r="BR70" s="534">
        <f>BR20+BR67</f>
        <v/>
      </c>
      <c r="BS70" s="534">
        <f>BS20+BS67</f>
        <v/>
      </c>
      <c r="BT70" s="534">
        <f>BT20+BT67</f>
        <v/>
      </c>
      <c r="BU70" s="534">
        <f>BU20+BU67</f>
        <v/>
      </c>
      <c r="BV70" s="534">
        <f>BV20+BV67</f>
        <v/>
      </c>
      <c r="BW70" s="534">
        <f>BW20+BW67</f>
        <v/>
      </c>
      <c r="BX70" s="534">
        <f>BX20+BX67</f>
        <v/>
      </c>
      <c r="BY70" s="534">
        <f>BY20+BY67</f>
        <v/>
      </c>
      <c r="BZ70" s="534">
        <f>BZ20+BZ67</f>
        <v/>
      </c>
      <c r="CA70" s="534">
        <f>CA20+CA67</f>
        <v/>
      </c>
      <c r="CB70" s="536">
        <f>CB20+CB67</f>
        <v/>
      </c>
      <c r="CC70" s="534">
        <f>CC20+CC67</f>
        <v/>
      </c>
      <c r="CD70" s="534">
        <f>CD20+CD67</f>
        <v/>
      </c>
      <c r="CE70" s="534">
        <f>CE20+CE67</f>
        <v/>
      </c>
      <c r="CF70" s="534">
        <f>CF20+CF67</f>
        <v/>
      </c>
      <c r="CG70" s="534">
        <f>CG20+CG67</f>
        <v/>
      </c>
      <c r="CH70" s="534">
        <f>CH20+CH67</f>
        <v/>
      </c>
      <c r="CI70" s="534">
        <f>CI20+CI67</f>
        <v/>
      </c>
      <c r="CJ70" s="534">
        <f>CJ20+CJ67</f>
        <v/>
      </c>
      <c r="CK70" s="534">
        <f>CK20+CK67</f>
        <v/>
      </c>
      <c r="CL70" s="534">
        <f>CL20+CL67</f>
        <v/>
      </c>
      <c r="CM70" s="534">
        <f>CM20+CM67</f>
        <v/>
      </c>
      <c r="CN70" s="536">
        <f>CN20+CN67</f>
        <v/>
      </c>
      <c r="CO70" s="534">
        <f>CO20+CO67</f>
        <v/>
      </c>
      <c r="CP70" s="534">
        <f>CP20+CP67</f>
        <v/>
      </c>
      <c r="CQ70" s="534">
        <f>CQ20+CQ67</f>
        <v/>
      </c>
      <c r="CR70" s="534">
        <f>CR20+CR67</f>
        <v/>
      </c>
      <c r="CS70" s="534">
        <f>CS20+CS67</f>
        <v/>
      </c>
      <c r="CT70" s="534">
        <f>CT20+CT67</f>
        <v/>
      </c>
      <c r="CU70" s="534">
        <f>CU20+CU67</f>
        <v/>
      </c>
      <c r="CV70" s="534">
        <f>CV20+CV67</f>
        <v/>
      </c>
      <c r="CW70" s="534">
        <f>CW20+CW67</f>
        <v/>
      </c>
      <c r="CX70" s="534">
        <f>CX20+CX67</f>
        <v/>
      </c>
      <c r="CY70" s="534">
        <f>CY20+CY67</f>
        <v/>
      </c>
      <c r="CZ70" s="536">
        <f>CZ20+CZ67</f>
        <v/>
      </c>
      <c r="DA70" s="534">
        <f>DA20+DA67</f>
        <v/>
      </c>
      <c r="DB70" s="534">
        <f>DB20+DB67</f>
        <v/>
      </c>
      <c r="DC70" s="534">
        <f>DC20+DC67</f>
        <v/>
      </c>
      <c r="DD70" s="534">
        <f>DD20+DD67</f>
        <v/>
      </c>
      <c r="DE70" s="534">
        <f>DE20+DE67</f>
        <v/>
      </c>
      <c r="DF70" s="534">
        <f>DF20+DF67</f>
        <v/>
      </c>
      <c r="DG70" s="534">
        <f>DG20+DG67</f>
        <v/>
      </c>
      <c r="DH70" s="534">
        <f>DH20+DH67</f>
        <v/>
      </c>
      <c r="DI70" s="534">
        <f>DI20+DI67</f>
        <v/>
      </c>
      <c r="DJ70" s="534">
        <f>DJ20+DJ67</f>
        <v/>
      </c>
      <c r="DK70" s="534">
        <f>DK20+DK67</f>
        <v/>
      </c>
      <c r="DL70" s="534">
        <f>DL20+DL67</f>
        <v/>
      </c>
      <c r="DM70" s="534">
        <f>DM20+DM67</f>
        <v/>
      </c>
      <c r="DN70" s="534">
        <f>DN20+DN67</f>
        <v/>
      </c>
      <c r="DO70" s="534">
        <f>DO20+DO67</f>
        <v/>
      </c>
      <c r="DP70" s="534">
        <f>DP20+DP67</f>
        <v/>
      </c>
      <c r="DQ70" s="534">
        <f>DQ20+DQ67</f>
        <v/>
      </c>
      <c r="DR70" s="534">
        <f>DR20+DR67</f>
        <v/>
      </c>
      <c r="DS70" s="534">
        <f>DS20+DS67</f>
        <v/>
      </c>
      <c r="DT70" s="534">
        <f>DT20+DT67</f>
        <v/>
      </c>
      <c r="DU70" s="534">
        <f>DU20+DU67</f>
        <v/>
      </c>
      <c r="DV70" s="534">
        <f>DV20+DV67</f>
        <v/>
      </c>
      <c r="DW70" s="534">
        <f>DW20+DW67</f>
        <v/>
      </c>
      <c r="DX70" s="534">
        <f>DX20+DX67</f>
        <v/>
      </c>
      <c r="DY70" s="534">
        <f>DY20+DY67</f>
        <v/>
      </c>
      <c r="DZ70" s="534">
        <f>DZ20+DZ67</f>
        <v/>
      </c>
      <c r="EA70" s="534">
        <f>EA20+EA67</f>
        <v/>
      </c>
      <c r="EB70" s="534">
        <f>EB20+EB67</f>
        <v/>
      </c>
      <c r="EC70" s="534">
        <f>EC20+EC67</f>
        <v/>
      </c>
      <c r="ED70" s="534">
        <f>ED20+ED67</f>
        <v/>
      </c>
      <c r="EE70" s="534">
        <f>EE20+EE67</f>
        <v/>
      </c>
      <c r="EF70" s="534">
        <f>EF20+EF67</f>
        <v/>
      </c>
      <c r="EG70" s="534">
        <f>EG20+EG67</f>
        <v/>
      </c>
      <c r="EH70" s="534">
        <f>EH20+EH67</f>
        <v/>
      </c>
      <c r="EI70" s="534">
        <f>EI20+EI67</f>
        <v/>
      </c>
      <c r="EJ70" s="534">
        <f>EJ20+EJ67</f>
        <v/>
      </c>
      <c r="EK70" s="534">
        <f>EK20+EK67</f>
        <v/>
      </c>
      <c r="EL70" s="534">
        <f>EL20+EL67</f>
        <v/>
      </c>
      <c r="EM70" s="534">
        <f>EM20+EM67</f>
        <v/>
      </c>
      <c r="EN70" s="534">
        <f>EN20+EN67</f>
        <v/>
      </c>
      <c r="EO70" s="534">
        <f>EO20+EO67</f>
        <v/>
      </c>
      <c r="EP70" s="534">
        <f>EP20+EP67</f>
        <v/>
      </c>
      <c r="EQ70" s="534">
        <f>EQ20+EQ67</f>
        <v/>
      </c>
      <c r="ER70" s="534">
        <f>ER20+ER67</f>
        <v/>
      </c>
      <c r="ES70" s="534">
        <f>ES20+ES67</f>
        <v/>
      </c>
      <c r="ET70" s="534">
        <f>ET20+ET67</f>
        <v/>
      </c>
      <c r="EU70" s="534">
        <f>EU20+EU67</f>
        <v/>
      </c>
      <c r="EV70" s="534">
        <f>EV20+EV67</f>
        <v/>
      </c>
      <c r="EW70" s="534">
        <f>EW20+EW67</f>
        <v/>
      </c>
      <c r="EX70" s="534">
        <f>EX20+EX67</f>
        <v/>
      </c>
      <c r="EY70" s="534">
        <f>EY20+EY67</f>
        <v/>
      </c>
      <c r="EZ70" s="534">
        <f>EZ20+EZ67</f>
        <v/>
      </c>
      <c r="FA70" s="534">
        <f>FA20+FA67</f>
        <v/>
      </c>
      <c r="FB70" s="534">
        <f>FB20+FB67</f>
        <v/>
      </c>
      <c r="FC70" s="534">
        <f>FC20+FC67</f>
        <v/>
      </c>
      <c r="FD70" s="534">
        <f>FD20+FD67</f>
        <v/>
      </c>
      <c r="FE70" s="534">
        <f>FE20+FE67</f>
        <v/>
      </c>
      <c r="FF70" s="534">
        <f>FF20+FF67</f>
        <v/>
      </c>
      <c r="FG70" s="534">
        <f>FG20+FG67</f>
        <v/>
      </c>
      <c r="FH70" s="534">
        <f>FH20+FH67</f>
        <v/>
      </c>
      <c r="FI70" s="534">
        <f>FI20+FI67</f>
        <v/>
      </c>
      <c r="FJ70" s="534">
        <f>FJ20+FJ67</f>
        <v/>
      </c>
      <c r="FK70" s="534">
        <f>FK20+FK67</f>
        <v/>
      </c>
      <c r="FL70" s="534">
        <f>FL20+FL67</f>
        <v/>
      </c>
      <c r="FM70" s="534">
        <f>FM20+FM67</f>
        <v/>
      </c>
      <c r="FN70" s="534">
        <f>FN20+FN67</f>
        <v/>
      </c>
      <c r="FO70" s="534">
        <f>FO20+FO67</f>
        <v/>
      </c>
      <c r="FP70" s="534">
        <f>FP20+FP67</f>
        <v/>
      </c>
      <c r="FQ70" s="534">
        <f>FQ20+FQ67</f>
        <v/>
      </c>
      <c r="FR70" s="534">
        <f>FR20+FR67</f>
        <v/>
      </c>
      <c r="FS70" s="534">
        <f>FS20+FS67</f>
        <v/>
      </c>
      <c r="FT70" s="534">
        <f>FT20+FT67</f>
        <v/>
      </c>
      <c r="FU70" s="534">
        <f>FU20+FU67</f>
        <v/>
      </c>
      <c r="FV70" s="534">
        <f>FV20+FV67</f>
        <v/>
      </c>
      <c r="FW70" s="534">
        <f>FW20+FW67</f>
        <v/>
      </c>
      <c r="FX70" s="534">
        <f>FX20+FX67</f>
        <v/>
      </c>
      <c r="FY70" s="534">
        <f>FY20+FY67</f>
        <v/>
      </c>
      <c r="FZ70" s="534">
        <f>FZ20+FZ67</f>
        <v/>
      </c>
      <c r="GA70" s="534">
        <f>GA20+GA67</f>
        <v/>
      </c>
      <c r="GB70" s="534">
        <f>GB20+GB67</f>
        <v/>
      </c>
      <c r="GC70" s="534">
        <f>GC20+GC67</f>
        <v/>
      </c>
      <c r="GD70" s="534">
        <f>GD20+GD67</f>
        <v/>
      </c>
      <c r="GE70" s="534">
        <f>GE20+GE67</f>
        <v/>
      </c>
      <c r="GF70" s="534">
        <f>GF20+GF67</f>
        <v/>
      </c>
      <c r="GG70" s="534">
        <f>GG20+GG67</f>
        <v/>
      </c>
      <c r="GH70" s="534">
        <f>GH20+GH67</f>
        <v/>
      </c>
      <c r="GI70" s="534">
        <f>GI20+GI67</f>
        <v/>
      </c>
      <c r="GJ70" s="534">
        <f>GJ20+GJ67</f>
        <v/>
      </c>
      <c r="GK70" s="534">
        <f>GK20+GK67</f>
        <v/>
      </c>
      <c r="GL70" s="534">
        <f>GL20+GL67</f>
        <v/>
      </c>
      <c r="GM70" s="534">
        <f>GM20+GM67</f>
        <v/>
      </c>
      <c r="GN70" s="534">
        <f>GN20+GN67</f>
        <v/>
      </c>
      <c r="GO70" s="534">
        <f>GO20+GO67</f>
        <v/>
      </c>
      <c r="GP70" s="534">
        <f>GP20+GP67</f>
        <v/>
      </c>
      <c r="GQ70" s="534">
        <f>GQ20+GQ67</f>
        <v/>
      </c>
      <c r="GR70" s="534">
        <f>GR20+GR67</f>
        <v/>
      </c>
      <c r="GS70" s="534">
        <f>GS20+GS67</f>
        <v/>
      </c>
      <c r="GT70" s="534">
        <f>GT20+GT67</f>
        <v/>
      </c>
      <c r="GU70" s="534">
        <f>GU20+GU67</f>
        <v/>
      </c>
      <c r="GV70" s="534">
        <f>GV20+GV67</f>
        <v/>
      </c>
      <c r="GW70" s="534">
        <f>GW20+GW67</f>
        <v/>
      </c>
      <c r="GX70" s="534">
        <f>GX20+GX67</f>
        <v/>
      </c>
      <c r="GY70" s="534">
        <f>GY20+GY67</f>
        <v/>
      </c>
      <c r="GZ70" s="534">
        <f>GZ20+GZ67</f>
        <v/>
      </c>
      <c r="HA70" s="534">
        <f>HA20+HA67</f>
        <v/>
      </c>
      <c r="HB70" s="534">
        <f>HB20+HB67</f>
        <v/>
      </c>
      <c r="HC70" s="534">
        <f>HC20+HC67</f>
        <v/>
      </c>
      <c r="HD70" s="534">
        <f>HD20+HD67</f>
        <v/>
      </c>
      <c r="HE70" s="534">
        <f>HE20+HE67</f>
        <v/>
      </c>
      <c r="HF70" s="534">
        <f>HF20+HF67</f>
        <v/>
      </c>
      <c r="HG70" s="534">
        <f>HG20+HG67</f>
        <v/>
      </c>
      <c r="HH70" s="534">
        <f>HH20+HH67</f>
        <v/>
      </c>
      <c r="HI70" s="534">
        <f>HI20+HI67</f>
        <v/>
      </c>
      <c r="HJ70" s="534">
        <f>HJ20+HJ67</f>
        <v/>
      </c>
      <c r="HK70" s="534">
        <f>HK20+HK67</f>
        <v/>
      </c>
      <c r="HL70" s="534">
        <f>HL20+HL67</f>
        <v/>
      </c>
      <c r="HM70" s="534">
        <f>HM20+HM67</f>
        <v/>
      </c>
      <c r="HN70" s="534">
        <f>HN20+HN67</f>
        <v/>
      </c>
      <c r="HO70" s="534">
        <f>HO20+HO67</f>
        <v/>
      </c>
      <c r="HP70" s="534">
        <f>HP20+HP67</f>
        <v/>
      </c>
      <c r="HQ70" s="534">
        <f>HQ20+HQ67</f>
        <v/>
      </c>
      <c r="HR70" s="534">
        <f>HR20+HR67</f>
        <v/>
      </c>
      <c r="HS70" s="534">
        <f>HS20+HS67</f>
        <v/>
      </c>
      <c r="HT70" s="534">
        <f>HT20+HT67</f>
        <v/>
      </c>
      <c r="HU70" s="534">
        <f>HU20+HU67</f>
        <v/>
      </c>
    </row>
    <row r="71" ht="16.2" customHeight="1" thickBot="1" thickTop="1">
      <c r="A71" s="125" t="inlineStr">
        <is>
          <t>SALDO ACUMULADO (REAL)</t>
        </is>
      </c>
      <c r="B71" s="149" t="n"/>
      <c r="C71" s="537" t="n">
        <v>0</v>
      </c>
      <c r="D71" s="538">
        <f>C71+D70</f>
        <v/>
      </c>
      <c r="E71" s="539">
        <f>D71+E70</f>
        <v/>
      </c>
      <c r="F71" s="539">
        <f>E71+F70</f>
        <v/>
      </c>
      <c r="G71" s="539">
        <f>F71+G70</f>
        <v/>
      </c>
      <c r="H71" s="539">
        <f>G71+H70</f>
        <v/>
      </c>
      <c r="I71" s="540">
        <f>H71+I70</f>
        <v/>
      </c>
      <c r="J71" s="541">
        <f>I71+J70</f>
        <v/>
      </c>
      <c r="K71" s="539">
        <f>J71+K70</f>
        <v/>
      </c>
      <c r="L71" s="542">
        <f>K71+L70</f>
        <v/>
      </c>
      <c r="M71" s="543">
        <f>L71+M70</f>
        <v/>
      </c>
      <c r="N71" s="543">
        <f>M71+N70</f>
        <v/>
      </c>
      <c r="O71" s="543">
        <f>N71+O70</f>
        <v/>
      </c>
      <c r="P71" s="543">
        <f>O71+P70</f>
        <v/>
      </c>
      <c r="Q71" s="543">
        <f>P71+Q70</f>
        <v/>
      </c>
      <c r="R71" s="543">
        <f>Q71+R70</f>
        <v/>
      </c>
      <c r="S71" s="543">
        <f>R71+S70</f>
        <v/>
      </c>
      <c r="T71" s="543">
        <f>S71+T70</f>
        <v/>
      </c>
      <c r="U71" s="543">
        <f>T71+U70</f>
        <v/>
      </c>
      <c r="V71" s="543">
        <f>U71+V70</f>
        <v/>
      </c>
      <c r="W71" s="543">
        <f>V71+W70</f>
        <v/>
      </c>
      <c r="X71" s="543">
        <f>W71+X70</f>
        <v/>
      </c>
      <c r="Y71" s="543">
        <f>X71+Y70</f>
        <v/>
      </c>
      <c r="Z71" s="543">
        <f>Y71+Z70</f>
        <v/>
      </c>
      <c r="AA71" s="543">
        <f>Z71+AA70</f>
        <v/>
      </c>
      <c r="AB71" s="543">
        <f>AA71+AB70</f>
        <v/>
      </c>
      <c r="AC71" s="543">
        <f>AB71+AC70</f>
        <v/>
      </c>
      <c r="AD71" s="544" t="n"/>
      <c r="AE71" s="545" t="n"/>
      <c r="AF71" s="544" t="n"/>
      <c r="AG71" s="546">
        <f>AA71+AG70</f>
        <v/>
      </c>
      <c r="AH71" s="546">
        <f>AG71+AH70</f>
        <v/>
      </c>
      <c r="AI71" s="542">
        <f>AH71+AI70</f>
        <v/>
      </c>
      <c r="AJ71" s="542">
        <f>AI71+AJ70</f>
        <v/>
      </c>
      <c r="AK71" s="542">
        <f>AJ71+AK70</f>
        <v/>
      </c>
      <c r="AL71" s="542">
        <f>AK71+AL70</f>
        <v/>
      </c>
      <c r="AM71" s="542">
        <f>AL71+AM70</f>
        <v/>
      </c>
      <c r="AN71" s="542">
        <f>AM71+AN70</f>
        <v/>
      </c>
      <c r="AO71" s="542">
        <f>AN71+AO70</f>
        <v/>
      </c>
      <c r="AP71" s="542">
        <f>AO71+AP70</f>
        <v/>
      </c>
      <c r="AQ71" s="547">
        <f>AP71+AQ70</f>
        <v/>
      </c>
      <c r="AR71" s="547">
        <f>AQ71+AR70</f>
        <v/>
      </c>
      <c r="AS71" s="542">
        <f>AR71+AS70</f>
        <v/>
      </c>
      <c r="AT71" s="542">
        <f>AS71+AT70</f>
        <v/>
      </c>
      <c r="AU71" s="542">
        <f>AT71+AU70</f>
        <v/>
      </c>
      <c r="AV71" s="542">
        <f>AU71+AV70</f>
        <v/>
      </c>
      <c r="AW71" s="542">
        <f>AV71+AW70</f>
        <v/>
      </c>
      <c r="AX71" s="542">
        <f>AW71+AX70</f>
        <v/>
      </c>
      <c r="AY71" s="542">
        <f>AX71+AY70</f>
        <v/>
      </c>
      <c r="AZ71" s="542">
        <f>AY71+AZ70</f>
        <v/>
      </c>
      <c r="BA71" s="542">
        <f>AZ71+BA70</f>
        <v/>
      </c>
      <c r="BB71" s="542">
        <f>BA71+BB70</f>
        <v/>
      </c>
      <c r="BC71" s="542">
        <f>BB71+BC70</f>
        <v/>
      </c>
      <c r="BD71" s="548">
        <f>BC71+BD70</f>
        <v/>
      </c>
      <c r="BE71" s="546">
        <f>BD71+BE70</f>
        <v/>
      </c>
      <c r="BF71" s="542">
        <f>BE71+BF70</f>
        <v/>
      </c>
      <c r="BG71" s="542">
        <f>BF71+BG70</f>
        <v/>
      </c>
      <c r="BH71" s="542">
        <f>BG71+BH70</f>
        <v/>
      </c>
      <c r="BI71" s="542">
        <f>BH71+BI70</f>
        <v/>
      </c>
      <c r="BJ71" s="542">
        <f>BI71+BJ70</f>
        <v/>
      </c>
      <c r="BK71" s="542">
        <f>BJ71+BK70</f>
        <v/>
      </c>
      <c r="BL71" s="542">
        <f>BK71+BL70</f>
        <v/>
      </c>
      <c r="BM71" s="542">
        <f>BL71+BM70</f>
        <v/>
      </c>
      <c r="BN71" s="542">
        <f>BM71+BN70</f>
        <v/>
      </c>
      <c r="BO71" s="542">
        <f>BN71+BO70</f>
        <v/>
      </c>
      <c r="BP71" s="548">
        <f>BO71+BP70</f>
        <v/>
      </c>
      <c r="BQ71" s="546">
        <f>BP71+BQ70</f>
        <v/>
      </c>
      <c r="BR71" s="542">
        <f>BQ71+BR70</f>
        <v/>
      </c>
      <c r="BS71" s="542">
        <f>BR71+BS70</f>
        <v/>
      </c>
      <c r="BT71" s="542">
        <f>BS71+BT70</f>
        <v/>
      </c>
      <c r="BU71" s="542">
        <f>BT71+BU70</f>
        <v/>
      </c>
      <c r="BV71" s="542">
        <f>BU71+BV70</f>
        <v/>
      </c>
      <c r="BW71" s="542">
        <f>BV71+BW70</f>
        <v/>
      </c>
      <c r="BX71" s="542">
        <f>BW71+BX70</f>
        <v/>
      </c>
      <c r="BY71" s="542">
        <f>BX71+BY70</f>
        <v/>
      </c>
      <c r="BZ71" s="542">
        <f>BY71+BZ70</f>
        <v/>
      </c>
      <c r="CA71" s="542">
        <f>BZ71+CA70</f>
        <v/>
      </c>
      <c r="CB71" s="548">
        <f>CA71+CB70</f>
        <v/>
      </c>
      <c r="CC71" s="546">
        <f>CB71+CC70</f>
        <v/>
      </c>
      <c r="CD71" s="542">
        <f>CC71+CD70</f>
        <v/>
      </c>
      <c r="CE71" s="542">
        <f>CD71+CE70</f>
        <v/>
      </c>
      <c r="CF71" s="542">
        <f>CE71+CF70</f>
        <v/>
      </c>
      <c r="CG71" s="542">
        <f>CF71+CG70</f>
        <v/>
      </c>
      <c r="CH71" s="542">
        <f>CG71+CH70</f>
        <v/>
      </c>
      <c r="CI71" s="542">
        <f>CH71+CI70</f>
        <v/>
      </c>
      <c r="CJ71" s="542">
        <f>CI71+CJ70</f>
        <v/>
      </c>
      <c r="CK71" s="542">
        <f>CJ71+CK70</f>
        <v/>
      </c>
      <c r="CL71" s="542">
        <f>CK71+CL70</f>
        <v/>
      </c>
      <c r="CM71" s="542">
        <f>CL71+CM70</f>
        <v/>
      </c>
      <c r="CN71" s="548">
        <f>CM71+CN70</f>
        <v/>
      </c>
      <c r="CO71" s="546">
        <f>CN71+CO70</f>
        <v/>
      </c>
      <c r="CP71" s="542">
        <f>CO71+CP70</f>
        <v/>
      </c>
      <c r="CQ71" s="542">
        <f>CP71+CQ70</f>
        <v/>
      </c>
      <c r="CR71" s="542">
        <f>CQ71+CR70</f>
        <v/>
      </c>
      <c r="CS71" s="542">
        <f>CR71+CS70</f>
        <v/>
      </c>
      <c r="CT71" s="542">
        <f>CS71+CT70</f>
        <v/>
      </c>
      <c r="CU71" s="542">
        <f>CT71+CU70</f>
        <v/>
      </c>
      <c r="CV71" s="542">
        <f>CU71+CV70</f>
        <v/>
      </c>
      <c r="CW71" s="542">
        <f>CV71+CW70</f>
        <v/>
      </c>
      <c r="CX71" s="542">
        <f>CW71+CX70</f>
        <v/>
      </c>
      <c r="CY71" s="542">
        <f>CX71+CY70</f>
        <v/>
      </c>
      <c r="CZ71" s="548">
        <f>CY71+CZ70</f>
        <v/>
      </c>
      <c r="DA71" s="546">
        <f>CZ71+DA70</f>
        <v/>
      </c>
      <c r="DB71" s="542">
        <f>DA71+DB70</f>
        <v/>
      </c>
      <c r="DC71" s="542">
        <f>DB71+DC70</f>
        <v/>
      </c>
      <c r="DD71" s="542">
        <f>DC71+DD70</f>
        <v/>
      </c>
      <c r="DE71" s="542">
        <f>DD71+DE70</f>
        <v/>
      </c>
      <c r="DF71" s="542">
        <f>DE71+DF70</f>
        <v/>
      </c>
      <c r="DG71" s="542">
        <f>DF71+DG70</f>
        <v/>
      </c>
      <c r="DH71" s="542">
        <f>DG71+DH70</f>
        <v/>
      </c>
      <c r="DI71" s="542">
        <f>DH71+DI70</f>
        <v/>
      </c>
      <c r="DJ71" s="547">
        <f>DI71+DJ70</f>
        <v/>
      </c>
      <c r="DK71" s="542">
        <f>DJ71+DK70</f>
        <v/>
      </c>
      <c r="DL71" s="547">
        <f>DK71+DL70</f>
        <v/>
      </c>
      <c r="DM71" s="542">
        <f>DL71+DM70</f>
        <v/>
      </c>
      <c r="DN71" s="547">
        <f>DM71+DN70</f>
        <v/>
      </c>
      <c r="DO71" s="547">
        <f>DN71+DO70</f>
        <v/>
      </c>
      <c r="DP71" s="547">
        <f>DO71+DP70</f>
        <v/>
      </c>
      <c r="DQ71" s="547">
        <f>DP71+DQ70</f>
        <v/>
      </c>
      <c r="DR71" s="547">
        <f>DQ71+DR70</f>
        <v/>
      </c>
      <c r="DS71" s="547">
        <f>DR71+DS70</f>
        <v/>
      </c>
      <c r="DT71" s="547">
        <f>DS71+DT70</f>
        <v/>
      </c>
      <c r="DU71" s="547">
        <f>DT71+DU70</f>
        <v/>
      </c>
      <c r="DV71" s="547">
        <f>DU71+DV70</f>
        <v/>
      </c>
      <c r="DW71" s="547">
        <f>DV71+DW70</f>
        <v/>
      </c>
      <c r="DX71" s="547">
        <f>DW71+DX70</f>
        <v/>
      </c>
      <c r="DY71" s="547">
        <f>DX71+DY70</f>
        <v/>
      </c>
      <c r="DZ71" s="547">
        <f>DY71+DZ70</f>
        <v/>
      </c>
      <c r="EA71" s="547">
        <f>DZ71+EA70</f>
        <v/>
      </c>
      <c r="EB71" s="547">
        <f>EA71+EB70</f>
        <v/>
      </c>
      <c r="EC71" s="547">
        <f>EB71+EC70</f>
        <v/>
      </c>
      <c r="ED71" s="547">
        <f>EC71+ED70</f>
        <v/>
      </c>
      <c r="EE71" s="547">
        <f>ED71+EE70</f>
        <v/>
      </c>
      <c r="EF71" s="547">
        <f>EE71+EF70</f>
        <v/>
      </c>
      <c r="EG71" s="547">
        <f>EF71+EG70</f>
        <v/>
      </c>
      <c r="EH71" s="547">
        <f>EG71+EH70</f>
        <v/>
      </c>
      <c r="EI71" s="547">
        <f>EH71+EI70</f>
        <v/>
      </c>
      <c r="EJ71" s="547">
        <f>EI71+EJ70</f>
        <v/>
      </c>
      <c r="EK71" s="547">
        <f>EJ71+EK70</f>
        <v/>
      </c>
      <c r="EL71" s="547">
        <f>EK71+EL70</f>
        <v/>
      </c>
      <c r="EM71" s="547">
        <f>EL71+EM70</f>
        <v/>
      </c>
      <c r="EN71" s="547">
        <f>EM71+EN70</f>
        <v/>
      </c>
      <c r="EO71" s="547">
        <f>EN71+EO70</f>
        <v/>
      </c>
      <c r="EP71" s="547">
        <f>EO71+EP70</f>
        <v/>
      </c>
      <c r="EQ71" s="547">
        <f>EP71+EQ70</f>
        <v/>
      </c>
      <c r="ER71" s="547">
        <f>EQ71+ER70</f>
        <v/>
      </c>
      <c r="ES71" s="547">
        <f>ER71+ES70</f>
        <v/>
      </c>
      <c r="ET71" s="547">
        <f>ES71+ET70</f>
        <v/>
      </c>
      <c r="EU71" s="547">
        <f>ET71+EU70</f>
        <v/>
      </c>
      <c r="EV71" s="547">
        <f>EU71+EV70</f>
        <v/>
      </c>
      <c r="EW71" s="547">
        <f>EV71+EW70</f>
        <v/>
      </c>
      <c r="EX71" s="547">
        <f>EW71+EX70</f>
        <v/>
      </c>
      <c r="EY71" s="547">
        <f>EX71+EY70</f>
        <v/>
      </c>
      <c r="EZ71" s="547">
        <f>EY71+EZ70</f>
        <v/>
      </c>
      <c r="FA71" s="547">
        <f>EZ71+FA70</f>
        <v/>
      </c>
      <c r="FB71" s="547">
        <f>FA71+FB70</f>
        <v/>
      </c>
      <c r="FC71" s="547">
        <f>FB71+FC70</f>
        <v/>
      </c>
      <c r="FD71" s="547">
        <f>FC71+FD70</f>
        <v/>
      </c>
      <c r="FE71" s="547">
        <f>FD71+FE70</f>
        <v/>
      </c>
      <c r="FF71" s="547">
        <f>FE71+FF70</f>
        <v/>
      </c>
      <c r="FG71" s="547">
        <f>FF71+FG70</f>
        <v/>
      </c>
      <c r="FH71" s="547">
        <f>FG71+FH70</f>
        <v/>
      </c>
      <c r="FI71" s="547">
        <f>FH71+FI70</f>
        <v/>
      </c>
      <c r="FJ71" s="547">
        <f>FI71+FJ70</f>
        <v/>
      </c>
      <c r="FK71" s="547">
        <f>FJ71+FK70</f>
        <v/>
      </c>
      <c r="FL71" s="547">
        <f>FK71+FL70</f>
        <v/>
      </c>
      <c r="FM71" s="547">
        <f>FL71+FM70</f>
        <v/>
      </c>
      <c r="FN71" s="547">
        <f>FM71+FN70</f>
        <v/>
      </c>
      <c r="FO71" s="547">
        <f>FN71+FO70</f>
        <v/>
      </c>
      <c r="FP71" s="547">
        <f>FO71+FP70</f>
        <v/>
      </c>
      <c r="FQ71" s="547">
        <f>FP71+FQ70</f>
        <v/>
      </c>
      <c r="FR71" s="547">
        <f>FQ71+FR70</f>
        <v/>
      </c>
      <c r="FS71" s="547">
        <f>FR71+FS70</f>
        <v/>
      </c>
      <c r="FT71" s="547">
        <f>FS71+FT70</f>
        <v/>
      </c>
      <c r="FU71" s="547">
        <f>FT71+FU70</f>
        <v/>
      </c>
      <c r="FV71" s="547">
        <f>FU71+FV70</f>
        <v/>
      </c>
      <c r="FW71" s="547">
        <f>FV71+FW70</f>
        <v/>
      </c>
      <c r="FX71" s="547">
        <f>FW71+FX70</f>
        <v/>
      </c>
      <c r="FY71" s="547">
        <f>FX71+FY70</f>
        <v/>
      </c>
      <c r="FZ71" s="547">
        <f>FY71+FZ70</f>
        <v/>
      </c>
      <c r="GA71" s="547">
        <f>FZ71+GA70</f>
        <v/>
      </c>
      <c r="GB71" s="547">
        <f>GA71+GB70</f>
        <v/>
      </c>
      <c r="GC71" s="547">
        <f>GB71+GC70</f>
        <v/>
      </c>
      <c r="GD71" s="547">
        <f>GC71+GD70</f>
        <v/>
      </c>
      <c r="GE71" s="547">
        <f>GD71+GE70</f>
        <v/>
      </c>
      <c r="GF71" s="547">
        <f>GE71+GF70</f>
        <v/>
      </c>
      <c r="GG71" s="547">
        <f>GF71+GG70</f>
        <v/>
      </c>
      <c r="GH71" s="547">
        <f>GG71+GH70</f>
        <v/>
      </c>
      <c r="GI71" s="547">
        <f>GH71+GI70</f>
        <v/>
      </c>
      <c r="GJ71" s="547">
        <f>GI71+GJ70</f>
        <v/>
      </c>
      <c r="GK71" s="547">
        <f>GJ71+GK70</f>
        <v/>
      </c>
      <c r="GL71" s="547">
        <f>GK71+GL70</f>
        <v/>
      </c>
      <c r="GM71" s="547">
        <f>GL71+GM70</f>
        <v/>
      </c>
      <c r="GN71" s="547">
        <f>GM71+GN70</f>
        <v/>
      </c>
      <c r="GO71" s="547">
        <f>GN71+GO70</f>
        <v/>
      </c>
      <c r="GP71" s="547">
        <f>GO71+GP70</f>
        <v/>
      </c>
      <c r="GQ71" s="547">
        <f>GP71+GQ70</f>
        <v/>
      </c>
      <c r="GR71" s="547">
        <f>GQ71+GR70</f>
        <v/>
      </c>
      <c r="GS71" s="547">
        <f>GR71+GS70</f>
        <v/>
      </c>
      <c r="GT71" s="547">
        <f>GS71+GT70</f>
        <v/>
      </c>
      <c r="GU71" s="547">
        <f>GT71+GU70</f>
        <v/>
      </c>
      <c r="GV71" s="547">
        <f>GU71+GV70</f>
        <v/>
      </c>
      <c r="GW71" s="547">
        <f>GV71+GW70</f>
        <v/>
      </c>
      <c r="GX71" s="547">
        <f>GW71+GX70</f>
        <v/>
      </c>
      <c r="GY71" s="547">
        <f>GX71+GY70</f>
        <v/>
      </c>
      <c r="GZ71" s="547">
        <f>GY71+GZ70</f>
        <v/>
      </c>
      <c r="HA71" s="547">
        <f>GZ71+HA70</f>
        <v/>
      </c>
      <c r="HB71" s="547">
        <f>HA71+HB70</f>
        <v/>
      </c>
      <c r="HC71" s="547">
        <f>HB71+HC70</f>
        <v/>
      </c>
      <c r="HD71" s="547">
        <f>HC71+HD70</f>
        <v/>
      </c>
      <c r="HE71" s="547">
        <f>HD71+HE70</f>
        <v/>
      </c>
      <c r="HF71" s="547">
        <f>HE71+HF70</f>
        <v/>
      </c>
      <c r="HG71" s="547">
        <f>HF71+HG70</f>
        <v/>
      </c>
      <c r="HH71" s="547">
        <f>HG71+HH70</f>
        <v/>
      </c>
      <c r="HI71" s="547">
        <f>HH71+HI70</f>
        <v/>
      </c>
      <c r="HJ71" s="547">
        <f>HI71+HJ70</f>
        <v/>
      </c>
      <c r="HK71" s="547">
        <f>HJ71+HK70</f>
        <v/>
      </c>
      <c r="HL71" s="547">
        <f>HK71+HL70</f>
        <v/>
      </c>
      <c r="HM71" s="547">
        <f>HL71+HM70</f>
        <v/>
      </c>
      <c r="HN71" s="547">
        <f>HM71+HN70</f>
        <v/>
      </c>
      <c r="HO71" s="547">
        <f>HN71+HO70</f>
        <v/>
      </c>
      <c r="HP71" s="547">
        <f>HO71+HP70</f>
        <v/>
      </c>
      <c r="HQ71" s="547">
        <f>HP71+HQ70</f>
        <v/>
      </c>
      <c r="HR71" s="547">
        <f>HQ71+HR70</f>
        <v/>
      </c>
      <c r="HS71" s="547">
        <f>HR71+HS70</f>
        <v/>
      </c>
      <c r="HT71" s="547">
        <f>HS71+HT70</f>
        <v/>
      </c>
      <c r="HU71" s="547">
        <f>HT71+HU70</f>
        <v/>
      </c>
    </row>
    <row r="72" ht="16.2" customHeight="1" thickBot="1" thickTop="1">
      <c r="A72" s="1" t="n"/>
      <c r="B72" s="128" t="n"/>
      <c r="C72" s="549" t="n"/>
      <c r="D72" s="549" t="n"/>
      <c r="E72" s="550" t="n"/>
      <c r="F72" s="550" t="n"/>
      <c r="G72" s="550" t="n"/>
      <c r="H72" s="550" t="n"/>
      <c r="I72" s="550" t="n"/>
      <c r="J72" s="551" t="n"/>
      <c r="K72" s="549" t="n"/>
      <c r="L72" s="549" t="n"/>
      <c r="M72" s="552" t="n"/>
      <c r="N72" s="552" t="n"/>
      <c r="O72" s="552" t="n"/>
      <c r="P72" s="552" t="n"/>
      <c r="Q72" s="552" t="n"/>
      <c r="R72" s="552" t="n"/>
      <c r="S72" s="552" t="n"/>
      <c r="T72" s="552" t="n"/>
      <c r="U72" s="552" t="n"/>
      <c r="V72" s="552" t="n"/>
      <c r="W72" s="552" t="n"/>
      <c r="X72" s="552" t="n"/>
      <c r="Y72" s="552" t="n"/>
      <c r="Z72" s="549" t="n"/>
      <c r="AA72" s="549" t="n"/>
      <c r="AB72" s="549" t="n"/>
      <c r="AC72" s="549" t="n"/>
      <c r="AD72" s="549" t="n"/>
      <c r="AE72" s="553" t="n"/>
      <c r="AF72" s="549" t="n"/>
      <c r="AG72" s="549" t="n"/>
      <c r="AH72" s="549" t="n"/>
      <c r="AI72" s="549" t="n"/>
      <c r="AJ72" s="549" t="n"/>
      <c r="AK72" s="549" t="n"/>
      <c r="AL72" s="549" t="n"/>
      <c r="AM72" s="549" t="n"/>
      <c r="AN72" s="549" t="n"/>
      <c r="AO72" s="549" t="n"/>
      <c r="AP72" s="549" t="n"/>
      <c r="AQ72" s="549" t="n"/>
      <c r="AR72" s="549" t="n"/>
      <c r="AS72" s="549" t="n"/>
      <c r="AT72" s="549" t="n"/>
      <c r="AU72" s="549" t="n"/>
      <c r="AV72" s="549" t="n"/>
      <c r="AW72" s="549" t="n"/>
      <c r="AX72" s="549" t="n"/>
      <c r="AY72" s="549" t="n"/>
      <c r="AZ72" s="549" t="n"/>
      <c r="BA72" s="549" t="n"/>
      <c r="BB72" s="549" t="n"/>
      <c r="BC72" s="549" t="n"/>
      <c r="BD72" s="554" t="n"/>
      <c r="BE72" s="549" t="n"/>
      <c r="BF72" s="549" t="n"/>
      <c r="BG72" s="549" t="n"/>
      <c r="BH72" s="549" t="n"/>
      <c r="BI72" s="549" t="n"/>
      <c r="BJ72" s="549" t="n"/>
      <c r="BK72" s="549" t="n"/>
      <c r="BL72" s="549" t="n"/>
      <c r="BM72" s="549" t="n"/>
      <c r="BN72" s="549" t="n"/>
      <c r="BO72" s="549" t="n"/>
      <c r="BP72" s="555" t="n"/>
      <c r="BQ72" s="556" t="n"/>
      <c r="BR72" s="549" t="n"/>
      <c r="BS72" s="549" t="n"/>
      <c r="BT72" s="549" t="n"/>
      <c r="BU72" s="549" t="n"/>
      <c r="BV72" s="549" t="n"/>
      <c r="BW72" s="549" t="n"/>
      <c r="BX72" s="549" t="n"/>
      <c r="BY72" s="549" t="n"/>
      <c r="BZ72" s="549" t="n"/>
      <c r="CA72" s="549" t="n"/>
      <c r="CB72" s="555" t="n"/>
      <c r="CC72" s="556" t="n"/>
      <c r="CD72" s="549" t="n"/>
      <c r="CE72" s="549" t="n"/>
      <c r="CF72" s="549" t="n"/>
      <c r="CG72" s="549" t="n"/>
      <c r="CH72" s="549" t="n"/>
      <c r="CI72" s="549" t="n"/>
      <c r="CJ72" s="549" t="n"/>
      <c r="CK72" s="549" t="n"/>
      <c r="CL72" s="549" t="n"/>
      <c r="CM72" s="549" t="n"/>
      <c r="CN72" s="555" t="n"/>
      <c r="CO72" s="556" t="n"/>
      <c r="CP72" s="549" t="n"/>
      <c r="CQ72" s="549" t="n"/>
      <c r="CR72" s="549" t="n"/>
      <c r="CS72" s="549" t="n"/>
      <c r="CT72" s="549" t="n"/>
      <c r="CU72" s="549" t="n"/>
      <c r="CV72" s="549" t="n"/>
      <c r="CW72" s="549" t="n"/>
      <c r="CX72" s="549" t="n"/>
      <c r="CY72" s="549" t="n"/>
      <c r="CZ72" s="555" t="n"/>
      <c r="DA72" s="549" t="n"/>
      <c r="DB72" s="549" t="n"/>
      <c r="DC72" s="549" t="n"/>
      <c r="DD72" s="549" t="n"/>
      <c r="DE72" s="549" t="n"/>
      <c r="DF72" s="549" t="n"/>
      <c r="DG72" s="549" t="n"/>
      <c r="DH72" s="549" t="n"/>
      <c r="DI72" s="549" t="n"/>
      <c r="DJ72" s="549" t="n"/>
      <c r="DK72" s="549" t="n"/>
      <c r="DL72" s="549" t="n"/>
      <c r="DM72" s="549" t="n"/>
      <c r="DN72" s="549" t="n"/>
      <c r="DO72" s="549" t="n"/>
      <c r="DP72" s="549" t="n"/>
      <c r="DQ72" s="549" t="n"/>
      <c r="DR72" s="549" t="n"/>
      <c r="DS72" s="549" t="n"/>
      <c r="DT72" s="549" t="n"/>
      <c r="DU72" s="549" t="n"/>
      <c r="DV72" s="549" t="n"/>
      <c r="DW72" s="549" t="n"/>
      <c r="DX72" s="549" t="n"/>
      <c r="DY72" s="549" t="n"/>
      <c r="DZ72" s="549" t="n"/>
      <c r="EA72" s="549" t="n"/>
      <c r="EB72" s="549" t="n"/>
      <c r="EC72" s="549" t="n"/>
      <c r="ED72" s="549" t="n"/>
      <c r="EE72" s="549" t="n"/>
      <c r="EF72" s="549" t="n"/>
      <c r="EG72" s="549" t="n"/>
      <c r="EH72" s="549" t="n"/>
      <c r="EI72" s="549" t="n"/>
      <c r="EJ72" s="549" t="n"/>
      <c r="EK72" s="549" t="n"/>
      <c r="EL72" s="549" t="n"/>
      <c r="EM72" s="549" t="n"/>
      <c r="EN72" s="549" t="n"/>
      <c r="EO72" s="549" t="n"/>
      <c r="EP72" s="549" t="n"/>
      <c r="EQ72" s="549" t="n"/>
      <c r="ER72" s="549" t="n"/>
      <c r="ES72" s="549" t="n"/>
      <c r="ET72" s="549" t="n"/>
      <c r="EU72" s="549" t="n"/>
      <c r="EV72" s="549" t="n"/>
      <c r="EW72" s="549" t="n"/>
      <c r="EX72" s="549" t="n"/>
      <c r="EY72" s="549" t="n"/>
      <c r="EZ72" s="549" t="n"/>
      <c r="FA72" s="549" t="n"/>
      <c r="FB72" s="549" t="n"/>
      <c r="FC72" s="549" t="n"/>
      <c r="FD72" s="549" t="n"/>
      <c r="FE72" s="549" t="n"/>
      <c r="FF72" s="549" t="n"/>
      <c r="FG72" s="549" t="n"/>
      <c r="FH72" s="549" t="n"/>
      <c r="FI72" s="549" t="n"/>
      <c r="FJ72" s="549" t="n"/>
      <c r="FK72" s="549" t="n"/>
      <c r="FL72" s="549" t="n"/>
      <c r="FM72" s="549" t="n"/>
      <c r="FN72" s="549" t="n"/>
      <c r="FO72" s="549" t="n"/>
      <c r="FP72" s="549" t="n"/>
      <c r="FQ72" s="549" t="n"/>
      <c r="FR72" s="549" t="n"/>
      <c r="FS72" s="549" t="n"/>
      <c r="FT72" s="549" t="n"/>
      <c r="FU72" s="549" t="n"/>
      <c r="FV72" s="549" t="n"/>
      <c r="FW72" s="549" t="n"/>
      <c r="FX72" s="549" t="n"/>
      <c r="FY72" s="549" t="n"/>
      <c r="FZ72" s="549" t="n"/>
      <c r="GA72" s="549" t="n"/>
      <c r="GB72" s="549" t="n"/>
      <c r="GC72" s="549" t="n"/>
      <c r="GD72" s="549" t="n"/>
      <c r="GE72" s="549" t="n"/>
      <c r="GF72" s="549" t="n"/>
      <c r="GG72" s="549" t="n"/>
      <c r="GH72" s="549" t="n"/>
      <c r="GI72" s="549" t="n"/>
      <c r="GJ72" s="549" t="n"/>
      <c r="GK72" s="549" t="n"/>
      <c r="GL72" s="549" t="n"/>
      <c r="GM72" s="549" t="n"/>
      <c r="GN72" s="549" t="n"/>
      <c r="GO72" s="549" t="n"/>
      <c r="GP72" s="549" t="n"/>
      <c r="GQ72" s="549" t="n"/>
      <c r="GR72" s="549" t="n"/>
      <c r="GS72" s="549" t="n"/>
      <c r="GT72" s="549" t="n"/>
      <c r="GU72" s="549" t="n"/>
      <c r="GV72" s="549" t="n"/>
      <c r="GW72" s="549" t="n"/>
      <c r="GX72" s="549" t="n"/>
      <c r="GY72" s="549" t="n"/>
      <c r="GZ72" s="549" t="n"/>
      <c r="HA72" s="549" t="n"/>
      <c r="HB72" s="549" t="n"/>
      <c r="HC72" s="549" t="n"/>
      <c r="HD72" s="549" t="n"/>
      <c r="HE72" s="549" t="n"/>
      <c r="HF72" s="549" t="n"/>
      <c r="HG72" s="549" t="n"/>
      <c r="HH72" s="549" t="n"/>
      <c r="HI72" s="549" t="n"/>
      <c r="HJ72" s="549" t="n"/>
      <c r="HK72" s="549" t="n"/>
      <c r="HL72" s="549" t="n"/>
      <c r="HM72" s="549" t="n"/>
      <c r="HN72" s="549" t="n"/>
      <c r="HO72" s="549" t="n"/>
      <c r="HP72" s="549" t="n"/>
      <c r="HQ72" s="549" t="n"/>
      <c r="HR72" s="549" t="n"/>
      <c r="HS72" s="549" t="n"/>
      <c r="HT72" s="549" t="n"/>
      <c r="HU72" s="549" t="n"/>
    </row>
    <row r="73" ht="16.2" customHeight="1" thickBot="1" thickTop="1">
      <c r="A73" s="126" t="inlineStr">
        <is>
          <t>SALDO DE CAIXA (MENSAL) C/ PROJEÇÃO</t>
        </is>
      </c>
      <c r="B73" s="150" t="n"/>
      <c r="C73" s="557">
        <f>C20+C67+C12</f>
        <v/>
      </c>
      <c r="D73" s="557">
        <f>D20+D67+D12</f>
        <v/>
      </c>
      <c r="E73" s="557">
        <f>E20+E67+E12</f>
        <v/>
      </c>
      <c r="F73" s="557">
        <f>F20+F67+F12</f>
        <v/>
      </c>
      <c r="G73" s="557">
        <f>G20+G67+G12</f>
        <v/>
      </c>
      <c r="H73" s="557">
        <f>H20+H67+H12</f>
        <v/>
      </c>
      <c r="I73" s="557">
        <f>I20+I67+I12</f>
        <v/>
      </c>
      <c r="J73" s="557">
        <f>J20+J67+J12</f>
        <v/>
      </c>
      <c r="K73" s="557">
        <f>K20+K67+K12</f>
        <v/>
      </c>
      <c r="L73" s="557">
        <f>L20+L67+L12</f>
        <v/>
      </c>
      <c r="M73" s="557">
        <f>M20+M67+M12</f>
        <v/>
      </c>
      <c r="N73" s="557">
        <f>N20+N67+N12</f>
        <v/>
      </c>
      <c r="O73" s="557">
        <f>O20+O67+O12</f>
        <v/>
      </c>
      <c r="P73" s="557">
        <f>P20+P67+P12</f>
        <v/>
      </c>
      <c r="Q73" s="557">
        <f>Q20+Q67+Q12</f>
        <v/>
      </c>
      <c r="R73" s="557">
        <f>R20+R67+R12</f>
        <v/>
      </c>
      <c r="S73" s="557">
        <f>S20+S67+S12</f>
        <v/>
      </c>
      <c r="T73" s="557">
        <f>T20+T67+T12</f>
        <v/>
      </c>
      <c r="U73" s="557">
        <f>U20+U67+U12</f>
        <v/>
      </c>
      <c r="V73" s="557">
        <f>V20+V67+V12</f>
        <v/>
      </c>
      <c r="W73" s="557">
        <f>W20+W67+W12</f>
        <v/>
      </c>
      <c r="X73" s="557">
        <f>X20+X67+X12</f>
        <v/>
      </c>
      <c r="Y73" s="557">
        <f>Y20+Y67+Y12</f>
        <v/>
      </c>
      <c r="Z73" s="557">
        <f>Z20+Z67+Z12</f>
        <v/>
      </c>
      <c r="AA73" s="557">
        <f>AA20+AA67+AA12</f>
        <v/>
      </c>
      <c r="AB73" s="557">
        <f>AB20+AB67+AB12</f>
        <v/>
      </c>
      <c r="AC73" s="557">
        <f>AC20+AC67+AC12</f>
        <v/>
      </c>
      <c r="AD73" s="13" t="n"/>
      <c r="AE73" s="558" t="n"/>
      <c r="AF73" s="13" t="n"/>
      <c r="AG73" s="559">
        <f>AG20+AG67+AG12</f>
        <v/>
      </c>
      <c r="AH73" s="559">
        <f>AH20+AH67+AH12</f>
        <v/>
      </c>
      <c r="AI73" s="559">
        <f>AI20+AI67+AI12</f>
        <v/>
      </c>
      <c r="AJ73" s="559">
        <f>AJ20+AJ67+AJ12</f>
        <v/>
      </c>
      <c r="AK73" s="559">
        <f>AK20+AK67+AK12</f>
        <v/>
      </c>
      <c r="AL73" s="559">
        <f>AL20+AL67+AL12</f>
        <v/>
      </c>
      <c r="AM73" s="559">
        <f>AM20+AM67+AM12</f>
        <v/>
      </c>
      <c r="AN73" s="559">
        <f>AN20+AN67+AN12</f>
        <v/>
      </c>
      <c r="AO73" s="559">
        <f>AO20+AO67+AO12</f>
        <v/>
      </c>
      <c r="AP73" s="559">
        <f>AP20+AP67+AP12</f>
        <v/>
      </c>
      <c r="AQ73" s="560">
        <f>AQ20+AQ67+AQ12</f>
        <v/>
      </c>
      <c r="AR73" s="560">
        <f>AR20+AR67+AR12</f>
        <v/>
      </c>
      <c r="AS73" s="560">
        <f>AS20+AS67+AS12</f>
        <v/>
      </c>
      <c r="AT73" s="560">
        <f>AT20+AT67+AT12</f>
        <v/>
      </c>
      <c r="AU73" s="560">
        <f>AU20+AU67+AU12</f>
        <v/>
      </c>
      <c r="AV73" s="560">
        <f>AV20+AV67+AV12</f>
        <v/>
      </c>
      <c r="AW73" s="560">
        <f>AW20+AW67+AW12</f>
        <v/>
      </c>
      <c r="AX73" s="560">
        <f>AX20+AX67+AX12</f>
        <v/>
      </c>
      <c r="AY73" s="560">
        <f>AY20+AY67+AY12</f>
        <v/>
      </c>
      <c r="AZ73" s="560">
        <f>AZ20+AZ67+AZ12</f>
        <v/>
      </c>
      <c r="BA73" s="560">
        <f>BA20+BA67+BA12</f>
        <v/>
      </c>
      <c r="BB73" s="560">
        <f>BB20+BB67+BB12</f>
        <v/>
      </c>
      <c r="BC73" s="560">
        <f>BC20+BC67+BC12</f>
        <v/>
      </c>
      <c r="BD73" s="560">
        <f>BD20+BD67+BD12</f>
        <v/>
      </c>
      <c r="BE73" s="560">
        <f>BE20+BE67+BE12</f>
        <v/>
      </c>
      <c r="BF73" s="560">
        <f>BF20+BF67+BF12</f>
        <v/>
      </c>
      <c r="BG73" s="560">
        <f>BG20+BG67+BG12</f>
        <v/>
      </c>
      <c r="BH73" s="560">
        <f>BH20+BH67+BH12</f>
        <v/>
      </c>
      <c r="BI73" s="560">
        <f>BI20+BI67+BI12</f>
        <v/>
      </c>
      <c r="BJ73" s="560">
        <f>BJ20+BJ67+BJ12</f>
        <v/>
      </c>
      <c r="BK73" s="560">
        <f>BK20+BK67+BK12</f>
        <v/>
      </c>
      <c r="BL73" s="560">
        <f>BL20+BL67+BL12</f>
        <v/>
      </c>
      <c r="BM73" s="560">
        <f>BM20+BM67+BM12</f>
        <v/>
      </c>
      <c r="BN73" s="560">
        <f>BN20+BN67+BN12</f>
        <v/>
      </c>
      <c r="BO73" s="560">
        <f>BO20+BO67+BO12</f>
        <v/>
      </c>
      <c r="BP73" s="560">
        <f>BP20+BP67+BP12</f>
        <v/>
      </c>
      <c r="BQ73" s="560">
        <f>BQ20+BQ67+BQ12</f>
        <v/>
      </c>
      <c r="BR73" s="560">
        <f>BR20+BR67+BR12</f>
        <v/>
      </c>
      <c r="BS73" s="560">
        <f>BS20+BS67+BS12</f>
        <v/>
      </c>
      <c r="BT73" s="560">
        <f>BT20+BT67+BT12</f>
        <v/>
      </c>
      <c r="BU73" s="560">
        <f>BU20+BU67+BU12</f>
        <v/>
      </c>
      <c r="BV73" s="560">
        <f>BV20+BV67+BV12</f>
        <v/>
      </c>
      <c r="BW73" s="560">
        <f>BW20+BW67+BW12</f>
        <v/>
      </c>
      <c r="BX73" s="560">
        <f>BX20+BX67+BX12</f>
        <v/>
      </c>
      <c r="BY73" s="560">
        <f>BY20+BY67+BY12</f>
        <v/>
      </c>
      <c r="BZ73" s="560">
        <f>BZ20+BZ67+BZ12</f>
        <v/>
      </c>
      <c r="CA73" s="560">
        <f>CA20+CA67+CA12</f>
        <v/>
      </c>
      <c r="CB73" s="560">
        <f>CB20+CB67+CB12</f>
        <v/>
      </c>
      <c r="CC73" s="560">
        <f>CC20+CC67+CC12</f>
        <v/>
      </c>
      <c r="CD73" s="560">
        <f>CD20+CD67+CD12</f>
        <v/>
      </c>
      <c r="CE73" s="560">
        <f>CE20+CE67+CE12</f>
        <v/>
      </c>
      <c r="CF73" s="560">
        <f>CF20+CF67+CF12</f>
        <v/>
      </c>
      <c r="CG73" s="560">
        <f>CG20+CG67+CG12</f>
        <v/>
      </c>
      <c r="CH73" s="560">
        <f>CH20+CH67+CH12</f>
        <v/>
      </c>
      <c r="CI73" s="560">
        <f>CI20+CI67+CI12</f>
        <v/>
      </c>
      <c r="CJ73" s="560">
        <f>CJ20+CJ67+CJ12</f>
        <v/>
      </c>
      <c r="CK73" s="560">
        <f>CK20+CK67+CK12</f>
        <v/>
      </c>
      <c r="CL73" s="560">
        <f>CL20+CL67+CL12</f>
        <v/>
      </c>
      <c r="CM73" s="560">
        <f>CM20+CM67+CM12</f>
        <v/>
      </c>
      <c r="CN73" s="560">
        <f>CN20+CN67+CN12</f>
        <v/>
      </c>
      <c r="CO73" s="560">
        <f>CO20+CO67+CO12</f>
        <v/>
      </c>
      <c r="CP73" s="560">
        <f>CP20+CP67+CP12</f>
        <v/>
      </c>
      <c r="CQ73" s="560">
        <f>CQ20+CQ67+CQ12</f>
        <v/>
      </c>
      <c r="CR73" s="560">
        <f>CR20+CR67+CR12</f>
        <v/>
      </c>
      <c r="CS73" s="560">
        <f>CS20+CS67+CS12</f>
        <v/>
      </c>
      <c r="CT73" s="560">
        <f>CT20+CT67+CT12</f>
        <v/>
      </c>
      <c r="CU73" s="560">
        <f>CU20+CU67+CU12</f>
        <v/>
      </c>
      <c r="CV73" s="560">
        <f>CV20+CV67+CV12</f>
        <v/>
      </c>
      <c r="CW73" s="560">
        <f>CW20+CW67+CW12</f>
        <v/>
      </c>
      <c r="CX73" s="560">
        <f>CX20+CX67+CX12</f>
        <v/>
      </c>
      <c r="CY73" s="560">
        <f>CY20+CY67+CY12</f>
        <v/>
      </c>
      <c r="CZ73" s="560">
        <f>CZ20+CZ67+CZ12</f>
        <v/>
      </c>
      <c r="DA73" s="560">
        <f>DA20+DA67+DA12</f>
        <v/>
      </c>
      <c r="DB73" s="560">
        <f>DB20+DB67+DB12</f>
        <v/>
      </c>
      <c r="DC73" s="560">
        <f>DC20+DC67+DC12</f>
        <v/>
      </c>
      <c r="DD73" s="560">
        <f>DD20+DD67+DD12</f>
        <v/>
      </c>
      <c r="DE73" s="560">
        <f>DE20+DE67+DE12</f>
        <v/>
      </c>
      <c r="DF73" s="560">
        <f>DF20+DF67+DF12</f>
        <v/>
      </c>
      <c r="DG73" s="560">
        <f>DG20+DG67+DG12</f>
        <v/>
      </c>
      <c r="DH73" s="560">
        <f>DH20+DH67+DH12</f>
        <v/>
      </c>
      <c r="DI73" s="560">
        <f>DI20+DI67+DI12</f>
        <v/>
      </c>
      <c r="DJ73" s="560">
        <f>DJ20+DJ67+DJ12</f>
        <v/>
      </c>
      <c r="DK73" s="560">
        <f>DK20+DK67+DK12</f>
        <v/>
      </c>
      <c r="DL73" s="560">
        <f>DL20+DL67+DL12</f>
        <v/>
      </c>
      <c r="DM73" s="560">
        <f>DM20+DM67+DM12</f>
        <v/>
      </c>
      <c r="DN73" s="560">
        <f>DN20+DN67+DN12</f>
        <v/>
      </c>
      <c r="DO73" s="560">
        <f>DO20+DO67+DO12</f>
        <v/>
      </c>
      <c r="DP73" s="560">
        <f>DP20+DP67+DP12</f>
        <v/>
      </c>
      <c r="DQ73" s="560">
        <f>DQ20+DQ67+DQ12</f>
        <v/>
      </c>
      <c r="DR73" s="560">
        <f>DR20+DR67+DR12</f>
        <v/>
      </c>
      <c r="DS73" s="560">
        <f>DS20+DS67+DS12</f>
        <v/>
      </c>
      <c r="DT73" s="560">
        <f>DT20+DT67+DT12</f>
        <v/>
      </c>
      <c r="DU73" s="560">
        <f>DU20+DU67+DU12</f>
        <v/>
      </c>
      <c r="DV73" s="560">
        <f>DV20+DV67+DV12</f>
        <v/>
      </c>
      <c r="DW73" s="560">
        <f>DW20+DW67+DW12</f>
        <v/>
      </c>
      <c r="DX73" s="560">
        <f>DX20+DX67+DX12</f>
        <v/>
      </c>
      <c r="DY73" s="560">
        <f>DY20+DY67+DY12</f>
        <v/>
      </c>
      <c r="DZ73" s="560">
        <f>DZ20+DZ67+DZ12</f>
        <v/>
      </c>
      <c r="EA73" s="560">
        <f>EA20+EA67+EA12</f>
        <v/>
      </c>
      <c r="EB73" s="560">
        <f>EB20+EB67+EB12</f>
        <v/>
      </c>
      <c r="EC73" s="560">
        <f>EC20+EC67+EC12</f>
        <v/>
      </c>
      <c r="ED73" s="560">
        <f>ED20+ED67+ED12</f>
        <v/>
      </c>
      <c r="EE73" s="560">
        <f>EE20+EE67+EE12</f>
        <v/>
      </c>
      <c r="EF73" s="560">
        <f>EF20+EF67+EF12</f>
        <v/>
      </c>
      <c r="EG73" s="560">
        <f>EG20+EG67+EG12</f>
        <v/>
      </c>
      <c r="EH73" s="560">
        <f>EH20+EH67+EH12</f>
        <v/>
      </c>
      <c r="EI73" s="560">
        <f>EI20+EI67+EI12</f>
        <v/>
      </c>
      <c r="EJ73" s="560">
        <f>EJ20+EJ67+EJ12</f>
        <v/>
      </c>
      <c r="EK73" s="560">
        <f>EK20+EK67+EK12</f>
        <v/>
      </c>
      <c r="EL73" s="560">
        <f>EL20+EL67+EL12</f>
        <v/>
      </c>
      <c r="EM73" s="560">
        <f>EM20+EM67+EM12</f>
        <v/>
      </c>
      <c r="EN73" s="560">
        <f>EN20+EN67+EN12</f>
        <v/>
      </c>
      <c r="EO73" s="560">
        <f>EO20+EO67+EO12</f>
        <v/>
      </c>
      <c r="EP73" s="560">
        <f>EP20+EP67+EP12</f>
        <v/>
      </c>
      <c r="EQ73" s="560">
        <f>EQ20+EQ67+EQ12</f>
        <v/>
      </c>
      <c r="ER73" s="560">
        <f>ER20+ER67+ER12</f>
        <v/>
      </c>
      <c r="ES73" s="560">
        <f>ES20+ES67+ES12</f>
        <v/>
      </c>
      <c r="ET73" s="560">
        <f>ET20+ET67+ET12</f>
        <v/>
      </c>
      <c r="EU73" s="560">
        <f>EU20+EU67+EU12</f>
        <v/>
      </c>
      <c r="EV73" s="560">
        <f>EV20+EV67+EV12</f>
        <v/>
      </c>
      <c r="EW73" s="560">
        <f>EW20+EW67+EW12</f>
        <v/>
      </c>
      <c r="EX73" s="560">
        <f>EX20+EX67+EX12</f>
        <v/>
      </c>
      <c r="EY73" s="560">
        <f>EY20+EY67+EY12</f>
        <v/>
      </c>
      <c r="EZ73" s="560">
        <f>EZ20+EZ67+EZ12</f>
        <v/>
      </c>
      <c r="FA73" s="560">
        <f>FA20+FA67+FA12</f>
        <v/>
      </c>
      <c r="FB73" s="560">
        <f>FB20+FB67+FB12</f>
        <v/>
      </c>
      <c r="FC73" s="560">
        <f>FC20+FC67+FC12</f>
        <v/>
      </c>
      <c r="FD73" s="560">
        <f>FD20+FD67+FD12</f>
        <v/>
      </c>
      <c r="FE73" s="560">
        <f>FE20+FE67+FE12</f>
        <v/>
      </c>
      <c r="FF73" s="560">
        <f>FF20+FF67+FF12</f>
        <v/>
      </c>
      <c r="FG73" s="560">
        <f>FG20+FG67+FG12</f>
        <v/>
      </c>
      <c r="FH73" s="560">
        <f>FH20+FH67+FH12</f>
        <v/>
      </c>
      <c r="FI73" s="560">
        <f>FI20+FI67+FI12</f>
        <v/>
      </c>
      <c r="FJ73" s="560">
        <f>FJ20+FJ67+FJ12</f>
        <v/>
      </c>
      <c r="FK73" s="560">
        <f>FK20+FK67+FK12</f>
        <v/>
      </c>
      <c r="FL73" s="560">
        <f>FL20+FL67+FL12</f>
        <v/>
      </c>
      <c r="FM73" s="560">
        <f>FM20+FM67+FM12</f>
        <v/>
      </c>
      <c r="FN73" s="560">
        <f>FN20+FN67+FN12</f>
        <v/>
      </c>
      <c r="FO73" s="560">
        <f>FO20+FO67+FO12</f>
        <v/>
      </c>
      <c r="FP73" s="560">
        <f>FP20+FP67+FP12</f>
        <v/>
      </c>
      <c r="FQ73" s="560">
        <f>FQ20+FQ67+FQ12</f>
        <v/>
      </c>
      <c r="FR73" s="560">
        <f>FR20+FR67+FR12</f>
        <v/>
      </c>
      <c r="FS73" s="560">
        <f>FS20+FS67+FS12</f>
        <v/>
      </c>
      <c r="FT73" s="560">
        <f>FT20+FT67+FT12</f>
        <v/>
      </c>
      <c r="FU73" s="560">
        <f>FU20+FU67+FU12</f>
        <v/>
      </c>
      <c r="FV73" s="560">
        <f>FV20+FV67+FV12</f>
        <v/>
      </c>
      <c r="FW73" s="560">
        <f>FW20+FW67+FW12</f>
        <v/>
      </c>
      <c r="FX73" s="560">
        <f>FX20+FX67+FX12</f>
        <v/>
      </c>
      <c r="FY73" s="560">
        <f>FY20+FY67+FY12</f>
        <v/>
      </c>
      <c r="FZ73" s="560">
        <f>FZ20+FZ67+FZ12</f>
        <v/>
      </c>
      <c r="GA73" s="560">
        <f>GA20+GA67+GA12</f>
        <v/>
      </c>
      <c r="GB73" s="560">
        <f>GB20+GB67+GB12</f>
        <v/>
      </c>
      <c r="GC73" s="560">
        <f>GC20+GC67+GC12</f>
        <v/>
      </c>
      <c r="GD73" s="560">
        <f>GD20+GD67+GD12</f>
        <v/>
      </c>
      <c r="GE73" s="560">
        <f>GE20+GE67+GE12</f>
        <v/>
      </c>
      <c r="GF73" s="560">
        <f>GF20+GF67+GF12</f>
        <v/>
      </c>
      <c r="GG73" s="560">
        <f>GG20+GG67+GG12</f>
        <v/>
      </c>
      <c r="GH73" s="560">
        <f>GH20+GH67+GH12</f>
        <v/>
      </c>
      <c r="GI73" s="560">
        <f>GI20+GI67+GI12</f>
        <v/>
      </c>
      <c r="GJ73" s="560">
        <f>GJ20+GJ67+GJ12</f>
        <v/>
      </c>
      <c r="GK73" s="560">
        <f>GK20+GK67+GK12</f>
        <v/>
      </c>
      <c r="GL73" s="560">
        <f>GL20+GL67+GL12</f>
        <v/>
      </c>
      <c r="GM73" s="560">
        <f>GM20+GM67+GM12</f>
        <v/>
      </c>
      <c r="GN73" s="560">
        <f>GN20+GN67+GN12</f>
        <v/>
      </c>
      <c r="GO73" s="560">
        <f>GO20+GO67+GO12</f>
        <v/>
      </c>
      <c r="GP73" s="560">
        <f>GP20+GP67+GP12</f>
        <v/>
      </c>
      <c r="GQ73" s="560">
        <f>GQ20+GQ67+GQ12</f>
        <v/>
      </c>
      <c r="GR73" s="560">
        <f>GR20+GR67+GR12</f>
        <v/>
      </c>
      <c r="GS73" s="560">
        <f>GS20+GS67+GS12</f>
        <v/>
      </c>
      <c r="GT73" s="560">
        <f>GT20+GT67+GT12</f>
        <v/>
      </c>
      <c r="GU73" s="560">
        <f>GU20+GU67+GU12</f>
        <v/>
      </c>
      <c r="GV73" s="560">
        <f>GV20+GV67+GV12</f>
        <v/>
      </c>
      <c r="GW73" s="560">
        <f>GW20+GW67+GW12</f>
        <v/>
      </c>
      <c r="GX73" s="560">
        <f>GX20+GX67+GX12</f>
        <v/>
      </c>
      <c r="GY73" s="560">
        <f>GY20+GY67+GY12</f>
        <v/>
      </c>
      <c r="GZ73" s="560">
        <f>GZ20+GZ67+GZ12</f>
        <v/>
      </c>
      <c r="HA73" s="560">
        <f>HA20+HA67+HA12</f>
        <v/>
      </c>
      <c r="HB73" s="560">
        <f>HB20+HB67+HB12</f>
        <v/>
      </c>
      <c r="HC73" s="560">
        <f>HC20+HC67+HC12</f>
        <v/>
      </c>
      <c r="HD73" s="560">
        <f>HD20+HD67+HD12</f>
        <v/>
      </c>
      <c r="HE73" s="560">
        <f>HE20+HE67+HE12</f>
        <v/>
      </c>
      <c r="HF73" s="560">
        <f>HF20+HF67+HF12</f>
        <v/>
      </c>
      <c r="HG73" s="560">
        <f>HG20+HG67+HG12</f>
        <v/>
      </c>
      <c r="HH73" s="560">
        <f>HH20+HH67+HH12</f>
        <v/>
      </c>
      <c r="HI73" s="560">
        <f>HI20+HI67+HI12</f>
        <v/>
      </c>
      <c r="HJ73" s="560">
        <f>HJ20+HJ67+HJ12</f>
        <v/>
      </c>
      <c r="HK73" s="560">
        <f>HK20+HK67+HK12</f>
        <v/>
      </c>
      <c r="HL73" s="560">
        <f>HL20+HL67+HL12</f>
        <v/>
      </c>
      <c r="HM73" s="560">
        <f>HM20+HM67+HM12</f>
        <v/>
      </c>
      <c r="HN73" s="560">
        <f>HN20+HN67+HN12</f>
        <v/>
      </c>
      <c r="HO73" s="560">
        <f>HO20+HO67+HO12</f>
        <v/>
      </c>
      <c r="HP73" s="560">
        <f>HP20+HP67+HP12</f>
        <v/>
      </c>
      <c r="HQ73" s="560">
        <f>HQ20+HQ67+HQ12</f>
        <v/>
      </c>
      <c r="HR73" s="560">
        <f>HR20+HR67+HR12</f>
        <v/>
      </c>
      <c r="HS73" s="560">
        <f>HS20+HS67+HS12</f>
        <v/>
      </c>
      <c r="HT73" s="560">
        <f>HT20+HT67+HT12</f>
        <v/>
      </c>
      <c r="HU73" s="560">
        <f>HU20+HU67+HU12</f>
        <v/>
      </c>
    </row>
    <row r="74" ht="16.2" customHeight="1" thickBot="1" thickTop="1">
      <c r="A74" s="127" t="inlineStr">
        <is>
          <t>SALDO ACUMULADO C/ PROJEÇÕES</t>
        </is>
      </c>
      <c r="B74" s="151" t="n"/>
      <c r="C74" s="561">
        <f>B74+C73</f>
        <v/>
      </c>
      <c r="D74" s="561">
        <f>C74+D73</f>
        <v/>
      </c>
      <c r="E74" s="562">
        <f>D74+E73</f>
        <v/>
      </c>
      <c r="F74" s="562">
        <f>E74+F73</f>
        <v/>
      </c>
      <c r="G74" s="562">
        <f>F74+G73</f>
        <v/>
      </c>
      <c r="H74" s="562">
        <f>G74+H73</f>
        <v/>
      </c>
      <c r="I74" s="563">
        <f>H74+I73</f>
        <v/>
      </c>
      <c r="J74" s="564">
        <f>I74+J73</f>
        <v/>
      </c>
      <c r="K74" s="565">
        <f>J74+K73</f>
        <v/>
      </c>
      <c r="L74" s="565">
        <f>K74+L73</f>
        <v/>
      </c>
      <c r="M74" s="566">
        <f>L74+M73</f>
        <v/>
      </c>
      <c r="N74" s="566">
        <f>M74+N73</f>
        <v/>
      </c>
      <c r="O74" s="566">
        <f>N74+O73</f>
        <v/>
      </c>
      <c r="P74" s="566">
        <f>O74+P73</f>
        <v/>
      </c>
      <c r="Q74" s="566">
        <f>P74+Q73</f>
        <v/>
      </c>
      <c r="R74" s="566">
        <f>Q74+R73</f>
        <v/>
      </c>
      <c r="S74" s="566">
        <f>R74+S73</f>
        <v/>
      </c>
      <c r="T74" s="566">
        <f>S74+T73</f>
        <v/>
      </c>
      <c r="U74" s="566">
        <f>T74+U73</f>
        <v/>
      </c>
      <c r="V74" s="566">
        <f>U74+V73</f>
        <v/>
      </c>
      <c r="W74" s="566">
        <f>V74+W73</f>
        <v/>
      </c>
      <c r="X74" s="566">
        <f>W74+X73</f>
        <v/>
      </c>
      <c r="Y74" s="566">
        <f>X74+Y73</f>
        <v/>
      </c>
      <c r="Z74" s="566">
        <f>Y74+Z73</f>
        <v/>
      </c>
      <c r="AA74" s="566">
        <f>Z74+AA73</f>
        <v/>
      </c>
      <c r="AB74" s="566">
        <f>AA74+AB73</f>
        <v/>
      </c>
      <c r="AC74" s="566">
        <f>AB74+AC73</f>
        <v/>
      </c>
      <c r="AD74" s="13" t="n"/>
      <c r="AE74" s="567" t="n"/>
      <c r="AF74" s="13" t="n"/>
      <c r="AG74" s="568">
        <f>AC74+AG73</f>
        <v/>
      </c>
      <c r="AH74" s="568">
        <f>AG74+AH73</f>
        <v/>
      </c>
      <c r="AI74" s="565">
        <f>AH74+AI73</f>
        <v/>
      </c>
      <c r="AJ74" s="565">
        <f>AI74+AJ73</f>
        <v/>
      </c>
      <c r="AK74" s="565">
        <f>AJ74+AK73</f>
        <v/>
      </c>
      <c r="AL74" s="565">
        <f>AK74+AL73</f>
        <v/>
      </c>
      <c r="AM74" s="565">
        <f>AL74+AM73</f>
        <v/>
      </c>
      <c r="AN74" s="565">
        <f>AM74+AN73</f>
        <v/>
      </c>
      <c r="AO74" s="565">
        <f>AN74+AO73</f>
        <v/>
      </c>
      <c r="AP74" s="565">
        <f>AO74+AP73</f>
        <v/>
      </c>
      <c r="AQ74" s="569">
        <f>AP74+AQ73</f>
        <v/>
      </c>
      <c r="AR74" s="569">
        <f>AQ74+AR73</f>
        <v/>
      </c>
      <c r="AS74" s="570">
        <f>AR74+AS73</f>
        <v/>
      </c>
      <c r="AT74" s="570">
        <f>AS74+AT73</f>
        <v/>
      </c>
      <c r="AU74" s="570">
        <f>AT74+AU73</f>
        <v/>
      </c>
      <c r="AV74" s="570">
        <f>AU74+AV73</f>
        <v/>
      </c>
      <c r="AW74" s="570">
        <f>AV74+AW73</f>
        <v/>
      </c>
      <c r="AX74" s="570">
        <f>AW74+AX73</f>
        <v/>
      </c>
      <c r="AY74" s="570">
        <f>AX74+AY73</f>
        <v/>
      </c>
      <c r="AZ74" s="570">
        <f>AY74+AZ73</f>
        <v/>
      </c>
      <c r="BA74" s="570">
        <f>AZ74+BA73</f>
        <v/>
      </c>
      <c r="BB74" s="570">
        <f>BA74+BB73</f>
        <v/>
      </c>
      <c r="BC74" s="570">
        <f>BB74+BC73</f>
        <v/>
      </c>
      <c r="BD74" s="571">
        <f>BC74+BD73</f>
        <v/>
      </c>
      <c r="BE74" s="572">
        <f>BD74+BE73</f>
        <v/>
      </c>
      <c r="BF74" s="573">
        <f>BE74+BF73</f>
        <v/>
      </c>
      <c r="BG74" s="573">
        <f>BF74+BG73</f>
        <v/>
      </c>
      <c r="BH74" s="573">
        <f>BG74+BH73</f>
        <v/>
      </c>
      <c r="BI74" s="573">
        <f>BH74+BI73</f>
        <v/>
      </c>
      <c r="BJ74" s="573">
        <f>BI74+BJ73</f>
        <v/>
      </c>
      <c r="BK74" s="573">
        <f>BJ74+BK73</f>
        <v/>
      </c>
      <c r="BL74" s="573">
        <f>BK74+BL73</f>
        <v/>
      </c>
      <c r="BM74" s="573">
        <f>BL74+BM73</f>
        <v/>
      </c>
      <c r="BN74" s="573">
        <f>BM74+BN73</f>
        <v/>
      </c>
      <c r="BO74" s="573">
        <f>BN74+BO73</f>
        <v/>
      </c>
      <c r="BP74" s="574">
        <f>BO74+BP73</f>
        <v/>
      </c>
      <c r="BQ74" s="568">
        <f>BP74+BQ73</f>
        <v/>
      </c>
      <c r="BR74" s="565">
        <f>BQ74+BR73</f>
        <v/>
      </c>
      <c r="BS74" s="565">
        <f>BR74+BS73</f>
        <v/>
      </c>
      <c r="BT74" s="565">
        <f>BS74+BT73</f>
        <v/>
      </c>
      <c r="BU74" s="565">
        <f>BT74+BU73</f>
        <v/>
      </c>
      <c r="BV74" s="565">
        <f>BU74+BV73</f>
        <v/>
      </c>
      <c r="BW74" s="565">
        <f>BV74+BW73</f>
        <v/>
      </c>
      <c r="BX74" s="565">
        <f>BW74+BX73</f>
        <v/>
      </c>
      <c r="BY74" s="565">
        <f>BX74+BY73</f>
        <v/>
      </c>
      <c r="BZ74" s="565">
        <f>BY74+BZ73</f>
        <v/>
      </c>
      <c r="CA74" s="565">
        <f>BZ74+CA73</f>
        <v/>
      </c>
      <c r="CB74" s="575">
        <f>CA74+CB73</f>
        <v/>
      </c>
      <c r="CC74" s="568">
        <f>CB74+CC73</f>
        <v/>
      </c>
      <c r="CD74" s="565">
        <f>CC74+CD73</f>
        <v/>
      </c>
      <c r="CE74" s="565">
        <f>CD74+CE73</f>
        <v/>
      </c>
      <c r="CF74" s="565">
        <f>CE74+CF73</f>
        <v/>
      </c>
      <c r="CG74" s="565">
        <f>CF74+CG73</f>
        <v/>
      </c>
      <c r="CH74" s="565">
        <f>CG74+CH73</f>
        <v/>
      </c>
      <c r="CI74" s="565">
        <f>CH74+CI73</f>
        <v/>
      </c>
      <c r="CJ74" s="565">
        <f>CI74+CJ73</f>
        <v/>
      </c>
      <c r="CK74" s="565">
        <f>CJ74+CK73</f>
        <v/>
      </c>
      <c r="CL74" s="565">
        <f>CK74+CL73</f>
        <v/>
      </c>
      <c r="CM74" s="565">
        <f>CL74+CM73</f>
        <v/>
      </c>
      <c r="CN74" s="575">
        <f>CM74+CN73</f>
        <v/>
      </c>
      <c r="CO74" s="568">
        <f>CN74+CO73</f>
        <v/>
      </c>
      <c r="CP74" s="565">
        <f>CO74+CP73</f>
        <v/>
      </c>
      <c r="CQ74" s="565">
        <f>CP74+CQ73</f>
        <v/>
      </c>
      <c r="CR74" s="565">
        <f>CQ74+CR73</f>
        <v/>
      </c>
      <c r="CS74" s="565">
        <f>CR74+CS73</f>
        <v/>
      </c>
      <c r="CT74" s="565">
        <f>CS74+CT73</f>
        <v/>
      </c>
      <c r="CU74" s="565">
        <f>CT74+CU73</f>
        <v/>
      </c>
      <c r="CV74" s="565">
        <f>CU74+CV73</f>
        <v/>
      </c>
      <c r="CW74" s="565">
        <f>CV74+CW73</f>
        <v/>
      </c>
      <c r="CX74" s="565">
        <f>CW74+CX73</f>
        <v/>
      </c>
      <c r="CY74" s="565">
        <f>CX74+CY73</f>
        <v/>
      </c>
      <c r="CZ74" s="575">
        <f>CY74+CZ73</f>
        <v/>
      </c>
      <c r="DA74" s="568">
        <f>CZ74+DA73</f>
        <v/>
      </c>
      <c r="DB74" s="565">
        <f>DA74+DB73</f>
        <v/>
      </c>
      <c r="DC74" s="565">
        <f>DB74+DC73</f>
        <v/>
      </c>
      <c r="DD74" s="565">
        <f>DC74+DD73</f>
        <v/>
      </c>
      <c r="DE74" s="565">
        <f>DD74+DE73</f>
        <v/>
      </c>
      <c r="DF74" s="565">
        <f>DE74+DF73</f>
        <v/>
      </c>
      <c r="DG74" s="565">
        <f>DF74+DG73</f>
        <v/>
      </c>
      <c r="DH74" s="565">
        <f>DG74+DH73</f>
        <v/>
      </c>
      <c r="DI74" s="565">
        <f>DH74+DI73</f>
        <v/>
      </c>
      <c r="DJ74" s="569">
        <f>DI74+DJ73</f>
        <v/>
      </c>
      <c r="DK74" s="565">
        <f>DJ74+DK73</f>
        <v/>
      </c>
      <c r="DL74" s="569">
        <f>DK74+DL73</f>
        <v/>
      </c>
      <c r="DM74" s="565">
        <f>DL74+DM73</f>
        <v/>
      </c>
      <c r="DN74" s="569">
        <f>DM74+DN73</f>
        <v/>
      </c>
      <c r="DO74" s="569">
        <f>DN74+DO73</f>
        <v/>
      </c>
      <c r="DP74" s="569">
        <f>DO74+DP73</f>
        <v/>
      </c>
      <c r="DQ74" s="569">
        <f>DP74+DQ73</f>
        <v/>
      </c>
      <c r="DR74" s="569">
        <f>DQ74+DR73</f>
        <v/>
      </c>
      <c r="DS74" s="569">
        <f>DR74+DS73</f>
        <v/>
      </c>
      <c r="DT74" s="569">
        <f>DS74+DT73</f>
        <v/>
      </c>
      <c r="DU74" s="569">
        <f>DT74+DU73</f>
        <v/>
      </c>
      <c r="DV74" s="569">
        <f>DU74+DV73</f>
        <v/>
      </c>
      <c r="DW74" s="569">
        <f>DV74+DW73</f>
        <v/>
      </c>
      <c r="DX74" s="569">
        <f>DW74+DX73</f>
        <v/>
      </c>
      <c r="DY74" s="569">
        <f>DX74+DY73</f>
        <v/>
      </c>
      <c r="DZ74" s="569">
        <f>DY74+DZ73</f>
        <v/>
      </c>
      <c r="EA74" s="569">
        <f>DZ74+EA73</f>
        <v/>
      </c>
      <c r="EB74" s="569">
        <f>EA74+EB73</f>
        <v/>
      </c>
      <c r="EC74" s="569">
        <f>EB74+EC73</f>
        <v/>
      </c>
      <c r="ED74" s="569">
        <f>EC74+ED73</f>
        <v/>
      </c>
      <c r="EE74" s="569">
        <f>ED74+EE73</f>
        <v/>
      </c>
      <c r="EF74" s="569">
        <f>EE74+EF73</f>
        <v/>
      </c>
      <c r="EG74" s="569">
        <f>EF74+EG73</f>
        <v/>
      </c>
      <c r="EH74" s="569">
        <f>EG74+EH73</f>
        <v/>
      </c>
      <c r="EI74" s="569">
        <f>EH74+EI73</f>
        <v/>
      </c>
      <c r="EJ74" s="569">
        <f>EI74+EJ73</f>
        <v/>
      </c>
      <c r="EK74" s="569">
        <f>EJ74+EK73</f>
        <v/>
      </c>
      <c r="EL74" s="569">
        <f>EK74+EL73</f>
        <v/>
      </c>
      <c r="EM74" s="569">
        <f>EL74+EM73</f>
        <v/>
      </c>
      <c r="EN74" s="569">
        <f>EM74+EN73</f>
        <v/>
      </c>
      <c r="EO74" s="569">
        <f>EN74+EO73</f>
        <v/>
      </c>
      <c r="EP74" s="569">
        <f>EO74+EP73</f>
        <v/>
      </c>
      <c r="EQ74" s="569">
        <f>EP74+EQ73</f>
        <v/>
      </c>
      <c r="ER74" s="569">
        <f>EQ74+ER73</f>
        <v/>
      </c>
      <c r="ES74" s="569">
        <f>ER74+ES73</f>
        <v/>
      </c>
      <c r="ET74" s="569">
        <f>ES74+ET73</f>
        <v/>
      </c>
      <c r="EU74" s="569">
        <f>ET74+EU73</f>
        <v/>
      </c>
      <c r="EV74" s="569">
        <f>EU74+EV73</f>
        <v/>
      </c>
      <c r="EW74" s="569">
        <f>EV74+EW73</f>
        <v/>
      </c>
      <c r="EX74" s="569">
        <f>EW74+EX73</f>
        <v/>
      </c>
      <c r="EY74" s="569">
        <f>EX74+EY73</f>
        <v/>
      </c>
      <c r="EZ74" s="569">
        <f>EY74+EZ73</f>
        <v/>
      </c>
      <c r="FA74" s="569">
        <f>EZ74+FA73</f>
        <v/>
      </c>
      <c r="FB74" s="569">
        <f>FA74+FB73</f>
        <v/>
      </c>
      <c r="FC74" s="569">
        <f>FB74+FC73</f>
        <v/>
      </c>
      <c r="FD74" s="569">
        <f>FC74+FD73</f>
        <v/>
      </c>
      <c r="FE74" s="569">
        <f>FD74+FE73</f>
        <v/>
      </c>
      <c r="FF74" s="569">
        <f>FE74+FF73</f>
        <v/>
      </c>
      <c r="FG74" s="569">
        <f>FF74+FG73</f>
        <v/>
      </c>
      <c r="FH74" s="569">
        <f>FG74+FH73</f>
        <v/>
      </c>
      <c r="FI74" s="569">
        <f>FH74+FI73</f>
        <v/>
      </c>
      <c r="FJ74" s="569">
        <f>FI74+FJ73</f>
        <v/>
      </c>
      <c r="FK74" s="569">
        <f>FJ74+FK73</f>
        <v/>
      </c>
      <c r="FL74" s="569">
        <f>FK74+FL73</f>
        <v/>
      </c>
      <c r="FM74" s="569">
        <f>FL74+FM73</f>
        <v/>
      </c>
      <c r="FN74" s="569">
        <f>FM74+FN73</f>
        <v/>
      </c>
      <c r="FO74" s="569">
        <f>FN74+FO73</f>
        <v/>
      </c>
      <c r="FP74" s="569">
        <f>FO74+FP73</f>
        <v/>
      </c>
      <c r="FQ74" s="569">
        <f>FP74+FQ73</f>
        <v/>
      </c>
      <c r="FR74" s="569">
        <f>FQ74+FR73</f>
        <v/>
      </c>
      <c r="FS74" s="569">
        <f>FR74+FS73</f>
        <v/>
      </c>
      <c r="FT74" s="569">
        <f>FS74+FT73</f>
        <v/>
      </c>
      <c r="FU74" s="569">
        <f>FT74+FU73</f>
        <v/>
      </c>
      <c r="FV74" s="569">
        <f>FU74+FV73</f>
        <v/>
      </c>
      <c r="FW74" s="569">
        <f>FV74+FW73</f>
        <v/>
      </c>
      <c r="FX74" s="569">
        <f>FW74+FX73</f>
        <v/>
      </c>
      <c r="FY74" s="569">
        <f>FX74+FY73</f>
        <v/>
      </c>
      <c r="FZ74" s="569">
        <f>FY74+FZ73</f>
        <v/>
      </c>
      <c r="GA74" s="569">
        <f>FZ74+GA73</f>
        <v/>
      </c>
      <c r="GB74" s="569">
        <f>GA74+GB73</f>
        <v/>
      </c>
      <c r="GC74" s="569">
        <f>GB74+GC73</f>
        <v/>
      </c>
      <c r="GD74" s="569">
        <f>GC74+GD73</f>
        <v/>
      </c>
      <c r="GE74" s="569">
        <f>GD74+GE73</f>
        <v/>
      </c>
      <c r="GF74" s="569">
        <f>GE74+GF73</f>
        <v/>
      </c>
      <c r="GG74" s="569">
        <f>GF74+GG73</f>
        <v/>
      </c>
      <c r="GH74" s="569">
        <f>GG74+GH73</f>
        <v/>
      </c>
      <c r="GI74" s="569">
        <f>GH74+GI73</f>
        <v/>
      </c>
      <c r="GJ74" s="569">
        <f>GI74+GJ73</f>
        <v/>
      </c>
      <c r="GK74" s="569">
        <f>GJ74+GK73</f>
        <v/>
      </c>
      <c r="GL74" s="569">
        <f>GK74+GL73</f>
        <v/>
      </c>
      <c r="GM74" s="569">
        <f>GL74+GM73</f>
        <v/>
      </c>
      <c r="GN74" s="569">
        <f>GM74+GN73</f>
        <v/>
      </c>
      <c r="GO74" s="569">
        <f>GN74+GO73</f>
        <v/>
      </c>
      <c r="GP74" s="569">
        <f>GO74+GP73</f>
        <v/>
      </c>
      <c r="GQ74" s="569">
        <f>GP74+GQ73</f>
        <v/>
      </c>
      <c r="GR74" s="569">
        <f>GQ74+GR73</f>
        <v/>
      </c>
      <c r="GS74" s="569">
        <f>GR74+GS73</f>
        <v/>
      </c>
      <c r="GT74" s="569">
        <f>GS74+GT73</f>
        <v/>
      </c>
      <c r="GU74" s="569">
        <f>GT74+GU73</f>
        <v/>
      </c>
      <c r="GV74" s="569">
        <f>GU74+GV73</f>
        <v/>
      </c>
      <c r="GW74" s="569">
        <f>GV74+GW73</f>
        <v/>
      </c>
      <c r="GX74" s="569">
        <f>GW74+GX73</f>
        <v/>
      </c>
      <c r="GY74" s="569">
        <f>GX74+GY73</f>
        <v/>
      </c>
      <c r="GZ74" s="569">
        <f>GY74+GZ73</f>
        <v/>
      </c>
      <c r="HA74" s="569">
        <f>GZ74+HA73</f>
        <v/>
      </c>
      <c r="HB74" s="569">
        <f>HA74+HB73</f>
        <v/>
      </c>
      <c r="HC74" s="569">
        <f>HB74+HC73</f>
        <v/>
      </c>
      <c r="HD74" s="569">
        <f>HC74+HD73</f>
        <v/>
      </c>
      <c r="HE74" s="569">
        <f>HD74+HE73</f>
        <v/>
      </c>
      <c r="HF74" s="569">
        <f>HE74+HF73</f>
        <v/>
      </c>
      <c r="HG74" s="569">
        <f>HF74+HG73</f>
        <v/>
      </c>
      <c r="HH74" s="569">
        <f>HG74+HH73</f>
        <v/>
      </c>
      <c r="HI74" s="569">
        <f>HH74+HI73</f>
        <v/>
      </c>
      <c r="HJ74" s="569">
        <f>HI74+HJ73</f>
        <v/>
      </c>
      <c r="HK74" s="569">
        <f>HJ74+HK73</f>
        <v/>
      </c>
      <c r="HL74" s="569">
        <f>HK74+HL73</f>
        <v/>
      </c>
      <c r="HM74" s="569">
        <f>HL74+HM73</f>
        <v/>
      </c>
      <c r="HN74" s="569">
        <f>HM74+HN73</f>
        <v/>
      </c>
      <c r="HO74" s="569">
        <f>HN74+HO73</f>
        <v/>
      </c>
      <c r="HP74" s="569">
        <f>HO74+HP73</f>
        <v/>
      </c>
      <c r="HQ74" s="569">
        <f>HP74+HQ73</f>
        <v/>
      </c>
      <c r="HR74" s="569">
        <f>HQ74+HR73</f>
        <v/>
      </c>
      <c r="HS74" s="569">
        <f>HR74+HS73</f>
        <v/>
      </c>
      <c r="HT74" s="569">
        <f>HS74+HT73</f>
        <v/>
      </c>
      <c r="HU74" s="569">
        <f>HT74+HU73</f>
        <v/>
      </c>
    </row>
    <row r="75" ht="16.2" customHeight="1">
      <c r="A75" s="1" t="n"/>
      <c r="B75" s="1" t="n"/>
      <c r="C75" s="1" t="inlineStr">
        <is>
          <t> 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327" t="n"/>
      <c r="AA75" s="327" t="n"/>
      <c r="AB75" s="327" t="n"/>
      <c r="AC75" s="327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289" t="n"/>
      <c r="BE75" s="318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289" t="inlineStr">
        <is>
          <t>24 meses pós obra</t>
        </is>
      </c>
      <c r="BQ75" s="315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inlineStr">
        <is>
          <t>36 meses pós obra</t>
        </is>
      </c>
      <c r="CC75" s="28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283" t="inlineStr">
        <is>
          <t>48 meses pós obra</t>
        </is>
      </c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289" t="inlineStr">
        <is>
          <t>60 meses pós obra</t>
        </is>
      </c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</row>
    <row r="78">
      <c r="AC78" s="576" t="n"/>
    </row>
  </sheetData>
  <mergeCells count="5">
    <mergeCell ref="AE1:AE3"/>
    <mergeCell ref="M4:W4"/>
    <mergeCell ref="B4:B5"/>
    <mergeCell ref="AR1:AR2"/>
    <mergeCell ref="AK1:AK2"/>
  </mergeCells>
  <conditionalFormatting sqref="C71 C73:C74 D73:I73 J73:AC75">
    <cfRule type="cellIs" priority="17" operator="lessThan" dxfId="0">
      <formula>0</formula>
    </cfRule>
  </conditionalFormatting>
  <conditionalFormatting sqref="C70:J70">
    <cfRule type="top10" rank="1" priority="25" dxfId="8" bottom="1"/>
  </conditionalFormatting>
  <conditionalFormatting sqref="C8:L9 C12:AC12 C15:AC15 C18:AC18 C25:AD28 C29:HU31 C32:AD33 C35:AC67 C70:HU74 AD35:HU36 AD37:AD38 AD41:AD42 AD43:AF44 AD45 AD46:AF47 AD48 AD49:HU53 AD54 AD55:HU56 AD57 AD58:HU59 AD60 AD61:HU62 AD63 AD64:BO64 AD65:HU67 AF25:HU28 AF32:HU33 AF41:AF42 AF45 AF48 AF54:HU54 AF57:HU57 AF60:HU60 AF63:BO63 AG41:HU48 BP63:HU64">
    <cfRule type="cellIs" priority="13" operator="lessThan" dxfId="12">
      <formula>0</formula>
    </cfRule>
  </conditionalFormatting>
  <conditionalFormatting sqref="C68:HU68">
    <cfRule type="cellIs" priority="22" operator="lessThan" dxfId="43">
      <formula>0</formula>
    </cfRule>
    <cfRule type="cellIs" priority="23" operator="lessThan">
      <formula>0</formula>
    </cfRule>
  </conditionalFormatting>
  <conditionalFormatting sqref="E71:HU71">
    <cfRule type="cellIs" priority="19" operator="lessThan" dxfId="8">
      <formula>0</formula>
    </cfRule>
  </conditionalFormatting>
  <conditionalFormatting sqref="E74:HU74">
    <cfRule type="cellIs" priority="20" operator="lessThan" dxfId="40">
      <formula>0</formula>
    </cfRule>
  </conditionalFormatting>
  <conditionalFormatting sqref="J70">
    <cfRule type="top10" rank="1" priority="14" dxfId="8" bottom="1"/>
  </conditionalFormatting>
  <conditionalFormatting sqref="J8:AC8">
    <cfRule type="cellIs" priority="15" operator="lessThan" dxfId="12">
      <formula>0</formula>
    </cfRule>
  </conditionalFormatting>
  <conditionalFormatting sqref="J70:AC70 AG70:HU70">
    <cfRule type="top10" rank="1" priority="26" dxfId="8" bottom="1"/>
  </conditionalFormatting>
  <conditionalFormatting sqref="AD34 AF34">
    <cfRule type="cellIs" priority="9" operator="lessThan" dxfId="12">
      <formula>0</formula>
    </cfRule>
  </conditionalFormatting>
  <conditionalFormatting sqref="AD16:AF16">
    <cfRule type="cellIs" priority="18" operator="lessThan" dxfId="12">
      <formula>0</formula>
    </cfRule>
  </conditionalFormatting>
  <conditionalFormatting sqref="AD70:AF70 AD73:AF74">
    <cfRule type="cellIs" priority="21" operator="lessThan" dxfId="12">
      <formula>0</formula>
    </cfRule>
  </conditionalFormatting>
  <conditionalFormatting sqref="AD71:AF71">
    <cfRule type="cellIs" priority="24" operator="lessThan" dxfId="0">
      <formula>0</formula>
    </cfRule>
  </conditionalFormatting>
  <conditionalFormatting sqref="AD39:HU40">
    <cfRule type="cellIs" priority="4" operator="lessThan" dxfId="12">
      <formula>0</formula>
    </cfRule>
  </conditionalFormatting>
  <conditionalFormatting sqref="AE73:AE74">
    <cfRule type="cellIs" priority="12" operator="lessThan" dxfId="0">
      <formula>0</formula>
    </cfRule>
  </conditionalFormatting>
  <conditionalFormatting sqref="AF37:HU38">
    <cfRule type="cellIs" priority="1" operator="lessThan" dxfId="12">
      <formula>0</formula>
    </cfRule>
  </conditionalFormatting>
  <conditionalFormatting sqref="AG75:BD75">
    <cfRule type="cellIs" priority="11" operator="lessThan" dxfId="0">
      <formula>0</formula>
    </cfRule>
  </conditionalFormatting>
  <conditionalFormatting sqref="AG8:HU9 AG12:DN12 AG15:HU15 AG18:HU18">
    <cfRule type="cellIs" priority="16" operator="lessThan" dxfId="12">
      <formula>0</formula>
    </cfRule>
  </conditionalFormatting>
  <conditionalFormatting sqref="AG73:HU74">
    <cfRule type="cellIs" priority="3" operator="lessThan" dxfId="0">
      <formula>0</formula>
    </cfRule>
  </conditionalFormatting>
  <conditionalFormatting sqref="BD2">
    <cfRule type="cellIs" priority="8" operator="lessThan" dxfId="0">
      <formula>0</formula>
    </cfRule>
  </conditionalFormatting>
  <conditionalFormatting sqref="BF75:DK75">
    <cfRule type="cellIs" priority="10" operator="lessThan" dxfId="0">
      <formula>0</formula>
    </cfRule>
  </conditionalFormatting>
  <conditionalFormatting sqref="BP2">
    <cfRule type="cellIs" priority="7" operator="lessThan" dxfId="0">
      <formula>0</formula>
    </cfRule>
  </conditionalFormatting>
  <conditionalFormatting sqref="CB2">
    <cfRule type="cellIs" priority="6" operator="lessThan" dxfId="0">
      <formula>0</formula>
    </cfRule>
  </conditionalFormatting>
  <conditionalFormatting sqref="CN2">
    <cfRule type="cellIs" priority="5" operator="lessThan" dxfId="0">
      <formula>0</formula>
    </cfRule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J123"/>
  <sheetViews>
    <sheetView showGridLines="0" tabSelected="1" zoomScale="86" zoomScaleNormal="86" workbookViewId="0">
      <pane xSplit="1" topLeftCell="AJ1" activePane="topRight" state="frozen"/>
      <selection activeCell="A6" sqref="A6"/>
      <selection pane="topRight" activeCell="AR12" sqref="AR12:AU12"/>
    </sheetView>
  </sheetViews>
  <sheetFormatPr baseColWidth="8" defaultColWidth="8.88671875" defaultRowHeight="10.2"/>
  <cols>
    <col width="39.44140625" bestFit="1" customWidth="1" style="252" min="1" max="1"/>
    <col width="13" customWidth="1" style="252" min="2" max="2"/>
    <col outlineLevel="1" width="10.5546875" customWidth="1" style="252" min="3" max="3"/>
    <col outlineLevel="1" width="10" customWidth="1" style="252" min="4" max="4"/>
    <col width="10.21875" customWidth="1" style="252" min="5" max="5"/>
    <col width="10" customWidth="1" style="252" min="6" max="6"/>
    <col width="10.44140625" customWidth="1" style="252" min="7" max="11"/>
    <col width="10.6640625" customWidth="1" style="252" min="12" max="13"/>
    <col width="10.44140625" customWidth="1" style="252" min="14" max="15"/>
    <col width="10.6640625" customWidth="1" style="252" min="16" max="16"/>
    <col width="10.44140625" customWidth="1" style="252" min="17" max="17"/>
    <col width="10.6640625" customWidth="1" style="252" min="18" max="19"/>
    <col width="10.44140625" customWidth="1" style="252" min="20" max="20"/>
    <col width="10.6640625" customWidth="1" style="252" min="21" max="23"/>
    <col width="11.88671875" customWidth="1" style="252" min="24" max="24"/>
    <col width="12.21875" customWidth="1" style="252" min="25" max="26"/>
    <col width="11.88671875" customWidth="1" style="252" min="27" max="27"/>
    <col width="12.21875" customWidth="1" style="252" min="28" max="28"/>
    <col width="11.88671875" customWidth="1" style="252" min="29" max="42"/>
    <col width="2" customWidth="1" style="252" min="43" max="43"/>
    <col width="14.88671875" customWidth="1" style="252" min="44" max="44"/>
    <col width="2" customWidth="1" style="252" min="45" max="45"/>
    <col width="16.109375" bestFit="1" customWidth="1" style="252" min="46" max="153"/>
    <col width="15.6640625" bestFit="1" customWidth="1" style="252" min="154" max="154"/>
    <col width="14.44140625" bestFit="1" customWidth="1" style="252" min="155" max="218"/>
    <col width="14.21875" bestFit="1" customWidth="1" style="252" min="219" max="220"/>
    <col width="15.77734375" bestFit="1" customWidth="1" style="252" min="221" max="221"/>
    <col width="15.5546875" bestFit="1" customWidth="1" style="252" min="222" max="222"/>
    <col width="15.77734375" bestFit="1" customWidth="1" style="252" min="223" max="224"/>
    <col width="14.21875" bestFit="1" customWidth="1" style="252" min="225" max="228"/>
    <col width="13.44140625" bestFit="1" customWidth="1" style="252" min="229" max="229"/>
    <col width="8.88671875" customWidth="1" style="252" min="230" max="265"/>
    <col width="13.44140625" customWidth="1" style="252" min="266" max="269"/>
    <col width="8.88671875" customWidth="1" style="252" min="270" max="272"/>
    <col width="14.44140625" bestFit="1" customWidth="1" style="252" min="273" max="273"/>
    <col width="8.88671875" customWidth="1" style="252" min="274" max="277"/>
    <col width="38.77734375" bestFit="1" customWidth="1" style="252" min="278" max="278"/>
    <col width="12.77734375" bestFit="1" customWidth="1" style="252" min="279" max="279"/>
    <col width="11.6640625" bestFit="1" customWidth="1" style="252" min="280" max="280"/>
    <col width="12.77734375" bestFit="1" customWidth="1" style="252" min="281" max="281"/>
    <col width="13" bestFit="1" customWidth="1" style="252" min="282" max="282"/>
    <col width="13" customWidth="1" style="252" min="283" max="285"/>
    <col width="13.88671875" bestFit="1" customWidth="1" style="252" min="286" max="286"/>
    <col width="8.88671875" customWidth="1" style="252" min="287" max="292"/>
    <col width="13" customWidth="1" style="252" min="293" max="293"/>
    <col width="14.88671875" customWidth="1" style="252" min="294" max="294"/>
    <col width="8.88671875" customWidth="1" style="252" min="295" max="295"/>
    <col width="10.109375" bestFit="1" customWidth="1" style="252" min="296" max="296"/>
    <col width="8.88671875" customWidth="1" style="252" min="297" max="16384"/>
  </cols>
  <sheetData>
    <row r="1" ht="18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506" t="inlineStr">
        <is>
          <t>Total | Previsão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E1" s="1" t="n"/>
      <c r="BF1" s="373" t="inlineStr">
        <is>
          <t>PREVISÃO DE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EC1" s="343" t="inlineStr">
        <is>
          <t>FIM DAS VENDAS</t>
        </is>
      </c>
      <c r="JF1" s="438" t="inlineStr">
        <is>
          <t>Realizado</t>
        </is>
      </c>
      <c r="JG1" s="439" t="n"/>
      <c r="JH1" s="439" t="n"/>
      <c r="JI1" s="440" t="n"/>
      <c r="JM1" s="1" t="inlineStr">
        <is>
          <t>Previsão de Maio feita no fechamento de Abril/26</t>
        </is>
      </c>
      <c r="KG1" s="1" t="n"/>
      <c r="KH1" s="506" t="inlineStr">
        <is>
          <t>Total | Previsão</t>
        </is>
      </c>
    </row>
    <row r="2" ht="18" customHeight="1">
      <c r="A2" s="2" t="inlineStr">
        <is>
          <t>Ville de Provence</t>
        </is>
      </c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4">
        <f>+AB8+AB9+AC8+AC9+AD8+AD9+AE8+AE9+AF8+AF9+AD62</f>
        <v/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507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321" t="n"/>
      <c r="BE2" s="1" t="n"/>
      <c r="BF2" s="373" t="inlineStr">
        <is>
          <t>ENTREGA DA OBRA</t>
        </is>
      </c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32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32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283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32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EC2" s="343" t="n"/>
      <c r="JF2" s="437" t="inlineStr">
        <is>
          <t>No mês</t>
        </is>
      </c>
      <c r="JG2" s="437" t="inlineStr">
        <is>
          <t>Ano 2025</t>
        </is>
      </c>
      <c r="JH2" s="437" t="inlineStr">
        <is>
          <t>Ano 2026</t>
        </is>
      </c>
      <c r="JI2" s="437" t="inlineStr">
        <is>
          <t>Acumulado</t>
        </is>
      </c>
      <c r="JM2" s="1" t="n"/>
      <c r="JS2" s="437" t="inlineStr">
        <is>
          <t>YTD</t>
        </is>
      </c>
      <c r="JT2" s="456" t="inlineStr">
        <is>
          <t>Prev. 2025</t>
        </is>
      </c>
      <c r="JU2" s="437" t="n">
        <v>2026</v>
      </c>
      <c r="JV2" s="437" t="n">
        <v>2027</v>
      </c>
      <c r="JW2" s="437" t="n">
        <v>2028</v>
      </c>
      <c r="JX2" s="437" t="n">
        <v>2029</v>
      </c>
      <c r="JY2" s="437" t="n">
        <v>2030</v>
      </c>
      <c r="JZ2" s="437" t="inlineStr">
        <is>
          <t>Demais</t>
        </is>
      </c>
      <c r="KG2" s="2" t="n"/>
      <c r="KH2" s="507" t="n"/>
    </row>
    <row r="3" ht="10.8" customHeight="1" thickBot="1">
      <c r="A3" s="2" t="n"/>
      <c r="B3" s="2" t="n"/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1" t="n">
        <v>11</v>
      </c>
      <c r="N3" s="51" t="n">
        <v>12</v>
      </c>
      <c r="O3" s="51" t="n">
        <v>13</v>
      </c>
      <c r="P3" s="51" t="n">
        <v>14</v>
      </c>
      <c r="Q3" s="51" t="n">
        <v>15</v>
      </c>
      <c r="R3" s="51" t="n">
        <v>16</v>
      </c>
      <c r="S3" s="51" t="n">
        <v>17</v>
      </c>
      <c r="T3" s="51" t="n">
        <v>18</v>
      </c>
      <c r="U3" s="51" t="n">
        <v>19</v>
      </c>
      <c r="V3" s="51" t="n">
        <v>20</v>
      </c>
      <c r="W3" s="51" t="n">
        <v>21</v>
      </c>
      <c r="X3" s="51" t="n">
        <v>22</v>
      </c>
      <c r="Y3" s="51" t="n">
        <v>23</v>
      </c>
      <c r="Z3" s="51" t="n">
        <v>24</v>
      </c>
      <c r="AA3" s="51" t="n">
        <v>25</v>
      </c>
      <c r="AB3" s="51" t="n">
        <v>26</v>
      </c>
      <c r="AC3" s="51" t="n">
        <v>27</v>
      </c>
      <c r="AD3" s="51" t="n">
        <v>28</v>
      </c>
      <c r="AE3" s="51" t="n">
        <v>29</v>
      </c>
      <c r="AF3" s="51" t="n">
        <v>30</v>
      </c>
      <c r="AG3" s="51" t="n">
        <v>31</v>
      </c>
      <c r="AH3" s="51" t="n">
        <v>32</v>
      </c>
      <c r="AI3" s="51" t="n">
        <v>33</v>
      </c>
      <c r="AJ3" s="51" t="n">
        <v>34</v>
      </c>
      <c r="AK3" s="51" t="n">
        <v>35</v>
      </c>
      <c r="AL3" s="51" t="n">
        <v>36</v>
      </c>
      <c r="AM3" s="51" t="n">
        <v>37</v>
      </c>
      <c r="AN3" s="51" t="n">
        <v>38</v>
      </c>
      <c r="AO3" s="51" t="n">
        <v>39</v>
      </c>
      <c r="AP3" s="51" t="n">
        <v>40</v>
      </c>
      <c r="AQ3" s="51" t="n"/>
      <c r="AR3" s="508" t="n"/>
      <c r="AS3" s="51" t="n"/>
      <c r="AT3" s="51" t="n">
        <v>41</v>
      </c>
      <c r="AU3" s="51" t="n">
        <v>42</v>
      </c>
      <c r="AV3" s="51" t="n">
        <v>43</v>
      </c>
      <c r="AW3" s="51" t="n">
        <v>44</v>
      </c>
      <c r="AX3" s="51" t="n">
        <v>45</v>
      </c>
      <c r="AY3" s="51" t="n">
        <v>46</v>
      </c>
      <c r="AZ3" s="51" t="n">
        <v>47</v>
      </c>
      <c r="BA3" s="51" t="n">
        <v>48</v>
      </c>
      <c r="BB3" s="51" t="n">
        <v>49</v>
      </c>
      <c r="BC3" s="51" t="n">
        <v>50</v>
      </c>
      <c r="BD3" s="51" t="n">
        <v>51</v>
      </c>
      <c r="BE3" s="51" t="n">
        <v>52</v>
      </c>
      <c r="BF3" s="51" t="n">
        <v>53</v>
      </c>
      <c r="BG3" s="51" t="n">
        <v>54</v>
      </c>
      <c r="BH3" s="51" t="n">
        <v>55</v>
      </c>
      <c r="BI3" s="51" t="n">
        <v>56</v>
      </c>
      <c r="BJ3" s="51" t="n">
        <v>57</v>
      </c>
      <c r="BK3" s="51" t="n">
        <v>58</v>
      </c>
      <c r="BL3" s="51" t="n">
        <v>59</v>
      </c>
      <c r="BM3" s="51" t="n">
        <v>60</v>
      </c>
      <c r="BN3" s="51" t="n">
        <v>61</v>
      </c>
      <c r="BO3" s="51" t="n">
        <v>62</v>
      </c>
      <c r="BP3" s="51" t="n">
        <v>63</v>
      </c>
      <c r="BQ3" s="51" t="n">
        <v>64</v>
      </c>
      <c r="BR3" s="51" t="n">
        <v>65</v>
      </c>
      <c r="BS3" s="51" t="n">
        <v>66</v>
      </c>
      <c r="BT3" s="51" t="n">
        <v>67</v>
      </c>
      <c r="BU3" s="51" t="n">
        <v>68</v>
      </c>
      <c r="BV3" s="51" t="n">
        <v>69</v>
      </c>
      <c r="BW3" s="51" t="n">
        <v>70</v>
      </c>
      <c r="BX3" s="51" t="n">
        <v>71</v>
      </c>
      <c r="BY3" s="51" t="n">
        <v>72</v>
      </c>
      <c r="BZ3" s="51" t="n">
        <v>73</v>
      </c>
      <c r="CA3" s="51" t="n">
        <v>74</v>
      </c>
      <c r="CB3" s="51" t="n">
        <v>75</v>
      </c>
      <c r="CC3" s="51" t="n">
        <v>76</v>
      </c>
      <c r="CD3" s="51" t="n">
        <v>77</v>
      </c>
      <c r="CE3" s="51" t="n">
        <v>78</v>
      </c>
      <c r="CF3" s="51" t="n">
        <v>79</v>
      </c>
      <c r="CG3" s="51" t="n">
        <v>80</v>
      </c>
      <c r="CH3" s="51" t="n">
        <v>81</v>
      </c>
      <c r="CI3" s="51" t="n">
        <v>82</v>
      </c>
      <c r="CJ3" s="51" t="n">
        <v>83</v>
      </c>
      <c r="CK3" s="51" t="n">
        <v>84</v>
      </c>
      <c r="CL3" s="51" t="n">
        <v>85</v>
      </c>
      <c r="CM3" s="51" t="n">
        <v>86</v>
      </c>
      <c r="CN3" s="51" t="n">
        <v>87</v>
      </c>
      <c r="CO3" s="51" t="n">
        <v>88</v>
      </c>
      <c r="CP3" s="51" t="n">
        <v>89</v>
      </c>
      <c r="CQ3" s="51" t="n">
        <v>90</v>
      </c>
      <c r="CR3" s="51" t="n">
        <v>91</v>
      </c>
      <c r="CS3" s="51" t="n">
        <v>92</v>
      </c>
      <c r="CT3" s="51" t="n">
        <v>93</v>
      </c>
      <c r="CU3" s="51" t="n">
        <v>94</v>
      </c>
      <c r="CV3" s="51" t="n">
        <v>95</v>
      </c>
      <c r="CW3" s="51" t="n">
        <v>96</v>
      </c>
      <c r="CX3" s="51" t="n">
        <v>97</v>
      </c>
      <c r="CY3" s="51" t="n">
        <v>98</v>
      </c>
      <c r="CZ3" s="51" t="n">
        <v>99</v>
      </c>
      <c r="DA3" s="51" t="n">
        <v>100</v>
      </c>
      <c r="DB3" s="51" t="n">
        <v>101</v>
      </c>
      <c r="DC3" s="51" t="n">
        <v>102</v>
      </c>
      <c r="DD3" s="51" t="n">
        <v>103</v>
      </c>
      <c r="DE3" s="51" t="n">
        <v>104</v>
      </c>
      <c r="DF3" s="51" t="n">
        <v>105</v>
      </c>
      <c r="DG3" s="51" t="n">
        <v>106</v>
      </c>
      <c r="DH3" s="51" t="n">
        <v>107</v>
      </c>
      <c r="DI3" s="51" t="n">
        <v>108</v>
      </c>
      <c r="DJ3" s="51" t="n">
        <v>109</v>
      </c>
      <c r="DK3" s="51" t="n">
        <v>110</v>
      </c>
      <c r="DL3" s="51" t="n">
        <v>111</v>
      </c>
      <c r="DM3" s="51" t="n">
        <v>112</v>
      </c>
      <c r="DN3" s="51" t="n">
        <v>113</v>
      </c>
      <c r="DO3" s="51" t="n">
        <v>114</v>
      </c>
      <c r="DP3" s="51" t="n">
        <v>115</v>
      </c>
      <c r="DQ3" s="51" t="n">
        <v>116</v>
      </c>
      <c r="DR3" s="51" t="n">
        <v>117</v>
      </c>
      <c r="DS3" s="51" t="n">
        <v>118</v>
      </c>
      <c r="DT3" s="51" t="n">
        <v>119</v>
      </c>
      <c r="DU3" s="51" t="n">
        <v>120</v>
      </c>
      <c r="DV3" s="51" t="n">
        <v>121</v>
      </c>
      <c r="DW3" s="51" t="n">
        <v>122</v>
      </c>
      <c r="DX3" s="51" t="n">
        <v>123</v>
      </c>
      <c r="DY3" s="51" t="n">
        <v>124</v>
      </c>
      <c r="DZ3" s="51" t="n">
        <v>125</v>
      </c>
      <c r="EA3" s="51" t="n">
        <v>126</v>
      </c>
      <c r="EB3" s="51" t="n">
        <v>127</v>
      </c>
      <c r="EC3" s="344" t="n">
        <v>128</v>
      </c>
      <c r="ED3" s="51" t="n">
        <v>129</v>
      </c>
      <c r="EE3" s="51" t="n">
        <v>130</v>
      </c>
      <c r="EF3" s="51" t="n">
        <v>131</v>
      </c>
      <c r="EG3" s="51" t="n">
        <v>132</v>
      </c>
      <c r="EH3" s="51" t="n">
        <v>133</v>
      </c>
      <c r="EI3" s="51" t="n">
        <v>134</v>
      </c>
      <c r="EJ3" s="51" t="n">
        <v>135</v>
      </c>
      <c r="EK3" s="51" t="n">
        <v>136</v>
      </c>
      <c r="EL3" s="51" t="n">
        <v>137</v>
      </c>
      <c r="EM3" s="51" t="n">
        <v>138</v>
      </c>
      <c r="EN3" s="51" t="n">
        <v>139</v>
      </c>
      <c r="EO3" s="51" t="n">
        <v>140</v>
      </c>
      <c r="EP3" s="51" t="n">
        <v>141</v>
      </c>
      <c r="EQ3" s="51" t="n">
        <v>142</v>
      </c>
      <c r="ER3" s="51" t="n">
        <v>143</v>
      </c>
      <c r="ES3" s="51" t="n">
        <v>144</v>
      </c>
      <c r="ET3" s="51" t="n">
        <v>145</v>
      </c>
      <c r="EU3" s="51" t="n">
        <v>146</v>
      </c>
      <c r="EV3" s="51" t="n">
        <v>147</v>
      </c>
      <c r="EW3" s="51" t="n">
        <v>148</v>
      </c>
      <c r="EX3" s="51" t="n">
        <v>149</v>
      </c>
      <c r="EY3" s="51" t="n">
        <v>150</v>
      </c>
      <c r="EZ3" s="51" t="n">
        <v>151</v>
      </c>
      <c r="FA3" s="51" t="n">
        <v>152</v>
      </c>
      <c r="FB3" s="51" t="n">
        <v>153</v>
      </c>
      <c r="FC3" s="51" t="n">
        <v>154</v>
      </c>
      <c r="FD3" s="51" t="n">
        <v>155</v>
      </c>
      <c r="FE3" s="51" t="n">
        <v>156</v>
      </c>
      <c r="FF3" s="51" t="n">
        <v>157</v>
      </c>
      <c r="FG3" s="51" t="n">
        <v>158</v>
      </c>
      <c r="FH3" s="51" t="n">
        <v>159</v>
      </c>
      <c r="FI3" s="51" t="n">
        <v>160</v>
      </c>
      <c r="FJ3" s="51" t="n">
        <v>161</v>
      </c>
      <c r="FK3" s="51" t="n">
        <v>162</v>
      </c>
      <c r="FL3" s="51" t="n">
        <v>163</v>
      </c>
      <c r="FM3" s="51" t="n">
        <v>164</v>
      </c>
      <c r="FN3" s="51" t="n">
        <v>165</v>
      </c>
      <c r="FO3" s="51" t="n">
        <v>166</v>
      </c>
      <c r="FP3" s="51" t="n">
        <v>167</v>
      </c>
      <c r="FQ3" s="51" t="n">
        <v>168</v>
      </c>
      <c r="FR3" s="51" t="n">
        <v>169</v>
      </c>
      <c r="FS3" s="51" t="n">
        <v>170</v>
      </c>
      <c r="FT3" s="51" t="n">
        <v>171</v>
      </c>
      <c r="FU3" s="51" t="n">
        <v>172</v>
      </c>
      <c r="FV3" s="51" t="n">
        <v>173</v>
      </c>
      <c r="FW3" s="51" t="n">
        <v>174</v>
      </c>
      <c r="FX3" s="51" t="n">
        <v>175</v>
      </c>
      <c r="FY3" s="51" t="n">
        <v>176</v>
      </c>
      <c r="FZ3" s="51" t="n">
        <v>177</v>
      </c>
      <c r="GA3" s="51" t="n">
        <v>178</v>
      </c>
      <c r="GB3" s="51" t="n">
        <v>179</v>
      </c>
      <c r="GC3" s="51" t="n">
        <v>180</v>
      </c>
      <c r="GD3" s="51" t="n">
        <v>181</v>
      </c>
      <c r="GE3" s="51" t="n">
        <v>182</v>
      </c>
      <c r="GF3" s="51" t="n">
        <v>183</v>
      </c>
      <c r="GG3" s="51" t="n">
        <v>184</v>
      </c>
      <c r="GH3" s="51" t="n">
        <v>185</v>
      </c>
      <c r="GI3" s="51" t="n">
        <v>186</v>
      </c>
      <c r="GJ3" s="51" t="n">
        <v>187</v>
      </c>
      <c r="GK3" s="51" t="n">
        <v>188</v>
      </c>
      <c r="GL3" s="51" t="n">
        <v>189</v>
      </c>
      <c r="GM3" s="51" t="n">
        <v>190</v>
      </c>
      <c r="GN3" s="51" t="n">
        <v>191</v>
      </c>
      <c r="GO3" s="51" t="n">
        <v>192</v>
      </c>
      <c r="GP3" s="51" t="n">
        <v>193</v>
      </c>
      <c r="GQ3" s="51" t="n">
        <v>194</v>
      </c>
      <c r="GR3" s="51" t="n">
        <v>195</v>
      </c>
      <c r="GS3" s="51" t="n">
        <v>196</v>
      </c>
      <c r="GT3" s="51" t="n">
        <v>197</v>
      </c>
      <c r="GU3" s="51" t="n">
        <v>198</v>
      </c>
      <c r="GV3" s="51" t="n">
        <v>199</v>
      </c>
      <c r="GW3" s="51" t="n">
        <v>200</v>
      </c>
      <c r="GX3" s="51" t="n">
        <v>201</v>
      </c>
      <c r="GY3" s="51" t="n">
        <v>202</v>
      </c>
      <c r="GZ3" s="51" t="n">
        <v>203</v>
      </c>
      <c r="HA3" s="51" t="n">
        <v>204</v>
      </c>
      <c r="HB3" s="51" t="n">
        <v>205</v>
      </c>
      <c r="HC3" s="51" t="n">
        <v>206</v>
      </c>
      <c r="HD3" s="51" t="n">
        <v>207</v>
      </c>
      <c r="HE3" s="51" t="n">
        <v>208</v>
      </c>
      <c r="HF3" s="51" t="n">
        <v>209</v>
      </c>
      <c r="HG3" s="51" t="n">
        <v>210</v>
      </c>
      <c r="HH3" s="51" t="n">
        <v>211</v>
      </c>
      <c r="HI3" s="51" t="n">
        <v>212</v>
      </c>
      <c r="HJ3" s="51" t="n">
        <v>213</v>
      </c>
      <c r="HK3" s="51" t="n">
        <v>214</v>
      </c>
      <c r="HL3" s="51" t="n">
        <v>215</v>
      </c>
      <c r="HM3" s="51" t="n">
        <v>216</v>
      </c>
      <c r="HN3" s="51" t="n">
        <v>217</v>
      </c>
      <c r="HO3" s="51" t="n">
        <v>218</v>
      </c>
      <c r="HP3" s="51" t="n">
        <v>219</v>
      </c>
      <c r="HQ3" s="51" t="n">
        <v>220</v>
      </c>
      <c r="HR3" s="51" t="n">
        <v>221</v>
      </c>
      <c r="HS3" s="51" t="n">
        <v>222</v>
      </c>
      <c r="HT3" s="51" t="n">
        <v>223</v>
      </c>
      <c r="HU3" s="51" t="n">
        <v>224</v>
      </c>
      <c r="JM3" s="51" t="n">
        <v>40</v>
      </c>
      <c r="JT3" s="457" t="n"/>
      <c r="KG3" s="2" t="n"/>
      <c r="KH3" s="508" t="n"/>
    </row>
    <row r="4" ht="15" customHeight="1" thickBot="1">
      <c r="A4" s="3" t="inlineStr">
        <is>
          <t xml:space="preserve">Fluxo de Caixa </t>
        </is>
      </c>
      <c r="B4" s="509" t="inlineStr">
        <is>
          <t>REALIZADO</t>
        </is>
      </c>
      <c r="C4" s="4" t="n"/>
      <c r="D4" s="107" t="n"/>
      <c r="E4" s="107" t="n"/>
      <c r="F4" s="107" t="n"/>
      <c r="G4" s="107" t="n"/>
      <c r="H4" s="107" t="n"/>
      <c r="I4" s="107" t="n"/>
      <c r="J4" s="253" t="n"/>
      <c r="K4" s="254" t="n"/>
      <c r="L4" s="258" t="n"/>
      <c r="M4" s="501" t="inlineStr">
        <is>
          <t>REALIZADO</t>
        </is>
      </c>
      <c r="X4" s="502" t="n"/>
      <c r="Y4" s="502" t="n"/>
      <c r="Z4" s="502" t="n"/>
      <c r="AA4" s="502" t="n"/>
      <c r="AB4" s="502" t="n"/>
      <c r="AC4" s="502" t="n"/>
      <c r="AD4" s="502" t="n"/>
      <c r="AE4" s="502" t="n"/>
      <c r="AF4" s="502" t="n"/>
      <c r="AG4" s="502" t="n"/>
      <c r="AH4" s="502" t="n"/>
      <c r="AI4" s="502" t="n"/>
      <c r="AJ4" s="502" t="n"/>
      <c r="AK4" s="502" t="n"/>
      <c r="AL4" s="502" t="n"/>
      <c r="AM4" s="502" t="n"/>
      <c r="AN4" s="502" t="n"/>
      <c r="AO4" s="502" t="n"/>
      <c r="AP4" s="502" t="n"/>
      <c r="AQ4" s="51" t="n"/>
      <c r="AR4" s="230" t="n"/>
      <c r="AS4" s="5" t="n"/>
      <c r="AT4" s="152" t="n"/>
      <c r="AU4" s="152" t="n"/>
      <c r="AV4" s="152" t="n"/>
      <c r="AW4" s="152" t="n"/>
      <c r="AX4" s="152" t="n"/>
      <c r="AY4" s="152" t="n"/>
      <c r="AZ4" s="152" t="n"/>
      <c r="BA4" s="152" t="n"/>
      <c r="BB4" s="152" t="n"/>
      <c r="BC4" s="152" t="n"/>
      <c r="BD4" s="285" t="n"/>
      <c r="BE4" s="152" t="n"/>
      <c r="BF4" s="152" t="n"/>
      <c r="BG4" s="152" t="n"/>
      <c r="BH4" s="152" t="n"/>
      <c r="BI4" s="152" t="n"/>
      <c r="BJ4" s="152" t="n"/>
      <c r="BK4" s="152" t="n"/>
      <c r="BL4" s="152" t="n"/>
      <c r="BM4" s="152" t="n"/>
      <c r="BN4" s="152" t="n"/>
      <c r="BO4" s="152" t="n"/>
      <c r="BP4" s="285" t="n"/>
      <c r="BQ4" s="152" t="n"/>
      <c r="BR4" s="152" t="n"/>
      <c r="BS4" s="152" t="n"/>
      <c r="BT4" s="152" t="n"/>
      <c r="BU4" s="152" t="n"/>
      <c r="BV4" s="152" t="n"/>
      <c r="BW4" s="152" t="n"/>
      <c r="BX4" s="152" t="n"/>
      <c r="BY4" s="152" t="n"/>
      <c r="BZ4" s="152" t="n"/>
      <c r="CA4" s="152" t="n"/>
      <c r="CB4" s="285" t="n"/>
      <c r="CC4" s="152" t="n"/>
      <c r="CD4" s="152" t="n"/>
      <c r="CE4" s="152" t="n"/>
      <c r="CF4" s="152" t="n"/>
      <c r="CG4" s="152" t="n"/>
      <c r="CH4" s="152" t="n"/>
      <c r="CI4" s="152" t="n"/>
      <c r="CJ4" s="152" t="n"/>
      <c r="CK4" s="152" t="n"/>
      <c r="CL4" s="152" t="n"/>
      <c r="CM4" s="152" t="n"/>
      <c r="CN4" s="285" t="n"/>
      <c r="CO4" s="152" t="n"/>
      <c r="CP4" s="152" t="n"/>
      <c r="CQ4" s="152" t="n"/>
      <c r="CR4" s="152" t="n"/>
      <c r="CS4" s="152" t="n"/>
      <c r="CT4" s="152" t="n"/>
      <c r="CU4" s="152" t="n"/>
      <c r="CV4" s="152" t="n"/>
      <c r="CW4" s="152" t="n"/>
      <c r="CX4" s="152" t="n"/>
      <c r="CY4" s="152" t="n"/>
      <c r="CZ4" s="285" t="n"/>
      <c r="DA4" s="152" t="n"/>
      <c r="DB4" s="152" t="n"/>
      <c r="DC4" s="152" t="n"/>
      <c r="DD4" s="152" t="n"/>
      <c r="DE4" s="152" t="n"/>
      <c r="DF4" s="152" t="n"/>
      <c r="DG4" s="152" t="n"/>
      <c r="DH4" s="152" t="n"/>
      <c r="DI4" s="152" t="n"/>
      <c r="DJ4" s="152" t="n"/>
      <c r="DK4" s="152" t="n"/>
      <c r="DL4" s="152" t="n"/>
      <c r="DM4" s="152" t="n"/>
      <c r="DN4" s="152" t="n"/>
      <c r="DO4" s="152" t="n"/>
      <c r="DP4" s="152" t="n"/>
      <c r="DQ4" s="152" t="n"/>
      <c r="DR4" s="152" t="n"/>
      <c r="DS4" s="152" t="n"/>
      <c r="DT4" s="152" t="n"/>
      <c r="DU4" s="152" t="n"/>
      <c r="DV4" s="152" t="n"/>
      <c r="DW4" s="152" t="n"/>
      <c r="DX4" s="152" t="n"/>
      <c r="DY4" s="152" t="n"/>
      <c r="DZ4" s="152" t="n"/>
      <c r="EA4" s="152" t="n"/>
      <c r="EB4" s="152" t="n"/>
      <c r="EC4" s="152" t="n"/>
      <c r="ED4" s="152" t="n"/>
      <c r="EE4" s="152" t="n"/>
      <c r="EF4" s="152" t="n"/>
      <c r="EG4" s="152" t="n"/>
      <c r="EH4" s="152" t="n"/>
      <c r="EI4" s="152" t="n"/>
      <c r="EJ4" s="152" t="n"/>
      <c r="EK4" s="152" t="n"/>
      <c r="EL4" s="152" t="n"/>
      <c r="EM4" s="152" t="n"/>
      <c r="EN4" s="152" t="n"/>
      <c r="EO4" s="152" t="n"/>
      <c r="EP4" s="152" t="n"/>
      <c r="EQ4" s="152" t="n"/>
      <c r="ER4" s="152" t="n"/>
      <c r="ES4" s="152" t="n"/>
      <c r="ET4" s="152" t="n"/>
      <c r="EU4" s="152" t="n"/>
      <c r="EV4" s="152" t="n"/>
      <c r="EW4" s="152" t="n"/>
      <c r="EX4" s="152" t="n"/>
      <c r="EY4" s="152" t="n"/>
      <c r="EZ4" s="152" t="n"/>
      <c r="FA4" s="152" t="n"/>
      <c r="FB4" s="152" t="n"/>
      <c r="FC4" s="152" t="n"/>
      <c r="FD4" s="152" t="n"/>
      <c r="FE4" s="152" t="n"/>
      <c r="FF4" s="152" t="n"/>
      <c r="FG4" s="152" t="n"/>
      <c r="FH4" s="152" t="n"/>
      <c r="FI4" s="152" t="n"/>
      <c r="FJ4" s="152" t="n"/>
      <c r="FK4" s="152" t="n"/>
      <c r="FL4" s="152" t="n"/>
      <c r="FM4" s="152" t="n"/>
      <c r="FN4" s="152" t="n"/>
      <c r="FO4" s="152" t="n"/>
      <c r="FP4" s="152" t="n"/>
      <c r="FQ4" s="152" t="n"/>
      <c r="FR4" s="152" t="n"/>
      <c r="FS4" s="152" t="n"/>
      <c r="FT4" s="152" t="n"/>
      <c r="FU4" s="152" t="n"/>
      <c r="FV4" s="152" t="n"/>
      <c r="FW4" s="152" t="n"/>
      <c r="FX4" s="152" t="n"/>
      <c r="FY4" s="152" t="n"/>
      <c r="FZ4" s="152" t="n"/>
      <c r="GA4" s="152" t="n"/>
      <c r="GB4" s="152" t="n"/>
      <c r="GC4" s="152" t="n"/>
      <c r="GD4" s="152" t="n"/>
      <c r="GE4" s="152" t="n"/>
      <c r="GF4" s="152" t="n"/>
      <c r="GG4" s="152" t="n"/>
      <c r="GH4" s="152" t="n"/>
      <c r="GI4" s="152" t="n"/>
      <c r="GJ4" s="152" t="n"/>
      <c r="GK4" s="152" t="n"/>
      <c r="GL4" s="152" t="n"/>
      <c r="GM4" s="152" t="n"/>
      <c r="GN4" s="152" t="n"/>
      <c r="GO4" s="152" t="n"/>
      <c r="GP4" s="152" t="n"/>
      <c r="GQ4" s="152" t="n"/>
      <c r="GR4" s="152" t="n"/>
      <c r="GS4" s="152" t="n"/>
      <c r="GT4" s="152" t="n"/>
      <c r="GU4" s="152" t="n"/>
      <c r="GV4" s="152" t="n"/>
      <c r="GW4" s="152" t="n"/>
      <c r="GX4" s="152" t="n"/>
      <c r="GY4" s="152" t="n"/>
      <c r="GZ4" s="152" t="n"/>
      <c r="HA4" s="152" t="n"/>
      <c r="HB4" s="152" t="n"/>
      <c r="HC4" s="152" t="n"/>
      <c r="HD4" s="152" t="n"/>
      <c r="HE4" s="152" t="n"/>
      <c r="HF4" s="152" t="n"/>
      <c r="HG4" s="152" t="n"/>
      <c r="HH4" s="152" t="n"/>
      <c r="HI4" s="152" t="n"/>
      <c r="HJ4" s="152" t="n"/>
      <c r="HK4" s="152" t="n"/>
      <c r="HL4" s="152" t="n"/>
      <c r="HM4" s="152" t="n"/>
      <c r="HN4" s="152" t="n"/>
      <c r="HO4" s="152" t="n"/>
      <c r="HP4" s="152" t="n"/>
      <c r="HQ4" s="152" t="n"/>
      <c r="HR4" s="152" t="n"/>
      <c r="HS4" s="152" t="n"/>
      <c r="HT4" s="152" t="n"/>
      <c r="HU4" s="152" t="n"/>
      <c r="JM4" s="152" t="n"/>
      <c r="JT4" s="457" t="n"/>
      <c r="KG4" s="509" t="inlineStr">
        <is>
          <t>REALIZADO</t>
        </is>
      </c>
      <c r="KH4" s="230" t="n"/>
    </row>
    <row r="5" ht="10.8" customHeight="1" thickTop="1">
      <c r="A5" s="1" t="n"/>
      <c r="B5" s="510" t="n"/>
      <c r="C5" s="6" t="n">
        <v>44958</v>
      </c>
      <c r="D5" s="6" t="n">
        <v>44986</v>
      </c>
      <c r="E5" s="6" t="n">
        <v>45017</v>
      </c>
      <c r="F5" s="6" t="n">
        <v>45047</v>
      </c>
      <c r="G5" s="6" t="n">
        <v>45078</v>
      </c>
      <c r="H5" s="6" t="n">
        <v>45108</v>
      </c>
      <c r="I5" s="6" t="n">
        <v>45139</v>
      </c>
      <c r="J5" s="206" t="n">
        <v>45170</v>
      </c>
      <c r="K5" s="6" t="n">
        <v>45200</v>
      </c>
      <c r="L5" s="6" t="n">
        <v>45231</v>
      </c>
      <c r="M5" s="207" t="n">
        <v>45261</v>
      </c>
      <c r="N5" s="207" t="n">
        <v>45292</v>
      </c>
      <c r="O5" s="207" t="n">
        <v>45323</v>
      </c>
      <c r="P5" s="207" t="n">
        <v>45352</v>
      </c>
      <c r="Q5" s="207" t="n">
        <v>45383</v>
      </c>
      <c r="R5" s="207" t="n">
        <v>45413</v>
      </c>
      <c r="S5" s="207" t="n">
        <v>45444</v>
      </c>
      <c r="T5" s="207" t="n">
        <v>45474</v>
      </c>
      <c r="U5" s="207" t="n">
        <v>45505</v>
      </c>
      <c r="V5" s="207" t="n">
        <v>45536</v>
      </c>
      <c r="W5" s="207" t="n">
        <v>45566</v>
      </c>
      <c r="X5" s="207" t="n">
        <v>45597</v>
      </c>
      <c r="Y5" s="207" t="n">
        <v>45627</v>
      </c>
      <c r="Z5" s="207" t="n">
        <v>45658</v>
      </c>
      <c r="AA5" s="207" t="n">
        <v>45689</v>
      </c>
      <c r="AB5" s="207" t="n">
        <v>45717</v>
      </c>
      <c r="AC5" s="207" t="n">
        <v>45748</v>
      </c>
      <c r="AD5" s="207" t="n">
        <v>45778</v>
      </c>
      <c r="AE5" s="207" t="n">
        <v>45809</v>
      </c>
      <c r="AF5" s="207" t="n">
        <v>45839</v>
      </c>
      <c r="AG5" s="207" t="n">
        <v>45870</v>
      </c>
      <c r="AH5" s="207" t="n">
        <v>45901</v>
      </c>
      <c r="AI5" s="207" t="n">
        <v>45931</v>
      </c>
      <c r="AJ5" s="207" t="n">
        <v>45962</v>
      </c>
      <c r="AK5" s="207" t="n">
        <v>45992</v>
      </c>
      <c r="AL5" s="207" t="n">
        <v>46023</v>
      </c>
      <c r="AM5" s="207" t="n">
        <v>46054</v>
      </c>
      <c r="AN5" s="207" t="n">
        <v>46082</v>
      </c>
      <c r="AO5" s="207" t="n">
        <v>46113</v>
      </c>
      <c r="AP5" s="207" t="n">
        <v>46143</v>
      </c>
      <c r="AQ5" s="199" t="n"/>
      <c r="AR5" s="231" t="inlineStr">
        <is>
          <t>Total | Previsão</t>
        </is>
      </c>
      <c r="AS5" s="199" t="n"/>
      <c r="AT5" s="270" t="n">
        <v>46174</v>
      </c>
      <c r="AU5" s="270" t="n">
        <v>46204</v>
      </c>
      <c r="AV5" s="270" t="n">
        <v>46235</v>
      </c>
      <c r="AW5" s="270" t="n">
        <v>46266</v>
      </c>
      <c r="AX5" s="270" t="n">
        <v>46296</v>
      </c>
      <c r="AY5" s="270" t="n">
        <v>46327</v>
      </c>
      <c r="AZ5" s="270" t="n">
        <v>46357</v>
      </c>
      <c r="BA5" s="270" t="n">
        <v>46388</v>
      </c>
      <c r="BB5" s="270" t="n">
        <v>46419</v>
      </c>
      <c r="BC5" s="270" t="n">
        <v>46447</v>
      </c>
      <c r="BD5" s="270" t="n">
        <v>46478</v>
      </c>
      <c r="BE5" s="270" t="n">
        <v>46508</v>
      </c>
      <c r="BF5" s="270" t="n">
        <v>46539</v>
      </c>
      <c r="BG5" s="270" t="n">
        <v>46569</v>
      </c>
      <c r="BH5" s="270" t="n">
        <v>46600</v>
      </c>
      <c r="BI5" s="270" t="n">
        <v>46631</v>
      </c>
      <c r="BJ5" s="270" t="n">
        <v>46661</v>
      </c>
      <c r="BK5" s="270" t="n">
        <v>46692</v>
      </c>
      <c r="BL5" s="270" t="n">
        <v>46722</v>
      </c>
      <c r="BM5" s="270" t="n">
        <v>46753</v>
      </c>
      <c r="BN5" s="270" t="n">
        <v>46784</v>
      </c>
      <c r="BO5" s="270" t="n">
        <v>46813</v>
      </c>
      <c r="BP5" s="270" t="n">
        <v>46844</v>
      </c>
      <c r="BQ5" s="270" t="n">
        <v>46874</v>
      </c>
      <c r="BR5" s="270" t="n">
        <v>46905</v>
      </c>
      <c r="BS5" s="270" t="n">
        <v>46935</v>
      </c>
      <c r="BT5" s="270" t="n">
        <v>46966</v>
      </c>
      <c r="BU5" s="270" t="n">
        <v>46997</v>
      </c>
      <c r="BV5" s="270" t="n">
        <v>47027</v>
      </c>
      <c r="BW5" s="270" t="n">
        <v>47058</v>
      </c>
      <c r="BX5" s="270" t="n">
        <v>47088</v>
      </c>
      <c r="BY5" s="270" t="n">
        <v>47119</v>
      </c>
      <c r="BZ5" s="270" t="n">
        <v>47150</v>
      </c>
      <c r="CA5" s="270" t="n">
        <v>47178</v>
      </c>
      <c r="CB5" s="270" t="n">
        <v>47209</v>
      </c>
      <c r="CC5" s="270" t="n">
        <v>47239</v>
      </c>
      <c r="CD5" s="270" t="n">
        <v>47270</v>
      </c>
      <c r="CE5" s="270" t="n">
        <v>47300</v>
      </c>
      <c r="CF5" s="270" t="n">
        <v>47331</v>
      </c>
      <c r="CG5" s="270" t="n">
        <v>47362</v>
      </c>
      <c r="CH5" s="270" t="n">
        <v>47392</v>
      </c>
      <c r="CI5" s="270" t="n">
        <v>47423</v>
      </c>
      <c r="CJ5" s="270" t="n">
        <v>47453</v>
      </c>
      <c r="CK5" s="270" t="n">
        <v>47484</v>
      </c>
      <c r="CL5" s="270" t="n">
        <v>47515</v>
      </c>
      <c r="CM5" s="270" t="n">
        <v>47543</v>
      </c>
      <c r="CN5" s="270" t="n">
        <v>47574</v>
      </c>
      <c r="CO5" s="270" t="n">
        <v>47604</v>
      </c>
      <c r="CP5" s="270" t="n">
        <v>47635</v>
      </c>
      <c r="CQ5" s="270" t="n">
        <v>47665</v>
      </c>
      <c r="CR5" s="270" t="n">
        <v>47696</v>
      </c>
      <c r="CS5" s="270" t="n">
        <v>47727</v>
      </c>
      <c r="CT5" s="270" t="n">
        <v>47757</v>
      </c>
      <c r="CU5" s="270" t="n">
        <v>47788</v>
      </c>
      <c r="CV5" s="270" t="n">
        <v>47818</v>
      </c>
      <c r="CW5" s="270" t="n">
        <v>47849</v>
      </c>
      <c r="CX5" s="270" t="n">
        <v>47880</v>
      </c>
      <c r="CY5" s="270" t="n">
        <v>47908</v>
      </c>
      <c r="CZ5" s="270" t="n">
        <v>47939</v>
      </c>
      <c r="DA5" s="270" t="n">
        <v>47969</v>
      </c>
      <c r="DB5" s="270" t="n">
        <v>48000</v>
      </c>
      <c r="DC5" s="270" t="n">
        <v>48030</v>
      </c>
      <c r="DD5" s="270" t="n">
        <v>48061</v>
      </c>
      <c r="DE5" s="270" t="n">
        <v>48092</v>
      </c>
      <c r="DF5" s="270" t="n">
        <v>48122</v>
      </c>
      <c r="DG5" s="270" t="n">
        <v>48153</v>
      </c>
      <c r="DH5" s="270" t="n">
        <v>48183</v>
      </c>
      <c r="DI5" s="270" t="n">
        <v>48214</v>
      </c>
      <c r="DJ5" s="270" t="n">
        <v>48245</v>
      </c>
      <c r="DK5" s="270" t="n">
        <v>48274</v>
      </c>
      <c r="DL5" s="270" t="n">
        <v>48305</v>
      </c>
      <c r="DM5" s="270" t="n">
        <v>48335</v>
      </c>
      <c r="DN5" s="270" t="n">
        <v>48366</v>
      </c>
      <c r="DO5" s="270" t="n">
        <v>48396</v>
      </c>
      <c r="DP5" s="270" t="n">
        <v>48427</v>
      </c>
      <c r="DQ5" s="270" t="n">
        <v>48458</v>
      </c>
      <c r="DR5" s="270" t="n">
        <v>48488</v>
      </c>
      <c r="DS5" s="270" t="n">
        <v>48519</v>
      </c>
      <c r="DT5" s="270" t="n">
        <v>48549</v>
      </c>
      <c r="DU5" s="270" t="n">
        <v>48580</v>
      </c>
      <c r="DV5" s="270" t="n">
        <v>48611</v>
      </c>
      <c r="DW5" s="270" t="n">
        <v>48639</v>
      </c>
      <c r="DX5" s="270" t="n">
        <v>48670</v>
      </c>
      <c r="DY5" s="270" t="n">
        <v>48700</v>
      </c>
      <c r="DZ5" s="270" t="n">
        <v>48731</v>
      </c>
      <c r="EA5" s="270" t="n">
        <v>48761</v>
      </c>
      <c r="EB5" s="270" t="n">
        <v>48792</v>
      </c>
      <c r="EC5" s="270" t="n">
        <v>48823</v>
      </c>
      <c r="ED5" s="270" t="n">
        <v>48853</v>
      </c>
      <c r="EE5" s="270" t="n">
        <v>48884</v>
      </c>
      <c r="EF5" s="270" t="n">
        <v>48914</v>
      </c>
      <c r="EG5" s="270" t="n">
        <v>48945</v>
      </c>
      <c r="EH5" s="270" t="n">
        <v>48976</v>
      </c>
      <c r="EI5" s="270" t="n">
        <v>49004</v>
      </c>
      <c r="EJ5" s="270" t="n">
        <v>49035</v>
      </c>
      <c r="EK5" s="270" t="n">
        <v>49065</v>
      </c>
      <c r="EL5" s="270" t="n">
        <v>49096</v>
      </c>
      <c r="EM5" s="270" t="n">
        <v>49126</v>
      </c>
      <c r="EN5" s="270" t="n">
        <v>49157</v>
      </c>
      <c r="EO5" s="270" t="n">
        <v>49188</v>
      </c>
      <c r="EP5" s="270" t="n">
        <v>49218</v>
      </c>
      <c r="EQ5" s="270" t="n">
        <v>49249</v>
      </c>
      <c r="ER5" s="270" t="n">
        <v>49279</v>
      </c>
      <c r="ES5" s="270" t="n">
        <v>49310</v>
      </c>
      <c r="ET5" s="270" t="n">
        <v>49341</v>
      </c>
      <c r="EU5" s="270" t="n">
        <v>49369</v>
      </c>
      <c r="EV5" s="270" t="n">
        <v>49400</v>
      </c>
      <c r="EW5" s="270" t="n">
        <v>49430</v>
      </c>
      <c r="EX5" s="270" t="n">
        <v>49461</v>
      </c>
      <c r="EY5" s="270" t="n">
        <v>49491</v>
      </c>
      <c r="EZ5" s="270" t="n">
        <v>49522</v>
      </c>
      <c r="FA5" s="270" t="n">
        <v>49553</v>
      </c>
      <c r="FB5" s="270" t="n">
        <v>49583</v>
      </c>
      <c r="FC5" s="270" t="n">
        <v>49614</v>
      </c>
      <c r="FD5" s="270" t="n">
        <v>49644</v>
      </c>
      <c r="FE5" s="270" t="n">
        <v>49675</v>
      </c>
      <c r="FF5" s="270" t="n">
        <v>49706</v>
      </c>
      <c r="FG5" s="270" t="n">
        <v>49735</v>
      </c>
      <c r="FH5" s="270" t="n">
        <v>49766</v>
      </c>
      <c r="FI5" s="270" t="n">
        <v>49796</v>
      </c>
      <c r="FJ5" s="270" t="n">
        <v>49827</v>
      </c>
      <c r="FK5" s="270" t="n">
        <v>49857</v>
      </c>
      <c r="FL5" s="270" t="n">
        <v>49888</v>
      </c>
      <c r="FM5" s="270" t="n">
        <v>49919</v>
      </c>
      <c r="FN5" s="270" t="n">
        <v>49949</v>
      </c>
      <c r="FO5" s="270" t="n">
        <v>49980</v>
      </c>
      <c r="FP5" s="270" t="n">
        <v>50010</v>
      </c>
      <c r="FQ5" s="270" t="n">
        <v>50041</v>
      </c>
      <c r="FR5" s="270" t="n">
        <v>50072</v>
      </c>
      <c r="FS5" s="270" t="n">
        <v>50100</v>
      </c>
      <c r="FT5" s="270" t="n">
        <v>50131</v>
      </c>
      <c r="FU5" s="270" t="n">
        <v>50161</v>
      </c>
      <c r="FV5" s="270" t="n">
        <v>50192</v>
      </c>
      <c r="FW5" s="270" t="n">
        <v>50222</v>
      </c>
      <c r="FX5" s="270" t="n">
        <v>50253</v>
      </c>
      <c r="FY5" s="270" t="n">
        <v>50284</v>
      </c>
      <c r="FZ5" s="270" t="n">
        <v>50314</v>
      </c>
      <c r="GA5" s="270" t="n">
        <v>50345</v>
      </c>
      <c r="GB5" s="270" t="n">
        <v>50375</v>
      </c>
      <c r="GC5" s="270" t="n">
        <v>50406</v>
      </c>
      <c r="GD5" s="270" t="n">
        <v>50437</v>
      </c>
      <c r="GE5" s="270" t="n">
        <v>50465</v>
      </c>
      <c r="GF5" s="270" t="n">
        <v>50496</v>
      </c>
      <c r="GG5" s="270" t="n">
        <v>50526</v>
      </c>
      <c r="GH5" s="270" t="n">
        <v>50557</v>
      </c>
      <c r="GI5" s="270" t="n">
        <v>50587</v>
      </c>
      <c r="GJ5" s="270" t="n">
        <v>50618</v>
      </c>
      <c r="GK5" s="270" t="n">
        <v>50649</v>
      </c>
      <c r="GL5" s="270" t="n">
        <v>50679</v>
      </c>
      <c r="GM5" s="270" t="n">
        <v>50710</v>
      </c>
      <c r="GN5" s="270" t="n">
        <v>50740</v>
      </c>
      <c r="GO5" s="270" t="n">
        <v>50771</v>
      </c>
      <c r="GP5" s="270" t="n">
        <v>50802</v>
      </c>
      <c r="GQ5" s="270" t="n">
        <v>50830</v>
      </c>
      <c r="GR5" s="270" t="n">
        <v>50861</v>
      </c>
      <c r="GS5" s="270" t="n">
        <v>50891</v>
      </c>
      <c r="GT5" s="270" t="n">
        <v>50922</v>
      </c>
      <c r="GU5" s="270" t="n">
        <v>50952</v>
      </c>
      <c r="GV5" s="270" t="n">
        <v>50983</v>
      </c>
      <c r="GW5" s="270" t="n">
        <v>51014</v>
      </c>
      <c r="GX5" s="270" t="n">
        <v>51044</v>
      </c>
      <c r="GY5" s="270" t="n">
        <v>51075</v>
      </c>
      <c r="GZ5" s="270" t="n">
        <v>51105</v>
      </c>
      <c r="HA5" s="270" t="n">
        <v>51136</v>
      </c>
      <c r="HB5" s="270" t="n">
        <v>51167</v>
      </c>
      <c r="HC5" s="270" t="n">
        <v>51196</v>
      </c>
      <c r="HD5" s="270" t="n">
        <v>51227</v>
      </c>
      <c r="HE5" s="270" t="n">
        <v>51257</v>
      </c>
      <c r="HF5" s="270" t="n">
        <v>51288</v>
      </c>
      <c r="HG5" s="270" t="n">
        <v>51318</v>
      </c>
      <c r="HH5" s="270" t="n">
        <v>51349</v>
      </c>
      <c r="HI5" s="270" t="n">
        <v>51380</v>
      </c>
      <c r="HJ5" s="270" t="n">
        <v>51410</v>
      </c>
      <c r="HK5" s="270" t="n">
        <v>51441</v>
      </c>
      <c r="HL5" s="270" t="n">
        <v>51471</v>
      </c>
      <c r="HM5" s="270" t="n">
        <v>51502</v>
      </c>
      <c r="HN5" s="270" t="n">
        <v>51533</v>
      </c>
      <c r="HO5" s="270" t="n">
        <v>51561</v>
      </c>
      <c r="HP5" s="270" t="n">
        <v>51592</v>
      </c>
      <c r="HQ5" s="270" t="n">
        <v>51622</v>
      </c>
      <c r="HR5" s="270" t="n">
        <v>51653</v>
      </c>
      <c r="HS5" s="270" t="n">
        <v>51683</v>
      </c>
      <c r="HT5" s="270" t="n">
        <v>51714</v>
      </c>
      <c r="HU5" s="270" t="n">
        <v>51745</v>
      </c>
      <c r="JM5" s="270" t="n">
        <v>46143</v>
      </c>
      <c r="JT5" s="457" t="n"/>
      <c r="KG5" s="510" t="n"/>
      <c r="KH5" s="231" t="inlineStr">
        <is>
          <t>Total | Previsão</t>
        </is>
      </c>
    </row>
    <row r="6">
      <c r="A6" s="1" t="n"/>
      <c r="B6" s="128" t="n"/>
      <c r="C6" s="66" t="n"/>
      <c r="D6" s="66" t="n"/>
      <c r="E6" s="66" t="n"/>
      <c r="F6" s="66" t="n"/>
      <c r="G6" s="66" t="n"/>
      <c r="H6" s="66" t="n"/>
      <c r="I6" s="66" t="n"/>
      <c r="J6" s="153" t="n"/>
      <c r="K6" s="66" t="n"/>
      <c r="L6" s="66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n"/>
      <c r="AL6" s="154" t="n"/>
      <c r="AM6" s="154" t="n"/>
      <c r="AN6" s="154" t="n"/>
      <c r="AO6" s="154" t="n"/>
      <c r="AP6" s="154" t="n"/>
      <c r="AQ6" s="1" t="n"/>
      <c r="AR6" s="232" t="n"/>
      <c r="AS6" s="1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286" t="n"/>
      <c r="BE6" s="66" t="n"/>
      <c r="BF6" s="66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28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286" t="n"/>
      <c r="CC6" s="66" t="n"/>
      <c r="CD6" s="66" t="n"/>
      <c r="CE6" s="66" t="n"/>
      <c r="CF6" s="66" t="n"/>
      <c r="CG6" s="66" t="n"/>
      <c r="CH6" s="66" t="n"/>
      <c r="CI6" s="66" t="n"/>
      <c r="CJ6" s="66" t="n"/>
      <c r="CK6" s="66" t="n"/>
      <c r="CL6" s="66" t="n"/>
      <c r="CM6" s="66" t="n"/>
      <c r="CN6" s="286" t="n"/>
      <c r="CO6" s="66" t="n"/>
      <c r="CP6" s="66" t="n"/>
      <c r="CQ6" s="66" t="n"/>
      <c r="CR6" s="66" t="n"/>
      <c r="CS6" s="66" t="n"/>
      <c r="CT6" s="66" t="n"/>
      <c r="CU6" s="66" t="n"/>
      <c r="CV6" s="66" t="n"/>
      <c r="CW6" s="66" t="n"/>
      <c r="CX6" s="66" t="n"/>
      <c r="CY6" s="66" t="n"/>
      <c r="CZ6" s="286" t="n"/>
      <c r="DA6" s="66" t="n"/>
      <c r="DB6" s="66" t="n"/>
      <c r="DC6" s="66" t="n"/>
      <c r="DD6" s="66" t="n"/>
      <c r="DE6" s="66" t="n"/>
      <c r="DF6" s="66" t="n"/>
      <c r="DG6" s="66" t="n"/>
      <c r="DH6" s="66" t="n"/>
      <c r="DI6" s="66" t="n"/>
      <c r="DJ6" s="66" t="n"/>
      <c r="DK6" s="66" t="n"/>
      <c r="DL6" s="66" t="n"/>
      <c r="DM6" s="66" t="n"/>
      <c r="DN6" s="66" t="n"/>
      <c r="DO6" s="66" t="n"/>
      <c r="DP6" s="66" t="n"/>
      <c r="DQ6" s="66" t="n"/>
      <c r="DR6" s="66" t="n"/>
      <c r="DS6" s="66" t="n"/>
      <c r="DT6" s="66" t="n"/>
      <c r="DU6" s="66" t="n"/>
      <c r="DV6" s="66" t="n"/>
      <c r="DW6" s="66" t="n"/>
      <c r="DX6" s="66" t="n"/>
      <c r="DY6" s="66" t="n"/>
      <c r="DZ6" s="66" t="n"/>
      <c r="EA6" s="66" t="n"/>
      <c r="EB6" s="66" t="n"/>
      <c r="EC6" s="66" t="n"/>
      <c r="ED6" s="66" t="n"/>
      <c r="EE6" s="66" t="n"/>
      <c r="EF6" s="66" t="n"/>
      <c r="EG6" s="66" t="n"/>
      <c r="EH6" s="66" t="n"/>
      <c r="EI6" s="66" t="n"/>
      <c r="EJ6" s="66" t="n"/>
      <c r="EK6" s="66" t="n"/>
      <c r="EL6" s="66" t="n"/>
      <c r="EM6" s="66" t="n"/>
      <c r="EN6" s="66" t="n"/>
      <c r="EO6" s="66" t="n"/>
      <c r="EP6" s="66" t="n"/>
      <c r="EQ6" s="66" t="n"/>
      <c r="ER6" s="66" t="n"/>
      <c r="ES6" s="66" t="n"/>
      <c r="ET6" s="66" t="n"/>
      <c r="EU6" s="66" t="n"/>
      <c r="EV6" s="66" t="n"/>
      <c r="EW6" s="66" t="n"/>
      <c r="EX6" s="66" t="n"/>
      <c r="EY6" s="66" t="n"/>
      <c r="EZ6" s="66" t="n"/>
      <c r="FA6" s="66" t="n"/>
      <c r="FB6" s="66" t="n"/>
      <c r="FC6" s="66" t="n"/>
      <c r="FD6" s="66" t="n"/>
      <c r="FE6" s="66" t="n"/>
      <c r="FF6" s="66" t="n"/>
      <c r="FG6" s="66" t="n"/>
      <c r="FH6" s="66" t="n"/>
      <c r="FI6" s="66" t="n"/>
      <c r="FJ6" s="66" t="n"/>
      <c r="FK6" s="66" t="n"/>
      <c r="FL6" s="66" t="n"/>
      <c r="FM6" s="66" t="n"/>
      <c r="FN6" s="66" t="n"/>
      <c r="FO6" s="66" t="n"/>
      <c r="FP6" s="66" t="n"/>
      <c r="FQ6" s="66" t="n"/>
      <c r="FR6" s="66" t="n"/>
      <c r="FS6" s="66" t="n"/>
      <c r="FT6" s="66" t="n"/>
      <c r="FU6" s="66" t="n"/>
      <c r="FV6" s="66" t="n"/>
      <c r="FW6" s="66" t="n"/>
      <c r="FX6" s="66" t="n"/>
      <c r="FY6" s="66" t="n"/>
      <c r="FZ6" s="66" t="n"/>
      <c r="GA6" s="66" t="n"/>
      <c r="GB6" s="66" t="n"/>
      <c r="GC6" s="66" t="n"/>
      <c r="GD6" s="66" t="n"/>
      <c r="GE6" s="66" t="n"/>
      <c r="GF6" s="66" t="n"/>
      <c r="GG6" s="66" t="n"/>
      <c r="GH6" s="66" t="n"/>
      <c r="GI6" s="66" t="n"/>
      <c r="GJ6" s="66" t="n"/>
      <c r="GK6" s="66" t="n"/>
      <c r="GL6" s="66" t="n"/>
      <c r="GM6" s="66" t="n"/>
      <c r="GN6" s="66" t="n"/>
      <c r="GO6" s="66" t="n"/>
      <c r="GP6" s="66" t="n"/>
      <c r="GQ6" s="66" t="n"/>
      <c r="GR6" s="66" t="n"/>
      <c r="GS6" s="66" t="n"/>
      <c r="GT6" s="66" t="n"/>
      <c r="GU6" s="66" t="n"/>
      <c r="GV6" s="66" t="n"/>
      <c r="GW6" s="66" t="n"/>
      <c r="GX6" s="66" t="n"/>
      <c r="GY6" s="66" t="n"/>
      <c r="GZ6" s="66" t="n"/>
      <c r="HA6" s="66" t="n"/>
      <c r="HB6" s="66" t="n"/>
      <c r="HC6" s="66" t="n"/>
      <c r="HD6" s="66" t="n"/>
      <c r="HE6" s="66" t="n"/>
      <c r="HF6" s="66" t="n"/>
      <c r="HG6" s="66" t="n"/>
      <c r="HH6" s="66" t="n"/>
      <c r="HI6" s="66" t="n"/>
      <c r="HJ6" s="66" t="n"/>
      <c r="HK6" s="66" t="n"/>
      <c r="HL6" s="66" t="n"/>
      <c r="HM6" s="66" t="n"/>
      <c r="HN6" s="66" t="n"/>
      <c r="HO6" s="66" t="n"/>
      <c r="HP6" s="66" t="n"/>
      <c r="HQ6" s="66" t="n"/>
      <c r="HR6" s="66" t="n"/>
      <c r="HS6" s="66" t="n"/>
      <c r="HT6" s="66" t="n"/>
      <c r="HU6" s="66" t="n"/>
      <c r="JM6" s="66" t="n"/>
      <c r="JT6" s="457" t="n"/>
      <c r="KG6" s="128" t="n"/>
      <c r="KH6" s="232" t="n"/>
    </row>
    <row r="7" ht="16.2" customFormat="1" customHeight="1" s="259">
      <c r="A7" s="65" t="inlineStr">
        <is>
          <t>RECEITAS</t>
        </is>
      </c>
      <c r="B7" s="129" t="n"/>
      <c r="C7" s="70" t="n"/>
      <c r="D7" s="70" t="n"/>
      <c r="E7" s="70" t="n"/>
      <c r="F7" s="70" t="n"/>
      <c r="G7" s="70" t="n"/>
      <c r="H7" s="70" t="n"/>
      <c r="I7" s="70" t="n"/>
      <c r="J7" s="155" t="n"/>
      <c r="K7" s="70" t="n"/>
      <c r="L7" s="70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208" t="n"/>
      <c r="AI7" s="208" t="n"/>
      <c r="AJ7" s="208" t="n"/>
      <c r="AK7" s="208" t="n"/>
      <c r="AL7" s="208" t="n"/>
      <c r="AM7" s="208" t="n"/>
      <c r="AN7" s="208" t="n"/>
      <c r="AO7" s="208" t="n"/>
      <c r="AP7" s="208" t="n"/>
      <c r="AQ7" s="198" t="n"/>
      <c r="AR7" s="233" t="n"/>
      <c r="AS7" s="198" t="n"/>
      <c r="AT7" s="70" t="n"/>
      <c r="AU7" s="70" t="n"/>
      <c r="AV7" s="70" t="n"/>
      <c r="AW7" s="70" t="n"/>
      <c r="AX7" s="70" t="n"/>
      <c r="AY7" s="70" t="n"/>
      <c r="AZ7" s="70" t="n"/>
      <c r="BA7" s="70" t="n"/>
      <c r="BB7" s="70" t="n"/>
      <c r="BC7" s="70" t="n"/>
      <c r="BD7" s="287" t="n"/>
      <c r="BE7" s="70" t="n"/>
      <c r="BF7" s="70" t="n"/>
      <c r="BG7" s="70" t="n"/>
      <c r="BH7" s="70" t="n"/>
      <c r="BI7" s="70" t="n"/>
      <c r="BJ7" s="70" t="n"/>
      <c r="BK7" s="70" t="n"/>
      <c r="BL7" s="70" t="n"/>
      <c r="BM7" s="70" t="n"/>
      <c r="BN7" s="70" t="n"/>
      <c r="BO7" s="70" t="n"/>
      <c r="BP7" s="287" t="n"/>
      <c r="BQ7" s="70" t="n"/>
      <c r="BR7" s="70" t="n"/>
      <c r="BS7" s="70" t="n"/>
      <c r="BT7" s="70" t="n"/>
      <c r="BU7" s="70" t="n"/>
      <c r="BV7" s="70" t="n"/>
      <c r="BW7" s="70" t="n"/>
      <c r="BX7" s="70" t="n"/>
      <c r="BY7" s="70" t="n"/>
      <c r="BZ7" s="70" t="n"/>
      <c r="CA7" s="70" t="n"/>
      <c r="CB7" s="287" t="n"/>
      <c r="CC7" s="70" t="n"/>
      <c r="CD7" s="70" t="n"/>
      <c r="CE7" s="70" t="n"/>
      <c r="CF7" s="70" t="n"/>
      <c r="CG7" s="70" t="n"/>
      <c r="CH7" s="70" t="n"/>
      <c r="CI7" s="70" t="n"/>
      <c r="CJ7" s="70" t="n"/>
      <c r="CK7" s="70" t="n"/>
      <c r="CL7" s="70" t="n"/>
      <c r="CM7" s="70" t="n"/>
      <c r="CN7" s="287" t="n"/>
      <c r="CO7" s="70" t="n"/>
      <c r="CP7" s="70" t="n"/>
      <c r="CQ7" s="70" t="n"/>
      <c r="CR7" s="70" t="n"/>
      <c r="CS7" s="70" t="n"/>
      <c r="CT7" s="70" t="n"/>
      <c r="CU7" s="70" t="n"/>
      <c r="CV7" s="70" t="n"/>
      <c r="CW7" s="70" t="n"/>
      <c r="CX7" s="70" t="n"/>
      <c r="CY7" s="70" t="n"/>
      <c r="CZ7" s="287" t="n"/>
      <c r="DA7" s="70" t="n"/>
      <c r="DB7" s="70" t="n"/>
      <c r="DC7" s="70" t="n"/>
      <c r="DD7" s="70" t="n"/>
      <c r="DE7" s="70" t="n"/>
      <c r="DF7" s="70" t="n"/>
      <c r="DG7" s="70" t="n"/>
      <c r="DH7" s="70" t="n"/>
      <c r="DI7" s="70" t="n"/>
      <c r="DJ7" s="70" t="n"/>
      <c r="DK7" s="70" t="n"/>
      <c r="DL7" s="70" t="n"/>
      <c r="DM7" s="70" t="n"/>
      <c r="DN7" s="70" t="n"/>
      <c r="DO7" s="70" t="n"/>
      <c r="DP7" s="70" t="n"/>
      <c r="DQ7" s="70" t="n"/>
      <c r="DR7" s="70" t="n"/>
      <c r="DS7" s="70" t="n"/>
      <c r="DT7" s="70" t="n"/>
      <c r="DU7" s="70" t="n"/>
      <c r="DV7" s="70" t="n"/>
      <c r="DW7" s="70" t="n"/>
      <c r="DX7" s="70" t="n"/>
      <c r="DY7" s="70" t="n"/>
      <c r="DZ7" s="70" t="n"/>
      <c r="EA7" s="70" t="n"/>
      <c r="EB7" s="70" t="n"/>
      <c r="EC7" s="70" t="n"/>
      <c r="ED7" s="70" t="n"/>
      <c r="EE7" s="70" t="n"/>
      <c r="EF7" s="70" t="n"/>
      <c r="EG7" s="70" t="n"/>
      <c r="EH7" s="70" t="n"/>
      <c r="EI7" s="70" t="n"/>
      <c r="EJ7" s="70" t="n"/>
      <c r="EK7" s="70" t="n"/>
      <c r="EL7" s="70" t="n"/>
      <c r="EM7" s="70" t="n"/>
      <c r="EN7" s="70" t="n"/>
      <c r="EO7" s="70" t="n"/>
      <c r="EP7" s="70" t="n"/>
      <c r="EQ7" s="70" t="n"/>
      <c r="ER7" s="70" t="n"/>
      <c r="ES7" s="70" t="n"/>
      <c r="ET7" s="70" t="n"/>
      <c r="EU7" s="70" t="n"/>
      <c r="EV7" s="70" t="n"/>
      <c r="EW7" s="70" t="n"/>
      <c r="EX7" s="70" t="n"/>
      <c r="EY7" s="70" t="n"/>
      <c r="EZ7" s="70" t="n"/>
      <c r="FA7" s="70" t="n"/>
      <c r="FB7" s="70" t="n"/>
      <c r="FC7" s="70" t="n"/>
      <c r="FD7" s="70" t="n"/>
      <c r="FE7" s="70" t="n"/>
      <c r="FF7" s="70" t="n"/>
      <c r="FG7" s="70" t="n"/>
      <c r="FH7" s="70" t="n"/>
      <c r="FI7" s="70" t="n"/>
      <c r="FJ7" s="70" t="n"/>
      <c r="FK7" s="70" t="n"/>
      <c r="FL7" s="70" t="n"/>
      <c r="FM7" s="70" t="n"/>
      <c r="FN7" s="70" t="n"/>
      <c r="FO7" s="70" t="n"/>
      <c r="FP7" s="70" t="n"/>
      <c r="FQ7" s="70" t="n"/>
      <c r="FR7" s="70" t="n"/>
      <c r="FS7" s="70" t="n"/>
      <c r="FT7" s="70" t="n"/>
      <c r="FU7" s="70" t="n"/>
      <c r="FV7" s="70" t="n"/>
      <c r="FW7" s="70" t="n"/>
      <c r="FX7" s="70" t="n"/>
      <c r="FY7" s="70" t="n"/>
      <c r="FZ7" s="70" t="n"/>
      <c r="GA7" s="70" t="n"/>
      <c r="GB7" s="70" t="n"/>
      <c r="GC7" s="70" t="n"/>
      <c r="GD7" s="70" t="n"/>
      <c r="GE7" s="70" t="n"/>
      <c r="GF7" s="70" t="n"/>
      <c r="GG7" s="70" t="n"/>
      <c r="GH7" s="70" t="n"/>
      <c r="GI7" s="70" t="n"/>
      <c r="GJ7" s="70" t="n"/>
      <c r="GK7" s="70" t="n"/>
      <c r="GL7" s="70" t="n"/>
      <c r="GM7" s="70" t="n"/>
      <c r="GN7" s="70" t="n"/>
      <c r="GO7" s="70" t="n"/>
      <c r="GP7" s="70" t="n"/>
      <c r="GQ7" s="70" t="n"/>
      <c r="GR7" s="70" t="n"/>
      <c r="GS7" s="70" t="n"/>
      <c r="GT7" s="70" t="n"/>
      <c r="GU7" s="70" t="n"/>
      <c r="GV7" s="70" t="n"/>
      <c r="GW7" s="70" t="n"/>
      <c r="GX7" s="70" t="n"/>
      <c r="GY7" s="70" t="n"/>
      <c r="GZ7" s="70" t="n"/>
      <c r="HA7" s="70" t="n"/>
      <c r="HB7" s="70" t="n"/>
      <c r="HC7" s="70" t="n"/>
      <c r="HD7" s="70" t="n"/>
      <c r="HE7" s="70" t="n"/>
      <c r="HF7" s="70" t="n"/>
      <c r="HG7" s="70" t="n"/>
      <c r="HH7" s="70" t="n"/>
      <c r="HI7" s="70" t="n"/>
      <c r="HJ7" s="70" t="n"/>
      <c r="HK7" s="70" t="n"/>
      <c r="HL7" s="70" t="n"/>
      <c r="HM7" s="70" t="n"/>
      <c r="HN7" s="70" t="n"/>
      <c r="HO7" s="70" t="n"/>
      <c r="HP7" s="70" t="n"/>
      <c r="HQ7" s="70" t="n"/>
      <c r="HR7" s="70" t="n"/>
      <c r="HS7" s="70" t="n"/>
      <c r="HT7" s="70" t="n"/>
      <c r="HU7" s="70" t="n"/>
      <c r="JF7" s="70" t="n"/>
      <c r="JG7" s="70" t="n"/>
      <c r="JH7" s="70" t="n"/>
      <c r="JI7" s="70" t="n"/>
      <c r="JM7" s="70" t="n"/>
      <c r="JR7" s="65">
        <f>A7</f>
        <v/>
      </c>
      <c r="JT7" s="458" t="n"/>
      <c r="KG7" s="129" t="n"/>
      <c r="KH7" s="233" t="n"/>
    </row>
    <row r="8" ht="16.2" customHeight="1">
      <c r="A8" s="54" t="inlineStr">
        <is>
          <t>ITBI</t>
        </is>
      </c>
      <c r="B8" s="130">
        <f>SUM(C8:AP8)</f>
        <v/>
      </c>
      <c r="C8" s="67" t="n"/>
      <c r="D8" s="69" t="n"/>
      <c r="E8" s="67" t="n"/>
      <c r="F8" s="67" t="n"/>
      <c r="G8" s="67" t="n"/>
      <c r="H8" s="67" t="n"/>
      <c r="I8" s="68" t="n"/>
      <c r="J8" s="209" t="n"/>
      <c r="K8" s="120" t="n"/>
      <c r="L8" s="511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>
        <v>338614.6800000001</v>
      </c>
      <c r="AC8" s="210" t="n">
        <v>371549.5</v>
      </c>
      <c r="AD8" s="210" t="n">
        <v>148554.82</v>
      </c>
      <c r="AE8" s="210" t="n">
        <v>170837.48</v>
      </c>
      <c r="AF8" s="210" t="n">
        <v>191671.94</v>
      </c>
      <c r="AG8" s="210" t="n">
        <v>135342.79</v>
      </c>
      <c r="AH8" s="210" t="n">
        <v>107538.42</v>
      </c>
      <c r="AI8" s="210" t="n">
        <v>89467.66</v>
      </c>
      <c r="AJ8" s="210" t="n">
        <v>89498.31000000001</v>
      </c>
      <c r="AK8" s="210" t="n">
        <v>150726.26</v>
      </c>
      <c r="AL8" s="210" t="n">
        <v>202733.57</v>
      </c>
      <c r="AM8" s="210" t="n">
        <v>93610.35000000002</v>
      </c>
      <c r="AN8" s="210" t="n">
        <v>102176.17</v>
      </c>
      <c r="AO8" s="210" t="n">
        <v>121648.43</v>
      </c>
      <c r="AP8" s="210" t="n">
        <v>76491.70999999999</v>
      </c>
      <c r="AQ8" s="71" t="n"/>
      <c r="AR8" s="342">
        <f>SUM(AT8:HU8)</f>
        <v/>
      </c>
      <c r="AS8" s="71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0" t="n"/>
      <c r="BC8" s="330" t="n"/>
      <c r="BD8" s="330" t="n"/>
      <c r="BE8" s="330" t="n"/>
      <c r="BF8" s="330" t="n"/>
      <c r="BG8" s="330" t="n"/>
      <c r="BH8" s="330" t="n"/>
      <c r="BI8" s="330" t="n"/>
      <c r="BJ8" s="330" t="n"/>
      <c r="BK8" s="330" t="n"/>
      <c r="BL8" s="330" t="n"/>
      <c r="BM8" s="330" t="n"/>
      <c r="BN8" s="330" t="n"/>
      <c r="BO8" s="330" t="n"/>
      <c r="BP8" s="330" t="n"/>
      <c r="BQ8" s="330" t="n"/>
      <c r="BR8" s="330" t="n"/>
      <c r="BS8" s="330" t="n"/>
      <c r="BT8" s="330" t="n"/>
      <c r="BU8" s="330" t="n"/>
      <c r="BV8" s="330" t="n"/>
      <c r="BW8" s="330" t="n"/>
      <c r="BX8" s="330" t="n"/>
      <c r="BY8" s="330" t="n"/>
      <c r="BZ8" s="330" t="n"/>
      <c r="CA8" s="330" t="n"/>
      <c r="CB8" s="330" t="n"/>
      <c r="CC8" s="330" t="n"/>
      <c r="CD8" s="330" t="n"/>
      <c r="CE8" s="330" t="n"/>
      <c r="CF8" s="330" t="n"/>
      <c r="CG8" s="330" t="n"/>
      <c r="CH8" s="330" t="n"/>
      <c r="CI8" s="330" t="n"/>
      <c r="CJ8" s="330" t="n"/>
      <c r="CK8" s="330" t="n"/>
      <c r="CL8" s="330" t="n"/>
      <c r="CM8" s="330" t="n"/>
      <c r="CN8" s="330" t="n"/>
      <c r="CO8" s="330" t="n"/>
      <c r="CP8" s="330" t="n"/>
      <c r="CQ8" s="330" t="n"/>
      <c r="CR8" s="330" t="n"/>
      <c r="CS8" s="330" t="n"/>
      <c r="CT8" s="330" t="n"/>
      <c r="CU8" s="330" t="n"/>
      <c r="CV8" s="330" t="n"/>
      <c r="CW8" s="330" t="n"/>
      <c r="CX8" s="330" t="n"/>
      <c r="CY8" s="330" t="n"/>
      <c r="CZ8" s="330" t="n"/>
      <c r="DA8" s="330" t="n"/>
      <c r="DB8" s="330" t="n"/>
      <c r="DC8" s="330" t="n"/>
      <c r="DD8" s="330" t="n"/>
      <c r="DE8" s="330" t="n"/>
      <c r="DF8" s="330" t="n"/>
      <c r="DG8" s="330" t="n"/>
      <c r="DH8" s="330" t="n"/>
      <c r="DI8" s="330" t="n"/>
      <c r="DJ8" s="330" t="n"/>
      <c r="DK8" s="330" t="n"/>
      <c r="DL8" s="330" t="n"/>
      <c r="DM8" s="330" t="n"/>
      <c r="DN8" s="330" t="n"/>
      <c r="DO8" s="330" t="n"/>
      <c r="DP8" s="330" t="n"/>
      <c r="DQ8" s="330" t="n"/>
      <c r="DR8" s="330" t="n"/>
      <c r="DS8" s="330" t="n"/>
      <c r="DT8" s="330" t="n"/>
      <c r="DU8" s="330" t="n"/>
      <c r="DV8" s="330" t="n"/>
      <c r="DW8" s="330" t="n"/>
      <c r="DX8" s="330" t="n"/>
      <c r="DY8" s="330" t="n"/>
      <c r="DZ8" s="330" t="n"/>
      <c r="EA8" s="330" t="n"/>
      <c r="EB8" s="330" t="n"/>
      <c r="EC8" s="330" t="n"/>
      <c r="ED8" s="330" t="n"/>
      <c r="EE8" s="330" t="n"/>
      <c r="EF8" s="330" t="n"/>
      <c r="EG8" s="330" t="n"/>
      <c r="EH8" s="330" t="n"/>
      <c r="EI8" s="330" t="n"/>
      <c r="EJ8" s="330" t="n"/>
      <c r="EK8" s="330" t="n"/>
      <c r="EL8" s="330" t="n"/>
      <c r="EM8" s="330" t="n"/>
      <c r="EN8" s="330" t="n"/>
      <c r="EO8" s="330" t="n"/>
      <c r="EP8" s="330" t="n"/>
      <c r="EQ8" s="330" t="n"/>
      <c r="ER8" s="330" t="n"/>
      <c r="ES8" s="330" t="n"/>
      <c r="ET8" s="330" t="n"/>
      <c r="EU8" s="330" t="n"/>
      <c r="EV8" s="330" t="n"/>
      <c r="EW8" s="330" t="n"/>
      <c r="EX8" s="330" t="n"/>
      <c r="EY8" s="330" t="n"/>
      <c r="EZ8" s="330" t="n"/>
      <c r="FA8" s="330" t="n"/>
      <c r="FB8" s="330" t="n"/>
      <c r="FC8" s="330" t="n"/>
      <c r="FD8" s="330" t="n"/>
      <c r="FE8" s="330" t="n"/>
      <c r="FF8" s="330" t="n"/>
      <c r="FG8" s="330" t="n"/>
      <c r="FH8" s="330" t="n"/>
      <c r="FI8" s="330" t="n"/>
      <c r="FJ8" s="330" t="n"/>
      <c r="FK8" s="330" t="n"/>
      <c r="FL8" s="330" t="n"/>
      <c r="FM8" s="330" t="n"/>
      <c r="FN8" s="330" t="n"/>
      <c r="FO8" s="330" t="n"/>
      <c r="FP8" s="330" t="n"/>
      <c r="FQ8" s="330" t="n"/>
      <c r="FR8" s="330" t="n"/>
      <c r="FS8" s="330" t="n"/>
      <c r="FT8" s="330" t="n"/>
      <c r="FU8" s="330" t="n"/>
      <c r="FV8" s="330" t="n"/>
      <c r="FW8" s="330" t="n"/>
      <c r="FX8" s="330" t="n"/>
      <c r="FY8" s="330" t="n"/>
      <c r="FZ8" s="330" t="n"/>
      <c r="GA8" s="330" t="n"/>
      <c r="GB8" s="330" t="n"/>
      <c r="GC8" s="330" t="n"/>
      <c r="GD8" s="330" t="n"/>
      <c r="GE8" s="330" t="n"/>
      <c r="GF8" s="330" t="n"/>
      <c r="GG8" s="330" t="n"/>
      <c r="GH8" s="330" t="n"/>
      <c r="GI8" s="330" t="n"/>
      <c r="GJ8" s="330" t="n"/>
      <c r="GK8" s="330" t="n"/>
      <c r="GL8" s="330" t="n"/>
      <c r="GM8" s="330" t="n"/>
      <c r="GN8" s="330" t="n"/>
      <c r="GO8" s="330" t="n"/>
      <c r="GP8" s="330" t="n"/>
      <c r="GQ8" s="330" t="n"/>
      <c r="GR8" s="330" t="n"/>
      <c r="GS8" s="330" t="n"/>
      <c r="GT8" s="330" t="n"/>
      <c r="GU8" s="330" t="n"/>
      <c r="GV8" s="330" t="n"/>
      <c r="GW8" s="330" t="n"/>
      <c r="GX8" s="330" t="n"/>
      <c r="GY8" s="330" t="n"/>
      <c r="GZ8" s="330" t="n"/>
      <c r="HA8" s="330" t="n"/>
      <c r="HB8" s="330" t="n"/>
      <c r="HC8" s="330" t="n"/>
      <c r="HD8" s="330" t="n"/>
      <c r="HE8" s="330" t="n"/>
      <c r="HF8" s="330" t="n"/>
      <c r="HG8" s="330" t="n"/>
      <c r="HH8" s="330" t="n"/>
      <c r="HI8" s="330" t="n"/>
      <c r="HJ8" s="330" t="n"/>
      <c r="HK8" s="330" t="n"/>
      <c r="HL8" s="330" t="n"/>
      <c r="HM8" s="330" t="n"/>
      <c r="HN8" s="330" t="n"/>
      <c r="HO8" s="330" t="n"/>
      <c r="HP8" s="330" t="n"/>
      <c r="HQ8" s="330" t="n"/>
      <c r="HR8" s="330" t="n"/>
      <c r="HS8" s="330" t="n"/>
      <c r="HT8" s="330" t="n"/>
      <c r="HU8" s="330" t="n"/>
      <c r="JF8" s="330">
        <f>AP8</f>
        <v/>
      </c>
      <c r="JG8" s="330">
        <f>SUM(Z8:AK8)</f>
        <v/>
      </c>
      <c r="JH8" s="330">
        <f>SUM(AL8:AP8)</f>
        <v/>
      </c>
      <c r="JI8" s="330">
        <f>SUM(C8:AP8)</f>
        <v/>
      </c>
      <c r="JJ8" s="446" t="n"/>
      <c r="JM8" s="330" t="n"/>
      <c r="JR8" s="54">
        <f>A8</f>
        <v/>
      </c>
      <c r="JS8" s="330">
        <f>SUM(C8:AP8)</f>
        <v/>
      </c>
      <c r="JT8" s="459" t="n"/>
      <c r="JU8" s="330">
        <f>SUM(AT8:AZ8)</f>
        <v/>
      </c>
      <c r="JV8" s="330">
        <f>SUM(BA8:BL8)</f>
        <v/>
      </c>
      <c r="JW8" s="330">
        <f>SUM(BM8:BX8)</f>
        <v/>
      </c>
      <c r="JX8" s="330">
        <f>SUM(BY8:CJ8)</f>
        <v/>
      </c>
      <c r="JY8" s="330">
        <f>SUM(CK8:CV8)</f>
        <v/>
      </c>
      <c r="JZ8" s="330">
        <f>SUM(CW8:HU8)</f>
        <v/>
      </c>
      <c r="KG8" s="130">
        <f>B8</f>
        <v/>
      </c>
      <c r="KH8" s="342">
        <f>AR8</f>
        <v/>
      </c>
    </row>
    <row r="9" ht="16.2" customHeight="1">
      <c r="A9" s="329" t="inlineStr">
        <is>
          <t>Receitas Contratadas</t>
        </is>
      </c>
      <c r="B9" s="130">
        <f>SUM(C9:AP9)</f>
        <v/>
      </c>
      <c r="C9" s="85" t="n"/>
      <c r="D9" s="87" t="n"/>
      <c r="E9" s="85" t="n"/>
      <c r="F9" s="85" t="n"/>
      <c r="G9" s="85" t="n"/>
      <c r="H9" s="85" t="n"/>
      <c r="I9" s="86" t="n"/>
      <c r="J9" s="211" t="n"/>
      <c r="K9" s="117" t="n"/>
      <c r="L9" s="117" t="n"/>
      <c r="M9" s="212" t="n"/>
      <c r="N9" s="212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>
        <v>2857997.660000001</v>
      </c>
      <c r="AC9" s="212" t="n">
        <v>3156158.31</v>
      </c>
      <c r="AD9" s="212" t="n">
        <v>1788940.75</v>
      </c>
      <c r="AE9" s="212">
        <f>3240637.47-AE8+19092.42</f>
        <v/>
      </c>
      <c r="AF9" s="212" t="n">
        <v>1881026.59</v>
      </c>
      <c r="AG9" s="212" t="n">
        <v>2310558.13</v>
      </c>
      <c r="AH9" s="212">
        <f>2548839.41-78352.42</f>
        <v/>
      </c>
      <c r="AI9" s="212" t="n">
        <v>2551921.93</v>
      </c>
      <c r="AJ9" s="212">
        <f>2138552.83-41382.42</f>
        <v/>
      </c>
      <c r="AK9" s="212" t="n">
        <v>4079024.849999999</v>
      </c>
      <c r="AL9" s="212" t="n">
        <v>4698660.810000001</v>
      </c>
      <c r="AM9" s="212" t="n">
        <v>3087731.23</v>
      </c>
      <c r="AN9" s="212">
        <f>7279760.12-30654.55</f>
        <v/>
      </c>
      <c r="AO9" s="212">
        <f>3684860.85-29012.57-24791.61</f>
        <v/>
      </c>
      <c r="AP9" s="212" t="n">
        <v>3243847.88</v>
      </c>
      <c r="AQ9" s="71" t="n"/>
      <c r="AR9" s="342">
        <f>SUM(AT9:HU9)</f>
        <v/>
      </c>
      <c r="AS9" s="71" t="n"/>
      <c r="AT9" s="330" t="n">
        <v>3574821.41</v>
      </c>
      <c r="AU9" s="330" t="n">
        <v>2767000.73</v>
      </c>
      <c r="AV9" s="330" t="n">
        <v>2446947.659999999</v>
      </c>
      <c r="AW9" s="330" t="n">
        <v>3652273.539999999</v>
      </c>
      <c r="AX9" s="330" t="n">
        <v>2932990.98</v>
      </c>
      <c r="AY9" s="330" t="n">
        <v>2528178.009999999</v>
      </c>
      <c r="AZ9" s="330" t="n">
        <v>3753790.289999999</v>
      </c>
      <c r="BA9" s="330" t="n">
        <v>4012049.61</v>
      </c>
      <c r="BB9" s="330" t="n">
        <v>3544053.89</v>
      </c>
      <c r="BC9" s="330" t="n">
        <v>3455923.519999999</v>
      </c>
      <c r="BD9" s="330" t="n">
        <v>3435572.26</v>
      </c>
      <c r="BE9" s="330" t="n">
        <v>2126327.37</v>
      </c>
      <c r="BF9" s="330" t="n">
        <v>1595056.27</v>
      </c>
      <c r="BG9" s="330" t="n">
        <v>1682126.52</v>
      </c>
      <c r="BH9" s="330" t="n">
        <v>1531678.26</v>
      </c>
      <c r="BI9" s="330" t="n">
        <v>1005222.87</v>
      </c>
      <c r="BJ9" s="330" t="n">
        <v>965285.41</v>
      </c>
      <c r="BK9" s="330" t="n">
        <v>1636485.08</v>
      </c>
      <c r="BL9" s="330" t="n">
        <v>1675939.04</v>
      </c>
      <c r="BM9" s="330" t="n">
        <v>913661.5099999999</v>
      </c>
      <c r="BN9" s="330" t="n">
        <v>799107.12</v>
      </c>
      <c r="BO9" s="330" t="n">
        <v>1148317.94</v>
      </c>
      <c r="BP9" s="330" t="n">
        <v>1245834.129999999</v>
      </c>
      <c r="BQ9" s="330" t="n">
        <v>688488.9899999999</v>
      </c>
      <c r="BR9" s="330" t="n">
        <v>475750.0699999999</v>
      </c>
      <c r="BS9" s="330" t="n">
        <v>483123.5599999999</v>
      </c>
      <c r="BT9" s="330" t="n">
        <v>573091.6699999999</v>
      </c>
      <c r="BU9" s="330" t="n">
        <v>445746.7899999999</v>
      </c>
      <c r="BV9" s="330" t="n">
        <v>445746.7299999999</v>
      </c>
      <c r="BW9" s="330" t="n">
        <v>467823.3599999999</v>
      </c>
      <c r="BX9" s="330" t="n">
        <v>445746.7299999999</v>
      </c>
      <c r="BY9" s="330" t="n">
        <v>443425.3899999999</v>
      </c>
      <c r="BZ9" s="330" t="n">
        <v>367739.2399999999</v>
      </c>
      <c r="CA9" s="330" t="n">
        <v>393894.6799999999</v>
      </c>
      <c r="CB9" s="330" t="n">
        <v>628058.54</v>
      </c>
      <c r="CC9" s="330" t="n">
        <v>835888.2499999999</v>
      </c>
      <c r="CD9" s="330" t="n">
        <v>365111.1699999999</v>
      </c>
      <c r="CE9" s="330" t="n">
        <v>422908.01</v>
      </c>
      <c r="CF9" s="330" t="n">
        <v>492947.79</v>
      </c>
      <c r="CG9" s="330" t="n">
        <v>366947.0499999999</v>
      </c>
      <c r="CH9" s="330" t="n">
        <v>366947.1199999999</v>
      </c>
      <c r="CI9" s="330" t="n">
        <v>380365.0999999999</v>
      </c>
      <c r="CJ9" s="330" t="n">
        <v>358288.4699999999</v>
      </c>
      <c r="CK9" s="330" t="n">
        <v>407361.5899999999</v>
      </c>
      <c r="CL9" s="330" t="n">
        <v>358288.4699999999</v>
      </c>
      <c r="CM9" s="330" t="n">
        <v>372054.76</v>
      </c>
      <c r="CN9" s="330" t="n">
        <v>633307.2700000001</v>
      </c>
      <c r="CO9" s="330" t="n">
        <v>760631.49</v>
      </c>
      <c r="CP9" s="330" t="n">
        <v>354866.26</v>
      </c>
      <c r="CQ9" s="330" t="n">
        <v>418462.35</v>
      </c>
      <c r="CR9" s="330" t="n">
        <v>355407.3199999999</v>
      </c>
      <c r="CS9" s="330" t="n">
        <v>355407.27</v>
      </c>
      <c r="CT9" s="330" t="n">
        <v>355407.27</v>
      </c>
      <c r="CU9" s="330" t="n">
        <v>377483.9</v>
      </c>
      <c r="CV9" s="330" t="n">
        <v>344499.8199999999</v>
      </c>
      <c r="CW9" s="330" t="n">
        <v>393572.9399999999</v>
      </c>
      <c r="CX9" s="330" t="n">
        <v>344499.8199999999</v>
      </c>
      <c r="CY9" s="330" t="n">
        <v>370765.27</v>
      </c>
      <c r="CZ9" s="330" t="n">
        <v>644037.2600000001</v>
      </c>
      <c r="DA9" s="330" t="n">
        <v>652601.6</v>
      </c>
      <c r="DB9" s="330" t="n">
        <v>332584.3799999999</v>
      </c>
      <c r="DC9" s="330" t="n">
        <v>421539.19</v>
      </c>
      <c r="DD9" s="330" t="n">
        <v>333179.6799999999</v>
      </c>
      <c r="DE9" s="330" t="n">
        <v>333179.7</v>
      </c>
      <c r="DF9" s="330" t="n">
        <v>333179.7</v>
      </c>
      <c r="DG9" s="330" t="n">
        <v>355256.33</v>
      </c>
      <c r="DH9" s="330" t="n">
        <v>333179.7</v>
      </c>
      <c r="DI9" s="330" t="n">
        <v>382252.8199999999</v>
      </c>
      <c r="DJ9" s="330" t="n">
        <v>333179.7</v>
      </c>
      <c r="DK9" s="330" t="n">
        <v>359415.99</v>
      </c>
      <c r="DL9" s="330" t="n">
        <v>655336.5200000001</v>
      </c>
      <c r="DM9" s="330" t="n">
        <v>355909.5599999999</v>
      </c>
      <c r="DN9" s="330" t="n">
        <v>333832.92</v>
      </c>
      <c r="DO9" s="330" t="n">
        <v>431713.34</v>
      </c>
      <c r="DP9" s="330" t="n">
        <v>334487.99</v>
      </c>
      <c r="DQ9" s="330" t="n">
        <v>334487.95</v>
      </c>
      <c r="DR9" s="330" t="n">
        <v>334487.95</v>
      </c>
      <c r="DS9" s="330" t="n">
        <v>356564.58</v>
      </c>
      <c r="DT9" s="330" t="n">
        <v>334487.95</v>
      </c>
      <c r="DU9" s="330" t="n">
        <v>383561.0699999999</v>
      </c>
      <c r="DV9" s="330" t="n">
        <v>334487.95</v>
      </c>
      <c r="DW9" s="330" t="n">
        <v>360650.28</v>
      </c>
      <c r="DX9" s="330" t="n">
        <v>531581.8100000002</v>
      </c>
      <c r="DY9" s="330" t="n">
        <v>289043.6900000001</v>
      </c>
      <c r="DZ9" s="330" t="n">
        <v>249797.02</v>
      </c>
      <c r="EA9" s="330" t="n">
        <v>325590.01</v>
      </c>
      <c r="EB9" s="330" t="n">
        <v>201524.8600000001</v>
      </c>
      <c r="EC9" s="330" t="n">
        <v>177058.5300000001</v>
      </c>
      <c r="ED9" s="330" t="n">
        <v>165595.82</v>
      </c>
      <c r="EE9" s="330" t="n">
        <v>187672.45</v>
      </c>
      <c r="EF9" s="330" t="n">
        <v>151718.75</v>
      </c>
      <c r="EG9" s="330" t="n">
        <v>186523.8400000001</v>
      </c>
      <c r="EH9" s="330" t="n">
        <v>114989.8</v>
      </c>
      <c r="EI9" s="330" t="n">
        <v>101752.25</v>
      </c>
      <c r="EJ9" s="330" t="n">
        <v>72859.21000000001</v>
      </c>
      <c r="EK9" s="330" t="n">
        <v>37160.03</v>
      </c>
      <c r="EL9" s="330" t="n">
        <v>0</v>
      </c>
      <c r="EM9" s="330" t="n">
        <v>0</v>
      </c>
      <c r="EN9" s="330" t="n">
        <v>0</v>
      </c>
      <c r="EO9" s="330" t="n">
        <v>0</v>
      </c>
      <c r="EP9" s="330" t="n">
        <v>0</v>
      </c>
      <c r="EQ9" s="330" t="n">
        <v>0</v>
      </c>
      <c r="ER9" s="330" t="n">
        <v>0</v>
      </c>
      <c r="ES9" s="330" t="n">
        <v>0</v>
      </c>
      <c r="ET9" s="330" t="n">
        <v>0</v>
      </c>
      <c r="EU9" s="330" t="n">
        <v>0</v>
      </c>
      <c r="EV9" s="330" t="n">
        <v>0</v>
      </c>
      <c r="EW9" s="330" t="n">
        <v>0</v>
      </c>
      <c r="EX9" s="330" t="n">
        <v>0</v>
      </c>
      <c r="EY9" s="330" t="n">
        <v>0</v>
      </c>
      <c r="EZ9" s="330" t="n">
        <v>0</v>
      </c>
      <c r="FA9" s="330" t="n">
        <v>0</v>
      </c>
      <c r="FB9" s="330" t="n">
        <v>0</v>
      </c>
      <c r="FC9" s="330" t="n">
        <v>0</v>
      </c>
      <c r="FD9" s="330" t="n">
        <v>0</v>
      </c>
      <c r="FE9" s="330" t="n">
        <v>0</v>
      </c>
      <c r="FF9" s="330" t="n">
        <v>0</v>
      </c>
      <c r="FG9" s="330" t="n">
        <v>0</v>
      </c>
      <c r="FH9" s="330" t="n">
        <v>0</v>
      </c>
      <c r="FI9" s="330" t="n">
        <v>0</v>
      </c>
      <c r="FJ9" s="330" t="n">
        <v>0</v>
      </c>
      <c r="FK9" s="330" t="n">
        <v>0</v>
      </c>
      <c r="FL9" s="330" t="n">
        <v>0</v>
      </c>
      <c r="FM9" s="330" t="n">
        <v>0</v>
      </c>
      <c r="FN9" s="330" t="n">
        <v>0</v>
      </c>
      <c r="FO9" s="330" t="n">
        <v>0</v>
      </c>
      <c r="FP9" s="330" t="n">
        <v>0</v>
      </c>
      <c r="FQ9" s="330" t="n">
        <v>0</v>
      </c>
      <c r="FR9" s="330" t="n">
        <v>0</v>
      </c>
      <c r="FS9" s="330" t="n">
        <v>0</v>
      </c>
      <c r="FT9" s="330" t="n">
        <v>0</v>
      </c>
      <c r="FU9" s="330" t="n">
        <v>0</v>
      </c>
      <c r="FV9" s="330" t="n">
        <v>0</v>
      </c>
      <c r="FW9" s="330" t="n">
        <v>0</v>
      </c>
      <c r="FX9" s="330" t="n">
        <v>0</v>
      </c>
      <c r="FY9" s="330" t="n">
        <v>0</v>
      </c>
      <c r="FZ9" s="330" t="n">
        <v>0</v>
      </c>
      <c r="GA9" s="330" t="n">
        <v>0</v>
      </c>
      <c r="GB9" s="330" t="n">
        <v>0</v>
      </c>
      <c r="GC9" s="330" t="n">
        <v>0</v>
      </c>
      <c r="GD9" s="330" t="n">
        <v>0</v>
      </c>
      <c r="GE9" s="330" t="n">
        <v>0</v>
      </c>
      <c r="GF9" s="330" t="n">
        <v>0</v>
      </c>
      <c r="GG9" s="330" t="n">
        <v>0</v>
      </c>
      <c r="GH9" s="330" t="n">
        <v>0</v>
      </c>
      <c r="GI9" s="330" t="n">
        <v>0</v>
      </c>
      <c r="GJ9" s="330" t="n">
        <v>0</v>
      </c>
      <c r="GK9" s="330" t="n">
        <v>0</v>
      </c>
      <c r="GL9" s="330" t="n">
        <v>0</v>
      </c>
      <c r="GM9" s="330" t="n">
        <v>0</v>
      </c>
      <c r="GN9" s="330" t="n">
        <v>0</v>
      </c>
      <c r="GO9" s="330" t="n">
        <v>0</v>
      </c>
      <c r="GP9" s="330" t="n">
        <v>0</v>
      </c>
      <c r="GQ9" s="330" t="n">
        <v>0</v>
      </c>
      <c r="GR9" s="330" t="n">
        <v>0</v>
      </c>
      <c r="GS9" s="330" t="n">
        <v>0</v>
      </c>
      <c r="GT9" s="330" t="n">
        <v>0</v>
      </c>
      <c r="GU9" s="330" t="n">
        <v>0</v>
      </c>
      <c r="GV9" s="330" t="n">
        <v>0</v>
      </c>
      <c r="GW9" s="330" t="n">
        <v>0</v>
      </c>
      <c r="GX9" s="330" t="n">
        <v>0</v>
      </c>
      <c r="GY9" s="330" t="n">
        <v>0</v>
      </c>
      <c r="GZ9" s="330" t="n">
        <v>0</v>
      </c>
      <c r="HA9" s="330" t="n">
        <v>0</v>
      </c>
      <c r="HB9" s="330" t="n">
        <v>0</v>
      </c>
      <c r="HC9" s="330" t="n">
        <v>0</v>
      </c>
      <c r="HD9" s="330" t="n">
        <v>0</v>
      </c>
      <c r="HE9" s="330" t="n">
        <v>0</v>
      </c>
      <c r="HF9" s="330" t="n">
        <v>0</v>
      </c>
      <c r="HG9" s="330" t="n">
        <v>0</v>
      </c>
      <c r="HH9" s="330" t="n">
        <v>0</v>
      </c>
      <c r="HI9" s="330" t="n">
        <v>0</v>
      </c>
      <c r="HJ9" s="330" t="n">
        <v>0</v>
      </c>
      <c r="HK9" s="330" t="n">
        <v>0</v>
      </c>
      <c r="HL9" s="330" t="n">
        <v>0</v>
      </c>
      <c r="HM9" s="330" t="n">
        <v>0</v>
      </c>
      <c r="HN9" s="330" t="n">
        <v>0</v>
      </c>
      <c r="HO9" s="330" t="n">
        <v>0</v>
      </c>
      <c r="HP9" s="330" t="n">
        <v>0</v>
      </c>
      <c r="HQ9" s="330" t="n">
        <v>0</v>
      </c>
      <c r="HR9" s="330" t="n">
        <v>0</v>
      </c>
      <c r="HS9" s="330" t="n">
        <v>0</v>
      </c>
      <c r="HT9" s="330" t="n">
        <v>0</v>
      </c>
      <c r="HU9" s="330" t="n">
        <v>0</v>
      </c>
      <c r="JF9" s="330">
        <f>AP9</f>
        <v/>
      </c>
      <c r="JG9" s="330">
        <f>SUM(Z9:AK9)</f>
        <v/>
      </c>
      <c r="JH9" s="330">
        <f>SUM(AL9:AP9)</f>
        <v/>
      </c>
      <c r="JI9" s="330">
        <f>SUM(C9:AP9)</f>
        <v/>
      </c>
      <c r="JJ9" s="446" t="n"/>
      <c r="JM9" s="330" t="n">
        <v>2014799.12</v>
      </c>
      <c r="JR9" s="329">
        <f>A9</f>
        <v/>
      </c>
      <c r="JS9" s="330">
        <f>SUM(C9:AP9)</f>
        <v/>
      </c>
      <c r="JT9" s="459" t="n"/>
      <c r="JU9" s="330">
        <f>SUM(AT9:AZ9)</f>
        <v/>
      </c>
      <c r="JV9" s="330">
        <f>SUM(BA9:BL9)</f>
        <v/>
      </c>
      <c r="JW9" s="330">
        <f>SUM(BM9:BX9)</f>
        <v/>
      </c>
      <c r="JX9" s="330">
        <f>SUM(BY9:CJ9)</f>
        <v/>
      </c>
      <c r="JY9" s="330">
        <f>SUM(CK9:CV9)</f>
        <v/>
      </c>
      <c r="JZ9" s="330">
        <f>SUM(CW9:HU9)</f>
        <v/>
      </c>
      <c r="KG9" s="130">
        <f>B9</f>
        <v/>
      </c>
      <c r="KH9" s="342">
        <f>AR9</f>
        <v/>
      </c>
      <c r="KJ9" s="446">
        <f>+KG9+KH9+KH12</f>
        <v/>
      </c>
    </row>
    <row r="10" ht="7.2" customHeight="1">
      <c r="A10" s="1" t="n"/>
      <c r="B10" s="128" t="n"/>
      <c r="C10" s="1" t="n"/>
      <c r="D10" s="1" t="n"/>
      <c r="E10" s="1" t="n"/>
      <c r="F10" s="1" t="n"/>
      <c r="G10" s="1" t="n"/>
      <c r="H10" s="1" t="n"/>
      <c r="I10" s="1" t="n"/>
      <c r="J10" s="156" t="n"/>
      <c r="K10" s="1" t="n"/>
      <c r="L10" s="1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  <c r="W10" s="157" t="n"/>
      <c r="X10" s="157" t="n"/>
      <c r="Y10" s="157" t="n"/>
      <c r="Z10" s="157" t="n"/>
      <c r="AA10" s="157" t="n"/>
      <c r="AB10" s="157" t="n"/>
      <c r="AC10" s="157" t="n"/>
      <c r="AD10" s="157" t="n"/>
      <c r="AE10" s="157" t="n"/>
      <c r="AF10" s="157" t="n"/>
      <c r="AG10" s="157" t="n"/>
      <c r="AH10" s="157" t="n"/>
      <c r="AI10" s="157" t="n"/>
      <c r="AJ10" s="157" t="n"/>
      <c r="AK10" s="157" t="n"/>
      <c r="AL10" s="157" t="n"/>
      <c r="AM10" s="157" t="n"/>
      <c r="AN10" s="157" t="n"/>
      <c r="AO10" s="157" t="n"/>
      <c r="AP10" s="157" t="n"/>
      <c r="AQ10" s="1" t="n"/>
      <c r="AR10" s="128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289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89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289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289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289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JF10" s="1">
        <f>AP10</f>
        <v/>
      </c>
      <c r="JG10" s="1">
        <f>SUM(Z10:AK10)</f>
        <v/>
      </c>
      <c r="JH10" s="1">
        <f>SUM(AL10:AP10)</f>
        <v/>
      </c>
      <c r="JI10" s="1">
        <f>SUM(C10:AP10)</f>
        <v/>
      </c>
      <c r="JJ10" s="446" t="n"/>
      <c r="JM10" s="1" t="n"/>
      <c r="JR10" s="1">
        <f>A10</f>
        <v/>
      </c>
      <c r="JS10" s="1">
        <f>SUM(C10:AP10)</f>
        <v/>
      </c>
      <c r="JT10" s="460" t="n"/>
      <c r="JU10" s="1">
        <f>SUM(AT10:AZ10)</f>
        <v/>
      </c>
      <c r="JV10" s="1">
        <f>SUM(BA10:BL10)</f>
        <v/>
      </c>
      <c r="JW10" s="1">
        <f>SUM(BM10:BX10)</f>
        <v/>
      </c>
      <c r="JX10" s="1">
        <f>SUM(BY10:CJ10)</f>
        <v/>
      </c>
      <c r="JY10" s="1">
        <f>SUM(CK10:CV10)</f>
        <v/>
      </c>
      <c r="JZ10" s="1">
        <f>SUM(CW10:HU10)</f>
        <v/>
      </c>
      <c r="KG10" s="128">
        <f>B10</f>
        <v/>
      </c>
      <c r="KH10" s="128">
        <f>AR10</f>
        <v/>
      </c>
    </row>
    <row r="11" ht="16.2" customFormat="1" customHeight="1" s="259">
      <c r="A11" s="65" t="inlineStr">
        <is>
          <t>PREVISÃO DE RECEITAS(ESTOQUE)</t>
        </is>
      </c>
      <c r="B11" s="129" t="n"/>
      <c r="C11" s="70" t="n"/>
      <c r="D11" s="70" t="n"/>
      <c r="E11" s="70" t="n"/>
      <c r="F11" s="70" t="n"/>
      <c r="G11" s="70" t="n"/>
      <c r="H11" s="70" t="n"/>
      <c r="I11" s="70" t="n"/>
      <c r="J11" s="155" t="n"/>
      <c r="K11" s="70" t="n"/>
      <c r="L11" s="70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8" t="n"/>
      <c r="AP11" s="208" t="n"/>
      <c r="AQ11" s="198" t="n"/>
      <c r="AR11" s="233" t="n"/>
      <c r="AS11" s="198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287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0" t="n"/>
      <c r="BP11" s="287" t="n"/>
      <c r="BQ11" s="70" t="n"/>
      <c r="BR11" s="70" t="n"/>
      <c r="BS11" s="70" t="n"/>
      <c r="BT11" s="70" t="n"/>
      <c r="BU11" s="70" t="n"/>
      <c r="BV11" s="70" t="n"/>
      <c r="BW11" s="70" t="n"/>
      <c r="BX11" s="70" t="n"/>
      <c r="BY11" s="70" t="n"/>
      <c r="BZ11" s="70" t="n"/>
      <c r="CA11" s="70" t="n"/>
      <c r="CB11" s="287" t="n"/>
      <c r="CC11" s="70" t="n"/>
      <c r="CD11" s="70" t="n"/>
      <c r="CE11" s="70" t="n"/>
      <c r="CF11" s="70" t="n"/>
      <c r="CG11" s="70" t="n"/>
      <c r="CH11" s="70" t="n"/>
      <c r="CI11" s="70" t="n"/>
      <c r="CJ11" s="70" t="n"/>
      <c r="CK11" s="70" t="n"/>
      <c r="CL11" s="70" t="n"/>
      <c r="CM11" s="70" t="n"/>
      <c r="CN11" s="287" t="n"/>
      <c r="CO11" s="70" t="n"/>
      <c r="CP11" s="70" t="n"/>
      <c r="CQ11" s="70" t="n"/>
      <c r="CR11" s="70" t="n"/>
      <c r="CS11" s="70" t="n"/>
      <c r="CT11" s="70" t="n"/>
      <c r="CU11" s="70" t="n"/>
      <c r="CV11" s="70" t="n"/>
      <c r="CW11" s="70" t="n"/>
      <c r="CX11" s="70" t="n"/>
      <c r="CY11" s="70" t="n"/>
      <c r="CZ11" s="287" t="n"/>
      <c r="DA11" s="70" t="n"/>
      <c r="DB11" s="70" t="n"/>
      <c r="DC11" s="70" t="n"/>
      <c r="DD11" s="70" t="n"/>
      <c r="DE11" s="70" t="n"/>
      <c r="DF11" s="70" t="n"/>
      <c r="DG11" s="70" t="n"/>
      <c r="DH11" s="70" t="n"/>
      <c r="DI11" s="70" t="n"/>
      <c r="DJ11" s="70" t="n"/>
      <c r="DK11" s="70" t="n"/>
      <c r="DL11" s="70" t="n"/>
      <c r="DM11" s="70" t="n"/>
      <c r="DN11" s="70" t="n"/>
      <c r="DO11" s="70" t="n"/>
      <c r="DP11" s="70" t="n"/>
      <c r="DQ11" s="70" t="n"/>
      <c r="DR11" s="70" t="n"/>
      <c r="DS11" s="70" t="n"/>
      <c r="DT11" s="70" t="n"/>
      <c r="DU11" s="70" t="n"/>
      <c r="DV11" s="70" t="n"/>
      <c r="DW11" s="70" t="n"/>
      <c r="DX11" s="70" t="n"/>
      <c r="DY11" s="70" t="n"/>
      <c r="DZ11" s="70" t="n"/>
      <c r="EA11" s="70" t="n"/>
      <c r="EB11" s="70" t="n"/>
      <c r="EC11" s="70" t="n"/>
      <c r="ED11" s="70" t="n"/>
      <c r="EE11" s="70" t="n"/>
      <c r="EF11" s="70" t="n"/>
      <c r="EG11" s="70" t="n"/>
      <c r="EH11" s="70" t="n"/>
      <c r="EI11" s="70" t="n"/>
      <c r="EJ11" s="70" t="n"/>
      <c r="EK11" s="70" t="n"/>
      <c r="EL11" s="70" t="n"/>
      <c r="EM11" s="70" t="n"/>
      <c r="EN11" s="70" t="n"/>
      <c r="EO11" s="70" t="n"/>
      <c r="EP11" s="70" t="n"/>
      <c r="EQ11" s="70" t="n"/>
      <c r="ER11" s="70" t="n"/>
      <c r="ES11" s="70" t="n"/>
      <c r="ET11" s="70" t="n"/>
      <c r="EU11" s="70" t="n"/>
      <c r="EV11" s="70" t="n"/>
      <c r="EW11" s="70" t="n"/>
      <c r="EX11" s="70" t="n"/>
      <c r="EY11" s="70" t="n"/>
      <c r="EZ11" s="70" t="n"/>
      <c r="FA11" s="70" t="n"/>
      <c r="FB11" s="70" t="n"/>
      <c r="FC11" s="70" t="n"/>
      <c r="FD11" s="70" t="n"/>
      <c r="FE11" s="70" t="n"/>
      <c r="FF11" s="70" t="n"/>
      <c r="FG11" s="70" t="n"/>
      <c r="FH11" s="70" t="n"/>
      <c r="FI11" s="70" t="n"/>
      <c r="FJ11" s="70" t="n"/>
      <c r="FK11" s="70" t="n"/>
      <c r="FL11" s="70" t="n"/>
      <c r="FM11" s="70" t="n"/>
      <c r="FN11" s="70" t="n"/>
      <c r="FO11" s="70" t="n"/>
      <c r="FP11" s="70" t="n"/>
      <c r="FQ11" s="70" t="n"/>
      <c r="FR11" s="70" t="n"/>
      <c r="FS11" s="70" t="n"/>
      <c r="FT11" s="70" t="n"/>
      <c r="FU11" s="70" t="n"/>
      <c r="FV11" s="70" t="n"/>
      <c r="FW11" s="70" t="n"/>
      <c r="FX11" s="70" t="n"/>
      <c r="FY11" s="70" t="n"/>
      <c r="FZ11" s="70" t="n"/>
      <c r="GA11" s="70" t="n"/>
      <c r="GB11" s="70" t="n"/>
      <c r="GC11" s="70" t="n"/>
      <c r="GD11" s="70" t="n"/>
      <c r="GE11" s="70" t="n"/>
      <c r="GF11" s="70" t="n"/>
      <c r="GG11" s="70" t="n"/>
      <c r="GH11" s="70" t="n"/>
      <c r="GI11" s="70" t="n"/>
      <c r="GJ11" s="70" t="n"/>
      <c r="GK11" s="70" t="n"/>
      <c r="GL11" s="70" t="n"/>
      <c r="GM11" s="70" t="n"/>
      <c r="GN11" s="70" t="n"/>
      <c r="GO11" s="70" t="n"/>
      <c r="GP11" s="70" t="n"/>
      <c r="GQ11" s="70" t="n"/>
      <c r="GR11" s="70" t="n"/>
      <c r="GS11" s="70" t="n"/>
      <c r="GT11" s="70" t="n"/>
      <c r="GU11" s="70" t="n"/>
      <c r="GV11" s="70" t="n"/>
      <c r="GW11" s="70" t="n"/>
      <c r="GX11" s="70" t="n"/>
      <c r="GY11" s="70" t="n"/>
      <c r="GZ11" s="70" t="n"/>
      <c r="HA11" s="70" t="n"/>
      <c r="HB11" s="70" t="n"/>
      <c r="HC11" s="70" t="n"/>
      <c r="HD11" s="70" t="n"/>
      <c r="HE11" s="70" t="n"/>
      <c r="HF11" s="70" t="n"/>
      <c r="HG11" s="70" t="n"/>
      <c r="HH11" s="70" t="n"/>
      <c r="HI11" s="70" t="n"/>
      <c r="HJ11" s="70" t="n"/>
      <c r="HK11" s="70" t="n"/>
      <c r="HL11" s="70" t="n"/>
      <c r="HM11" s="70" t="n"/>
      <c r="HN11" s="70" t="n"/>
      <c r="HO11" s="70" t="n"/>
      <c r="HP11" s="70" t="n"/>
      <c r="HQ11" s="70" t="n"/>
      <c r="HR11" s="70" t="n"/>
      <c r="HS11" s="70" t="n"/>
      <c r="HT11" s="70" t="n"/>
      <c r="HU11" s="70" t="n"/>
      <c r="JF11" s="70">
        <f>AP11</f>
        <v/>
      </c>
      <c r="JG11" s="70">
        <f>SUM(Z11:AK11)</f>
        <v/>
      </c>
      <c r="JH11" s="70">
        <f>SUM(AL11:AP11)</f>
        <v/>
      </c>
      <c r="JI11" s="70">
        <f>SUM(C11:AP11)</f>
        <v/>
      </c>
      <c r="JJ11" s="446" t="n"/>
      <c r="JM11" s="70" t="n"/>
      <c r="JR11" s="65">
        <f>A11</f>
        <v/>
      </c>
      <c r="JS11" s="70">
        <f>SUM(C11:AP11)</f>
        <v/>
      </c>
      <c r="JT11" s="461" t="n"/>
      <c r="JU11" s="70">
        <f>SUM(AT11:AZ11)</f>
        <v/>
      </c>
      <c r="JV11" s="70">
        <f>SUM(BA11:BL11)</f>
        <v/>
      </c>
      <c r="JW11" s="70">
        <f>SUM(BM11:BX11)</f>
        <v/>
      </c>
      <c r="JX11" s="70">
        <f>SUM(BY11:CJ11)</f>
        <v/>
      </c>
      <c r="JY11" s="70">
        <f>SUM(CK11:CV11)</f>
        <v/>
      </c>
      <c r="JZ11" s="70">
        <f>SUM(CW11:HU11)</f>
        <v/>
      </c>
      <c r="KG11" s="129">
        <f>B11</f>
        <v/>
      </c>
      <c r="KH11" s="233">
        <f>AR11</f>
        <v/>
      </c>
    </row>
    <row r="12" ht="16.2" customHeight="1" thickBot="1">
      <c r="A12" s="54" t="inlineStr">
        <is>
          <t>Vendas 05 Lotes a.m.</t>
        </is>
      </c>
      <c r="B12" s="130">
        <f>SUM(C12:AP12)</f>
        <v/>
      </c>
      <c r="C12" s="69" t="n">
        <v>0</v>
      </c>
      <c r="D12" s="69" t="n">
        <v>0</v>
      </c>
      <c r="E12" s="67" t="n">
        <v>0</v>
      </c>
      <c r="F12" s="67" t="n">
        <v>0</v>
      </c>
      <c r="G12" s="67" t="n">
        <v>0</v>
      </c>
      <c r="H12" s="67" t="n">
        <v>0</v>
      </c>
      <c r="I12" s="68" t="n">
        <v>0</v>
      </c>
      <c r="J12" s="213" t="n">
        <v>0</v>
      </c>
      <c r="K12" s="112" t="n">
        <v>0</v>
      </c>
      <c r="L12" s="112" t="n">
        <v>0</v>
      </c>
      <c r="M12" s="214" t="n">
        <v>0</v>
      </c>
      <c r="N12" s="214" t="n">
        <v>0</v>
      </c>
      <c r="O12" s="214" t="n">
        <v>0</v>
      </c>
      <c r="P12" s="214" t="n">
        <v>0</v>
      </c>
      <c r="Q12" s="214" t="n">
        <v>0</v>
      </c>
      <c r="R12" s="214" t="n">
        <v>0</v>
      </c>
      <c r="S12" s="214" t="n">
        <v>0</v>
      </c>
      <c r="T12" s="214" t="n">
        <v>0</v>
      </c>
      <c r="U12" s="214" t="n">
        <v>0</v>
      </c>
      <c r="V12" s="214" t="n">
        <v>0</v>
      </c>
      <c r="W12" s="214" t="n"/>
      <c r="X12" s="214" t="n"/>
      <c r="Y12" s="214" t="n"/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4" t="n"/>
      <c r="AP12" s="214" t="n"/>
      <c r="AQ12" s="71" t="n"/>
      <c r="AR12" s="342">
        <f>SUM(AT12:HU12)</f>
        <v/>
      </c>
      <c r="AS12" s="71" t="n"/>
      <c r="AT12" s="69" t="n">
        <v>553013.17533</v>
      </c>
      <c r="AU12" s="69" t="n">
        <v>641664.178220625</v>
      </c>
      <c r="AV12" s="69" t="n">
        <v>730315.1811112501</v>
      </c>
      <c r="AW12" s="69" t="n">
        <v>818966.1840018751</v>
      </c>
      <c r="AX12" s="69" t="n">
        <v>923740.0199925</v>
      </c>
      <c r="AY12" s="69" t="n">
        <v>1014975.600226875</v>
      </c>
      <c r="AZ12" s="69" t="n">
        <v>1106211.18046125</v>
      </c>
      <c r="BA12" s="69" t="n">
        <v>1197446.760695625</v>
      </c>
      <c r="BB12" s="69" t="n">
        <v>1288682.34093</v>
      </c>
      <c r="BC12" s="69" t="n">
        <v>1379917.921164375</v>
      </c>
      <c r="BD12" s="69" t="n">
        <v>1471153.50139875</v>
      </c>
      <c r="BE12" s="69" t="n">
        <v>1562389.081633125</v>
      </c>
      <c r="BF12" s="69" t="n">
        <v>2292757.2962175</v>
      </c>
      <c r="BG12" s="69" t="n">
        <v>2354685.207151875</v>
      </c>
      <c r="BH12" s="69" t="n">
        <v>2432735.95118625</v>
      </c>
      <c r="BI12" s="69" t="n">
        <v>2497248.439464375</v>
      </c>
      <c r="BJ12" s="69" t="n">
        <v>2580394.5322425</v>
      </c>
      <c r="BK12" s="69" t="n">
        <v>2644052.569520625</v>
      </c>
      <c r="BL12" s="69" t="n">
        <v>2707710.60679875</v>
      </c>
      <c r="BM12" s="69" t="n">
        <v>2771368.644076875</v>
      </c>
      <c r="BN12" s="69" t="n">
        <v>2835026.681355</v>
      </c>
      <c r="BO12" s="69" t="n">
        <v>2898684.718633126</v>
      </c>
      <c r="BP12" s="69" t="n">
        <v>2962342.755911251</v>
      </c>
      <c r="BQ12" s="69" t="n">
        <v>3026000.793189375</v>
      </c>
      <c r="BR12" s="69" t="n">
        <v>3105781.663567501</v>
      </c>
      <c r="BS12" s="69" t="n">
        <v>3125526.533626876</v>
      </c>
      <c r="BT12" s="69" t="n">
        <v>3163905.008186251</v>
      </c>
      <c r="BU12" s="69" t="n">
        <v>3182795.427245627</v>
      </c>
      <c r="BV12" s="69" t="n">
        <v>3201685.846305002</v>
      </c>
      <c r="BW12" s="69" t="n">
        <v>3219220.645989377</v>
      </c>
      <c r="BX12" s="69" t="n">
        <v>3236755.445673752</v>
      </c>
      <c r="BY12" s="69" t="n">
        <v>3254290.245358128</v>
      </c>
      <c r="BZ12" s="69" t="n">
        <v>3271825.045042502</v>
      </c>
      <c r="CA12" s="69" t="n">
        <v>3289359.844726877</v>
      </c>
      <c r="CB12" s="69" t="n">
        <v>3323017.477511251</v>
      </c>
      <c r="CC12" s="69" t="n">
        <v>3343136.854539376</v>
      </c>
      <c r="CD12" s="69" t="n">
        <v>3381889.836067502</v>
      </c>
      <c r="CE12" s="69" t="n">
        <v>3396270.150545628</v>
      </c>
      <c r="CF12" s="69" t="n">
        <v>3410650.465023752</v>
      </c>
      <c r="CG12" s="69" t="n">
        <v>3423675.160126877</v>
      </c>
      <c r="CH12" s="69" t="n">
        <v>3436699.855230003</v>
      </c>
      <c r="CI12" s="69" t="n">
        <v>3449582.141833127</v>
      </c>
      <c r="CJ12" s="69" t="n">
        <v>3462464.428436253</v>
      </c>
      <c r="CK12" s="69" t="n">
        <v>3475346.715039378</v>
      </c>
      <c r="CL12" s="69" t="n">
        <v>3505964.118052503</v>
      </c>
      <c r="CM12" s="69" t="n">
        <v>3521689.439733751</v>
      </c>
      <c r="CN12" s="69" t="n">
        <v>3556048.365915002</v>
      </c>
      <c r="CO12" s="69" t="n">
        <v>3570919.236596251</v>
      </c>
      <c r="CP12" s="69" t="n">
        <v>3585790.107277501</v>
      </c>
      <c r="CQ12" s="69" t="n">
        <v>3599305.35858375</v>
      </c>
      <c r="CR12" s="69" t="n">
        <v>3612820.60989</v>
      </c>
      <c r="CS12" s="69" t="n">
        <v>3626193.452696249</v>
      </c>
      <c r="CT12" s="69" t="n">
        <v>3639566.295502499</v>
      </c>
      <c r="CU12" s="69" t="n">
        <v>3652939.138308749</v>
      </c>
      <c r="CV12" s="69" t="n">
        <v>3684047.097525001</v>
      </c>
      <c r="CW12" s="69" t="n">
        <v>3700262.975409376</v>
      </c>
      <c r="CX12" s="69" t="n">
        <v>3736975.818243752</v>
      </c>
      <c r="CY12" s="69" t="n">
        <v>3752251.800028127</v>
      </c>
      <c r="CZ12" s="69" t="n">
        <v>3767527.781812502</v>
      </c>
      <c r="DA12" s="69" t="n">
        <v>3781448.144221877</v>
      </c>
      <c r="DB12" s="69" t="n">
        <v>3795368.506631252</v>
      </c>
      <c r="DC12" s="69" t="n">
        <v>3809146.460540629</v>
      </c>
      <c r="DD12" s="69" t="n">
        <v>3822924.414450003</v>
      </c>
      <c r="DE12" s="69" t="n">
        <v>3836702.36835938</v>
      </c>
      <c r="DF12" s="69" t="n">
        <v>3868215.438678754</v>
      </c>
      <c r="DG12" s="69" t="n">
        <v>3884836.427666254</v>
      </c>
      <c r="DH12" s="69" t="n">
        <v>3921954.381603753</v>
      </c>
      <c r="DI12" s="69" t="n">
        <v>3937635.474491253</v>
      </c>
      <c r="DJ12" s="69" t="n">
        <v>3953316.567378752</v>
      </c>
      <c r="DK12" s="69" t="n">
        <v>3967506.478953751</v>
      </c>
      <c r="DL12" s="69" t="n">
        <v>3981696.390528752</v>
      </c>
      <c r="DM12" s="69" t="n">
        <v>3995743.893603751</v>
      </c>
      <c r="DN12" s="69" t="n">
        <v>4009791.39667875</v>
      </c>
      <c r="DO12" s="69" t="n">
        <v>4023838.89975375</v>
      </c>
      <c r="DP12" s="69" t="n">
        <v>4055621.519238749</v>
      </c>
      <c r="DQ12" s="69" t="n">
        <v>4072512.057391874</v>
      </c>
      <c r="DR12" s="69" t="n">
        <v>4109899.560494998</v>
      </c>
      <c r="DS12" s="69" t="n">
        <v>4125850.202548123</v>
      </c>
      <c r="DT12" s="69" t="n">
        <v>4141800.844601247</v>
      </c>
      <c r="DU12" s="69" t="n">
        <v>3880882.315993872</v>
      </c>
      <c r="DV12" s="69" t="n">
        <v>3438130.211681247</v>
      </c>
      <c r="DW12" s="69" t="n">
        <v>3342071.570493747</v>
      </c>
      <c r="DX12" s="69" t="n">
        <v>3246012.929306247</v>
      </c>
      <c r="DY12" s="69" t="n">
        <v>3149954.288118747</v>
      </c>
      <c r="DZ12" s="69" t="n">
        <v>3053895.646931247</v>
      </c>
      <c r="EA12" s="69" t="n">
        <v>2957837.005743747</v>
      </c>
      <c r="EB12" s="69" t="n">
        <v>2882275.329506248</v>
      </c>
      <c r="EC12" s="69" t="n">
        <v>2785276.792218748</v>
      </c>
      <c r="ED12" s="69" t="n">
        <v>2688278.254931248</v>
      </c>
      <c r="EE12" s="69" t="n">
        <v>2589788.536331249</v>
      </c>
      <c r="EF12" s="69" t="n">
        <v>2491298.817731249</v>
      </c>
      <c r="EG12" s="69" t="n">
        <v>2074390.484921249</v>
      </c>
      <c r="EH12" s="69" t="n">
        <v>1512945.192761249</v>
      </c>
      <c r="EI12" s="69" t="n">
        <v>1450783.882511249</v>
      </c>
      <c r="EJ12" s="69" t="n">
        <v>1388622.572261249</v>
      </c>
      <c r="EK12" s="69" t="n">
        <v>1326461.26201125</v>
      </c>
      <c r="EL12" s="69" t="n">
        <v>1264299.95176125</v>
      </c>
      <c r="EM12" s="69" t="n">
        <v>1194177.664033125</v>
      </c>
      <c r="EN12" s="69" t="n">
        <v>1124055.376305</v>
      </c>
      <c r="EO12" s="69" t="n">
        <v>1052441.907264375</v>
      </c>
      <c r="EP12" s="69" t="n">
        <v>980828.4382237499</v>
      </c>
      <c r="EQ12" s="69" t="n">
        <v>908826.2213643749</v>
      </c>
      <c r="ER12" s="69" t="n">
        <v>836824.004505</v>
      </c>
      <c r="ES12" s="69" t="n">
        <v>764821.7876456248</v>
      </c>
      <c r="ET12" s="69" t="n">
        <v>715973.5497112499</v>
      </c>
      <c r="EU12" s="69" t="n">
        <v>701856.280164375</v>
      </c>
      <c r="EV12" s="69" t="n">
        <v>687739.0106175001</v>
      </c>
      <c r="EW12" s="69" t="n">
        <v>673621.741070625</v>
      </c>
      <c r="EX12" s="69" t="n">
        <v>659504.4715237501</v>
      </c>
      <c r="EY12" s="69" t="n">
        <v>645387.2019768752</v>
      </c>
      <c r="EZ12" s="69" t="n">
        <v>631269.9324300002</v>
      </c>
      <c r="FA12" s="69" t="n">
        <v>616763.9150643751</v>
      </c>
      <c r="FB12" s="69" t="n">
        <v>602257.8976987501</v>
      </c>
      <c r="FC12" s="69" t="n">
        <v>587751.8803331249</v>
      </c>
      <c r="FD12" s="69" t="n">
        <v>573245.8629674999</v>
      </c>
      <c r="FE12" s="69" t="n">
        <v>558739.8456018749</v>
      </c>
      <c r="FF12" s="69" t="n">
        <v>546666.1654162499</v>
      </c>
      <c r="FG12" s="69" t="n">
        <v>538240.9910006248</v>
      </c>
      <c r="FH12" s="69" t="n">
        <v>529815.8165849999</v>
      </c>
      <c r="FI12" s="69" t="n">
        <v>521390.6421693749</v>
      </c>
      <c r="FJ12" s="69" t="n">
        <v>512965.4677537499</v>
      </c>
      <c r="FK12" s="69" t="n">
        <v>504308.1948693749</v>
      </c>
      <c r="FL12" s="69" t="n">
        <v>495650.9219849999</v>
      </c>
      <c r="FM12" s="69" t="n">
        <v>486993.649100625</v>
      </c>
      <c r="FN12" s="69" t="n">
        <v>478336.3762162501</v>
      </c>
      <c r="FO12" s="69" t="n">
        <v>469679.1033318751</v>
      </c>
      <c r="FP12" s="69" t="n">
        <v>461021.8304475</v>
      </c>
      <c r="FQ12" s="69" t="n">
        <v>452364.5575631251</v>
      </c>
      <c r="FR12" s="69" t="n">
        <v>443707.2846787501</v>
      </c>
      <c r="FS12" s="69" t="n">
        <v>435050.0117943751</v>
      </c>
      <c r="FT12" s="69" t="n">
        <v>426392.7389100002</v>
      </c>
      <c r="FU12" s="69" t="n">
        <v>417503.3675568751</v>
      </c>
      <c r="FV12" s="69" t="n">
        <v>408613.9962037501</v>
      </c>
      <c r="FW12" s="69" t="n">
        <v>399724.6248506251</v>
      </c>
      <c r="FX12" s="69" t="n">
        <v>390835.2534975001</v>
      </c>
      <c r="FY12" s="69" t="n">
        <v>381945.8821443751</v>
      </c>
      <c r="FZ12" s="69" t="n">
        <v>373056.51079125</v>
      </c>
      <c r="GA12" s="69" t="n">
        <v>364167.1394381251</v>
      </c>
      <c r="GB12" s="69" t="n">
        <v>355277.768085</v>
      </c>
      <c r="GC12" s="69" t="n">
        <v>346388.3967318751</v>
      </c>
      <c r="GD12" s="69" t="n">
        <v>337499.0253787501</v>
      </c>
      <c r="GE12" s="69" t="n">
        <v>328354.3457100001</v>
      </c>
      <c r="GF12" s="69" t="n">
        <v>319209.6660412501</v>
      </c>
      <c r="GG12" s="69" t="n">
        <v>310064.9863725001</v>
      </c>
      <c r="GH12" s="69" t="n">
        <v>300920.3067037502</v>
      </c>
      <c r="GI12" s="69" t="n">
        <v>291775.6270350002</v>
      </c>
      <c r="GJ12" s="69" t="n">
        <v>282630.9473662501</v>
      </c>
      <c r="GK12" s="69" t="n">
        <v>273486.2676975001</v>
      </c>
      <c r="GL12" s="69" t="n">
        <v>264341.5880287501</v>
      </c>
      <c r="GM12" s="69" t="n">
        <v>255196.9083600001</v>
      </c>
      <c r="GN12" s="69" t="n">
        <v>246052.2286912501</v>
      </c>
      <c r="GO12" s="69" t="n">
        <v>236652.2407068751</v>
      </c>
      <c r="GP12" s="69" t="n">
        <v>227252.2527225001</v>
      </c>
      <c r="GQ12" s="69" t="n">
        <v>217852.2647381251</v>
      </c>
      <c r="GR12" s="69" t="n">
        <v>208452.2767537501</v>
      </c>
      <c r="GS12" s="69" t="n">
        <v>199052.2887693751</v>
      </c>
      <c r="GT12" s="69" t="n">
        <v>189652.3007850001</v>
      </c>
      <c r="GU12" s="69" t="n">
        <v>180252.3128006251</v>
      </c>
      <c r="GV12" s="69" t="n">
        <v>170852.3248162501</v>
      </c>
      <c r="GW12" s="69" t="n">
        <v>161452.3368318751</v>
      </c>
      <c r="GX12" s="69" t="n">
        <v>152052.3488475</v>
      </c>
      <c r="GY12" s="69" t="n">
        <v>142397.0525475</v>
      </c>
      <c r="GZ12" s="69" t="n">
        <v>132741.7562475</v>
      </c>
      <c r="HA12" s="69" t="n">
        <v>123086.4599475</v>
      </c>
      <c r="HB12" s="69" t="n">
        <v>113431.1636475</v>
      </c>
      <c r="HC12" s="69" t="n">
        <v>103775.8673475</v>
      </c>
      <c r="HD12" s="69" t="n">
        <v>94120.57104750001</v>
      </c>
      <c r="HE12" s="69" t="n">
        <v>84465.27474750001</v>
      </c>
      <c r="HF12" s="69" t="n">
        <v>74809.97844750001</v>
      </c>
      <c r="HG12" s="69" t="n">
        <v>65154.6821475</v>
      </c>
      <c r="HH12" s="69" t="n">
        <v>55499.3858475</v>
      </c>
      <c r="HI12" s="69" t="n">
        <v>45588.781231875</v>
      </c>
      <c r="HJ12" s="69" t="n">
        <v>35678.17661625</v>
      </c>
      <c r="HK12" s="69" t="n">
        <v>25767.572000625</v>
      </c>
      <c r="HL12" s="69" t="n">
        <v>15856.967385</v>
      </c>
      <c r="HM12" s="69" t="n">
        <v>5946.362769375002</v>
      </c>
      <c r="HN12" s="69" t="n">
        <v>0</v>
      </c>
      <c r="HO12" s="68" t="n">
        <v>0</v>
      </c>
      <c r="HP12" s="68" t="n">
        <v>0</v>
      </c>
      <c r="HQ12" s="68" t="n">
        <v>0</v>
      </c>
      <c r="HR12" s="68" t="n">
        <v>0</v>
      </c>
      <c r="HS12" s="68" t="n">
        <v>0</v>
      </c>
      <c r="HT12" s="68" t="n">
        <v>0</v>
      </c>
      <c r="HU12" s="67" t="n">
        <v>0</v>
      </c>
      <c r="JF12" s="68">
        <f>AP12</f>
        <v/>
      </c>
      <c r="JG12" s="68">
        <f>SUM(Z12:AK12)</f>
        <v/>
      </c>
      <c r="JH12" s="68">
        <f>SUM(AL12:AP12)</f>
        <v/>
      </c>
      <c r="JI12" s="68">
        <f>SUM(C12:AP12)</f>
        <v/>
      </c>
      <c r="JJ12" s="446" t="n"/>
      <c r="JM12" s="69" t="n">
        <v>553013.17533</v>
      </c>
      <c r="JR12" s="54">
        <f>A12</f>
        <v/>
      </c>
      <c r="JS12" s="68">
        <f>SUM(C12:AP12)</f>
        <v/>
      </c>
      <c r="JT12" s="462" t="n"/>
      <c r="JU12" s="68">
        <f>SUM(AT12:AZ12)</f>
        <v/>
      </c>
      <c r="JV12" s="68">
        <f>SUM(BA12:BL12)</f>
        <v/>
      </c>
      <c r="JW12" s="68">
        <f>SUM(BM12:BX12)</f>
        <v/>
      </c>
      <c r="JX12" s="68">
        <f>SUM(BY12:CJ12)</f>
        <v/>
      </c>
      <c r="JY12" s="68">
        <f>SUM(CK12:CV12)</f>
        <v/>
      </c>
      <c r="JZ12" s="68">
        <f>SUM(CW12:HU12)</f>
        <v/>
      </c>
      <c r="KG12" s="130">
        <f>B12</f>
        <v/>
      </c>
      <c r="KH12" s="342">
        <f>AR12</f>
        <v/>
      </c>
    </row>
    <row r="13" ht="7.2" customHeight="1" thickTop="1">
      <c r="A13" s="1" t="n"/>
      <c r="B13" s="128" t="n"/>
      <c r="C13" s="1" t="n"/>
      <c r="D13" s="1" t="n"/>
      <c r="E13" s="14" t="n"/>
      <c r="F13" s="14" t="n"/>
      <c r="G13" s="14" t="n"/>
      <c r="H13" s="14" t="n"/>
      <c r="I13" s="14" t="n"/>
      <c r="J13" s="156" t="n"/>
      <c r="K13" s="1" t="n"/>
      <c r="L13" s="1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57" t="n"/>
      <c r="AE13" s="157" t="n"/>
      <c r="AF13" s="157" t="n"/>
      <c r="AG13" s="157" t="n"/>
      <c r="AH13" s="157" t="n"/>
      <c r="AI13" s="157" t="n"/>
      <c r="AJ13" s="157" t="n"/>
      <c r="AK13" s="157" t="n"/>
      <c r="AL13" s="157" t="n"/>
      <c r="AM13" s="157" t="n"/>
      <c r="AN13" s="157" t="n"/>
      <c r="AO13" s="157" t="n"/>
      <c r="AP13" s="157" t="n"/>
      <c r="AQ13" s="1" t="n"/>
      <c r="AR13" s="128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289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289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289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289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289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JF13" s="1">
        <f>AP13</f>
        <v/>
      </c>
      <c r="JG13" s="1">
        <f>SUM(Z13:AK13)</f>
        <v/>
      </c>
      <c r="JH13" s="1">
        <f>SUM(AL13:AP13)</f>
        <v/>
      </c>
      <c r="JI13" s="1">
        <f>SUM(C13:AP13)</f>
        <v/>
      </c>
      <c r="JJ13" s="446" t="n"/>
      <c r="JM13" s="1" t="n"/>
      <c r="JR13" s="1">
        <f>A13</f>
        <v/>
      </c>
      <c r="JS13" s="1">
        <f>SUM(C13:AP13)</f>
        <v/>
      </c>
      <c r="JT13" s="460" t="n"/>
      <c r="JU13" s="1">
        <f>SUM(AT13:AZ13)</f>
        <v/>
      </c>
      <c r="JV13" s="1">
        <f>SUM(BA13:BL13)</f>
        <v/>
      </c>
      <c r="JW13" s="1">
        <f>SUM(BM13:BX13)</f>
        <v/>
      </c>
      <c r="JX13" s="1">
        <f>SUM(BY13:CJ13)</f>
        <v/>
      </c>
      <c r="JY13" s="1">
        <f>SUM(CK13:CV13)</f>
        <v/>
      </c>
      <c r="JZ13" s="1">
        <f>SUM(CW13:HU13)</f>
        <v/>
      </c>
      <c r="KG13" s="128">
        <f>B13</f>
        <v/>
      </c>
      <c r="KH13" s="128">
        <f>AR13</f>
        <v/>
      </c>
    </row>
    <row r="14" ht="16.2" customFormat="1" customHeight="1" s="259">
      <c r="A14" s="65" t="inlineStr">
        <is>
          <t>APORTE DE SÓCIOS</t>
        </is>
      </c>
      <c r="B14" s="129" t="n"/>
      <c r="C14" s="70" t="n"/>
      <c r="D14" s="70" t="n"/>
      <c r="E14" s="70" t="n"/>
      <c r="F14" s="70" t="n"/>
      <c r="G14" s="70" t="n"/>
      <c r="H14" s="70" t="n"/>
      <c r="I14" s="70" t="n"/>
      <c r="J14" s="155" t="n"/>
      <c r="K14" s="70" t="n"/>
      <c r="L14" s="70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198" t="n"/>
      <c r="AR14" s="233" t="n"/>
      <c r="AS14" s="198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  <c r="BC14" s="70" t="n"/>
      <c r="BD14" s="287" t="n"/>
      <c r="BE14" s="70" t="n"/>
      <c r="BF14" s="70" t="n"/>
      <c r="BG14" s="70" t="n"/>
      <c r="BH14" s="70" t="n"/>
      <c r="BI14" s="70" t="n"/>
      <c r="BJ14" s="70" t="n"/>
      <c r="BK14" s="70" t="n"/>
      <c r="BL14" s="70" t="n"/>
      <c r="BM14" s="70" t="n"/>
      <c r="BN14" s="70" t="n"/>
      <c r="BO14" s="70" t="n"/>
      <c r="BP14" s="287" t="n"/>
      <c r="BQ14" s="70" t="n"/>
      <c r="BR14" s="70" t="n"/>
      <c r="BS14" s="70" t="n"/>
      <c r="BT14" s="70" t="n"/>
      <c r="BU14" s="70" t="n"/>
      <c r="BV14" s="70" t="n"/>
      <c r="BW14" s="70" t="n"/>
      <c r="BX14" s="70" t="n"/>
      <c r="BY14" s="70" t="n"/>
      <c r="BZ14" s="70" t="n"/>
      <c r="CA14" s="70" t="n"/>
      <c r="CB14" s="287" t="n"/>
      <c r="CC14" s="70" t="n"/>
      <c r="CD14" s="70" t="n"/>
      <c r="CE14" s="70" t="n"/>
      <c r="CF14" s="70" t="n"/>
      <c r="CG14" s="70" t="n"/>
      <c r="CH14" s="70" t="n"/>
      <c r="CI14" s="70" t="n"/>
      <c r="CJ14" s="70" t="n"/>
      <c r="CK14" s="70" t="n"/>
      <c r="CL14" s="70" t="n"/>
      <c r="CM14" s="70" t="n"/>
      <c r="CN14" s="287" t="n"/>
      <c r="CO14" s="70" t="n"/>
      <c r="CP14" s="70" t="n"/>
      <c r="CQ14" s="70" t="n"/>
      <c r="CR14" s="70" t="n"/>
      <c r="CS14" s="70" t="n"/>
      <c r="CT14" s="70" t="n"/>
      <c r="CU14" s="70" t="n"/>
      <c r="CV14" s="70" t="n"/>
      <c r="CW14" s="70" t="n"/>
      <c r="CX14" s="70" t="n"/>
      <c r="CY14" s="70" t="n"/>
      <c r="CZ14" s="287" t="n"/>
      <c r="DA14" s="70" t="n"/>
      <c r="DB14" s="70" t="n"/>
      <c r="DC14" s="70" t="n"/>
      <c r="DD14" s="70" t="n"/>
      <c r="DE14" s="70" t="n"/>
      <c r="DF14" s="70" t="n"/>
      <c r="DG14" s="70" t="n"/>
      <c r="DH14" s="70" t="n"/>
      <c r="DI14" s="70" t="n"/>
      <c r="DJ14" s="70" t="n"/>
      <c r="DK14" s="70" t="n"/>
      <c r="DL14" s="70" t="n"/>
      <c r="DM14" s="70" t="n"/>
      <c r="DN14" s="70" t="n"/>
      <c r="DO14" s="70" t="n"/>
      <c r="DP14" s="70" t="n"/>
      <c r="DQ14" s="70" t="n"/>
      <c r="DR14" s="70" t="n"/>
      <c r="DS14" s="70" t="n"/>
      <c r="DT14" s="70" t="n"/>
      <c r="DU14" s="70" t="n"/>
      <c r="DV14" s="70" t="n"/>
      <c r="DW14" s="70" t="n"/>
      <c r="DX14" s="70" t="n"/>
      <c r="DY14" s="70" t="n"/>
      <c r="DZ14" s="70" t="n"/>
      <c r="EA14" s="70" t="n"/>
      <c r="EB14" s="70" t="n"/>
      <c r="EC14" s="70" t="n"/>
      <c r="ED14" s="70" t="n"/>
      <c r="EE14" s="70" t="n"/>
      <c r="EF14" s="70" t="n"/>
      <c r="EG14" s="70" t="n"/>
      <c r="EH14" s="70" t="n"/>
      <c r="EI14" s="70" t="n"/>
      <c r="EJ14" s="70" t="n"/>
      <c r="EK14" s="70" t="n"/>
      <c r="EL14" s="70" t="n"/>
      <c r="EM14" s="70" t="n"/>
      <c r="EN14" s="70" t="n"/>
      <c r="EO14" s="70" t="n"/>
      <c r="EP14" s="70" t="n"/>
      <c r="EQ14" s="70" t="n"/>
      <c r="ER14" s="70" t="n"/>
      <c r="ES14" s="70" t="n"/>
      <c r="ET14" s="70" t="n"/>
      <c r="EU14" s="70" t="n"/>
      <c r="EV14" s="70" t="n"/>
      <c r="EW14" s="70" t="n"/>
      <c r="EX14" s="70" t="n"/>
      <c r="EY14" s="70" t="n"/>
      <c r="EZ14" s="70" t="n"/>
      <c r="FA14" s="70" t="n"/>
      <c r="FB14" s="70" t="n"/>
      <c r="FC14" s="70" t="n"/>
      <c r="FD14" s="70" t="n"/>
      <c r="FE14" s="70" t="n"/>
      <c r="FF14" s="70" t="n"/>
      <c r="FG14" s="70" t="n"/>
      <c r="FH14" s="70" t="n"/>
      <c r="FI14" s="70" t="n"/>
      <c r="FJ14" s="70" t="n"/>
      <c r="FK14" s="70" t="n"/>
      <c r="FL14" s="70" t="n"/>
      <c r="FM14" s="70" t="n"/>
      <c r="FN14" s="70" t="n"/>
      <c r="FO14" s="70" t="n"/>
      <c r="FP14" s="70" t="n"/>
      <c r="FQ14" s="70" t="n"/>
      <c r="FR14" s="70" t="n"/>
      <c r="FS14" s="70" t="n"/>
      <c r="FT14" s="70" t="n"/>
      <c r="FU14" s="70" t="n"/>
      <c r="FV14" s="70" t="n"/>
      <c r="FW14" s="70" t="n"/>
      <c r="FX14" s="70" t="n"/>
      <c r="FY14" s="70" t="n"/>
      <c r="FZ14" s="70" t="n"/>
      <c r="GA14" s="70" t="n"/>
      <c r="GB14" s="70" t="n"/>
      <c r="GC14" s="70" t="n"/>
      <c r="GD14" s="70" t="n"/>
      <c r="GE14" s="70" t="n"/>
      <c r="GF14" s="70" t="n"/>
      <c r="GG14" s="70" t="n"/>
      <c r="GH14" s="70" t="n"/>
      <c r="GI14" s="70" t="n"/>
      <c r="GJ14" s="70" t="n"/>
      <c r="GK14" s="70" t="n"/>
      <c r="GL14" s="70" t="n"/>
      <c r="GM14" s="70" t="n"/>
      <c r="GN14" s="70" t="n"/>
      <c r="GO14" s="70" t="n"/>
      <c r="GP14" s="70" t="n"/>
      <c r="GQ14" s="70" t="n"/>
      <c r="GR14" s="70" t="n"/>
      <c r="GS14" s="70" t="n"/>
      <c r="GT14" s="70" t="n"/>
      <c r="GU14" s="70" t="n"/>
      <c r="GV14" s="70" t="n"/>
      <c r="GW14" s="70" t="n"/>
      <c r="GX14" s="70" t="n"/>
      <c r="GY14" s="70" t="n"/>
      <c r="GZ14" s="70" t="n"/>
      <c r="HA14" s="70" t="n"/>
      <c r="HB14" s="70" t="n"/>
      <c r="HC14" s="70" t="n"/>
      <c r="HD14" s="70" t="n"/>
      <c r="HE14" s="70" t="n"/>
      <c r="HF14" s="70" t="n"/>
      <c r="HG14" s="70" t="n"/>
      <c r="HH14" s="70" t="n"/>
      <c r="HI14" s="70" t="n"/>
      <c r="HJ14" s="70" t="n"/>
      <c r="HK14" s="70" t="n"/>
      <c r="HL14" s="70" t="n"/>
      <c r="HM14" s="70" t="n"/>
      <c r="HN14" s="70" t="n"/>
      <c r="HO14" s="70" t="n"/>
      <c r="HP14" s="70" t="n"/>
      <c r="HQ14" s="70" t="n"/>
      <c r="HR14" s="70" t="n"/>
      <c r="HS14" s="70" t="n"/>
      <c r="HT14" s="70" t="n"/>
      <c r="HU14" s="70" t="n"/>
      <c r="JF14" s="70">
        <f>AP14</f>
        <v/>
      </c>
      <c r="JG14" s="70">
        <f>SUM(Z14:AK14)</f>
        <v/>
      </c>
      <c r="JH14" s="70">
        <f>SUM(AL14:AP14)</f>
        <v/>
      </c>
      <c r="JI14" s="70">
        <f>SUM(C14:AP14)</f>
        <v/>
      </c>
      <c r="JJ14" s="446" t="n"/>
      <c r="JM14" s="70" t="n"/>
      <c r="JR14" s="65">
        <f>A14</f>
        <v/>
      </c>
      <c r="JS14" s="70">
        <f>SUM(C14:AP14)</f>
        <v/>
      </c>
      <c r="JT14" s="461" t="n"/>
      <c r="JU14" s="70">
        <f>SUM(AT14:AZ14)</f>
        <v/>
      </c>
      <c r="JV14" s="70">
        <f>SUM(BA14:BL14)</f>
        <v/>
      </c>
      <c r="JW14" s="70">
        <f>SUM(BM14:BX14)</f>
        <v/>
      </c>
      <c r="JX14" s="70">
        <f>SUM(BY14:CJ14)</f>
        <v/>
      </c>
      <c r="JY14" s="70">
        <f>SUM(CK14:CV14)</f>
        <v/>
      </c>
      <c r="JZ14" s="70">
        <f>SUM(CW14:HU14)</f>
        <v/>
      </c>
      <c r="KG14" s="129">
        <f>B14</f>
        <v/>
      </c>
      <c r="KH14" s="233">
        <f>AR14</f>
        <v/>
      </c>
    </row>
    <row r="15" ht="16.2" customHeight="1" thickBot="1">
      <c r="A15" s="54" t="inlineStr">
        <is>
          <t>Aportes</t>
        </is>
      </c>
      <c r="B15" s="130">
        <f>SUM(C15:AP15)</f>
        <v/>
      </c>
      <c r="C15" s="67" t="n">
        <v>2004788.24</v>
      </c>
      <c r="D15" s="69" t="n"/>
      <c r="E15" s="67" t="n"/>
      <c r="F15" s="67" t="n"/>
      <c r="G15" s="67" t="n"/>
      <c r="H15" s="67" t="n"/>
      <c r="I15" s="68" t="n"/>
      <c r="J15" s="189" t="n"/>
      <c r="K15" s="34" t="n"/>
      <c r="L15" s="34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67" t="n"/>
      <c r="Y15" s="214" t="n">
        <v>1000000</v>
      </c>
      <c r="Z15" s="214" t="n">
        <v>1000000</v>
      </c>
      <c r="AA15" s="214" t="n"/>
      <c r="AB15" s="214" t="n">
        <v>1000000</v>
      </c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4" t="n"/>
      <c r="AP15" s="214" t="n"/>
      <c r="AQ15" s="71" t="n"/>
      <c r="AR15" s="342">
        <f>SUM(AT15:HU15)</f>
        <v/>
      </c>
      <c r="AS15" s="71" t="n"/>
      <c r="AT15" s="69" t="n"/>
      <c r="AU15" s="69" t="n"/>
      <c r="AV15" s="69" t="n"/>
      <c r="AW15" s="69" t="n"/>
      <c r="AX15" s="69" t="n">
        <v>200000</v>
      </c>
      <c r="AY15" s="69" t="n">
        <v>1600000</v>
      </c>
      <c r="AZ15" s="69" t="n">
        <v>500000</v>
      </c>
      <c r="BA15" s="69" t="n">
        <v>0</v>
      </c>
      <c r="BB15" s="69" t="n">
        <v>0</v>
      </c>
      <c r="BC15" s="69" t="n">
        <v>0</v>
      </c>
      <c r="BD15" s="69" t="n">
        <v>0</v>
      </c>
      <c r="BE15" s="69" t="n">
        <v>0</v>
      </c>
      <c r="BF15" s="67" t="n">
        <v>0</v>
      </c>
      <c r="BG15" s="67" t="n">
        <v>0</v>
      </c>
      <c r="BH15" s="67" t="n">
        <v>0</v>
      </c>
      <c r="BI15" s="67" t="n">
        <v>0</v>
      </c>
      <c r="BJ15" s="67" t="n">
        <v>0</v>
      </c>
      <c r="BK15" s="67" t="n"/>
      <c r="BL15" s="67" t="n">
        <v>0</v>
      </c>
      <c r="BM15" s="67" t="n">
        <v>0</v>
      </c>
      <c r="BN15" s="67" t="n">
        <v>0</v>
      </c>
      <c r="BO15" s="67" t="n">
        <v>0</v>
      </c>
      <c r="BP15" s="288" t="n">
        <v>0</v>
      </c>
      <c r="BQ15" s="69" t="n">
        <v>0</v>
      </c>
      <c r="BR15" s="67" t="n">
        <v>0</v>
      </c>
      <c r="BS15" s="67" t="n">
        <v>0</v>
      </c>
      <c r="BT15" s="67" t="n">
        <v>0</v>
      </c>
      <c r="BU15" s="67" t="n">
        <v>0</v>
      </c>
      <c r="BV15" s="67" t="n">
        <v>0</v>
      </c>
      <c r="BW15" s="67" t="n">
        <v>0</v>
      </c>
      <c r="BX15" s="67" t="n">
        <v>0</v>
      </c>
      <c r="BY15" s="67" t="n">
        <v>0</v>
      </c>
      <c r="BZ15" s="67" t="n">
        <v>0</v>
      </c>
      <c r="CA15" s="67" t="n">
        <v>0</v>
      </c>
      <c r="CB15" s="288" t="n">
        <v>0</v>
      </c>
      <c r="CC15" s="69" t="n">
        <v>0</v>
      </c>
      <c r="CD15" s="67" t="n">
        <v>0</v>
      </c>
      <c r="CE15" s="67" t="n">
        <v>0</v>
      </c>
      <c r="CF15" s="67" t="n">
        <v>0</v>
      </c>
      <c r="CG15" s="67" t="n">
        <v>0</v>
      </c>
      <c r="CH15" s="67" t="n">
        <v>0</v>
      </c>
      <c r="CI15" s="67" t="n">
        <v>0</v>
      </c>
      <c r="CJ15" s="67" t="n">
        <v>0</v>
      </c>
      <c r="CK15" s="67" t="n">
        <v>0</v>
      </c>
      <c r="CL15" s="67" t="n">
        <v>0</v>
      </c>
      <c r="CM15" s="67" t="n">
        <v>0</v>
      </c>
      <c r="CN15" s="288" t="n">
        <v>0</v>
      </c>
      <c r="CO15" s="69" t="n">
        <v>0</v>
      </c>
      <c r="CP15" s="67" t="n">
        <v>0</v>
      </c>
      <c r="CQ15" s="67" t="n">
        <v>0</v>
      </c>
      <c r="CR15" s="67" t="n">
        <v>0</v>
      </c>
      <c r="CS15" s="67" t="n">
        <v>0</v>
      </c>
      <c r="CT15" s="67" t="n">
        <v>0</v>
      </c>
      <c r="CU15" s="67" t="n">
        <v>0</v>
      </c>
      <c r="CV15" s="67" t="n">
        <v>0</v>
      </c>
      <c r="CW15" s="67" t="n">
        <v>0</v>
      </c>
      <c r="CX15" s="67" t="n">
        <v>0</v>
      </c>
      <c r="CY15" s="67" t="n">
        <v>0</v>
      </c>
      <c r="CZ15" s="288" t="n">
        <v>0</v>
      </c>
      <c r="DA15" s="69" t="n">
        <v>0</v>
      </c>
      <c r="DB15" s="67" t="n">
        <v>0</v>
      </c>
      <c r="DC15" s="67" t="n">
        <v>0</v>
      </c>
      <c r="DD15" s="67" t="n">
        <v>0</v>
      </c>
      <c r="DE15" s="67" t="n">
        <v>0</v>
      </c>
      <c r="DF15" s="67" t="n">
        <v>0</v>
      </c>
      <c r="DG15" s="67" t="n">
        <v>0</v>
      </c>
      <c r="DH15" s="67" t="n">
        <v>0</v>
      </c>
      <c r="DI15" s="67" t="n">
        <v>0</v>
      </c>
      <c r="DJ15" s="68" t="n">
        <v>0</v>
      </c>
      <c r="DK15" s="67" t="n">
        <v>0</v>
      </c>
      <c r="DL15" s="68" t="n">
        <v>0</v>
      </c>
      <c r="DM15" s="67" t="n">
        <v>0</v>
      </c>
      <c r="DN15" s="68" t="n">
        <v>0</v>
      </c>
      <c r="DO15" s="68" t="n">
        <v>0</v>
      </c>
      <c r="DP15" s="68" t="n">
        <v>0</v>
      </c>
      <c r="DQ15" s="68" t="n">
        <v>0</v>
      </c>
      <c r="DR15" s="68" t="n">
        <v>0</v>
      </c>
      <c r="DS15" s="68" t="n">
        <v>0</v>
      </c>
      <c r="DT15" s="68" t="n">
        <v>0</v>
      </c>
      <c r="DU15" s="68" t="n">
        <v>0</v>
      </c>
      <c r="DV15" s="68" t="n">
        <v>0</v>
      </c>
      <c r="DW15" s="68" t="n">
        <v>0</v>
      </c>
      <c r="DX15" s="68" t="n">
        <v>0</v>
      </c>
      <c r="DY15" s="68" t="n">
        <v>0</v>
      </c>
      <c r="DZ15" s="68" t="n">
        <v>0</v>
      </c>
      <c r="EA15" s="68" t="n">
        <v>0</v>
      </c>
      <c r="EB15" s="68" t="n">
        <v>0</v>
      </c>
      <c r="EC15" s="68" t="n">
        <v>0</v>
      </c>
      <c r="ED15" s="68" t="n">
        <v>0</v>
      </c>
      <c r="EE15" s="68" t="n">
        <v>0</v>
      </c>
      <c r="EF15" s="68" t="n">
        <v>0</v>
      </c>
      <c r="EG15" s="68" t="n">
        <v>0</v>
      </c>
      <c r="EH15" s="68" t="n">
        <v>0</v>
      </c>
      <c r="EI15" s="68" t="n">
        <v>0</v>
      </c>
      <c r="EJ15" s="68" t="n">
        <v>0</v>
      </c>
      <c r="EK15" s="68" t="n">
        <v>0</v>
      </c>
      <c r="EL15" s="68" t="n">
        <v>0</v>
      </c>
      <c r="EM15" s="68" t="n">
        <v>0</v>
      </c>
      <c r="EN15" s="68" t="n">
        <v>0</v>
      </c>
      <c r="EO15" s="68" t="n">
        <v>0</v>
      </c>
      <c r="EP15" s="68" t="n">
        <v>0</v>
      </c>
      <c r="EQ15" s="68" t="n">
        <v>0</v>
      </c>
      <c r="ER15" s="68" t="n">
        <v>0</v>
      </c>
      <c r="ES15" s="68" t="n">
        <v>0</v>
      </c>
      <c r="ET15" s="68" t="n">
        <v>0</v>
      </c>
      <c r="EU15" s="68" t="n">
        <v>0</v>
      </c>
      <c r="EV15" s="68" t="n">
        <v>0</v>
      </c>
      <c r="EW15" s="68" t="n">
        <v>0</v>
      </c>
      <c r="EX15" s="68" t="n">
        <v>0</v>
      </c>
      <c r="EY15" s="68" t="n">
        <v>0</v>
      </c>
      <c r="EZ15" s="68" t="n">
        <v>0</v>
      </c>
      <c r="FA15" s="68" t="n">
        <v>0</v>
      </c>
      <c r="FB15" s="68" t="n">
        <v>0</v>
      </c>
      <c r="FC15" s="68" t="n">
        <v>0</v>
      </c>
      <c r="FD15" s="68" t="n">
        <v>0</v>
      </c>
      <c r="FE15" s="68" t="n">
        <v>0</v>
      </c>
      <c r="FF15" s="68" t="n">
        <v>0</v>
      </c>
      <c r="FG15" s="68" t="n">
        <v>0</v>
      </c>
      <c r="FH15" s="68" t="n">
        <v>0</v>
      </c>
      <c r="FI15" s="68" t="n">
        <v>0</v>
      </c>
      <c r="FJ15" s="68" t="n">
        <v>0</v>
      </c>
      <c r="FK15" s="68" t="n">
        <v>0</v>
      </c>
      <c r="FL15" s="68" t="n">
        <v>0</v>
      </c>
      <c r="FM15" s="68" t="n">
        <v>0</v>
      </c>
      <c r="FN15" s="68" t="n">
        <v>0</v>
      </c>
      <c r="FO15" s="68" t="n">
        <v>0</v>
      </c>
      <c r="FP15" s="68" t="n">
        <v>0</v>
      </c>
      <c r="FQ15" s="68" t="n">
        <v>0</v>
      </c>
      <c r="FR15" s="68" t="n">
        <v>0</v>
      </c>
      <c r="FS15" s="68" t="n">
        <v>0</v>
      </c>
      <c r="FT15" s="68" t="n">
        <v>0</v>
      </c>
      <c r="FU15" s="68" t="n">
        <v>0</v>
      </c>
      <c r="FV15" s="68" t="n">
        <v>0</v>
      </c>
      <c r="FW15" s="68" t="n">
        <v>0</v>
      </c>
      <c r="FX15" s="68" t="n">
        <v>0</v>
      </c>
      <c r="FY15" s="68" t="n">
        <v>0</v>
      </c>
      <c r="FZ15" s="68" t="n">
        <v>0</v>
      </c>
      <c r="GA15" s="68" t="n">
        <v>0</v>
      </c>
      <c r="GB15" s="68" t="n">
        <v>0</v>
      </c>
      <c r="GC15" s="68" t="n">
        <v>0</v>
      </c>
      <c r="GD15" s="68" t="n">
        <v>0</v>
      </c>
      <c r="GE15" s="68" t="n">
        <v>0</v>
      </c>
      <c r="GF15" s="68" t="n">
        <v>0</v>
      </c>
      <c r="GG15" s="68" t="n">
        <v>0</v>
      </c>
      <c r="GH15" s="68" t="n">
        <v>0</v>
      </c>
      <c r="GI15" s="68" t="n">
        <v>0</v>
      </c>
      <c r="GJ15" s="68" t="n">
        <v>0</v>
      </c>
      <c r="GK15" s="68" t="n">
        <v>0</v>
      </c>
      <c r="GL15" s="68" t="n">
        <v>0</v>
      </c>
      <c r="GM15" s="68" t="n">
        <v>0</v>
      </c>
      <c r="GN15" s="68" t="n">
        <v>0</v>
      </c>
      <c r="GO15" s="68" t="n">
        <v>0</v>
      </c>
      <c r="GP15" s="68" t="n">
        <v>0</v>
      </c>
      <c r="GQ15" s="68" t="n">
        <v>0</v>
      </c>
      <c r="GR15" s="68" t="n">
        <v>0</v>
      </c>
      <c r="GS15" s="68" t="n">
        <v>0</v>
      </c>
      <c r="GT15" s="68" t="n">
        <v>0</v>
      </c>
      <c r="GU15" s="68" t="n">
        <v>0</v>
      </c>
      <c r="GV15" s="68" t="n">
        <v>0</v>
      </c>
      <c r="GW15" s="68" t="n">
        <v>0</v>
      </c>
      <c r="GX15" s="68" t="n">
        <v>0</v>
      </c>
      <c r="GY15" s="68" t="n">
        <v>0</v>
      </c>
      <c r="GZ15" s="68" t="n">
        <v>0</v>
      </c>
      <c r="HA15" s="68" t="n">
        <v>0</v>
      </c>
      <c r="HB15" s="68" t="n">
        <v>0</v>
      </c>
      <c r="HC15" s="68" t="n">
        <v>0</v>
      </c>
      <c r="HD15" s="68" t="n">
        <v>0</v>
      </c>
      <c r="HE15" s="68" t="n">
        <v>0</v>
      </c>
      <c r="HF15" s="68" t="n">
        <v>0</v>
      </c>
      <c r="HG15" s="68" t="n">
        <v>0</v>
      </c>
      <c r="HH15" s="68" t="n">
        <v>0</v>
      </c>
      <c r="HI15" s="68" t="n">
        <v>0</v>
      </c>
      <c r="HJ15" s="68" t="n">
        <v>0</v>
      </c>
      <c r="HK15" s="68" t="n">
        <v>0</v>
      </c>
      <c r="HL15" s="68" t="n">
        <v>0</v>
      </c>
      <c r="HM15" s="68" t="n">
        <v>0</v>
      </c>
      <c r="HN15" s="68" t="n">
        <v>0</v>
      </c>
      <c r="HO15" s="68" t="n">
        <v>0</v>
      </c>
      <c r="HP15" s="68" t="n">
        <v>0</v>
      </c>
      <c r="HQ15" s="68" t="n">
        <v>0</v>
      </c>
      <c r="HR15" s="68" t="n">
        <v>0</v>
      </c>
      <c r="HS15" s="68" t="n">
        <v>0</v>
      </c>
      <c r="HT15" s="68" t="n">
        <v>0</v>
      </c>
      <c r="HU15" s="68" t="n">
        <v>0</v>
      </c>
      <c r="JF15" s="68">
        <f>AP15</f>
        <v/>
      </c>
      <c r="JG15" s="68">
        <f>SUM(Z15:AK15)</f>
        <v/>
      </c>
      <c r="JH15" s="68">
        <f>SUM(AL15:AP15)</f>
        <v/>
      </c>
      <c r="JI15" s="68">
        <f>SUM(C15:AP15)</f>
        <v/>
      </c>
      <c r="JJ15" s="446" t="n"/>
      <c r="JM15" s="69" t="n"/>
      <c r="JR15" s="54">
        <f>A15</f>
        <v/>
      </c>
      <c r="JS15" s="68">
        <f>SUM(C15:AP15)</f>
        <v/>
      </c>
      <c r="JT15" s="462" t="n"/>
      <c r="JU15" s="68">
        <f>SUM(AT15:AZ15)</f>
        <v/>
      </c>
      <c r="JV15" s="68">
        <f>SUM(BA15:BL15)</f>
        <v/>
      </c>
      <c r="JW15" s="68">
        <f>SUM(BM15:BX15)</f>
        <v/>
      </c>
      <c r="JX15" s="68">
        <f>SUM(BY15:CJ15)</f>
        <v/>
      </c>
      <c r="JY15" s="68">
        <f>SUM(CK15:CV15)</f>
        <v/>
      </c>
      <c r="JZ15" s="68">
        <f>SUM(CW15:HU15)</f>
        <v/>
      </c>
      <c r="KG15" s="130">
        <f>B15</f>
        <v/>
      </c>
      <c r="KH15" s="342">
        <f>AR15</f>
        <v/>
      </c>
    </row>
    <row r="16" ht="7.2" customHeight="1" thickTop="1">
      <c r="A16" s="1" t="n"/>
      <c r="B16" s="128" t="n"/>
      <c r="C16" s="512" t="n"/>
      <c r="D16" s="512" t="n"/>
      <c r="E16" s="512" t="n"/>
      <c r="F16" s="512" t="n"/>
      <c r="G16" s="512" t="n"/>
      <c r="H16" s="512" t="n"/>
      <c r="I16" s="512" t="n"/>
      <c r="J16" s="513" t="n"/>
      <c r="K16" s="512" t="n"/>
      <c r="L16" s="512" t="n"/>
      <c r="M16" s="514" t="n"/>
      <c r="N16" s="514" t="n"/>
      <c r="O16" s="514" t="n"/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3" t="n"/>
      <c r="AR16" s="235" t="n"/>
      <c r="AS16" s="53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5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5" t="n"/>
      <c r="BQ16" s="512" t="n"/>
      <c r="BR16" s="512" t="n"/>
      <c r="BS16" s="512" t="n"/>
      <c r="BT16" s="512" t="n"/>
      <c r="BU16" s="512" t="n"/>
      <c r="BV16" s="512" t="n"/>
      <c r="BW16" s="512" t="n"/>
      <c r="BX16" s="512" t="n"/>
      <c r="BY16" s="512" t="n"/>
      <c r="BZ16" s="512" t="n"/>
      <c r="CA16" s="512" t="n"/>
      <c r="CB16" s="515" t="n"/>
      <c r="CC16" s="512" t="n"/>
      <c r="CD16" s="512" t="n"/>
      <c r="CE16" s="512" t="n"/>
      <c r="CF16" s="512" t="n"/>
      <c r="CG16" s="512" t="n"/>
      <c r="CH16" s="512" t="n"/>
      <c r="CI16" s="512" t="n"/>
      <c r="CJ16" s="512" t="n"/>
      <c r="CK16" s="512" t="n"/>
      <c r="CL16" s="512" t="n"/>
      <c r="CM16" s="512" t="n"/>
      <c r="CN16" s="515" t="n"/>
      <c r="CO16" s="512" t="n"/>
      <c r="CP16" s="512" t="n"/>
      <c r="CQ16" s="512" t="n"/>
      <c r="CR16" s="512" t="n"/>
      <c r="CS16" s="512" t="n"/>
      <c r="CT16" s="512" t="n"/>
      <c r="CU16" s="512" t="n"/>
      <c r="CV16" s="512" t="n"/>
      <c r="CW16" s="512" t="n"/>
      <c r="CX16" s="512" t="n"/>
      <c r="CY16" s="512" t="n"/>
      <c r="CZ16" s="515" t="n"/>
      <c r="DA16" s="512" t="n"/>
      <c r="DB16" s="512" t="n"/>
      <c r="DC16" s="512" t="n"/>
      <c r="DD16" s="512" t="n"/>
      <c r="DE16" s="512" t="n"/>
      <c r="DF16" s="512" t="n"/>
      <c r="DG16" s="512" t="n"/>
      <c r="DH16" s="512" t="n"/>
      <c r="DI16" s="512" t="n"/>
      <c r="DJ16" s="512" t="n"/>
      <c r="DK16" s="512" t="n"/>
      <c r="DL16" s="512" t="n"/>
      <c r="DM16" s="512" t="n"/>
      <c r="DN16" s="512" t="n"/>
      <c r="DO16" s="512" t="n"/>
      <c r="DP16" s="512" t="n"/>
      <c r="DQ16" s="512" t="n"/>
      <c r="DR16" s="512" t="n"/>
      <c r="DS16" s="512" t="n"/>
      <c r="DT16" s="512" t="n"/>
      <c r="DU16" s="512" t="n"/>
      <c r="DV16" s="512" t="n"/>
      <c r="DW16" s="512" t="n"/>
      <c r="DX16" s="512" t="n"/>
      <c r="DY16" s="512" t="n"/>
      <c r="DZ16" s="512" t="n"/>
      <c r="EA16" s="512" t="n"/>
      <c r="EB16" s="512" t="n"/>
      <c r="EC16" s="512" t="n"/>
      <c r="ED16" s="512" t="n"/>
      <c r="EE16" s="512" t="n"/>
      <c r="EF16" s="512" t="n"/>
      <c r="EG16" s="512" t="n"/>
      <c r="EH16" s="512" t="n"/>
      <c r="EI16" s="512" t="n"/>
      <c r="EJ16" s="512" t="n"/>
      <c r="EK16" s="512" t="n"/>
      <c r="EL16" s="512" t="n"/>
      <c r="EM16" s="512" t="n"/>
      <c r="EN16" s="512" t="n"/>
      <c r="EO16" s="512" t="n"/>
      <c r="EP16" s="512" t="n"/>
      <c r="EQ16" s="512" t="n"/>
      <c r="ER16" s="512" t="n"/>
      <c r="ES16" s="512" t="n"/>
      <c r="ET16" s="512" t="n"/>
      <c r="EU16" s="512" t="n"/>
      <c r="EV16" s="512" t="n"/>
      <c r="EW16" s="512" t="n"/>
      <c r="EX16" s="512" t="n"/>
      <c r="EY16" s="512" t="n"/>
      <c r="EZ16" s="512" t="n"/>
      <c r="FA16" s="512" t="n"/>
      <c r="FB16" s="512" t="n"/>
      <c r="FC16" s="512" t="n"/>
      <c r="FD16" s="512" t="n"/>
      <c r="FE16" s="512" t="n"/>
      <c r="FF16" s="512" t="n"/>
      <c r="FG16" s="512" t="n"/>
      <c r="FH16" s="512" t="n"/>
      <c r="FI16" s="512" t="n"/>
      <c r="FJ16" s="512" t="n"/>
      <c r="FK16" s="512" t="n"/>
      <c r="FL16" s="512" t="n"/>
      <c r="FM16" s="512" t="n"/>
      <c r="FN16" s="512" t="n"/>
      <c r="FO16" s="512" t="n"/>
      <c r="FP16" s="512" t="n"/>
      <c r="FQ16" s="512" t="n"/>
      <c r="FR16" s="512" t="n"/>
      <c r="FS16" s="512" t="n"/>
      <c r="FT16" s="512" t="n"/>
      <c r="FU16" s="512" t="n"/>
      <c r="FV16" s="512" t="n"/>
      <c r="FW16" s="512" t="n"/>
      <c r="FX16" s="512" t="n"/>
      <c r="FY16" s="512" t="n"/>
      <c r="FZ16" s="512" t="n"/>
      <c r="GA16" s="512" t="n"/>
      <c r="GB16" s="512" t="n"/>
      <c r="GC16" s="512" t="n"/>
      <c r="GD16" s="512" t="n"/>
      <c r="GE16" s="512" t="n"/>
      <c r="GF16" s="512" t="n"/>
      <c r="GG16" s="512" t="n"/>
      <c r="GH16" s="512" t="n"/>
      <c r="GI16" s="512" t="n"/>
      <c r="GJ16" s="512" t="n"/>
      <c r="GK16" s="512" t="n"/>
      <c r="GL16" s="512" t="n"/>
      <c r="GM16" s="512" t="n"/>
      <c r="GN16" s="512" t="n"/>
      <c r="GO16" s="512" t="n"/>
      <c r="GP16" s="512" t="n"/>
      <c r="GQ16" s="512" t="n"/>
      <c r="GR16" s="512" t="n"/>
      <c r="GS16" s="512" t="n"/>
      <c r="GT16" s="512" t="n"/>
      <c r="GU16" s="512" t="n"/>
      <c r="GV16" s="512" t="n"/>
      <c r="GW16" s="512" t="n"/>
      <c r="GX16" s="512" t="n"/>
      <c r="GY16" s="512" t="n"/>
      <c r="GZ16" s="512" t="n"/>
      <c r="HA16" s="512" t="n"/>
      <c r="HB16" s="512" t="n"/>
      <c r="HC16" s="512" t="n"/>
      <c r="HD16" s="512" t="n"/>
      <c r="HE16" s="512" t="n"/>
      <c r="HF16" s="512" t="n"/>
      <c r="HG16" s="512" t="n"/>
      <c r="HH16" s="512" t="n"/>
      <c r="HI16" s="512" t="n"/>
      <c r="HJ16" s="512" t="n"/>
      <c r="HK16" s="512" t="n"/>
      <c r="HL16" s="512" t="n"/>
      <c r="HM16" s="512" t="n"/>
      <c r="HN16" s="512" t="n"/>
      <c r="HO16" s="512" t="n"/>
      <c r="HP16" s="512" t="n"/>
      <c r="HQ16" s="512" t="n"/>
      <c r="HR16" s="512" t="n"/>
      <c r="HS16" s="512" t="n"/>
      <c r="HT16" s="512" t="n"/>
      <c r="HU16" s="512" t="n"/>
      <c r="JF16" s="512">
        <f>AP16</f>
        <v/>
      </c>
      <c r="JG16" s="512">
        <f>SUM(Z16:AK16)</f>
        <v/>
      </c>
      <c r="JH16" s="512">
        <f>SUM(AL16:AP16)</f>
        <v/>
      </c>
      <c r="JI16" s="512">
        <f>SUM(C16:AP16)</f>
        <v/>
      </c>
      <c r="JJ16" s="446" t="n"/>
      <c r="JM16" s="512" t="n"/>
      <c r="JR16" s="1">
        <f>A16</f>
        <v/>
      </c>
      <c r="JS16" s="512">
        <f>SUM(C16:AP16)</f>
        <v/>
      </c>
      <c r="JT16" s="577" t="n"/>
      <c r="JU16" s="512">
        <f>SUM(AT16:AZ16)</f>
        <v/>
      </c>
      <c r="JV16" s="512">
        <f>SUM(BA16:BL16)</f>
        <v/>
      </c>
      <c r="JW16" s="512">
        <f>SUM(BM16:BX16)</f>
        <v/>
      </c>
      <c r="JX16" s="512">
        <f>SUM(BY16:CJ16)</f>
        <v/>
      </c>
      <c r="JY16" s="512">
        <f>SUM(CK16:CV16)</f>
        <v/>
      </c>
      <c r="JZ16" s="512">
        <f>SUM(CW16:HU16)</f>
        <v/>
      </c>
      <c r="KG16" s="128">
        <f>B16</f>
        <v/>
      </c>
      <c r="KH16" s="235">
        <f>AR16</f>
        <v/>
      </c>
    </row>
    <row r="17" ht="16.2" customFormat="1" customHeight="1" s="259">
      <c r="A17" s="65" t="inlineStr">
        <is>
          <t>RECEITA FINANCEIRA (+)</t>
        </is>
      </c>
      <c r="B17" s="129" t="n"/>
      <c r="C17" s="70" t="n"/>
      <c r="D17" s="70" t="n"/>
      <c r="E17" s="70" t="n"/>
      <c r="F17" s="70" t="n"/>
      <c r="G17" s="70" t="n"/>
      <c r="H17" s="70" t="n"/>
      <c r="I17" s="70" t="n"/>
      <c r="J17" s="155" t="n"/>
      <c r="K17" s="70" t="n"/>
      <c r="L17" s="70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198" t="n"/>
      <c r="AR17" s="233" t="n"/>
      <c r="AS17" s="198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  <c r="BC17" s="70" t="n"/>
      <c r="BD17" s="287" t="n"/>
      <c r="BE17" s="70" t="n"/>
      <c r="BF17" s="70" t="n"/>
      <c r="BG17" s="70" t="n"/>
      <c r="BH17" s="70" t="n"/>
      <c r="BI17" s="70" t="n"/>
      <c r="BJ17" s="70" t="n"/>
      <c r="BK17" s="70" t="n"/>
      <c r="BL17" s="70" t="n"/>
      <c r="BM17" s="70" t="n"/>
      <c r="BN17" s="70" t="n"/>
      <c r="BO17" s="70" t="n"/>
      <c r="BP17" s="287" t="n"/>
      <c r="BQ17" s="70" t="n"/>
      <c r="BR17" s="70" t="n"/>
      <c r="BS17" s="70" t="n"/>
      <c r="BT17" s="70" t="n"/>
      <c r="BU17" s="70" t="n"/>
      <c r="BV17" s="70" t="n"/>
      <c r="BW17" s="70" t="n"/>
      <c r="BX17" s="70" t="n"/>
      <c r="BY17" s="70" t="n"/>
      <c r="BZ17" s="70" t="n"/>
      <c r="CA17" s="70" t="n"/>
      <c r="CB17" s="287" t="n"/>
      <c r="CC17" s="70" t="n"/>
      <c r="CD17" s="70" t="n"/>
      <c r="CE17" s="70" t="n"/>
      <c r="CF17" s="70" t="n"/>
      <c r="CG17" s="70" t="n"/>
      <c r="CH17" s="70" t="n"/>
      <c r="CI17" s="70" t="n"/>
      <c r="CJ17" s="70" t="n"/>
      <c r="CK17" s="70" t="n"/>
      <c r="CL17" s="70" t="n"/>
      <c r="CM17" s="70" t="n"/>
      <c r="CN17" s="287" t="n"/>
      <c r="CO17" s="70" t="n"/>
      <c r="CP17" s="70" t="n"/>
      <c r="CQ17" s="70" t="n"/>
      <c r="CR17" s="70" t="n"/>
      <c r="CS17" s="70" t="n"/>
      <c r="CT17" s="70" t="n"/>
      <c r="CU17" s="70" t="n"/>
      <c r="CV17" s="70" t="n"/>
      <c r="CW17" s="70" t="n"/>
      <c r="CX17" s="70" t="n"/>
      <c r="CY17" s="70" t="n"/>
      <c r="CZ17" s="287" t="n"/>
      <c r="DA17" s="70" t="n"/>
      <c r="DB17" s="70" t="n"/>
      <c r="DC17" s="70" t="n"/>
      <c r="DD17" s="70" t="n"/>
      <c r="DE17" s="70" t="n"/>
      <c r="DF17" s="70" t="n"/>
      <c r="DG17" s="70" t="n"/>
      <c r="DH17" s="70" t="n"/>
      <c r="DI17" s="70" t="n"/>
      <c r="DJ17" s="70" t="n"/>
      <c r="DK17" s="70" t="n"/>
      <c r="DL17" s="70" t="n"/>
      <c r="DM17" s="70" t="n"/>
      <c r="DN17" s="70" t="n"/>
      <c r="DO17" s="70" t="n"/>
      <c r="DP17" s="70" t="n"/>
      <c r="DQ17" s="70" t="n"/>
      <c r="DR17" s="70" t="n"/>
      <c r="DS17" s="70" t="n"/>
      <c r="DT17" s="70" t="n"/>
      <c r="DU17" s="70" t="n"/>
      <c r="DV17" s="70" t="n"/>
      <c r="DW17" s="70" t="n"/>
      <c r="DX17" s="70" t="n"/>
      <c r="DY17" s="70" t="n"/>
      <c r="DZ17" s="70" t="n"/>
      <c r="EA17" s="70" t="n"/>
      <c r="EB17" s="70" t="n"/>
      <c r="EC17" s="70" t="n"/>
      <c r="ED17" s="70" t="n"/>
      <c r="EE17" s="70" t="n"/>
      <c r="EF17" s="70" t="n"/>
      <c r="EG17" s="70" t="n"/>
      <c r="EH17" s="70" t="n"/>
      <c r="EI17" s="70" t="n"/>
      <c r="EJ17" s="70" t="n"/>
      <c r="EK17" s="70" t="n"/>
      <c r="EL17" s="70" t="n"/>
      <c r="EM17" s="70" t="n"/>
      <c r="EN17" s="70" t="n"/>
      <c r="EO17" s="70" t="n"/>
      <c r="EP17" s="70" t="n"/>
      <c r="EQ17" s="70" t="n"/>
      <c r="ER17" s="70" t="n"/>
      <c r="ES17" s="70" t="n"/>
      <c r="ET17" s="70" t="n"/>
      <c r="EU17" s="70" t="n"/>
      <c r="EV17" s="70" t="n"/>
      <c r="EW17" s="70" t="n"/>
      <c r="EX17" s="70" t="n"/>
      <c r="EY17" s="70" t="n"/>
      <c r="EZ17" s="70" t="n"/>
      <c r="FA17" s="70" t="n"/>
      <c r="FB17" s="70" t="n"/>
      <c r="FC17" s="70" t="n"/>
      <c r="FD17" s="70" t="n"/>
      <c r="FE17" s="70" t="n"/>
      <c r="FF17" s="70" t="n"/>
      <c r="FG17" s="70" t="n"/>
      <c r="FH17" s="70" t="n"/>
      <c r="FI17" s="70" t="n"/>
      <c r="FJ17" s="70" t="n"/>
      <c r="FK17" s="70" t="n"/>
      <c r="FL17" s="70" t="n"/>
      <c r="FM17" s="70" t="n"/>
      <c r="FN17" s="70" t="n"/>
      <c r="FO17" s="70" t="n"/>
      <c r="FP17" s="70" t="n"/>
      <c r="FQ17" s="70" t="n"/>
      <c r="FR17" s="70" t="n"/>
      <c r="FS17" s="70" t="n"/>
      <c r="FT17" s="70" t="n"/>
      <c r="FU17" s="70" t="n"/>
      <c r="FV17" s="70" t="n"/>
      <c r="FW17" s="70" t="n"/>
      <c r="FX17" s="70" t="n"/>
      <c r="FY17" s="70" t="n"/>
      <c r="FZ17" s="70" t="n"/>
      <c r="GA17" s="70" t="n"/>
      <c r="GB17" s="70" t="n"/>
      <c r="GC17" s="70" t="n"/>
      <c r="GD17" s="70" t="n"/>
      <c r="GE17" s="70" t="n"/>
      <c r="GF17" s="70" t="n"/>
      <c r="GG17" s="70" t="n"/>
      <c r="GH17" s="70" t="n"/>
      <c r="GI17" s="70" t="n"/>
      <c r="GJ17" s="70" t="n"/>
      <c r="GK17" s="70" t="n"/>
      <c r="GL17" s="70" t="n"/>
      <c r="GM17" s="70" t="n"/>
      <c r="GN17" s="70" t="n"/>
      <c r="GO17" s="70" t="n"/>
      <c r="GP17" s="70" t="n"/>
      <c r="GQ17" s="70" t="n"/>
      <c r="GR17" s="70" t="n"/>
      <c r="GS17" s="70" t="n"/>
      <c r="GT17" s="70" t="n"/>
      <c r="GU17" s="70" t="n"/>
      <c r="GV17" s="70" t="n"/>
      <c r="GW17" s="70" t="n"/>
      <c r="GX17" s="70" t="n"/>
      <c r="GY17" s="70" t="n"/>
      <c r="GZ17" s="70" t="n"/>
      <c r="HA17" s="70" t="n"/>
      <c r="HB17" s="70" t="n"/>
      <c r="HC17" s="70" t="n"/>
      <c r="HD17" s="70" t="n"/>
      <c r="HE17" s="70" t="n"/>
      <c r="HF17" s="70" t="n"/>
      <c r="HG17" s="70" t="n"/>
      <c r="HH17" s="70" t="n"/>
      <c r="HI17" s="70" t="n"/>
      <c r="HJ17" s="70" t="n"/>
      <c r="HK17" s="70" t="n"/>
      <c r="HL17" s="70" t="n"/>
      <c r="HM17" s="70" t="n"/>
      <c r="HN17" s="70" t="n"/>
      <c r="HO17" s="70" t="n"/>
      <c r="HP17" s="70" t="n"/>
      <c r="HQ17" s="70" t="n"/>
      <c r="HR17" s="70" t="n"/>
      <c r="HS17" s="70" t="n"/>
      <c r="HT17" s="70" t="n"/>
      <c r="HU17" s="70" t="n"/>
      <c r="JF17" s="70">
        <f>AP17</f>
        <v/>
      </c>
      <c r="JG17" s="70">
        <f>SUM(Z17:AK17)</f>
        <v/>
      </c>
      <c r="JH17" s="70">
        <f>SUM(AL17:AP17)</f>
        <v/>
      </c>
      <c r="JI17" s="70">
        <f>SUM(C17:AP17)</f>
        <v/>
      </c>
      <c r="JJ17" s="446" t="n"/>
      <c r="JM17" s="70" t="n"/>
      <c r="JR17" s="65">
        <f>A17</f>
        <v/>
      </c>
      <c r="JS17" s="70">
        <f>SUM(C17:AP17)</f>
        <v/>
      </c>
      <c r="JT17" s="461" t="n"/>
      <c r="JU17" s="70">
        <f>SUM(AT17:AZ17)</f>
        <v/>
      </c>
      <c r="JV17" s="70">
        <f>SUM(BA17:BL17)</f>
        <v/>
      </c>
      <c r="JW17" s="70">
        <f>SUM(BM17:BX17)</f>
        <v/>
      </c>
      <c r="JX17" s="70">
        <f>SUM(BY17:CJ17)</f>
        <v/>
      </c>
      <c r="JY17" s="70">
        <f>SUM(CK17:CV17)</f>
        <v/>
      </c>
      <c r="JZ17" s="70">
        <f>SUM(CW17:HU17)</f>
        <v/>
      </c>
      <c r="KG17" s="129">
        <f>B17</f>
        <v/>
      </c>
      <c r="KH17" s="233">
        <f>AR17</f>
        <v/>
      </c>
    </row>
    <row r="18" ht="16.2" customHeight="1">
      <c r="A18" s="54" t="inlineStr">
        <is>
          <t>Rendimento Financeiro</t>
        </is>
      </c>
      <c r="B18" s="130">
        <f>SUM(C18:AP18)</f>
        <v/>
      </c>
      <c r="C18" s="67" t="n"/>
      <c r="D18" s="69" t="n"/>
      <c r="E18" s="67" t="n"/>
      <c r="F18" s="67" t="n"/>
      <c r="G18" s="67" t="n"/>
      <c r="H18" s="67" t="n"/>
      <c r="I18" s="68" t="n"/>
      <c r="J18" s="216" t="n"/>
      <c r="K18" s="116" t="n"/>
      <c r="L18" s="116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7" t="n"/>
      <c r="AA18" s="217" t="n"/>
      <c r="AB18" s="217" t="n">
        <v>12646.02</v>
      </c>
      <c r="AC18" s="217" t="n">
        <v>38113.26</v>
      </c>
      <c r="AD18" s="217" t="n">
        <v>57998.09</v>
      </c>
      <c r="AE18" s="217" t="n">
        <v>61248.2</v>
      </c>
      <c r="AF18" s="217" t="n">
        <v>72074.90999999997</v>
      </c>
      <c r="AG18" s="217">
        <f>38669.97+1.14+11658.76-959.8</f>
        <v/>
      </c>
      <c r="AH18" s="217" t="n">
        <v>113822.3199999915</v>
      </c>
      <c r="AI18" s="217" t="n">
        <v>94885.85000000196</v>
      </c>
      <c r="AJ18" s="217">
        <f>78967.8800000008-41382.42</f>
        <v/>
      </c>
      <c r="AK18" s="217" t="n">
        <v>92147.74000000001</v>
      </c>
      <c r="AL18" s="217" t="n">
        <v>87783.19</v>
      </c>
      <c r="AM18" s="217" t="n">
        <v>36405.54</v>
      </c>
      <c r="AN18" s="217" t="n">
        <v>123144.1599999964</v>
      </c>
      <c r="AO18" s="217" t="n">
        <v>161967.4399999995</v>
      </c>
      <c r="AP18" s="217" t="n">
        <v>228379.6799999997</v>
      </c>
      <c r="AQ18" s="71" t="n"/>
      <c r="AR18" s="342">
        <f>SUM(AT18:HU18)</f>
        <v/>
      </c>
      <c r="AS18" s="71" t="n"/>
      <c r="AT18" s="69">
        <f>IF(AP76&gt;0, AP76*1%,0)</f>
        <v/>
      </c>
      <c r="AU18" s="69">
        <f>IF(AT76&gt;0, AT76*1%,0)</f>
        <v/>
      </c>
      <c r="AV18" s="69">
        <f>IF(AU76&gt;0, AU76*1%,0)</f>
        <v/>
      </c>
      <c r="AW18" s="69">
        <f>IF(AV76&gt;0, AV76*1%,0)</f>
        <v/>
      </c>
      <c r="AX18" s="69">
        <f>IF(AW76&gt;0, AW76*1%,0)</f>
        <v/>
      </c>
      <c r="AY18" s="69">
        <f>IF(AX76&gt;0, AX76*0.8%,0)</f>
        <v/>
      </c>
      <c r="AZ18" s="69">
        <f>IF(AY76&gt;0, AY76*0.8%,0)</f>
        <v/>
      </c>
      <c r="BA18" s="69">
        <f>IF(AZ76&gt;0, AZ76*0.8%,0)</f>
        <v/>
      </c>
      <c r="BB18" s="69">
        <f>IF(BA76&gt;0, BA76*0.8%,0)</f>
        <v/>
      </c>
      <c r="BC18" s="69">
        <f>IF(BB76&gt;0, BB76*0.8%,0)</f>
        <v/>
      </c>
      <c r="BD18" s="69">
        <f>IF(BC76&gt;0, BC76*0.8%,0)</f>
        <v/>
      </c>
      <c r="BE18" s="69">
        <f>IF(BD76&gt;0, BD76*0.8%,0)</f>
        <v/>
      </c>
      <c r="BF18" s="69">
        <f>IF(BE76&gt;0, BE76*0.8%,0)</f>
        <v/>
      </c>
      <c r="BG18" s="69">
        <f>IF(BF76&gt;0, BF76*0.8%,0)</f>
        <v/>
      </c>
      <c r="BH18" s="69">
        <f>IF(BG76&gt;0, BG76*0.8%,0)</f>
        <v/>
      </c>
      <c r="BI18" s="69">
        <f>IF(BH76&gt;0, BH76*0.8%,0)</f>
        <v/>
      </c>
      <c r="BJ18" s="69">
        <f>IF(BI76&gt;0, BI76*0.8%,0)</f>
        <v/>
      </c>
      <c r="BK18" s="69">
        <f>IF(BJ76&gt;0, BJ76*0.8%,0)</f>
        <v/>
      </c>
      <c r="BL18" s="69">
        <f>IF(BK76&gt;0, BK76*0.8%,0)</f>
        <v/>
      </c>
      <c r="BM18" s="69">
        <f>IF(BL76&gt;0, BL76*0.8%,0)</f>
        <v/>
      </c>
      <c r="BN18" s="69">
        <f>IF(BM76&gt;0, BM76*0.8%,0)</f>
        <v/>
      </c>
      <c r="BO18" s="69">
        <f>IF(BN76&gt;0, BN76*0.8%,0)</f>
        <v/>
      </c>
      <c r="BP18" s="69">
        <f>IF(BO76&gt;0, BO76*0.8%,0)</f>
        <v/>
      </c>
      <c r="BQ18" s="69">
        <f>IF(BP76&gt;0, BP76*0.8%,0)</f>
        <v/>
      </c>
      <c r="BR18" s="69">
        <f>IF(BQ76&gt;0, BQ76*0.8%,0)</f>
        <v/>
      </c>
      <c r="BS18" s="69">
        <f>IF(BR76&gt;0, BR76*0.8%,0)</f>
        <v/>
      </c>
      <c r="BT18" s="69">
        <f>IF(BS76&gt;0, BS76*0.8%,0)</f>
        <v/>
      </c>
      <c r="BU18" s="69">
        <f>IF(BT76&gt;0, BT76*0.8%,0)</f>
        <v/>
      </c>
      <c r="BV18" s="69">
        <f>IF(BU76&gt;0, BU76*0.8%,0)</f>
        <v/>
      </c>
      <c r="BW18" s="69">
        <f>IF(BV76&gt;0, BV76*0.8%,0)</f>
        <v/>
      </c>
      <c r="BX18" s="69">
        <f>IF(BW76&gt;0, BW76*0.8%,0)</f>
        <v/>
      </c>
      <c r="BY18" s="69">
        <f>IF(BX76&gt;0, BX76*0.8%,0)</f>
        <v/>
      </c>
      <c r="BZ18" s="69">
        <f>IF(BY76&gt;0, BY76*0.8%,0)</f>
        <v/>
      </c>
      <c r="CA18" s="69">
        <f>IF(BZ76&gt;0, BZ76*0.8%,0)</f>
        <v/>
      </c>
      <c r="CB18" s="69">
        <f>IF(CA76&gt;0, CA76*0.8%,0)</f>
        <v/>
      </c>
      <c r="CC18" s="69">
        <f>IF(CB76&gt;0, CB76*0.8%,0)</f>
        <v/>
      </c>
      <c r="CD18" s="69">
        <f>IF(CC76&gt;0, CC76*0.8%,0)</f>
        <v/>
      </c>
      <c r="CE18" s="69">
        <f>IF(CD76&gt;0, CD76*0.8%,0)</f>
        <v/>
      </c>
      <c r="CF18" s="69">
        <f>IF(CE76&gt;0, CE76*0.8%,0)</f>
        <v/>
      </c>
      <c r="CG18" s="69">
        <f>IF(CF76&gt;0, CF76*0.8%,0)</f>
        <v/>
      </c>
      <c r="CH18" s="69">
        <f>IF(CG76&gt;0, CG76*0.8%,0)</f>
        <v/>
      </c>
      <c r="CI18" s="69">
        <f>IF(CH76&gt;0, CH76*0.8%,0)</f>
        <v/>
      </c>
      <c r="CJ18" s="69">
        <f>IF(CI76&gt;0, CI76*0.8%,0)</f>
        <v/>
      </c>
      <c r="CK18" s="69">
        <f>IF(CJ76&gt;0, CJ76*0.8%,0)</f>
        <v/>
      </c>
      <c r="CL18" s="69">
        <f>IF(CK76&gt;0, CK76*0.8%,0)</f>
        <v/>
      </c>
      <c r="CM18" s="69">
        <f>IF(CL76&gt;0, CL76*0.8%,0)</f>
        <v/>
      </c>
      <c r="CN18" s="69">
        <f>IF(CM76&gt;0, CM76*0.8%,0)</f>
        <v/>
      </c>
      <c r="CO18" s="69">
        <f>IF(CN76&gt;0, CN76*0.8%,0)</f>
        <v/>
      </c>
      <c r="CP18" s="69">
        <f>IF(CO76&gt;0, CO76*0.8%,0)</f>
        <v/>
      </c>
      <c r="CQ18" s="69">
        <f>IF(CP76&gt;0, CP76*0.8%,0)</f>
        <v/>
      </c>
      <c r="CR18" s="69">
        <f>IF(CQ76&gt;0, CQ76*0.8%,0)</f>
        <v/>
      </c>
      <c r="CS18" s="69">
        <f>IF(CR76&gt;0, CR76*0.8%,0)</f>
        <v/>
      </c>
      <c r="CT18" s="69">
        <f>IF(CS76&gt;0, CS76*0.8%,0)</f>
        <v/>
      </c>
      <c r="CU18" s="69">
        <f>IF(CT76&gt;0, CT76*0.8%,0)</f>
        <v/>
      </c>
      <c r="CV18" s="69">
        <f>IF(CU76&gt;0, CU76*0.8%,0)</f>
        <v/>
      </c>
      <c r="CW18" s="69">
        <f>IF(CV76&gt;0, CV76*0.8%,0)</f>
        <v/>
      </c>
      <c r="CX18" s="69">
        <f>IF(CW76&gt;0, CW76*0.8%,0)</f>
        <v/>
      </c>
      <c r="CY18" s="69">
        <f>IF(CX76&gt;0, CX76*0.8%,0)</f>
        <v/>
      </c>
      <c r="CZ18" s="69">
        <f>IF(CY76&gt;0, CY76*0.8%,0)</f>
        <v/>
      </c>
      <c r="DA18" s="69">
        <f>IF(CZ76&gt;0, CZ76*0.8%,0)</f>
        <v/>
      </c>
      <c r="DB18" s="69">
        <f>IF(DA76&gt;0, DA76*0.8%,0)</f>
        <v/>
      </c>
      <c r="DC18" s="69">
        <f>IF(DB76&gt;0, DB76*0.8%,0)</f>
        <v/>
      </c>
      <c r="DD18" s="69">
        <f>IF(DC76&gt;0, DC76*0.8%,0)</f>
        <v/>
      </c>
      <c r="DE18" s="69">
        <f>IF(DD76&gt;0, DD76*0.8%,0)</f>
        <v/>
      </c>
      <c r="DF18" s="69">
        <f>IF(DE76&gt;0, DE76*0.8%,0)</f>
        <v/>
      </c>
      <c r="DG18" s="69">
        <f>IF(DF76&gt;0, DF76*0.8%,0)</f>
        <v/>
      </c>
      <c r="DH18" s="69">
        <f>IF(DG76&gt;0, DG76*0.8%,0)</f>
        <v/>
      </c>
      <c r="DI18" s="69">
        <f>IF(DH76&gt;0, DH76*0.8%,0)</f>
        <v/>
      </c>
      <c r="DJ18" s="69">
        <f>IF(DI76&gt;0, DI76*0.8%,0)</f>
        <v/>
      </c>
      <c r="DK18" s="69">
        <f>IF(DJ76&gt;0, DJ76*0.8%,0)</f>
        <v/>
      </c>
      <c r="DL18" s="69">
        <f>IF(DK76&gt;0, DK76*0.8%,0)</f>
        <v/>
      </c>
      <c r="DM18" s="69">
        <f>IF(DL76&gt;0, DL76*0.8%,0)</f>
        <v/>
      </c>
      <c r="DN18" s="69">
        <f>IF(DM76&gt;0, DM76*0.8%,0)</f>
        <v/>
      </c>
      <c r="DO18" s="69">
        <f>IF(DN76&gt;0, DN76*0.8%,0)</f>
        <v/>
      </c>
      <c r="DP18" s="69">
        <f>IF(DO76&gt;0, DO76*0.8%,0)</f>
        <v/>
      </c>
      <c r="DQ18" s="69">
        <f>IF(DP76&gt;0, DP76*0.8%,0)</f>
        <v/>
      </c>
      <c r="DR18" s="69">
        <f>IF(DQ76&gt;0, DQ76*0.8%,0)</f>
        <v/>
      </c>
      <c r="DS18" s="69">
        <f>IF(DR76&gt;0, DR76*0.8%,0)</f>
        <v/>
      </c>
      <c r="DT18" s="69">
        <f>IF(DS76&gt;0, DS76*0.8%,0)</f>
        <v/>
      </c>
      <c r="DU18" s="69">
        <f>IF(DT76&gt;0, DT76*0.8%,0)</f>
        <v/>
      </c>
      <c r="DV18" s="69">
        <f>IF(DU76&gt;0, DU76*0.8%,0)</f>
        <v/>
      </c>
      <c r="DW18" s="69">
        <f>IF(DV76&gt;0, DV76*0.8%,0)</f>
        <v/>
      </c>
      <c r="DX18" s="69">
        <f>IF(DW76&gt;0, DW76*0.8%,0)</f>
        <v/>
      </c>
      <c r="DY18" s="69">
        <f>IF(DX76&gt;0, DX76*0.8%,0)</f>
        <v/>
      </c>
      <c r="DZ18" s="69">
        <f>IF(DY76&gt;0, DY76*0.8%,0)</f>
        <v/>
      </c>
      <c r="EA18" s="69">
        <f>IF(DZ76&gt;0, DZ76*0.8%,0)</f>
        <v/>
      </c>
      <c r="EB18" s="69">
        <f>IF(EA76&gt;0, EA76*0.8%,0)</f>
        <v/>
      </c>
      <c r="EC18" s="69">
        <f>IF(EB76&gt;0, EB76*0.8%,0)</f>
        <v/>
      </c>
      <c r="ED18" s="69">
        <f>IF(EC76&gt;0, EC76*0.8%,0)</f>
        <v/>
      </c>
      <c r="EE18" s="69">
        <f>IF(ED76&gt;0, ED76*0.8%,0)</f>
        <v/>
      </c>
      <c r="EF18" s="69">
        <f>IF(EE76&gt;0, EE76*0.8%,0)</f>
        <v/>
      </c>
      <c r="EG18" s="69">
        <f>IF(EF76&gt;0, EF76*0.8%,0)</f>
        <v/>
      </c>
      <c r="EH18" s="69">
        <f>IF(EG76&gt;0, EG76*0.8%,0)</f>
        <v/>
      </c>
      <c r="EI18" s="69">
        <f>IF(EH76&gt;0, EH76*0.8%,0)</f>
        <v/>
      </c>
      <c r="EJ18" s="69">
        <f>IF(EI76&gt;0, EI76*0.8%,0)</f>
        <v/>
      </c>
      <c r="EK18" s="69">
        <f>IF(EJ76&gt;0, EJ76*0.8%,0)</f>
        <v/>
      </c>
      <c r="EL18" s="69">
        <f>IF(EK76&gt;0, EK76*0.8%,0)</f>
        <v/>
      </c>
      <c r="EM18" s="69">
        <f>IF(EL76&gt;0, EL76*0.8%,0)</f>
        <v/>
      </c>
      <c r="EN18" s="69">
        <f>IF(EM76&gt;0, EM76*0.8%,0)</f>
        <v/>
      </c>
      <c r="EO18" s="69">
        <f>IF(EN76&gt;0, EN76*0.8%,0)</f>
        <v/>
      </c>
      <c r="EP18" s="69">
        <f>IF(EO76&gt;0, EO76*0.8%,0)</f>
        <v/>
      </c>
      <c r="EQ18" s="69">
        <f>IF(EP76&gt;0, EP76*0.8%,0)</f>
        <v/>
      </c>
      <c r="ER18" s="69">
        <f>IF(EQ76&gt;0, EQ76*0.8%,0)</f>
        <v/>
      </c>
      <c r="ES18" s="69">
        <f>IF(ER76&gt;0, ER76*0.8%,0)</f>
        <v/>
      </c>
      <c r="ET18" s="69">
        <f>IF(ES76&gt;0, ES76*0.8%,0)</f>
        <v/>
      </c>
      <c r="EU18" s="69">
        <f>IF(ET76&gt;0, ET76*0.8%,0)</f>
        <v/>
      </c>
      <c r="EV18" s="69">
        <f>IF(EU76&gt;0, EU76*0.8%,0)</f>
        <v/>
      </c>
      <c r="EW18" s="69">
        <f>IF(EV76&gt;0, EV76*0.8%,0)</f>
        <v/>
      </c>
      <c r="EX18" s="69">
        <f>IF(EW76&gt;0, EW76*0.8%,0)</f>
        <v/>
      </c>
      <c r="EY18" s="69">
        <f>IF(EX76&gt;0, EX76*0.8%,0)</f>
        <v/>
      </c>
      <c r="EZ18" s="69">
        <f>IF(EY76&gt;0, EY76*0.8%,0)</f>
        <v/>
      </c>
      <c r="FA18" s="69">
        <f>IF(EZ76&gt;0, EZ76*0.8%,0)</f>
        <v/>
      </c>
      <c r="FB18" s="69">
        <f>IF(FA76&gt;0, FA76*0.8%,0)</f>
        <v/>
      </c>
      <c r="FC18" s="69">
        <f>IF(FB76&gt;0, FB76*0.8%,0)</f>
        <v/>
      </c>
      <c r="FD18" s="69">
        <f>IF(FC76&gt;0, FC76*0.8%,0)</f>
        <v/>
      </c>
      <c r="FE18" s="69">
        <f>IF(FD76&gt;0, FD76*0.8%,0)</f>
        <v/>
      </c>
      <c r="FF18" s="69">
        <f>IF(FE76&gt;0, FE76*0.8%,0)</f>
        <v/>
      </c>
      <c r="FG18" s="69">
        <f>IF(FF76&gt;0, FF76*0.8%,0)</f>
        <v/>
      </c>
      <c r="FH18" s="69">
        <f>IF(FG76&gt;0, FG76*0.8%,0)</f>
        <v/>
      </c>
      <c r="FI18" s="69">
        <f>IF(FH76&gt;0, FH76*0.8%,0)</f>
        <v/>
      </c>
      <c r="FJ18" s="69">
        <f>IF(FI76&gt;0, FI76*0.8%,0)</f>
        <v/>
      </c>
      <c r="FK18" s="69">
        <f>IF(FJ76&gt;0, FJ76*0.8%,0)</f>
        <v/>
      </c>
      <c r="FL18" s="69">
        <f>IF(FK76&gt;0, FK76*0.8%,0)</f>
        <v/>
      </c>
      <c r="FM18" s="69">
        <f>IF(FL76&gt;0, FL76*0.8%,0)</f>
        <v/>
      </c>
      <c r="FN18" s="69">
        <f>IF(FM76&gt;0, FM76*0.8%,0)</f>
        <v/>
      </c>
      <c r="FO18" s="69">
        <f>IF(FN76&gt;0, FN76*0.8%,0)</f>
        <v/>
      </c>
      <c r="FP18" s="69">
        <f>IF(FO76&gt;0, FO76*0.8%,0)</f>
        <v/>
      </c>
      <c r="FQ18" s="69">
        <f>IF(FP76&gt;0, FP76*0.8%,0)</f>
        <v/>
      </c>
      <c r="FR18" s="69">
        <f>IF(FQ76&gt;0, FQ76*0.8%,0)</f>
        <v/>
      </c>
      <c r="FS18" s="69">
        <f>IF(FR76&gt;0, FR76*0.8%,0)</f>
        <v/>
      </c>
      <c r="FT18" s="69">
        <f>IF(FS76&gt;0, FS76*0.8%,0)</f>
        <v/>
      </c>
      <c r="FU18" s="69">
        <f>IF(FT76&gt;0, FT76*0.8%,0)</f>
        <v/>
      </c>
      <c r="FV18" s="69">
        <f>IF(FU76&gt;0, FU76*0.8%,0)</f>
        <v/>
      </c>
      <c r="FW18" s="69">
        <f>IF(FV76&gt;0, FV76*0.8%,0)</f>
        <v/>
      </c>
      <c r="FX18" s="69">
        <f>IF(FW76&gt;0, FW76*0.8%,0)</f>
        <v/>
      </c>
      <c r="FY18" s="69">
        <f>IF(FX76&gt;0, FX76*0.8%,0)</f>
        <v/>
      </c>
      <c r="FZ18" s="69">
        <f>IF(FY76&gt;0, FY76*0.8%,0)</f>
        <v/>
      </c>
      <c r="GA18" s="69">
        <f>IF(FZ76&gt;0, FZ76*0.8%,0)</f>
        <v/>
      </c>
      <c r="GB18" s="69">
        <f>IF(GA76&gt;0, GA76*0.8%,0)</f>
        <v/>
      </c>
      <c r="GC18" s="69">
        <f>IF(GB76&gt;0, GB76*0.8%,0)</f>
        <v/>
      </c>
      <c r="GD18" s="69">
        <f>IF(GC76&gt;0, GC76*0.8%,0)</f>
        <v/>
      </c>
      <c r="GE18" s="69">
        <f>IF(GD76&gt;0, GD76*0.8%,0)</f>
        <v/>
      </c>
      <c r="GF18" s="69">
        <f>IF(GE76&gt;0, GE76*0.8%,0)</f>
        <v/>
      </c>
      <c r="GG18" s="69">
        <f>IF(GF76&gt;0, GF76*0.8%,0)</f>
        <v/>
      </c>
      <c r="GH18" s="69">
        <f>IF(GG76&gt;0, GG76*0.8%,0)</f>
        <v/>
      </c>
      <c r="GI18" s="69">
        <f>IF(GH76&gt;0, GH76*0.8%,0)</f>
        <v/>
      </c>
      <c r="GJ18" s="69">
        <f>IF(GI76&gt;0, GI76*0.8%,0)</f>
        <v/>
      </c>
      <c r="GK18" s="69">
        <f>IF(GJ76&gt;0, GJ76*0.8%,0)</f>
        <v/>
      </c>
      <c r="GL18" s="69">
        <f>IF(GK76&gt;0, GK76*0.8%,0)</f>
        <v/>
      </c>
      <c r="GM18" s="69">
        <f>IF(GL76&gt;0, GL76*0.8%,0)</f>
        <v/>
      </c>
      <c r="GN18" s="69">
        <f>IF(GM76&gt;0, GM76*0.8%,0)</f>
        <v/>
      </c>
      <c r="GO18" s="69">
        <f>IF(GN76&gt;0, GN76*0.8%,0)</f>
        <v/>
      </c>
      <c r="GP18" s="69">
        <f>IF(GO76&gt;0, GO76*0.8%,0)</f>
        <v/>
      </c>
      <c r="GQ18" s="69">
        <f>IF(GP76&gt;0, GP76*0.8%,0)</f>
        <v/>
      </c>
      <c r="GR18" s="69">
        <f>IF(GQ76&gt;0, GQ76*0.8%,0)</f>
        <v/>
      </c>
      <c r="GS18" s="69">
        <f>IF(GR76&gt;0, GR76*0.8%,0)</f>
        <v/>
      </c>
      <c r="GT18" s="69">
        <f>IF(GS76&gt;0, GS76*0.8%,0)</f>
        <v/>
      </c>
      <c r="GU18" s="69">
        <f>IF(GT76&gt;0, GT76*0.8%,0)</f>
        <v/>
      </c>
      <c r="GV18" s="69">
        <f>IF(GU76&gt;0, GU76*0.8%,0)</f>
        <v/>
      </c>
      <c r="GW18" s="69">
        <f>IF(GV76&gt;0, GV76*0.8%,0)</f>
        <v/>
      </c>
      <c r="GX18" s="69">
        <f>IF(GW76&gt;0, GW76*0.8%,0)</f>
        <v/>
      </c>
      <c r="GY18" s="69">
        <f>IF(GX76&gt;0, GX76*0.8%,0)</f>
        <v/>
      </c>
      <c r="GZ18" s="69">
        <f>IF(GY76&gt;0, GY76*0.8%,0)</f>
        <v/>
      </c>
      <c r="HA18" s="69">
        <f>IF(GZ76&gt;0, GZ76*0.8%,0)</f>
        <v/>
      </c>
      <c r="HB18" s="69">
        <f>IF(HA76&gt;0, HA76*0.8%,0)</f>
        <v/>
      </c>
      <c r="HC18" s="69">
        <f>IF(HB76&gt;0, HB76*0.8%,0)</f>
        <v/>
      </c>
      <c r="HD18" s="69">
        <f>IF(HC76&gt;0, HC76*0.8%,0)</f>
        <v/>
      </c>
      <c r="HE18" s="69">
        <f>IF(HD76&gt;0, HD76*0.8%,0)</f>
        <v/>
      </c>
      <c r="HF18" s="69">
        <f>IF(HE76&gt;0, HE76*0.8%,0)</f>
        <v/>
      </c>
      <c r="HG18" s="69">
        <f>IF(HF76&gt;0, HF76*0.8%,0)</f>
        <v/>
      </c>
      <c r="HH18" s="69">
        <f>IF(HG76&gt;0, HG76*0.8%,0)</f>
        <v/>
      </c>
      <c r="HI18" s="69">
        <f>IF(HH76&gt;0, HH76*0.8%,0)</f>
        <v/>
      </c>
      <c r="HJ18" s="69">
        <f>IF(HI76&gt;0, HI76*0.8%,0)</f>
        <v/>
      </c>
      <c r="HK18" s="69">
        <f>IF(HJ76&gt;0, HJ76*0.8%,0)</f>
        <v/>
      </c>
      <c r="HL18" s="69">
        <f>IF(HK76&gt;0, HK76*0.8%,0)</f>
        <v/>
      </c>
      <c r="HM18" s="69">
        <f>IF(HL76&gt;0, HL76*0.8%,0)</f>
        <v/>
      </c>
      <c r="HN18" s="69">
        <f>IF(HM76&gt;0, HM76*0.8%,0)</f>
        <v/>
      </c>
      <c r="HO18" s="69">
        <f>IF(HN76&gt;0, HN76*0.8%,0)</f>
        <v/>
      </c>
      <c r="HP18" s="69">
        <f>IF(HO76&gt;0, HO76*0.8%,0)</f>
        <v/>
      </c>
      <c r="HQ18" s="69">
        <f>IF(HP76&gt;0, HP76*0.8%,0)</f>
        <v/>
      </c>
      <c r="HR18" s="69">
        <f>IF(HQ76&gt;0, HQ76*0.8%,0)</f>
        <v/>
      </c>
      <c r="HS18" s="69">
        <f>IF(HR76&gt;0, HR76*0.8%,0)</f>
        <v/>
      </c>
      <c r="HT18" s="69">
        <f>IF(HS76&gt;0, HS76*0.8%,0)</f>
        <v/>
      </c>
      <c r="HU18" s="69">
        <f>IF(HT76&gt;0, HT76*0.8%,0)</f>
        <v/>
      </c>
      <c r="JF18" s="69">
        <f>AP18</f>
        <v/>
      </c>
      <c r="JG18" s="69">
        <f>SUM(Z18:AK18)</f>
        <v/>
      </c>
      <c r="JH18" s="69">
        <f>SUM(AL18:AP18)</f>
        <v/>
      </c>
      <c r="JI18" s="69">
        <f>SUM(C18:AP18)</f>
        <v/>
      </c>
      <c r="JJ18" s="446" t="n"/>
      <c r="JM18" s="69" t="n">
        <v>125712.4885</v>
      </c>
      <c r="JR18" s="54">
        <f>A18</f>
        <v/>
      </c>
      <c r="JS18" s="69">
        <f>SUM(C18:AP18)</f>
        <v/>
      </c>
      <c r="JT18" s="459" t="n"/>
      <c r="JU18" s="69">
        <f>SUM(AT18:AZ18)</f>
        <v/>
      </c>
      <c r="JV18" s="69">
        <f>SUM(BA18:BL18)</f>
        <v/>
      </c>
      <c r="JW18" s="69">
        <f>SUM(BM18:BX18)</f>
        <v/>
      </c>
      <c r="JX18" s="69">
        <f>SUM(BY18:CJ18)</f>
        <v/>
      </c>
      <c r="JY18" s="69">
        <f>SUM(CK18:CV18)</f>
        <v/>
      </c>
      <c r="JZ18" s="69">
        <f>SUM(CW18:HU18)</f>
        <v/>
      </c>
      <c r="KG18" s="130">
        <f>B18</f>
        <v/>
      </c>
      <c r="KH18" s="342">
        <f>AR18</f>
        <v/>
      </c>
    </row>
    <row r="19" ht="7.2" customHeight="1">
      <c r="A19" s="1" t="n"/>
      <c r="B19" s="128" t="n"/>
      <c r="C19" s="1" t="n"/>
      <c r="D19" s="1" t="n"/>
      <c r="E19" s="1" t="n"/>
      <c r="F19" s="1" t="n"/>
      <c r="G19" s="1" t="n"/>
      <c r="H19" s="1" t="n"/>
      <c r="I19" s="1" t="n"/>
      <c r="J19" s="156" t="n"/>
      <c r="K19" s="1" t="n"/>
      <c r="L19" s="1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  <c r="AG19" s="157" t="n"/>
      <c r="AH19" s="157" t="n"/>
      <c r="AI19" s="157" t="n"/>
      <c r="AJ19" s="157" t="n"/>
      <c r="AK19" s="157" t="n"/>
      <c r="AL19" s="157" t="n"/>
      <c r="AM19" s="157" t="n"/>
      <c r="AN19" s="157" t="n"/>
      <c r="AO19" s="157" t="n"/>
      <c r="AP19" s="157" t="n"/>
      <c r="AQ19" s="93" t="n"/>
      <c r="AR19" s="236" t="n"/>
      <c r="AS19" s="93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289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289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289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289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289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JF19" s="1">
        <f>AP19</f>
        <v/>
      </c>
      <c r="JG19" s="1">
        <f>SUM(Z19:AK19)</f>
        <v/>
      </c>
      <c r="JH19" s="1">
        <f>SUM(AL19:AP19)</f>
        <v/>
      </c>
      <c r="JI19" s="1">
        <f>SUM(C19:AP19)</f>
        <v/>
      </c>
      <c r="JJ19" s="446" t="n"/>
      <c r="JM19" s="1" t="n"/>
      <c r="JR19" s="1">
        <f>A19</f>
        <v/>
      </c>
      <c r="JS19" s="1">
        <f>SUM(C19:AP19)</f>
        <v/>
      </c>
      <c r="JT19" s="460" t="n"/>
      <c r="JU19" s="1">
        <f>SUM(AT19:AZ19)</f>
        <v/>
      </c>
      <c r="JV19" s="1">
        <f>SUM(BA19:BL19)</f>
        <v/>
      </c>
      <c r="JW19" s="1">
        <f>SUM(BM19:BX19)</f>
        <v/>
      </c>
      <c r="JX19" s="1">
        <f>SUM(BY19:CJ19)</f>
        <v/>
      </c>
      <c r="JY19" s="1">
        <f>SUM(CK19:CV19)</f>
        <v/>
      </c>
      <c r="JZ19" s="1">
        <f>SUM(CW19:HU19)</f>
        <v/>
      </c>
      <c r="KG19" s="128">
        <f>B19</f>
        <v/>
      </c>
      <c r="KH19" s="236">
        <f>AR19</f>
        <v/>
      </c>
    </row>
    <row r="20" ht="16.2" customFormat="1" customHeight="1" s="259">
      <c r="A20" s="96" t="inlineStr">
        <is>
          <t>TOTAL RECEITAS REAL (+)</t>
        </is>
      </c>
      <c r="B20" s="131">
        <f>SUM(C20:AP20)</f>
        <v/>
      </c>
      <c r="C20" s="72">
        <f>SUM(C8+C9+C15+C18)</f>
        <v/>
      </c>
      <c r="D20" s="72">
        <f>SUM(D8+D9+D15+D18)</f>
        <v/>
      </c>
      <c r="E20" s="72">
        <f>SUM(E8+E9+E15+E18)</f>
        <v/>
      </c>
      <c r="F20" s="72">
        <f>SUM(F8+F9+F12+F15+F18)</f>
        <v/>
      </c>
      <c r="G20" s="72">
        <f>SUM(G8+G9+G12+G15+G18)</f>
        <v/>
      </c>
      <c r="H20" s="72">
        <f>SUM(H8+H9+H12+H15+H18)</f>
        <v/>
      </c>
      <c r="I20" s="72">
        <f>SUM(I8+I9+I12+I15+I18)</f>
        <v/>
      </c>
      <c r="J20" s="160">
        <f>SUM(J8+J9+J15+J18)</f>
        <v/>
      </c>
      <c r="K20" s="72">
        <f>SUM(K8+K9+K15+K18)</f>
        <v/>
      </c>
      <c r="L20" s="72">
        <f>SUM(L8+L9+L15+L18)</f>
        <v/>
      </c>
      <c r="M20" s="161">
        <f>SUM(M8+M9+M15+M18)</f>
        <v/>
      </c>
      <c r="N20" s="161">
        <f>SUM(N8+N9+N15+N18)</f>
        <v/>
      </c>
      <c r="O20" s="161">
        <f>SUM(O8+O9+O15+O18)</f>
        <v/>
      </c>
      <c r="P20" s="161">
        <f>SUM(P8+P9+P15+P18)</f>
        <v/>
      </c>
      <c r="Q20" s="161">
        <f>SUM(Q8+Q9+Q15+Q18)</f>
        <v/>
      </c>
      <c r="R20" s="161">
        <f>SUM(R8+R9+R15+R18)</f>
        <v/>
      </c>
      <c r="S20" s="161">
        <f>SUM(S8+S9+S15+S18)</f>
        <v/>
      </c>
      <c r="T20" s="161">
        <f>SUM(T8+T9+T15+T18)</f>
        <v/>
      </c>
      <c r="U20" s="161">
        <f>SUM(U8+U9+U15+U18)</f>
        <v/>
      </c>
      <c r="V20" s="161">
        <f>SUM(V8+V9+V15+V18)</f>
        <v/>
      </c>
      <c r="W20" s="161">
        <f>SUM(W8+W9+W15+W18)</f>
        <v/>
      </c>
      <c r="X20" s="161">
        <f>SUM(X8+X9+X15+X18)</f>
        <v/>
      </c>
      <c r="Y20" s="161">
        <f>SUM(Y8+Y9+Y15+Y18)</f>
        <v/>
      </c>
      <c r="Z20" s="161">
        <f>SUM(Z8+Z9+Z15+Z18)</f>
        <v/>
      </c>
      <c r="AA20" s="161">
        <f>SUM(AA8+AA9+AA15+AA18)</f>
        <v/>
      </c>
      <c r="AB20" s="161">
        <f>SUM(AB8+AB9+AB15+AB18)</f>
        <v/>
      </c>
      <c r="AC20" s="161">
        <f>SUM(AC8+AC9+AC15+AC18)</f>
        <v/>
      </c>
      <c r="AD20" s="161">
        <f>SUM(AD8+AD9+AD15+AD18)</f>
        <v/>
      </c>
      <c r="AE20" s="161">
        <f>SUM(AE8+AE9+AE15+AE18)</f>
        <v/>
      </c>
      <c r="AF20" s="161">
        <f>SUM(AF8+AF9+AF15+AF18)</f>
        <v/>
      </c>
      <c r="AG20" s="161">
        <f>SUM(AG8+AG9+AG15+AG18)</f>
        <v/>
      </c>
      <c r="AH20" s="161">
        <f>SUM(AH8+AH9+AH15+AH18)</f>
        <v/>
      </c>
      <c r="AI20" s="161">
        <f>SUM(AI8+AI9+AI15+AI18)</f>
        <v/>
      </c>
      <c r="AJ20" s="161">
        <f>SUM(AJ8+AJ9+AJ15+AJ18)</f>
        <v/>
      </c>
      <c r="AK20" s="161">
        <f>SUM(AK8+AK9+AK15+AK18)</f>
        <v/>
      </c>
      <c r="AL20" s="161">
        <f>SUM(AL8+AL9+AL15+AL18)</f>
        <v/>
      </c>
      <c r="AM20" s="161">
        <f>SUM(AM8+AM9+AM15+AM18)</f>
        <v/>
      </c>
      <c r="AN20" s="161">
        <f>SUM(AN8+AN9+AN15+AN18)</f>
        <v/>
      </c>
      <c r="AO20" s="161">
        <f>SUM(AO8+AO9+AO15+AO18)</f>
        <v/>
      </c>
      <c r="AP20" s="161">
        <f>SUM(AP8+AP9+AP15+AP18)</f>
        <v/>
      </c>
      <c r="AQ20" s="71" t="n"/>
      <c r="AR20" s="131">
        <f>SUM(AT20:HU20)</f>
        <v/>
      </c>
      <c r="AS20" s="71" t="n"/>
      <c r="AT20" s="72">
        <f>SUM(AT8+AT9+AT15+AT18)</f>
        <v/>
      </c>
      <c r="AU20" s="72">
        <f>SUM(AU8+AU9+AU15+AU18)</f>
        <v/>
      </c>
      <c r="AV20" s="72">
        <f>SUM(AV8+AV9+AV15+AV18)</f>
        <v/>
      </c>
      <c r="AW20" s="72">
        <f>SUM(AW8+AW9+AW15+AW18)</f>
        <v/>
      </c>
      <c r="AX20" s="72">
        <f>SUM(AX8+AX9+AX15+AX18)</f>
        <v/>
      </c>
      <c r="AY20" s="72">
        <f>SUM(AY8+AY9+AY15+AY18)</f>
        <v/>
      </c>
      <c r="AZ20" s="72">
        <f>SUM(AZ8+AZ9+AZ15+AZ18)</f>
        <v/>
      </c>
      <c r="BA20" s="72">
        <f>SUM(BA8+BA9+BA15+BA18)</f>
        <v/>
      </c>
      <c r="BB20" s="72">
        <f>SUM(BB8+BB9+BB15+BB18)</f>
        <v/>
      </c>
      <c r="BC20" s="72">
        <f>SUM(BC8+BC9+BC15+BC18)</f>
        <v/>
      </c>
      <c r="BD20" s="291">
        <f>SUM(BD8+BD9+BD15+BD18)</f>
        <v/>
      </c>
      <c r="BE20" s="98">
        <f>SUM(BE8+BE9+BE15+BE18)</f>
        <v/>
      </c>
      <c r="BF20" s="72">
        <f>SUM(BF8+BF9+BF15+BF18)</f>
        <v/>
      </c>
      <c r="BG20" s="72">
        <f>SUM(BG8+BG9+BG15+BG18)</f>
        <v/>
      </c>
      <c r="BH20" s="72">
        <f>SUM(BH8+BH9+BH15+BH18)</f>
        <v/>
      </c>
      <c r="BI20" s="72">
        <f>SUM(BI8+BI9+BI15+BI18)</f>
        <v/>
      </c>
      <c r="BJ20" s="72">
        <f>SUM(BJ8+BJ9+BJ15+BJ18)</f>
        <v/>
      </c>
      <c r="BK20" s="72">
        <f>SUM(BK8+BK9+BK15+BK18)</f>
        <v/>
      </c>
      <c r="BL20" s="72">
        <f>SUM(BL8+BL9+BL15+BL18)</f>
        <v/>
      </c>
      <c r="BM20" s="72">
        <f>SUM(BM8+BM9+BM15+BM18)</f>
        <v/>
      </c>
      <c r="BN20" s="72">
        <f>SUM(BN8+BN9+BN15+BN18)</f>
        <v/>
      </c>
      <c r="BO20" s="72">
        <f>SUM(BO8+BO9+BO15+BO18)</f>
        <v/>
      </c>
      <c r="BP20" s="291">
        <f>SUM(BP8+BP9+BP15+BP18)</f>
        <v/>
      </c>
      <c r="BQ20" s="98">
        <f>SUM(BQ8+BQ9+BQ15+BQ18)</f>
        <v/>
      </c>
      <c r="BR20" s="72">
        <f>SUM(BR8+BR9+BR15+BR18)</f>
        <v/>
      </c>
      <c r="BS20" s="72">
        <f>SUM(BS8+BS9+BS15+BS18)</f>
        <v/>
      </c>
      <c r="BT20" s="72">
        <f>SUM(BT8+BT9+BT15+BT18)</f>
        <v/>
      </c>
      <c r="BU20" s="72">
        <f>SUM(BU8+BU9+BU15+BU18)</f>
        <v/>
      </c>
      <c r="BV20" s="72">
        <f>SUM(BV8+BV9+BV15+BV18)</f>
        <v/>
      </c>
      <c r="BW20" s="72">
        <f>SUM(BW8+BW9+BW15+BW18)</f>
        <v/>
      </c>
      <c r="BX20" s="72">
        <f>SUM(BX8+BX9+BX15+BX18)</f>
        <v/>
      </c>
      <c r="BY20" s="72">
        <f>SUM(BY8+BY9+BY15+BY18)</f>
        <v/>
      </c>
      <c r="BZ20" s="72">
        <f>SUM(BZ8+BZ9+BZ15+BZ18)</f>
        <v/>
      </c>
      <c r="CA20" s="72">
        <f>SUM(CA8+CA9+CA15+CA18)</f>
        <v/>
      </c>
      <c r="CB20" s="291">
        <f>SUM(CB8+CB9+CB15+CB18)</f>
        <v/>
      </c>
      <c r="CC20" s="98">
        <f>SUM(CC8+CC9+CC15+CC18)</f>
        <v/>
      </c>
      <c r="CD20" s="72">
        <f>SUM(CD8+CD9+CD15+CD18)</f>
        <v/>
      </c>
      <c r="CE20" s="72">
        <f>SUM(CE8+CE9+CE15+CE18)</f>
        <v/>
      </c>
      <c r="CF20" s="72">
        <f>SUM(CF8+CF9+CF15+CF18)</f>
        <v/>
      </c>
      <c r="CG20" s="72">
        <f>SUM(CG8+CG9+CG15+CG18)</f>
        <v/>
      </c>
      <c r="CH20" s="72">
        <f>SUM(CH8+CH9+CH15+CH18)</f>
        <v/>
      </c>
      <c r="CI20" s="72">
        <f>SUM(CI8+CI9+CI15+CI18)</f>
        <v/>
      </c>
      <c r="CJ20" s="72">
        <f>SUM(CJ8+CJ9+CJ15+CJ18)</f>
        <v/>
      </c>
      <c r="CK20" s="72">
        <f>SUM(CK8+CK9+CK15+CK18)</f>
        <v/>
      </c>
      <c r="CL20" s="72">
        <f>SUM(CL8+CL9+CL15+CL18)</f>
        <v/>
      </c>
      <c r="CM20" s="72">
        <f>SUM(CM8+CM9+CM15+CM18)</f>
        <v/>
      </c>
      <c r="CN20" s="291">
        <f>SUM(CN8+CN9+CN15+CN18)</f>
        <v/>
      </c>
      <c r="CO20" s="98">
        <f>SUM(CO8+CO9+CO15+CO18)</f>
        <v/>
      </c>
      <c r="CP20" s="72">
        <f>SUM(CP8+CP9+CP15+CP18)</f>
        <v/>
      </c>
      <c r="CQ20" s="72">
        <f>SUM(CQ8+CQ9+CQ15+CQ18)</f>
        <v/>
      </c>
      <c r="CR20" s="72">
        <f>SUM(CR8+CR9+CR15+CR18)</f>
        <v/>
      </c>
      <c r="CS20" s="72">
        <f>SUM(CS8+CS9+CS15+CS18)</f>
        <v/>
      </c>
      <c r="CT20" s="72">
        <f>SUM(CT8+CT9+CT15+CT18)</f>
        <v/>
      </c>
      <c r="CU20" s="72">
        <f>SUM(CU8+CU9+CU15+CU18)</f>
        <v/>
      </c>
      <c r="CV20" s="72">
        <f>SUM(CV8+CV9+CV15+CV18)</f>
        <v/>
      </c>
      <c r="CW20" s="72">
        <f>SUM(CW8+CW9+CW15+CW18)</f>
        <v/>
      </c>
      <c r="CX20" s="72">
        <f>SUM(CX8+CX9+CX15+CX18)</f>
        <v/>
      </c>
      <c r="CY20" s="72">
        <f>SUM(CY8+CY9+CY15+CY18)</f>
        <v/>
      </c>
      <c r="CZ20" s="291">
        <f>SUM(CZ8+CZ9+CZ15+CZ18)</f>
        <v/>
      </c>
      <c r="DA20" s="98">
        <f>SUM(DA8+DA9+DA15+DA18)</f>
        <v/>
      </c>
      <c r="DB20" s="72">
        <f>SUM(DB8+DB9+DB15+DB18)</f>
        <v/>
      </c>
      <c r="DC20" s="72">
        <f>SUM(DC8+DC9+DC15+DC18)</f>
        <v/>
      </c>
      <c r="DD20" s="72">
        <f>SUM(DD8+DD9+DD15+DD18)</f>
        <v/>
      </c>
      <c r="DE20" s="72">
        <f>SUM(DE8+DE9+DE15+DE18)</f>
        <v/>
      </c>
      <c r="DF20" s="72">
        <f>SUM(DF8+DF9+DF15+DF18)</f>
        <v/>
      </c>
      <c r="DG20" s="72">
        <f>SUM(DG8+DG9+DG15+DG18)</f>
        <v/>
      </c>
      <c r="DH20" s="72">
        <f>SUM(DH8+DH9+DH15+DH18)</f>
        <v/>
      </c>
      <c r="DI20" s="72">
        <f>SUM(DI8+DI9+DI15+DI18)</f>
        <v/>
      </c>
      <c r="DJ20" s="72">
        <f>SUM(DJ8+DJ9+DJ15+DJ18)</f>
        <v/>
      </c>
      <c r="DK20" s="72">
        <f>SUM(DK8+DK9+DK15+DK18)</f>
        <v/>
      </c>
      <c r="DL20" s="72">
        <f>SUM(DL8+DL9+DL15+DL18)</f>
        <v/>
      </c>
      <c r="DM20" s="72">
        <f>SUM(DM8+DM9+DM15+DM18)</f>
        <v/>
      </c>
      <c r="DN20" s="72">
        <f>SUM(DN8+DN9+DN15+DN18)</f>
        <v/>
      </c>
      <c r="DO20" s="72">
        <f>SUM(DO8+DO9+DO15+DO18)</f>
        <v/>
      </c>
      <c r="DP20" s="72">
        <f>SUM(DP8+DP9+DP15+DP18)</f>
        <v/>
      </c>
      <c r="DQ20" s="72">
        <f>SUM(DQ8+DQ9+DQ15+DQ18)</f>
        <v/>
      </c>
      <c r="DR20" s="72">
        <f>SUM(DR8+DR9+DR15+DR18)</f>
        <v/>
      </c>
      <c r="DS20" s="72">
        <f>SUM(DS8+DS9+DS15+DS18)</f>
        <v/>
      </c>
      <c r="DT20" s="72">
        <f>SUM(DT8+DT9+DT15+DT18)</f>
        <v/>
      </c>
      <c r="DU20" s="72">
        <f>SUM(DU8+DU9+DU15+DU18)</f>
        <v/>
      </c>
      <c r="DV20" s="72">
        <f>SUM(DV8+DV9+DV15+DV18)</f>
        <v/>
      </c>
      <c r="DW20" s="72">
        <f>SUM(DW8+DW9+DW15+DW18)</f>
        <v/>
      </c>
      <c r="DX20" s="72">
        <f>SUM(DX8+DX9+DX15+DX18)</f>
        <v/>
      </c>
      <c r="DY20" s="72">
        <f>SUM(DY8+DY9+DY15+DY18)</f>
        <v/>
      </c>
      <c r="DZ20" s="72">
        <f>SUM(DZ8+DZ9+DZ15+DZ18)</f>
        <v/>
      </c>
      <c r="EA20" s="72">
        <f>SUM(EA8+EA9+EA15+EA18)</f>
        <v/>
      </c>
      <c r="EB20" s="72">
        <f>SUM(EB8+EB9+EB15+EB18)</f>
        <v/>
      </c>
      <c r="EC20" s="72">
        <f>SUM(EC8+EC9+EC15+EC18)</f>
        <v/>
      </c>
      <c r="ED20" s="72">
        <f>SUM(ED8+ED9+ED15+ED18)</f>
        <v/>
      </c>
      <c r="EE20" s="72">
        <f>SUM(EE8+EE9+EE15+EE18)</f>
        <v/>
      </c>
      <c r="EF20" s="72">
        <f>SUM(EF8+EF9+EF15+EF18)</f>
        <v/>
      </c>
      <c r="EG20" s="72">
        <f>SUM(EG8+EG9+EG15+EG18)</f>
        <v/>
      </c>
      <c r="EH20" s="72">
        <f>SUM(EH8+EH9+EH15+EH18)</f>
        <v/>
      </c>
      <c r="EI20" s="72">
        <f>SUM(EI8+EI9+EI15+EI18)</f>
        <v/>
      </c>
      <c r="EJ20" s="72">
        <f>SUM(EJ8+EJ9+EJ15+EJ18)</f>
        <v/>
      </c>
      <c r="EK20" s="72">
        <f>SUM(EK8+EK9+EK15+EK18)</f>
        <v/>
      </c>
      <c r="EL20" s="72">
        <f>SUM(EL8+EL9+EL15+EL18)</f>
        <v/>
      </c>
      <c r="EM20" s="72">
        <f>SUM(EM8+EM9+EM15+EM18)</f>
        <v/>
      </c>
      <c r="EN20" s="72">
        <f>SUM(EN8+EN9+EN15+EN18)</f>
        <v/>
      </c>
      <c r="EO20" s="72">
        <f>SUM(EO8+EO9+EO15+EO18)</f>
        <v/>
      </c>
      <c r="EP20" s="72">
        <f>SUM(EP8+EP9+EP15+EP18)</f>
        <v/>
      </c>
      <c r="EQ20" s="72">
        <f>SUM(EQ8+EQ9+EQ15+EQ18)</f>
        <v/>
      </c>
      <c r="ER20" s="72">
        <f>SUM(ER8+ER9+ER15+ER18)</f>
        <v/>
      </c>
      <c r="ES20" s="72">
        <f>SUM(ES8+ES9+ES15+ES18)</f>
        <v/>
      </c>
      <c r="ET20" s="72">
        <f>SUM(ET8+ET9+ET15+ET18)</f>
        <v/>
      </c>
      <c r="EU20" s="72">
        <f>SUM(EU8+EU9+EU15+EU18)</f>
        <v/>
      </c>
      <c r="EV20" s="72">
        <f>SUM(EV8+EV9+EV15+EV18)</f>
        <v/>
      </c>
      <c r="EW20" s="72">
        <f>SUM(EW8+EW9+EW15+EW18)</f>
        <v/>
      </c>
      <c r="EX20" s="72">
        <f>SUM(EX8+EX9+EX15+EX18)</f>
        <v/>
      </c>
      <c r="EY20" s="72">
        <f>SUM(EY8+EY9+EY15+EY18)</f>
        <v/>
      </c>
      <c r="EZ20" s="72">
        <f>SUM(EZ8+EZ9+EZ15+EZ18)</f>
        <v/>
      </c>
      <c r="FA20" s="72">
        <f>SUM(FA8+FA9+FA15+FA18)</f>
        <v/>
      </c>
      <c r="FB20" s="72">
        <f>SUM(FB8+FB9+FB15+FB18)</f>
        <v/>
      </c>
      <c r="FC20" s="72">
        <f>SUM(FC8+FC9+FC15+FC18)</f>
        <v/>
      </c>
      <c r="FD20" s="72">
        <f>SUM(FD8+FD9+FD15+FD18)</f>
        <v/>
      </c>
      <c r="FE20" s="72">
        <f>SUM(FE8+FE9+FE15+FE18)</f>
        <v/>
      </c>
      <c r="FF20" s="72">
        <f>SUM(FF8+FF9+FF15+FF18)</f>
        <v/>
      </c>
      <c r="FG20" s="72">
        <f>SUM(FG8+FG9+FG15+FG18)</f>
        <v/>
      </c>
      <c r="FH20" s="72">
        <f>SUM(FH8+FH9+FH15+FH18)</f>
        <v/>
      </c>
      <c r="FI20" s="72">
        <f>SUM(FI8+FI9+FI15+FI18)</f>
        <v/>
      </c>
      <c r="FJ20" s="72">
        <f>SUM(FJ8+FJ9+FJ15+FJ18)</f>
        <v/>
      </c>
      <c r="FK20" s="72">
        <f>SUM(FK8+FK9+FK15+FK18)</f>
        <v/>
      </c>
      <c r="FL20" s="72">
        <f>SUM(FL8+FL9+FL15+FL18)</f>
        <v/>
      </c>
      <c r="FM20" s="72">
        <f>SUM(FM8+FM9+FM15+FM18)</f>
        <v/>
      </c>
      <c r="FN20" s="72">
        <f>SUM(FN8+FN9+FN15+FN18)</f>
        <v/>
      </c>
      <c r="FO20" s="72">
        <f>SUM(FO8+FO9+FO15+FO18)</f>
        <v/>
      </c>
      <c r="FP20" s="72">
        <f>SUM(FP8+FP9+FP15+FP18)</f>
        <v/>
      </c>
      <c r="FQ20" s="72">
        <f>SUM(FQ8+FQ9+FQ15+FQ18)</f>
        <v/>
      </c>
      <c r="FR20" s="72">
        <f>SUM(FR8+FR9+FR15+FR18)</f>
        <v/>
      </c>
      <c r="FS20" s="72">
        <f>SUM(FS8+FS9+FS15+FS18)</f>
        <v/>
      </c>
      <c r="FT20" s="72">
        <f>SUM(FT8+FT9+FT15+FT18)</f>
        <v/>
      </c>
      <c r="FU20" s="72">
        <f>SUM(FU8+FU9+FU15+FU18)</f>
        <v/>
      </c>
      <c r="FV20" s="72">
        <f>SUM(FV8+FV9+FV15+FV18)</f>
        <v/>
      </c>
      <c r="FW20" s="72">
        <f>SUM(FW8+FW9+FW15+FW18)</f>
        <v/>
      </c>
      <c r="FX20" s="72">
        <f>SUM(FX8+FX9+FX15+FX18)</f>
        <v/>
      </c>
      <c r="FY20" s="72">
        <f>SUM(FY8+FY9+FY15+FY18)</f>
        <v/>
      </c>
      <c r="FZ20" s="72">
        <f>SUM(FZ8+FZ9+FZ15+FZ18)</f>
        <v/>
      </c>
      <c r="GA20" s="72">
        <f>SUM(GA8+GA9+GA15+GA18)</f>
        <v/>
      </c>
      <c r="GB20" s="72">
        <f>SUM(GB8+GB9+GB15+GB18)</f>
        <v/>
      </c>
      <c r="GC20" s="72">
        <f>SUM(GC8+GC9+GC15+GC18)</f>
        <v/>
      </c>
      <c r="GD20" s="72">
        <f>SUM(GD8+GD9+GD15+GD18)</f>
        <v/>
      </c>
      <c r="GE20" s="72">
        <f>SUM(GE8+GE9+GE15+GE18)</f>
        <v/>
      </c>
      <c r="GF20" s="72">
        <f>SUM(GF8+GF9+GF15+GF18)</f>
        <v/>
      </c>
      <c r="GG20" s="72">
        <f>SUM(GG8+GG9+GG15+GG18)</f>
        <v/>
      </c>
      <c r="GH20" s="72">
        <f>SUM(GH8+GH9+GH15+GH18)</f>
        <v/>
      </c>
      <c r="GI20" s="72">
        <f>SUM(GI8+GI9+GI15+GI18)</f>
        <v/>
      </c>
      <c r="GJ20" s="72">
        <f>SUM(GJ8+GJ9+GJ15+GJ18)</f>
        <v/>
      </c>
      <c r="GK20" s="72">
        <f>SUM(GK8+GK9+GK15+GK18)</f>
        <v/>
      </c>
      <c r="GL20" s="72">
        <f>SUM(GL8+GL9+GL15+GL18)</f>
        <v/>
      </c>
      <c r="GM20" s="72">
        <f>SUM(GM8+GM9+GM15+GM18)</f>
        <v/>
      </c>
      <c r="GN20" s="72">
        <f>SUM(GN8+GN9+GN15+GN18)</f>
        <v/>
      </c>
      <c r="GO20" s="72">
        <f>SUM(GO8+GO9+GO15+GO18)</f>
        <v/>
      </c>
      <c r="GP20" s="72">
        <f>SUM(GP8+GP9+GP15+GP18)</f>
        <v/>
      </c>
      <c r="GQ20" s="72">
        <f>SUM(GQ8+GQ9+GQ15+GQ18)</f>
        <v/>
      </c>
      <c r="GR20" s="72">
        <f>SUM(GR8+GR9+GR15+GR18)</f>
        <v/>
      </c>
      <c r="GS20" s="72">
        <f>SUM(GS8+GS9+GS15+GS18)</f>
        <v/>
      </c>
      <c r="GT20" s="72">
        <f>SUM(GT8+GT9+GT15+GT18)</f>
        <v/>
      </c>
      <c r="GU20" s="72">
        <f>SUM(GU8+GU9+GU15+GU18)</f>
        <v/>
      </c>
      <c r="GV20" s="72">
        <f>SUM(GV8+GV9+GV15+GV18)</f>
        <v/>
      </c>
      <c r="GW20" s="72">
        <f>SUM(GW8+GW9+GW15+GW18)</f>
        <v/>
      </c>
      <c r="GX20" s="72">
        <f>SUM(GX8+GX9+GX15+GX18)</f>
        <v/>
      </c>
      <c r="GY20" s="72">
        <f>SUM(GY8+GY9+GY15+GY18)</f>
        <v/>
      </c>
      <c r="GZ20" s="72">
        <f>SUM(GZ8+GZ9+GZ15+GZ18)</f>
        <v/>
      </c>
      <c r="HA20" s="72">
        <f>SUM(HA8+HA9+HA15+HA18)</f>
        <v/>
      </c>
      <c r="HB20" s="72">
        <f>SUM(HB8+HB9+HB15+HB18)</f>
        <v/>
      </c>
      <c r="HC20" s="72">
        <f>SUM(HC8+HC9+HC15+HC18)</f>
        <v/>
      </c>
      <c r="HD20" s="72">
        <f>SUM(HD8+HD9+HD15+HD18)</f>
        <v/>
      </c>
      <c r="HE20" s="72">
        <f>SUM(HE8+HE9+HE15+HE18)</f>
        <v/>
      </c>
      <c r="HF20" s="72">
        <f>SUM(HF8+HF9+HF15+HF18)</f>
        <v/>
      </c>
      <c r="HG20" s="72">
        <f>SUM(HG8+HG9+HG15+HG18)</f>
        <v/>
      </c>
      <c r="HH20" s="72">
        <f>SUM(HH8+HH9+HH15+HH18)</f>
        <v/>
      </c>
      <c r="HI20" s="72">
        <f>SUM(HI8+HI9+HI15+HI18)</f>
        <v/>
      </c>
      <c r="HJ20" s="72">
        <f>SUM(HJ8+HJ9+HJ15+HJ18)</f>
        <v/>
      </c>
      <c r="HK20" s="72">
        <f>SUM(HK8+HK9+HK15+HK18)</f>
        <v/>
      </c>
      <c r="HL20" s="72">
        <f>SUM(HL8+HL9+HL15+HL18)</f>
        <v/>
      </c>
      <c r="HM20" s="72">
        <f>SUM(HM8+HM9+HM15+HM18)</f>
        <v/>
      </c>
      <c r="HN20" s="72">
        <f>SUM(HN8+HN9+HN15+HN18)</f>
        <v/>
      </c>
      <c r="HO20" s="72">
        <f>SUM(HO8+HO9+HO15+HO18)</f>
        <v/>
      </c>
      <c r="HP20" s="72">
        <f>SUM(HP8+HP9+HP15+HP18)</f>
        <v/>
      </c>
      <c r="HQ20" s="72">
        <f>SUM(HQ8+HQ9+HQ15+HQ18)</f>
        <v/>
      </c>
      <c r="HR20" s="72">
        <f>SUM(HR8+HR9+HR15+HR18)</f>
        <v/>
      </c>
      <c r="HS20" s="72">
        <f>SUM(HS8+HS9+HS15+HS18)</f>
        <v/>
      </c>
      <c r="HT20" s="72">
        <f>SUM(HT8+HT9+HT15+HT18)</f>
        <v/>
      </c>
      <c r="HU20" s="72">
        <f>SUM(HU8+HU9+HU15+HU18)</f>
        <v/>
      </c>
      <c r="JF20" s="72">
        <f>AP20</f>
        <v/>
      </c>
      <c r="JG20" s="72">
        <f>SUM(Z20:AK20)</f>
        <v/>
      </c>
      <c r="JH20" s="72">
        <f>SUM(AL20:AP20)</f>
        <v/>
      </c>
      <c r="JI20" s="72">
        <f>SUM(C20:AP20)</f>
        <v/>
      </c>
      <c r="JJ20" s="446" t="n"/>
      <c r="JM20" s="72" t="n">
        <v>2140511.6085</v>
      </c>
      <c r="JR20" s="96">
        <f>A20</f>
        <v/>
      </c>
      <c r="JS20" s="72">
        <f>SUM(C20:AP20)</f>
        <v/>
      </c>
      <c r="JT20" s="464" t="n"/>
      <c r="JU20" s="72">
        <f>SUM(AT20:AZ20)</f>
        <v/>
      </c>
      <c r="JV20" s="72">
        <f>SUM(BA20:BL20)</f>
        <v/>
      </c>
      <c r="JW20" s="72">
        <f>SUM(BM20:BX20)</f>
        <v/>
      </c>
      <c r="JX20" s="72">
        <f>SUM(BY20:CJ20)</f>
        <v/>
      </c>
      <c r="JY20" s="72">
        <f>SUM(CK20:CV20)</f>
        <v/>
      </c>
      <c r="JZ20" s="72">
        <f>SUM(CW20:HU20)</f>
        <v/>
      </c>
      <c r="KG20" s="131">
        <f>B20</f>
        <v/>
      </c>
      <c r="KH20" s="131">
        <f>AR20</f>
        <v/>
      </c>
    </row>
    <row r="21" ht="16.2" customHeight="1">
      <c r="A21" s="97" t="inlineStr">
        <is>
          <t>TOTAL DE RECEITAS + PREVISÃO VENDAS</t>
        </is>
      </c>
      <c r="B21" s="132">
        <f>SUM(C21:AP21)</f>
        <v/>
      </c>
      <c r="C21" s="18">
        <f>C12+C20</f>
        <v/>
      </c>
      <c r="D21" s="18">
        <f>D12+D20</f>
        <v/>
      </c>
      <c r="E21" s="18">
        <f>E12+E20</f>
        <v/>
      </c>
      <c r="F21" s="18">
        <f>F12+F20</f>
        <v/>
      </c>
      <c r="G21" s="18">
        <f>G12+G20</f>
        <v/>
      </c>
      <c r="H21" s="18">
        <f>H12+H20</f>
        <v/>
      </c>
      <c r="I21" s="18">
        <f>I12+I20</f>
        <v/>
      </c>
      <c r="J21" s="162">
        <f>J12+J9+J18+J15+J8</f>
        <v/>
      </c>
      <c r="K21" s="18">
        <f>K12+K9+K18+K15+K8</f>
        <v/>
      </c>
      <c r="L21" s="18">
        <f>L12+L9+L18+L15+L8</f>
        <v/>
      </c>
      <c r="M21" s="163">
        <f>M12+M9+M18+M15+M8</f>
        <v/>
      </c>
      <c r="N21" s="163">
        <f>N12+N9+N18+N15+N8</f>
        <v/>
      </c>
      <c r="O21" s="163">
        <f>O12+O9+O18+O15+O8</f>
        <v/>
      </c>
      <c r="P21" s="163">
        <f>P12+P9+P18+P15+P8</f>
        <v/>
      </c>
      <c r="Q21" s="163">
        <f>Q12+Q9+Q18+Q15+Q8</f>
        <v/>
      </c>
      <c r="R21" s="163">
        <f>R12+R9+R18+R15+R8</f>
        <v/>
      </c>
      <c r="S21" s="163">
        <f>S12+S9+S18+S15+S8</f>
        <v/>
      </c>
      <c r="T21" s="163">
        <f>T12+T9+T18+T15+T8</f>
        <v/>
      </c>
      <c r="U21" s="163">
        <f>U12+U9+U18+U15+U8</f>
        <v/>
      </c>
      <c r="V21" s="163">
        <f>V12+V9+V18+V15+V8</f>
        <v/>
      </c>
      <c r="W21" s="163">
        <f>W12+W9+W18+W15+W8</f>
        <v/>
      </c>
      <c r="X21" s="163">
        <f>X12+X9+X18+X15+X8</f>
        <v/>
      </c>
      <c r="Y21" s="163">
        <f>Y12+Y9+Y18+Y15+Y8</f>
        <v/>
      </c>
      <c r="Z21" s="163">
        <f>Z12+Z9+Z18+Z15+Z8</f>
        <v/>
      </c>
      <c r="AA21" s="163">
        <f>AA12+AA9+AA18+AA15+AA8</f>
        <v/>
      </c>
      <c r="AB21" s="163">
        <f>AB12+AB9+AB18+AB15+AB8</f>
        <v/>
      </c>
      <c r="AC21" s="163">
        <f>AC12+AC9+AC18+AC15+AC8</f>
        <v/>
      </c>
      <c r="AD21" s="163">
        <f>AD12+AD9+AD18+AD15+AD8</f>
        <v/>
      </c>
      <c r="AE21" s="163">
        <f>AE12+AE9+AE18+AE15+AE8</f>
        <v/>
      </c>
      <c r="AF21" s="163">
        <f>AF12+AF9+AF18+AF15+AF8</f>
        <v/>
      </c>
      <c r="AG21" s="163">
        <f>AG12+AG9+AG18+AG15+AG8</f>
        <v/>
      </c>
      <c r="AH21" s="163">
        <f>AH12+AH9+AH18+AH15+AH8</f>
        <v/>
      </c>
      <c r="AI21" s="163">
        <f>AI12+AI9+AI18+AI15+AI8</f>
        <v/>
      </c>
      <c r="AJ21" s="163">
        <f>AJ12+AJ9+AJ18+AJ15+AJ8</f>
        <v/>
      </c>
      <c r="AK21" s="163">
        <f>AK12+AK9+AK18+AK15+AK8</f>
        <v/>
      </c>
      <c r="AL21" s="163">
        <f>AL12+AL9+AL18+AL15+AL8</f>
        <v/>
      </c>
      <c r="AM21" s="163">
        <f>AM12+AM9+AM18+AM15+AM8</f>
        <v/>
      </c>
      <c r="AN21" s="163">
        <f>AN12+AN9+AN18+AN15+AN8</f>
        <v/>
      </c>
      <c r="AO21" s="163">
        <f>AO12+AO9+AO18+AO15+AO8</f>
        <v/>
      </c>
      <c r="AP21" s="163">
        <f>AP12+AP9+AP18+AP15+AP8</f>
        <v/>
      </c>
      <c r="AQ21" s="17" t="n"/>
      <c r="AR21" s="237">
        <f>SUM(AT21:HU21)</f>
        <v/>
      </c>
      <c r="AS21" s="17" t="n"/>
      <c r="AT21" s="18">
        <f>AT12+AT9+AT18+AT15+AT8</f>
        <v/>
      </c>
      <c r="AU21" s="18">
        <f>AU12+AU9+AU18+AU15+AU8</f>
        <v/>
      </c>
      <c r="AV21" s="18">
        <f>AV12+AV9+AV18+AV15+AV8</f>
        <v/>
      </c>
      <c r="AW21" s="18">
        <f>AW12+AW9+AW18+AW15+AW8</f>
        <v/>
      </c>
      <c r="AX21" s="18">
        <f>AX12+AX9+AX18+AX15+AX8</f>
        <v/>
      </c>
      <c r="AY21" s="18">
        <f>AY12+AY9+AY18+AY15+AY8</f>
        <v/>
      </c>
      <c r="AZ21" s="18">
        <f>AZ12+AZ9+AZ18+AZ15+AZ8</f>
        <v/>
      </c>
      <c r="BA21" s="18">
        <f>BA12+BA9+BA18+BA15+BA8</f>
        <v/>
      </c>
      <c r="BB21" s="18">
        <f>BB12+BB9+BB18+BB15+BB8</f>
        <v/>
      </c>
      <c r="BC21" s="18">
        <f>BC12+BC9+BC18+BC15+BC8</f>
        <v/>
      </c>
      <c r="BD21" s="292">
        <f>BD12+BD9+BD18+BD15+BD8</f>
        <v/>
      </c>
      <c r="BE21" s="99">
        <f>BE12+BE9+BE18+BE15+BE8</f>
        <v/>
      </c>
      <c r="BF21" s="18">
        <f>BF12+BF9+BF18+BF15+BF8</f>
        <v/>
      </c>
      <c r="BG21" s="18">
        <f>BG12+BG9+BG18+BG15+BG8</f>
        <v/>
      </c>
      <c r="BH21" s="18">
        <f>BH12+BH9+BH18+BH15+BH8</f>
        <v/>
      </c>
      <c r="BI21" s="18">
        <f>BI12+BI9+BI18+BI15+BI8</f>
        <v/>
      </c>
      <c r="BJ21" s="18">
        <f>BJ12+BJ9+BJ18+BJ15+BJ8</f>
        <v/>
      </c>
      <c r="BK21" s="18">
        <f>BK12+BK9+BK18+BK15+BK8</f>
        <v/>
      </c>
      <c r="BL21" s="18">
        <f>BL12+BL9+BL18+BL15+BL8</f>
        <v/>
      </c>
      <c r="BM21" s="18">
        <f>BM12+BM9+BM18+BM15+BM8</f>
        <v/>
      </c>
      <c r="BN21" s="18">
        <f>BN12+BN9+BN18+BN15+BN8</f>
        <v/>
      </c>
      <c r="BO21" s="18">
        <f>BO12+BO9+BO18+BO15+BO8</f>
        <v/>
      </c>
      <c r="BP21" s="292">
        <f>BP12+BP9+BP18+BP15+BP8</f>
        <v/>
      </c>
      <c r="BQ21" s="99">
        <f>BQ12+BQ9+BQ18+BQ15+BQ8</f>
        <v/>
      </c>
      <c r="BR21" s="18">
        <f>BR12+BR9+BR18+BR15+BR8</f>
        <v/>
      </c>
      <c r="BS21" s="18">
        <f>BS12+BS9+BS18+BS15+BS8</f>
        <v/>
      </c>
      <c r="BT21" s="18">
        <f>BT12+BT9+BT18+BT15+BT8</f>
        <v/>
      </c>
      <c r="BU21" s="18">
        <f>BU12+BU9+BU18+BU15+BU8</f>
        <v/>
      </c>
      <c r="BV21" s="18">
        <f>BV12+BV9+BV18+BV15+BV8</f>
        <v/>
      </c>
      <c r="BW21" s="18">
        <f>BW12+BW9+BW18+BW15+BW8</f>
        <v/>
      </c>
      <c r="BX21" s="18">
        <f>BX12+BX9+BX18+BX15+BX8</f>
        <v/>
      </c>
      <c r="BY21" s="18">
        <f>BY12+BY9+BY18+BY15+BY8</f>
        <v/>
      </c>
      <c r="BZ21" s="18">
        <f>BZ12+BZ9+BZ18+BZ15+BZ8</f>
        <v/>
      </c>
      <c r="CA21" s="18">
        <f>CA12+CA9+CA18+CA15+CA8</f>
        <v/>
      </c>
      <c r="CB21" s="292">
        <f>CB12+CB9+CB18+CB15+CB8</f>
        <v/>
      </c>
      <c r="CC21" s="99">
        <f>CC12+CC9+CC18+CC15+CC8</f>
        <v/>
      </c>
      <c r="CD21" s="18">
        <f>CD12+CD9+CD18+CD15+CD8</f>
        <v/>
      </c>
      <c r="CE21" s="18">
        <f>CE12+CE9+CE18+CE15+CE8</f>
        <v/>
      </c>
      <c r="CF21" s="18">
        <f>CF12+CF9+CF18+CF15+CF8</f>
        <v/>
      </c>
      <c r="CG21" s="18">
        <f>CG12+CG9+CG18+CG15+CG8</f>
        <v/>
      </c>
      <c r="CH21" s="18">
        <f>CH12+CH9+CH18+CH15+CH8</f>
        <v/>
      </c>
      <c r="CI21" s="18">
        <f>CI12+CI9+CI18+CI15+CI8</f>
        <v/>
      </c>
      <c r="CJ21" s="18">
        <f>CJ12+CJ9+CJ18+CJ15+CJ8</f>
        <v/>
      </c>
      <c r="CK21" s="18">
        <f>CK12+CK9+CK18+CK15+CK8</f>
        <v/>
      </c>
      <c r="CL21" s="18">
        <f>CL12+CL9+CL18+CL15+CL8</f>
        <v/>
      </c>
      <c r="CM21" s="18">
        <f>CM12+CM9+CM18+CM15+CM8</f>
        <v/>
      </c>
      <c r="CN21" s="292">
        <f>CN12+CN9+CN18+CN15+CN8</f>
        <v/>
      </c>
      <c r="CO21" s="99">
        <f>CO12+CO9+CO18+CO15+CO8</f>
        <v/>
      </c>
      <c r="CP21" s="18">
        <f>CP12+CP9+CP18+CP15+CP8</f>
        <v/>
      </c>
      <c r="CQ21" s="18">
        <f>CQ12+CQ9+CQ18+CQ15+CQ8</f>
        <v/>
      </c>
      <c r="CR21" s="18">
        <f>CR12+CR9+CR18+CR15+CR8</f>
        <v/>
      </c>
      <c r="CS21" s="18">
        <f>CS12+CS9+CS18+CS15+CS8</f>
        <v/>
      </c>
      <c r="CT21" s="18">
        <f>CT12+CT9+CT18+CT15+CT8</f>
        <v/>
      </c>
      <c r="CU21" s="18">
        <f>CU12+CU9+CU18+CU15+CU8</f>
        <v/>
      </c>
      <c r="CV21" s="18">
        <f>CV12+CV9+CV18+CV15+CV8</f>
        <v/>
      </c>
      <c r="CW21" s="18">
        <f>CW12+CW9+CW18+CW15+CW8</f>
        <v/>
      </c>
      <c r="CX21" s="18">
        <f>CX12+CX9+CX18+CX15+CX8</f>
        <v/>
      </c>
      <c r="CY21" s="18">
        <f>CY12+CY9+CY18+CY15+CY8</f>
        <v/>
      </c>
      <c r="CZ21" s="292">
        <f>CZ12+CZ9+CZ18+CZ15+CZ8</f>
        <v/>
      </c>
      <c r="DA21" s="99">
        <f>DA12+DA9+DA18+DA15+DA8</f>
        <v/>
      </c>
      <c r="DB21" s="18">
        <f>DB12+DB9+DB18+DB15+DB8</f>
        <v/>
      </c>
      <c r="DC21" s="18">
        <f>DC12+DC9+DC18+DC15+DC8</f>
        <v/>
      </c>
      <c r="DD21" s="18">
        <f>DD12+DD9+DD18+DD15+DD8</f>
        <v/>
      </c>
      <c r="DE21" s="18">
        <f>DE12+DE9+DE18+DE15+DE8</f>
        <v/>
      </c>
      <c r="DF21" s="18">
        <f>DF12+DF9+DF18+DF15+DF8</f>
        <v/>
      </c>
      <c r="DG21" s="18">
        <f>DG12+DG9+DG18+DG15+DG8</f>
        <v/>
      </c>
      <c r="DH21" s="18">
        <f>DH12+DH9+DH18+DH15+DH8</f>
        <v/>
      </c>
      <c r="DI21" s="18">
        <f>DI12+DI9+DI18+DI15+DI8</f>
        <v/>
      </c>
      <c r="DJ21" s="18">
        <f>DJ12+DJ9+DJ18+DJ15+DJ8</f>
        <v/>
      </c>
      <c r="DK21" s="18">
        <f>DK12+DK9+DK18+DK15+DK8</f>
        <v/>
      </c>
      <c r="DL21" s="18">
        <f>DL12+DL9+DL18+DL15+DL8</f>
        <v/>
      </c>
      <c r="DM21" s="18">
        <f>DM12+DM9+DM18+DM15+DM8</f>
        <v/>
      </c>
      <c r="DN21" s="18">
        <f>DN12+DN9+DN18+DN15+DN8</f>
        <v/>
      </c>
      <c r="DO21" s="18">
        <f>DO12+DO9+DO18+DO15+DO8</f>
        <v/>
      </c>
      <c r="DP21" s="18">
        <f>DP12+DP9+DP18+DP15+DP8</f>
        <v/>
      </c>
      <c r="DQ21" s="18">
        <f>DQ12+DQ9+DQ18+DQ15+DQ8</f>
        <v/>
      </c>
      <c r="DR21" s="18">
        <f>DR12+DR9+DR18+DR15+DR8</f>
        <v/>
      </c>
      <c r="DS21" s="18">
        <f>DS12+DS9+DS18+DS15+DS8</f>
        <v/>
      </c>
      <c r="DT21" s="18">
        <f>DT12+DT9+DT18+DT15+DT8</f>
        <v/>
      </c>
      <c r="DU21" s="18">
        <f>DU12+DU9+DU18+DU15+DU8</f>
        <v/>
      </c>
      <c r="DV21" s="18">
        <f>DV12+DV9+DV18+DV15+DV8</f>
        <v/>
      </c>
      <c r="DW21" s="18">
        <f>DW12+DW9+DW18+DW15+DW8</f>
        <v/>
      </c>
      <c r="DX21" s="18">
        <f>DX12+DX9+DX18+DX15+DX8</f>
        <v/>
      </c>
      <c r="DY21" s="18">
        <f>DY12+DY9+DY18+DY15+DY8</f>
        <v/>
      </c>
      <c r="DZ21" s="18">
        <f>DZ12+DZ9+DZ18+DZ15+DZ8</f>
        <v/>
      </c>
      <c r="EA21" s="18">
        <f>EA12+EA9+EA18+EA15+EA8</f>
        <v/>
      </c>
      <c r="EB21" s="18">
        <f>EB12+EB9+EB18+EB15+EB8</f>
        <v/>
      </c>
      <c r="EC21" s="18">
        <f>EC12+EC9+EC18+EC15+EC8</f>
        <v/>
      </c>
      <c r="ED21" s="18">
        <f>ED12+ED9+ED18+ED15+ED8</f>
        <v/>
      </c>
      <c r="EE21" s="18">
        <f>EE12+EE9+EE18+EE15+EE8</f>
        <v/>
      </c>
      <c r="EF21" s="18">
        <f>EF12+EF9+EF18+EF15+EF8</f>
        <v/>
      </c>
      <c r="EG21" s="18">
        <f>EG12+EG9+EG18+EG15+EG8</f>
        <v/>
      </c>
      <c r="EH21" s="18">
        <f>EH12+EH9+EH18+EH15+EH8</f>
        <v/>
      </c>
      <c r="EI21" s="18">
        <f>EI12+EI9+EI18+EI15+EI8</f>
        <v/>
      </c>
      <c r="EJ21" s="18">
        <f>EJ12+EJ9+EJ18+EJ15+EJ8</f>
        <v/>
      </c>
      <c r="EK21" s="18">
        <f>EK12+EK9+EK18+EK15+EK8</f>
        <v/>
      </c>
      <c r="EL21" s="18">
        <f>EL12+EL9+EL18+EL15+EL8</f>
        <v/>
      </c>
      <c r="EM21" s="18">
        <f>EM12+EM9+EM18+EM15+EM8</f>
        <v/>
      </c>
      <c r="EN21" s="18">
        <f>EN12+EN9+EN18+EN15+EN8</f>
        <v/>
      </c>
      <c r="EO21" s="18">
        <f>EO12+EO9+EO18+EO15+EO8</f>
        <v/>
      </c>
      <c r="EP21" s="18">
        <f>EP12+EP9+EP18+EP15+EP8</f>
        <v/>
      </c>
      <c r="EQ21" s="18">
        <f>EQ12+EQ9+EQ18+EQ15+EQ8</f>
        <v/>
      </c>
      <c r="ER21" s="18">
        <f>ER12+ER9+ER18+ER15+ER8</f>
        <v/>
      </c>
      <c r="ES21" s="18">
        <f>ES12+ES9+ES18+ES15+ES8</f>
        <v/>
      </c>
      <c r="ET21" s="18">
        <f>ET12+ET9+ET18+ET15+ET8</f>
        <v/>
      </c>
      <c r="EU21" s="18">
        <f>EU12+EU9+EU18+EU15+EU8</f>
        <v/>
      </c>
      <c r="EV21" s="18">
        <f>EV12+EV9+EV18+EV15+EV8</f>
        <v/>
      </c>
      <c r="EW21" s="18">
        <f>EW12+EW9+EW18+EW15+EW8</f>
        <v/>
      </c>
      <c r="EX21" s="18">
        <f>EX12+EX9+EX18+EX15+EX8</f>
        <v/>
      </c>
      <c r="EY21" s="18">
        <f>EY12+EY9+EY18+EY15+EY8</f>
        <v/>
      </c>
      <c r="EZ21" s="18">
        <f>EZ12+EZ9+EZ18+EZ15+EZ8</f>
        <v/>
      </c>
      <c r="FA21" s="18">
        <f>FA12+FA9+FA18+FA15+FA8</f>
        <v/>
      </c>
      <c r="FB21" s="18">
        <f>FB12+FB9+FB18+FB15+FB8</f>
        <v/>
      </c>
      <c r="FC21" s="18">
        <f>FC12+FC9+FC18+FC15+FC8</f>
        <v/>
      </c>
      <c r="FD21" s="18">
        <f>FD12+FD9+FD18+FD15+FD8</f>
        <v/>
      </c>
      <c r="FE21" s="18">
        <f>FE12+FE9+FE18+FE15+FE8</f>
        <v/>
      </c>
      <c r="FF21" s="18">
        <f>FF12+FF9+FF18+FF15+FF8</f>
        <v/>
      </c>
      <c r="FG21" s="18">
        <f>FG12+FG9+FG18+FG15+FG8</f>
        <v/>
      </c>
      <c r="FH21" s="18">
        <f>FH12+FH9+FH18+FH15+FH8</f>
        <v/>
      </c>
      <c r="FI21" s="18">
        <f>FI12+FI9+FI18+FI15+FI8</f>
        <v/>
      </c>
      <c r="FJ21" s="18">
        <f>FJ12+FJ9+FJ18+FJ15+FJ8</f>
        <v/>
      </c>
      <c r="FK21" s="18">
        <f>FK12+FK9+FK18+FK15+FK8</f>
        <v/>
      </c>
      <c r="FL21" s="18">
        <f>FL12+FL9+FL18+FL15+FL8</f>
        <v/>
      </c>
      <c r="FM21" s="18">
        <f>FM12+FM9+FM18+FM15+FM8</f>
        <v/>
      </c>
      <c r="FN21" s="18">
        <f>FN12+FN9+FN18+FN15+FN8</f>
        <v/>
      </c>
      <c r="FO21" s="18">
        <f>FO12+FO9+FO18+FO15+FO8</f>
        <v/>
      </c>
      <c r="FP21" s="18">
        <f>FP12+FP9+FP18+FP15+FP8</f>
        <v/>
      </c>
      <c r="FQ21" s="18">
        <f>FQ12+FQ9+FQ18+FQ15+FQ8</f>
        <v/>
      </c>
      <c r="FR21" s="18">
        <f>FR12+FR9+FR18+FR15+FR8</f>
        <v/>
      </c>
      <c r="FS21" s="18">
        <f>FS12+FS9+FS18+FS15+FS8</f>
        <v/>
      </c>
      <c r="FT21" s="18">
        <f>FT12+FT9+FT18+FT15+FT8</f>
        <v/>
      </c>
      <c r="FU21" s="18">
        <f>FU12+FU9+FU18+FU15+FU8</f>
        <v/>
      </c>
      <c r="FV21" s="18">
        <f>FV12+FV9+FV18+FV15+FV8</f>
        <v/>
      </c>
      <c r="FW21" s="18">
        <f>FW12+FW9+FW18+FW15+FW8</f>
        <v/>
      </c>
      <c r="FX21" s="18">
        <f>FX12+FX9+FX18+FX15+FX8</f>
        <v/>
      </c>
      <c r="FY21" s="18">
        <f>FY12+FY9+FY18+FY15+FY8</f>
        <v/>
      </c>
      <c r="FZ21" s="18">
        <f>FZ12+FZ9+FZ18+FZ15+FZ8</f>
        <v/>
      </c>
      <c r="GA21" s="18">
        <f>GA12+GA9+GA18+GA15+GA8</f>
        <v/>
      </c>
      <c r="GB21" s="18">
        <f>GB12+GB9+GB18+GB15+GB8</f>
        <v/>
      </c>
      <c r="GC21" s="18">
        <f>GC12+GC9+GC18+GC15+GC8</f>
        <v/>
      </c>
      <c r="GD21" s="18">
        <f>GD12+GD9+GD18+GD15+GD8</f>
        <v/>
      </c>
      <c r="GE21" s="18">
        <f>GE12+GE9+GE18+GE15+GE8</f>
        <v/>
      </c>
      <c r="GF21" s="18">
        <f>GF12+GF9+GF18+GF15+GF8</f>
        <v/>
      </c>
      <c r="GG21" s="18">
        <f>GG12+GG9+GG18+GG15+GG8</f>
        <v/>
      </c>
      <c r="GH21" s="18">
        <f>GH12+GH9+GH18+GH15+GH8</f>
        <v/>
      </c>
      <c r="GI21" s="18">
        <f>GI12+GI9+GI18+GI15+GI8</f>
        <v/>
      </c>
      <c r="GJ21" s="18">
        <f>GJ12+GJ9+GJ18+GJ15+GJ8</f>
        <v/>
      </c>
      <c r="GK21" s="18">
        <f>GK12+GK9+GK18+GK15+GK8</f>
        <v/>
      </c>
      <c r="GL21" s="18">
        <f>GL12+GL9+GL18+GL15+GL8</f>
        <v/>
      </c>
      <c r="GM21" s="18">
        <f>GM12+GM9+GM18+GM15+GM8</f>
        <v/>
      </c>
      <c r="GN21" s="18">
        <f>GN12+GN9+GN18+GN15+GN8</f>
        <v/>
      </c>
      <c r="GO21" s="18">
        <f>GO12+GO9+GO18+GO15+GO8</f>
        <v/>
      </c>
      <c r="GP21" s="18">
        <f>GP12+GP9+GP18+GP15+GP8</f>
        <v/>
      </c>
      <c r="GQ21" s="18">
        <f>GQ12+GQ9+GQ18+GQ15+GQ8</f>
        <v/>
      </c>
      <c r="GR21" s="18">
        <f>GR12+GR9+GR18+GR15+GR8</f>
        <v/>
      </c>
      <c r="GS21" s="18">
        <f>GS12+GS9+GS18+GS15+GS8</f>
        <v/>
      </c>
      <c r="GT21" s="18">
        <f>GT12+GT9+GT18+GT15+GT8</f>
        <v/>
      </c>
      <c r="GU21" s="18">
        <f>GU12+GU9+GU18+GU15+GU8</f>
        <v/>
      </c>
      <c r="GV21" s="18">
        <f>GV12+GV9+GV18+GV15+GV8</f>
        <v/>
      </c>
      <c r="GW21" s="18">
        <f>GW12+GW9+GW18+GW15+GW8</f>
        <v/>
      </c>
      <c r="GX21" s="18">
        <f>GX12+GX9+GX18+GX15+GX8</f>
        <v/>
      </c>
      <c r="GY21" s="18">
        <f>GY12+GY9+GY18+GY15+GY8</f>
        <v/>
      </c>
      <c r="GZ21" s="18">
        <f>GZ12+GZ9+GZ18+GZ15+GZ8</f>
        <v/>
      </c>
      <c r="HA21" s="18">
        <f>HA12+HA9+HA18+HA15+HA8</f>
        <v/>
      </c>
      <c r="HB21" s="18">
        <f>HB12+HB9+HB18+HB15+HB8</f>
        <v/>
      </c>
      <c r="HC21" s="18">
        <f>HC12+HC9+HC18+HC15+HC8</f>
        <v/>
      </c>
      <c r="HD21" s="18">
        <f>HD12+HD9+HD18+HD15+HD8</f>
        <v/>
      </c>
      <c r="HE21" s="18">
        <f>HE12+HE9+HE18+HE15+HE8</f>
        <v/>
      </c>
      <c r="HF21" s="18">
        <f>HF12+HF9+HF18+HF15+HF8</f>
        <v/>
      </c>
      <c r="HG21" s="18">
        <f>HG12+HG9+HG18+HG15+HG8</f>
        <v/>
      </c>
      <c r="HH21" s="18">
        <f>HH12+HH9+HH18+HH15+HH8</f>
        <v/>
      </c>
      <c r="HI21" s="18">
        <f>HI12+HI9+HI18+HI15+HI8</f>
        <v/>
      </c>
      <c r="HJ21" s="18">
        <f>HJ12+HJ9+HJ18+HJ15+HJ8</f>
        <v/>
      </c>
      <c r="HK21" s="18">
        <f>HK12+HK9+HK18+HK15+HK8</f>
        <v/>
      </c>
      <c r="HL21" s="18">
        <f>HL12+HL9+HL18+HL15+HL8</f>
        <v/>
      </c>
      <c r="HM21" s="18">
        <f>HM12+HM9+HM18+HM15+HM8</f>
        <v/>
      </c>
      <c r="HN21" s="18">
        <f>HN12+HN9+HN18+HN15+HN8</f>
        <v/>
      </c>
      <c r="HO21" s="18">
        <f>HO12+HO9+HO18+HO15+HO8</f>
        <v/>
      </c>
      <c r="HP21" s="18">
        <f>HP12+HP9+HP18+HP15+HP8</f>
        <v/>
      </c>
      <c r="HQ21" s="18">
        <f>HQ12+HQ9+HQ18+HQ15+HQ8</f>
        <v/>
      </c>
      <c r="HR21" s="18">
        <f>HR12+HR9+HR18+HR15+HR8</f>
        <v/>
      </c>
      <c r="HS21" s="18">
        <f>HS12+HS9+HS18+HS15+HS8</f>
        <v/>
      </c>
      <c r="HT21" s="18">
        <f>HT12+HT9+HT18+HT15+HT8</f>
        <v/>
      </c>
      <c r="HU21" s="18">
        <f>HU12+HU9+HU18+HU15+HU8</f>
        <v/>
      </c>
      <c r="JF21" s="18">
        <f>AP21</f>
        <v/>
      </c>
      <c r="JG21" s="18">
        <f>SUM(Z21:AK21)</f>
        <v/>
      </c>
      <c r="JH21" s="18">
        <f>SUM(AL21:AP21)</f>
        <v/>
      </c>
      <c r="JI21" s="18">
        <f>SUM(C21:AP21)</f>
        <v/>
      </c>
      <c r="JJ21" s="446" t="n"/>
      <c r="JM21" s="18" t="n">
        <v>2693524.78383</v>
      </c>
      <c r="JR21" s="97">
        <f>A21</f>
        <v/>
      </c>
      <c r="JS21" s="18">
        <f>SUM(C21:AP21)</f>
        <v/>
      </c>
      <c r="JT21" s="18" t="n"/>
      <c r="JU21" s="18">
        <f>SUM(AT21:AZ21)</f>
        <v/>
      </c>
      <c r="JV21" s="18">
        <f>SUM(BA21:BL21)</f>
        <v/>
      </c>
      <c r="JW21" s="18">
        <f>SUM(BM21:BX21)</f>
        <v/>
      </c>
      <c r="JX21" s="18">
        <f>SUM(BY21:CJ21)</f>
        <v/>
      </c>
      <c r="JY21" s="18">
        <f>SUM(CK21:CV21)</f>
        <v/>
      </c>
      <c r="JZ21" s="18">
        <f>SUM(CW21:HU21)</f>
        <v/>
      </c>
      <c r="KG21" s="132">
        <f>B21</f>
        <v/>
      </c>
      <c r="KH21" s="237">
        <f>AR21</f>
        <v/>
      </c>
    </row>
    <row r="22" ht="6.75" customHeight="1" thickBot="1">
      <c r="A22" s="52" t="n"/>
      <c r="B22" s="133" t="n"/>
      <c r="C22" s="17" t="n"/>
      <c r="D22" s="17" t="n"/>
      <c r="E22" s="17" t="n"/>
      <c r="F22" s="17" t="n"/>
      <c r="G22" s="17" t="n"/>
      <c r="H22" s="17" t="n"/>
      <c r="I22" s="17" t="n"/>
      <c r="J22" s="164" t="n"/>
      <c r="K22" s="17" t="n"/>
      <c r="L22" s="17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238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293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293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293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293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293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JF22" s="17">
        <f>AP22</f>
        <v/>
      </c>
      <c r="JG22" s="17">
        <f>SUM(Z22:AK22)</f>
        <v/>
      </c>
      <c r="JH22" s="17">
        <f>SUM(AL22:AP22)</f>
        <v/>
      </c>
      <c r="JI22" s="17">
        <f>SUM(C22:AP22)</f>
        <v/>
      </c>
      <c r="JJ22" s="446" t="n"/>
      <c r="JM22" s="17" t="n"/>
      <c r="KG22" s="133">
        <f>B22</f>
        <v/>
      </c>
      <c r="KH22" s="238">
        <f>AR22</f>
        <v/>
      </c>
    </row>
    <row r="23" ht="16.5" customHeight="1">
      <c r="A23" s="63" t="inlineStr">
        <is>
          <t>DESPESAS OPERACIONAIS</t>
        </is>
      </c>
      <c r="B23" s="134" t="n"/>
      <c r="C23" s="64" t="n"/>
      <c r="D23" s="64" t="n"/>
      <c r="E23" s="64" t="n"/>
      <c r="F23" s="64" t="n"/>
      <c r="G23" s="64" t="n"/>
      <c r="H23" s="64" t="n"/>
      <c r="I23" s="64" t="n"/>
      <c r="J23" s="166" t="n"/>
      <c r="K23" s="64" t="n"/>
      <c r="L23" s="64" t="n"/>
      <c r="M23" s="167" t="n"/>
      <c r="N23" s="167" t="n"/>
      <c r="O23" s="167" t="n"/>
      <c r="P23" s="167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7" t="n"/>
      <c r="AC23" s="167" t="n"/>
      <c r="AD23" s="167" t="n"/>
      <c r="AE23" s="167" t="n"/>
      <c r="AF23" s="167" t="n"/>
      <c r="AG23" s="167" t="n"/>
      <c r="AH23" s="167" t="n"/>
      <c r="AI23" s="167" t="n"/>
      <c r="AJ23" s="167" t="n"/>
      <c r="AK23" s="167" t="n"/>
      <c r="AL23" s="167" t="n"/>
      <c r="AM23" s="167" t="n"/>
      <c r="AN23" s="167" t="n"/>
      <c r="AO23" s="167" t="n"/>
      <c r="AP23" s="167" t="n"/>
      <c r="AQ23" s="17" t="n"/>
      <c r="AR23" s="331" t="n"/>
      <c r="AS23" s="17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29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29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29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29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29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  <c r="DY23" s="64" t="n"/>
      <c r="DZ23" s="64" t="n"/>
      <c r="EA23" s="64" t="n"/>
      <c r="EB23" s="64" t="n"/>
      <c r="EC23" s="64" t="n"/>
      <c r="ED23" s="64" t="n"/>
      <c r="EE23" s="64" t="n"/>
      <c r="EF23" s="64" t="n"/>
      <c r="EG23" s="64" t="n"/>
      <c r="EH23" s="64" t="n"/>
      <c r="EI23" s="64" t="n"/>
      <c r="EJ23" s="64" t="n"/>
      <c r="EK23" s="64" t="n"/>
      <c r="EL23" s="64" t="n"/>
      <c r="EM23" s="64" t="n"/>
      <c r="EN23" s="64" t="n"/>
      <c r="EO23" s="64" t="n"/>
      <c r="EP23" s="64" t="n"/>
      <c r="EQ23" s="64" t="n"/>
      <c r="ER23" s="64" t="n"/>
      <c r="ES23" s="64" t="n"/>
      <c r="ET23" s="64" t="n"/>
      <c r="EU23" s="64" t="n"/>
      <c r="EV23" s="64" t="n"/>
      <c r="EW23" s="64" t="n"/>
      <c r="EX23" s="64" t="n"/>
      <c r="EY23" s="64" t="n"/>
      <c r="EZ23" s="64" t="n"/>
      <c r="FA23" s="64" t="n"/>
      <c r="FB23" s="64" t="n"/>
      <c r="FC23" s="64" t="n"/>
      <c r="FD23" s="64" t="n"/>
      <c r="FE23" s="64" t="n"/>
      <c r="FF23" s="64" t="n"/>
      <c r="FG23" s="64" t="n"/>
      <c r="FH23" s="64" t="n"/>
      <c r="FI23" s="64" t="n"/>
      <c r="FJ23" s="64" t="n"/>
      <c r="FK23" s="64" t="n"/>
      <c r="FL23" s="64" t="n"/>
      <c r="FM23" s="64" t="n"/>
      <c r="FN23" s="64" t="n"/>
      <c r="FO23" s="64" t="n"/>
      <c r="FP23" s="64" t="n"/>
      <c r="FQ23" s="64" t="n"/>
      <c r="FR23" s="64" t="n"/>
      <c r="FS23" s="64" t="n"/>
      <c r="FT23" s="64" t="n"/>
      <c r="FU23" s="64" t="n"/>
      <c r="FV23" s="64" t="n"/>
      <c r="FW23" s="64" t="n"/>
      <c r="FX23" s="64" t="n"/>
      <c r="FY23" s="64" t="n"/>
      <c r="FZ23" s="64" t="n"/>
      <c r="GA23" s="64" t="n"/>
      <c r="GB23" s="64" t="n"/>
      <c r="GC23" s="64" t="n"/>
      <c r="GD23" s="64" t="n"/>
      <c r="GE23" s="64" t="n"/>
      <c r="GF23" s="64" t="n"/>
      <c r="GG23" s="64" t="n"/>
      <c r="GH23" s="64" t="n"/>
      <c r="GI23" s="64" t="n"/>
      <c r="GJ23" s="64" t="n"/>
      <c r="GK23" s="64" t="n"/>
      <c r="GL23" s="64" t="n"/>
      <c r="GM23" s="64" t="n"/>
      <c r="GN23" s="64" t="n"/>
      <c r="GO23" s="64" t="n"/>
      <c r="GP23" s="64" t="n"/>
      <c r="GQ23" s="64" t="n"/>
      <c r="GR23" s="64" t="n"/>
      <c r="GS23" s="64" t="n"/>
      <c r="GT23" s="64" t="n"/>
      <c r="GU23" s="64" t="n"/>
      <c r="GV23" s="64" t="n"/>
      <c r="GW23" s="64" t="n"/>
      <c r="GX23" s="64" t="n"/>
      <c r="GY23" s="64" t="n"/>
      <c r="GZ23" s="64" t="n"/>
      <c r="HA23" s="64" t="n"/>
      <c r="HB23" s="64" t="n"/>
      <c r="HC23" s="64" t="n"/>
      <c r="HD23" s="64" t="n"/>
      <c r="HE23" s="64" t="n"/>
      <c r="HF23" s="64" t="n"/>
      <c r="HG23" s="64" t="n"/>
      <c r="HH23" s="64" t="n"/>
      <c r="HI23" s="64" t="n"/>
      <c r="HJ23" s="64" t="n"/>
      <c r="HK23" s="64" t="n"/>
      <c r="HL23" s="64" t="n"/>
      <c r="HM23" s="64" t="n"/>
      <c r="HN23" s="64" t="n"/>
      <c r="HO23" s="64" t="n"/>
      <c r="HP23" s="64" t="n"/>
      <c r="HQ23" s="64" t="n"/>
      <c r="HR23" s="64" t="n"/>
      <c r="HS23" s="64" t="n"/>
      <c r="HT23" s="64" t="n"/>
      <c r="HU23" s="64" t="n"/>
      <c r="JF23" s="64">
        <f>AP23</f>
        <v/>
      </c>
      <c r="JG23" s="64">
        <f>SUM(Z23:AK23)</f>
        <v/>
      </c>
      <c r="JH23" s="64">
        <f>SUM(AL23:AP23)</f>
        <v/>
      </c>
      <c r="JI23" s="64">
        <f>SUM(C23:AP23)</f>
        <v/>
      </c>
      <c r="JJ23" s="446" t="n"/>
      <c r="JM23" s="64" t="n"/>
      <c r="KG23" s="134">
        <f>B23</f>
        <v/>
      </c>
      <c r="KH23" s="331">
        <f>AR23</f>
        <v/>
      </c>
    </row>
    <row r="24" ht="16.2" customFormat="1" customHeight="1" s="259">
      <c r="A24" s="62" t="inlineStr">
        <is>
          <t>DESPESAS COMERCIAIS(-)</t>
        </is>
      </c>
      <c r="B24" s="135" t="n"/>
      <c r="C24" s="60" t="n"/>
      <c r="D24" s="60" t="n"/>
      <c r="E24" s="61" t="n"/>
      <c r="F24" s="61" t="n"/>
      <c r="G24" s="61" t="n"/>
      <c r="H24" s="61" t="n"/>
      <c r="I24" s="61" t="n"/>
      <c r="J24" s="168" t="n"/>
      <c r="K24" s="61" t="n"/>
      <c r="L24" s="61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69" t="n"/>
      <c r="AF24" s="169" t="n"/>
      <c r="AG24" s="169" t="n"/>
      <c r="AH24" s="169" t="n"/>
      <c r="AI24" s="169" t="n"/>
      <c r="AJ24" s="169" t="n"/>
      <c r="AK24" s="169" t="n"/>
      <c r="AL24" s="169" t="n"/>
      <c r="AM24" s="169" t="n"/>
      <c r="AN24" s="169" t="n"/>
      <c r="AO24" s="169" t="n"/>
      <c r="AP24" s="169" t="n"/>
      <c r="AQ24" s="202" t="n"/>
      <c r="AR24" s="239" t="n"/>
      <c r="AS24" s="202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295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295" t="n"/>
      <c r="BQ24" s="61" t="n"/>
      <c r="BR24" s="61" t="n"/>
      <c r="BS24" s="61" t="n"/>
      <c r="BT24" s="61" t="n"/>
      <c r="BU24" s="61" t="n"/>
      <c r="BV24" s="61" t="n"/>
      <c r="BW24" s="61" t="n"/>
      <c r="BX24" s="61" t="n"/>
      <c r="BY24" s="61" t="n"/>
      <c r="BZ24" s="61" t="n"/>
      <c r="CA24" s="61" t="n"/>
      <c r="CB24" s="295" t="n"/>
      <c r="CC24" s="61" t="n"/>
      <c r="CD24" s="61" t="n"/>
      <c r="CE24" s="61" t="n"/>
      <c r="CF24" s="61" t="n"/>
      <c r="CG24" s="61" t="n"/>
      <c r="CH24" s="61" t="n"/>
      <c r="CI24" s="61" t="n"/>
      <c r="CJ24" s="61" t="n"/>
      <c r="CK24" s="61" t="n"/>
      <c r="CL24" s="61" t="n"/>
      <c r="CM24" s="61" t="n"/>
      <c r="CN24" s="295" t="n"/>
      <c r="CO24" s="61" t="n"/>
      <c r="CP24" s="61" t="n"/>
      <c r="CQ24" s="61" t="n"/>
      <c r="CR24" s="61" t="n"/>
      <c r="CS24" s="61" t="n"/>
      <c r="CT24" s="61" t="n"/>
      <c r="CU24" s="61" t="n"/>
      <c r="CV24" s="61" t="n"/>
      <c r="CW24" s="61" t="n"/>
      <c r="CX24" s="61" t="n"/>
      <c r="CY24" s="61" t="n"/>
      <c r="CZ24" s="295" t="n"/>
      <c r="DA24" s="61" t="n"/>
      <c r="DB24" s="61" t="n"/>
      <c r="DC24" s="61" t="n"/>
      <c r="DD24" s="61" t="n"/>
      <c r="DE24" s="61" t="n"/>
      <c r="DF24" s="61" t="n"/>
      <c r="DG24" s="61" t="n"/>
      <c r="DH24" s="61" t="n"/>
      <c r="DI24" s="61" t="n"/>
      <c r="DJ24" s="61" t="n"/>
      <c r="DK24" s="61" t="n"/>
      <c r="DL24" s="61" t="n"/>
      <c r="DM24" s="61" t="n"/>
      <c r="DN24" s="61" t="n"/>
      <c r="DO24" s="61" t="n"/>
      <c r="DP24" s="61" t="n"/>
      <c r="DQ24" s="61" t="n"/>
      <c r="DR24" s="61" t="n"/>
      <c r="DS24" s="61" t="n"/>
      <c r="DT24" s="61" t="n"/>
      <c r="DU24" s="61" t="n"/>
      <c r="DV24" s="61" t="n"/>
      <c r="DW24" s="61" t="n"/>
      <c r="DX24" s="61" t="n"/>
      <c r="DY24" s="61" t="n"/>
      <c r="DZ24" s="61" t="n"/>
      <c r="EA24" s="61" t="n"/>
      <c r="EB24" s="61" t="n"/>
      <c r="EC24" s="61" t="n"/>
      <c r="ED24" s="61" t="n"/>
      <c r="EE24" s="61" t="n"/>
      <c r="EF24" s="61" t="n"/>
      <c r="EG24" s="61" t="n"/>
      <c r="EH24" s="61" t="n"/>
      <c r="EI24" s="61" t="n"/>
      <c r="EJ24" s="61" t="n"/>
      <c r="EK24" s="61" t="n"/>
      <c r="EL24" s="61" t="n"/>
      <c r="EM24" s="61" t="n"/>
      <c r="EN24" s="61" t="n"/>
      <c r="EO24" s="61" t="n"/>
      <c r="EP24" s="61" t="n"/>
      <c r="EQ24" s="61" t="n"/>
      <c r="ER24" s="61" t="n"/>
      <c r="ES24" s="61" t="n"/>
      <c r="ET24" s="61" t="n"/>
      <c r="EU24" s="61" t="n"/>
      <c r="EV24" s="61" t="n"/>
      <c r="EW24" s="61" t="n"/>
      <c r="EX24" s="61" t="n"/>
      <c r="EY24" s="61" t="n"/>
      <c r="EZ24" s="61" t="n"/>
      <c r="FA24" s="61" t="n"/>
      <c r="FB24" s="61" t="n"/>
      <c r="FC24" s="61" t="n"/>
      <c r="FD24" s="61" t="n"/>
      <c r="FE24" s="61" t="n"/>
      <c r="FF24" s="61" t="n"/>
      <c r="FG24" s="61" t="n"/>
      <c r="FH24" s="61" t="n"/>
      <c r="FI24" s="61" t="n"/>
      <c r="FJ24" s="61" t="n"/>
      <c r="FK24" s="61" t="n"/>
      <c r="FL24" s="61" t="n"/>
      <c r="FM24" s="61" t="n"/>
      <c r="FN24" s="61" t="n"/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  <c r="GA24" s="61" t="n"/>
      <c r="GB24" s="61" t="n"/>
      <c r="GC24" s="61" t="n"/>
      <c r="GD24" s="61" t="n"/>
      <c r="GE24" s="61" t="n"/>
      <c r="GF24" s="61" t="n"/>
      <c r="GG24" s="61" t="n"/>
      <c r="GH24" s="61" t="n"/>
      <c r="GI24" s="61" t="n"/>
      <c r="GJ24" s="61" t="n"/>
      <c r="GK24" s="61" t="n"/>
      <c r="GL24" s="61" t="n"/>
      <c r="GM24" s="61" t="n"/>
      <c r="GN24" s="61" t="n"/>
      <c r="GO24" s="61" t="n"/>
      <c r="GP24" s="61" t="n"/>
      <c r="GQ24" s="61" t="n"/>
      <c r="GR24" s="61" t="n"/>
      <c r="GS24" s="61" t="n"/>
      <c r="GT24" s="61" t="n"/>
      <c r="GU24" s="61" t="n"/>
      <c r="GV24" s="61" t="n"/>
      <c r="GW24" s="61" t="n"/>
      <c r="GX24" s="61" t="n"/>
      <c r="GY24" s="61" t="n"/>
      <c r="GZ24" s="61" t="n"/>
      <c r="HA24" s="61" t="n"/>
      <c r="HB24" s="61" t="n"/>
      <c r="HC24" s="61" t="n"/>
      <c r="HD24" s="61" t="n"/>
      <c r="HE24" s="61" t="n"/>
      <c r="HF24" s="61" t="n"/>
      <c r="HG24" s="61" t="n"/>
      <c r="HH24" s="61" t="n"/>
      <c r="HI24" s="61" t="n"/>
      <c r="HJ24" s="61" t="n"/>
      <c r="HK24" s="61" t="n"/>
      <c r="HL24" s="61" t="n"/>
      <c r="HM24" s="61" t="n"/>
      <c r="HN24" s="61" t="n"/>
      <c r="HO24" s="61" t="n"/>
      <c r="HP24" s="61" t="n"/>
      <c r="HQ24" s="61" t="n"/>
      <c r="HR24" s="61" t="n"/>
      <c r="HS24" s="61" t="n"/>
      <c r="HT24" s="61" t="n"/>
      <c r="HU24" s="61" t="n"/>
      <c r="JF24" s="61">
        <f>AP24</f>
        <v/>
      </c>
      <c r="JG24" s="61">
        <f>SUM(Z24:AK24)</f>
        <v/>
      </c>
      <c r="JH24" s="61">
        <f>SUM(AL24:AP24)</f>
        <v/>
      </c>
      <c r="JI24" s="61">
        <f>SUM(C24:AP24)</f>
        <v/>
      </c>
      <c r="JJ24" s="446" t="n"/>
      <c r="JM24" s="61" t="n"/>
      <c r="KG24" s="135">
        <f>B24</f>
        <v/>
      </c>
      <c r="KH24" s="239">
        <f>AR24</f>
        <v/>
      </c>
    </row>
    <row r="25" ht="16.2" customHeight="1">
      <c r="A25" s="7" t="inlineStr">
        <is>
          <t>Comissões S/ Venda (Equipe Interna)</t>
        </is>
      </c>
      <c r="B25" s="136">
        <f>SUM(C25:AP25)</f>
        <v/>
      </c>
      <c r="C25" s="85" t="n"/>
      <c r="D25" s="87" t="n"/>
      <c r="E25" s="85" t="n"/>
      <c r="F25" s="85" t="n"/>
      <c r="G25" s="85" t="n"/>
      <c r="H25" s="85" t="n"/>
      <c r="I25" s="86" t="n"/>
      <c r="J25" s="218" t="n"/>
      <c r="K25" s="114" t="n"/>
      <c r="L25" s="122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>
        <f>-128438.23-228.84</f>
        <v/>
      </c>
      <c r="AD25" s="219" t="n">
        <v>-86736.99000000001</v>
      </c>
      <c r="AE25" s="219" t="n">
        <v>-82255.25</v>
      </c>
      <c r="AF25" s="219" t="n">
        <v>-80040.85000000001</v>
      </c>
      <c r="AG25" s="219">
        <f>-82521.74-1070.23</f>
        <v/>
      </c>
      <c r="AH25" s="219">
        <f>-114789.41-1258.17+78352.42</f>
        <v/>
      </c>
      <c r="AI25" s="219">
        <f>-37646.35-993.8</f>
        <v/>
      </c>
      <c r="AJ25" s="219">
        <f>-62577.85-603.53+41382.42</f>
        <v/>
      </c>
      <c r="AK25" s="219">
        <f>-37057.07-2155.37</f>
        <v/>
      </c>
      <c r="AL25" s="219" t="n">
        <v>-87950.28</v>
      </c>
      <c r="AM25" s="219">
        <f>-80793.74-4080.62</f>
        <v/>
      </c>
      <c r="AN25" s="219" t="n">
        <v>-59242.37</v>
      </c>
      <c r="AO25" s="219">
        <f>-85591.51-2480.85</f>
        <v/>
      </c>
      <c r="AP25" s="219">
        <f>-40733.2-1610.72</f>
        <v/>
      </c>
      <c r="AQ25" s="53" t="n"/>
      <c r="AR25" s="345">
        <f>SUM(AT25:HU25)</f>
        <v/>
      </c>
      <c r="AS25" s="53" t="n"/>
      <c r="AT25" s="87" t="n">
        <v>-28685.08</v>
      </c>
      <c r="AU25" s="87" t="n">
        <v>-28685.08</v>
      </c>
      <c r="AV25" s="87" t="n">
        <v>-28685.08</v>
      </c>
      <c r="AW25" s="87" t="n">
        <v>-28685.08</v>
      </c>
      <c r="AX25" s="87" t="n">
        <v>-28685.08</v>
      </c>
      <c r="AY25" s="87" t="n">
        <v>-28685.08</v>
      </c>
      <c r="AZ25" s="87" t="n">
        <v>-28685.08</v>
      </c>
      <c r="BA25" s="87" t="n">
        <v>-28685.08</v>
      </c>
      <c r="BB25" s="87" t="n">
        <v>-28685.08</v>
      </c>
      <c r="BC25" s="87" t="n">
        <v>-28685.08</v>
      </c>
      <c r="BD25" s="87" t="n">
        <v>-28685.08</v>
      </c>
      <c r="BE25" s="87" t="n">
        <v>-28685.08</v>
      </c>
      <c r="BF25" s="87" t="n">
        <v>-28685.08</v>
      </c>
      <c r="BG25" s="87" t="n">
        <v>-28685.08</v>
      </c>
      <c r="BH25" s="87" t="n">
        <v>-28685.08</v>
      </c>
      <c r="BI25" s="87" t="n">
        <v>-28685.08</v>
      </c>
      <c r="BJ25" s="87" t="n">
        <v>-28685.08</v>
      </c>
      <c r="BK25" s="87" t="n">
        <v>-28685.08</v>
      </c>
      <c r="BL25" s="87" t="n">
        <v>-28685.08</v>
      </c>
      <c r="BM25" s="87" t="n">
        <v>-28685.08</v>
      </c>
      <c r="BN25" s="87" t="n">
        <v>-28685.08</v>
      </c>
      <c r="BO25" s="87" t="n">
        <v>-28685.08</v>
      </c>
      <c r="BP25" s="87" t="n">
        <v>-28685.08</v>
      </c>
      <c r="BQ25" s="87" t="n">
        <v>-28685.08</v>
      </c>
      <c r="BR25" s="87" t="n">
        <v>-28685.08</v>
      </c>
      <c r="BS25" s="87" t="n">
        <v>-28685.08</v>
      </c>
      <c r="BT25" s="87" t="n">
        <v>-28685.08</v>
      </c>
      <c r="BU25" s="87" t="n">
        <v>-28685.08</v>
      </c>
      <c r="BV25" s="87" t="n">
        <v>-28685.08</v>
      </c>
      <c r="BW25" s="87" t="n">
        <v>-28685.08</v>
      </c>
      <c r="BX25" s="87" t="n">
        <v>-28685.08</v>
      </c>
      <c r="BY25" s="87" t="n">
        <v>-28685.08</v>
      </c>
      <c r="BZ25" s="87" t="n">
        <v>-28685.08</v>
      </c>
      <c r="CA25" s="87" t="n">
        <v>-15000</v>
      </c>
      <c r="CB25" s="87" t="n">
        <v>-15000</v>
      </c>
      <c r="CC25" s="87" t="n">
        <v>-15000</v>
      </c>
      <c r="CD25" s="87" t="n">
        <v>-15000</v>
      </c>
      <c r="CE25" s="87" t="n">
        <v>-15000</v>
      </c>
      <c r="CF25" s="87" t="n">
        <v>-15000</v>
      </c>
      <c r="CG25" s="87" t="n">
        <v>-15000</v>
      </c>
      <c r="CH25" s="87" t="n">
        <v>-15000</v>
      </c>
      <c r="CI25" s="87" t="n">
        <v>-15000</v>
      </c>
      <c r="CJ25" s="87" t="n">
        <v>-15000</v>
      </c>
      <c r="CK25" s="87" t="n">
        <v>-15000</v>
      </c>
      <c r="CL25" s="87" t="n">
        <v>-15000</v>
      </c>
      <c r="CM25" s="87" t="n">
        <v>-15000</v>
      </c>
      <c r="CN25" s="87" t="n">
        <v>-15000</v>
      </c>
      <c r="CO25" s="87" t="n">
        <v>-15000</v>
      </c>
      <c r="CP25" s="87" t="n">
        <v>-15000</v>
      </c>
      <c r="CQ25" s="87" t="n">
        <v>-15000</v>
      </c>
      <c r="CR25" s="87" t="n">
        <v>-15000</v>
      </c>
      <c r="CS25" s="87" t="n">
        <v>-15000</v>
      </c>
      <c r="CT25" s="87" t="n">
        <v>-15000</v>
      </c>
      <c r="CU25" s="87" t="n">
        <v>-15000</v>
      </c>
      <c r="CV25" s="87" t="n">
        <v>-15000</v>
      </c>
      <c r="CW25" s="87" t="n">
        <v>-15000</v>
      </c>
      <c r="CX25" s="87" t="n">
        <v>-15000</v>
      </c>
      <c r="CY25" s="87" t="n">
        <v>-15000</v>
      </c>
      <c r="CZ25" s="87" t="n">
        <v>-15000</v>
      </c>
      <c r="DA25" s="87" t="n">
        <v>-15000</v>
      </c>
      <c r="DB25" s="87" t="n">
        <v>-15000</v>
      </c>
      <c r="DC25" s="87" t="n">
        <v>-15000</v>
      </c>
      <c r="DD25" s="87" t="n">
        <v>-15000</v>
      </c>
      <c r="DE25" s="87" t="n">
        <v>-15000</v>
      </c>
      <c r="DF25" s="87" t="n">
        <v>-15000</v>
      </c>
      <c r="DG25" s="87" t="n">
        <v>-15000</v>
      </c>
      <c r="DH25" s="87" t="n">
        <v>-15000</v>
      </c>
      <c r="DI25" s="87" t="n">
        <v>-15000</v>
      </c>
      <c r="DJ25" s="87" t="n">
        <v>-15000</v>
      </c>
      <c r="DK25" s="87" t="n">
        <v>-15000</v>
      </c>
      <c r="DL25" s="87" t="n">
        <v>-15000</v>
      </c>
      <c r="DM25" s="87" t="n">
        <v>-15000</v>
      </c>
      <c r="DN25" s="87" t="n">
        <v>-15000</v>
      </c>
      <c r="DO25" s="87" t="n">
        <v>-15000</v>
      </c>
      <c r="DP25" s="87" t="n">
        <v>-15000</v>
      </c>
      <c r="DQ25" s="87" t="n">
        <v>-15000</v>
      </c>
      <c r="DR25" s="87" t="n"/>
      <c r="DS25" s="86" t="n">
        <v>0</v>
      </c>
      <c r="DT25" s="86" t="n">
        <v>0</v>
      </c>
      <c r="DU25" s="86" t="n">
        <v>0</v>
      </c>
      <c r="DV25" s="86" t="n">
        <v>0</v>
      </c>
      <c r="DW25" s="86" t="n">
        <v>0</v>
      </c>
      <c r="DX25" s="86" t="n">
        <v>0</v>
      </c>
      <c r="DY25" s="86" t="n">
        <v>0</v>
      </c>
      <c r="DZ25" s="86" t="n">
        <v>0</v>
      </c>
      <c r="EA25" s="86" t="n">
        <v>0</v>
      </c>
      <c r="EB25" s="86" t="n">
        <v>0</v>
      </c>
      <c r="EC25" s="86" t="n">
        <v>0</v>
      </c>
      <c r="ED25" s="86" t="n">
        <v>0</v>
      </c>
      <c r="EE25" s="86" t="n">
        <v>0</v>
      </c>
      <c r="EF25" s="86" t="n">
        <v>0</v>
      </c>
      <c r="EG25" s="86" t="n">
        <v>0</v>
      </c>
      <c r="EH25" s="86" t="n">
        <v>0</v>
      </c>
      <c r="EI25" s="86" t="n">
        <v>0</v>
      </c>
      <c r="EJ25" s="86" t="n">
        <v>0</v>
      </c>
      <c r="EK25" s="86" t="n">
        <v>0</v>
      </c>
      <c r="EL25" s="86" t="n">
        <v>0</v>
      </c>
      <c r="EM25" s="86" t="n">
        <v>0</v>
      </c>
      <c r="EN25" s="86" t="n">
        <v>0</v>
      </c>
      <c r="EO25" s="86" t="n">
        <v>0</v>
      </c>
      <c r="EP25" s="86" t="n">
        <v>0</v>
      </c>
      <c r="EQ25" s="86" t="n">
        <v>0</v>
      </c>
      <c r="ER25" s="86" t="n">
        <v>0</v>
      </c>
      <c r="ES25" s="86" t="n">
        <v>0</v>
      </c>
      <c r="ET25" s="86" t="n">
        <v>0</v>
      </c>
      <c r="EU25" s="86" t="n">
        <v>0</v>
      </c>
      <c r="EV25" s="86" t="n">
        <v>0</v>
      </c>
      <c r="EW25" s="86" t="n">
        <v>0</v>
      </c>
      <c r="EX25" s="86" t="n">
        <v>0</v>
      </c>
      <c r="EY25" s="86" t="n">
        <v>0</v>
      </c>
      <c r="EZ25" s="86" t="n">
        <v>0</v>
      </c>
      <c r="FA25" s="86" t="n">
        <v>0</v>
      </c>
      <c r="FB25" s="86" t="n">
        <v>0</v>
      </c>
      <c r="FC25" s="86" t="n">
        <v>0</v>
      </c>
      <c r="FD25" s="86" t="n">
        <v>0</v>
      </c>
      <c r="FE25" s="86" t="n">
        <v>0</v>
      </c>
      <c r="FF25" s="86" t="n">
        <v>0</v>
      </c>
      <c r="FG25" s="86" t="n">
        <v>0</v>
      </c>
      <c r="FH25" s="86" t="n">
        <v>0</v>
      </c>
      <c r="FI25" s="86" t="n">
        <v>0</v>
      </c>
      <c r="FJ25" s="86" t="n">
        <v>0</v>
      </c>
      <c r="FK25" s="86" t="n">
        <v>0</v>
      </c>
      <c r="FL25" s="86" t="n">
        <v>0</v>
      </c>
      <c r="FM25" s="86" t="n">
        <v>0</v>
      </c>
      <c r="FN25" s="86" t="n">
        <v>0</v>
      </c>
      <c r="FO25" s="86" t="n">
        <v>0</v>
      </c>
      <c r="FP25" s="86" t="n">
        <v>0</v>
      </c>
      <c r="FQ25" s="86" t="n">
        <v>0</v>
      </c>
      <c r="FR25" s="86" t="n">
        <v>0</v>
      </c>
      <c r="FS25" s="86" t="n">
        <v>0</v>
      </c>
      <c r="FT25" s="86" t="n">
        <v>0</v>
      </c>
      <c r="FU25" s="86" t="n">
        <v>0</v>
      </c>
      <c r="FV25" s="86" t="n">
        <v>0</v>
      </c>
      <c r="FW25" s="86" t="n">
        <v>0</v>
      </c>
      <c r="FX25" s="86" t="n">
        <v>0</v>
      </c>
      <c r="FY25" s="86" t="n">
        <v>0</v>
      </c>
      <c r="FZ25" s="86" t="n">
        <v>0</v>
      </c>
      <c r="GA25" s="86" t="n">
        <v>0</v>
      </c>
      <c r="GB25" s="86" t="n">
        <v>0</v>
      </c>
      <c r="GC25" s="86" t="n">
        <v>0</v>
      </c>
      <c r="GD25" s="86" t="n">
        <v>0</v>
      </c>
      <c r="GE25" s="86" t="n">
        <v>0</v>
      </c>
      <c r="GF25" s="86" t="n">
        <v>0</v>
      </c>
      <c r="GG25" s="86" t="n">
        <v>0</v>
      </c>
      <c r="GH25" s="86" t="n">
        <v>0</v>
      </c>
      <c r="GI25" s="86" t="n">
        <v>0</v>
      </c>
      <c r="GJ25" s="86" t="n">
        <v>0</v>
      </c>
      <c r="GK25" s="86" t="n">
        <v>0</v>
      </c>
      <c r="GL25" s="86" t="n">
        <v>0</v>
      </c>
      <c r="GM25" s="86" t="n">
        <v>0</v>
      </c>
      <c r="GN25" s="86" t="n">
        <v>0</v>
      </c>
      <c r="GO25" s="86" t="n">
        <v>0</v>
      </c>
      <c r="GP25" s="86" t="n">
        <v>0</v>
      </c>
      <c r="GQ25" s="86" t="n">
        <v>0</v>
      </c>
      <c r="GR25" s="86" t="n">
        <v>0</v>
      </c>
      <c r="GS25" s="86" t="n">
        <v>0</v>
      </c>
      <c r="GT25" s="86" t="n">
        <v>0</v>
      </c>
      <c r="GU25" s="86" t="n">
        <v>0</v>
      </c>
      <c r="GV25" s="86" t="n">
        <v>0</v>
      </c>
      <c r="GW25" s="86" t="n">
        <v>0</v>
      </c>
      <c r="GX25" s="86" t="n">
        <v>0</v>
      </c>
      <c r="GY25" s="86" t="n">
        <v>0</v>
      </c>
      <c r="GZ25" s="86" t="n">
        <v>0</v>
      </c>
      <c r="HA25" s="86" t="n">
        <v>0</v>
      </c>
      <c r="HB25" s="86" t="n">
        <v>0</v>
      </c>
      <c r="HC25" s="86" t="n">
        <v>0</v>
      </c>
      <c r="HD25" s="86" t="n">
        <v>0</v>
      </c>
      <c r="HE25" s="86" t="n">
        <v>0</v>
      </c>
      <c r="HF25" s="86" t="n">
        <v>0</v>
      </c>
      <c r="HG25" s="86" t="n">
        <v>0</v>
      </c>
      <c r="HH25" s="86" t="n">
        <v>0</v>
      </c>
      <c r="HI25" s="86" t="n">
        <v>0</v>
      </c>
      <c r="HJ25" s="86" t="n">
        <v>0</v>
      </c>
      <c r="HK25" s="86" t="n">
        <v>0</v>
      </c>
      <c r="HL25" s="86" t="n">
        <v>0</v>
      </c>
      <c r="HM25" s="86" t="n">
        <v>0</v>
      </c>
      <c r="HN25" s="86" t="n">
        <v>0</v>
      </c>
      <c r="HO25" s="86" t="n">
        <v>0</v>
      </c>
      <c r="HP25" s="86" t="n">
        <v>0</v>
      </c>
      <c r="HQ25" s="86" t="n">
        <v>0</v>
      </c>
      <c r="HR25" s="86" t="n">
        <v>0</v>
      </c>
      <c r="HS25" s="86" t="n">
        <v>0</v>
      </c>
      <c r="HT25" s="86" t="n">
        <v>0</v>
      </c>
      <c r="HU25" s="86" t="n">
        <v>0</v>
      </c>
      <c r="JF25" s="87">
        <f>AP25</f>
        <v/>
      </c>
      <c r="JG25" s="87">
        <f>SUM(Z25:AK25)</f>
        <v/>
      </c>
      <c r="JH25" s="87">
        <f>SUM(AL25:AP25)</f>
        <v/>
      </c>
      <c r="JI25" s="87">
        <f>SUM(C25:AP25)</f>
        <v/>
      </c>
      <c r="JJ25" s="446" t="n"/>
      <c r="JM25" s="87" t="n">
        <v>-28685.08</v>
      </c>
      <c r="JS25" s="446">
        <f>+JS9+JS12</f>
        <v/>
      </c>
      <c r="JT25" s="446" t="n"/>
      <c r="JU25" s="446">
        <f>+JU9+JU12</f>
        <v/>
      </c>
      <c r="JV25" s="446">
        <f>+JV9+JV12</f>
        <v/>
      </c>
      <c r="JW25" s="446">
        <f>+JW9+JW12</f>
        <v/>
      </c>
      <c r="JX25" s="446">
        <f>+JX9+JX12</f>
        <v/>
      </c>
      <c r="JY25" s="446">
        <f>+JY9+JY12</f>
        <v/>
      </c>
      <c r="JZ25" s="446">
        <f>+JZ9+JZ12</f>
        <v/>
      </c>
      <c r="KG25" s="136">
        <f>B25</f>
        <v/>
      </c>
      <c r="KH25" s="345">
        <f>AR25</f>
        <v/>
      </c>
    </row>
    <row r="26" ht="16.2" customHeight="1">
      <c r="A26" s="7" t="inlineStr">
        <is>
          <t>Stand de Venda - Manutenção</t>
        </is>
      </c>
      <c r="B26" s="136">
        <f>SUM(C26:AP26)</f>
        <v/>
      </c>
      <c r="C26" s="85" t="n"/>
      <c r="D26" s="87" t="n"/>
      <c r="E26" s="85" t="n"/>
      <c r="F26" s="85" t="n"/>
      <c r="G26" s="85" t="n"/>
      <c r="H26" s="85" t="n"/>
      <c r="I26" s="86" t="n"/>
      <c r="J26" s="218" t="n"/>
      <c r="K26" s="114" t="n"/>
      <c r="L26" s="122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>
        <v>-34442.6</v>
      </c>
      <c r="X26" s="219" t="n">
        <v>-422668.9</v>
      </c>
      <c r="Y26" s="219" t="n">
        <v>-260275.15</v>
      </c>
      <c r="Z26" s="219" t="n">
        <v>-364851.06</v>
      </c>
      <c r="AA26" s="219" t="n">
        <v>-241871.81</v>
      </c>
      <c r="AB26" s="219" t="n">
        <v>-456303.01</v>
      </c>
      <c r="AC26" s="219">
        <f>-66426.55-83395.55-107752.3</f>
        <v/>
      </c>
      <c r="AD26" s="219" t="n">
        <v>-81306.34000000001</v>
      </c>
      <c r="AE26" s="219" t="n">
        <v>-75796.13</v>
      </c>
      <c r="AF26" s="219" t="n">
        <v>-59026.11</v>
      </c>
      <c r="AG26" s="219" t="n">
        <v>-44076.02</v>
      </c>
      <c r="AH26" s="219" t="n">
        <v>-65441.81</v>
      </c>
      <c r="AI26" s="219" t="n">
        <v>-74949.34</v>
      </c>
      <c r="AJ26" s="219" t="n">
        <v>-74150.16</v>
      </c>
      <c r="AK26" s="219">
        <f>-81019.72+17900</f>
        <v/>
      </c>
      <c r="AL26" s="219" t="n">
        <v>-79367.71000000001</v>
      </c>
      <c r="AM26" s="219" t="n">
        <v>-76750.58</v>
      </c>
      <c r="AN26" s="219" t="n">
        <v>-65331.12</v>
      </c>
      <c r="AO26" s="219" t="n">
        <v>-98723.83</v>
      </c>
      <c r="AP26" s="219" t="n">
        <v>-70580.67</v>
      </c>
      <c r="AQ26" s="53" t="n"/>
      <c r="AR26" s="345">
        <f>SUM(AT26:HU26)</f>
        <v/>
      </c>
      <c r="AS26" s="53" t="n"/>
      <c r="AT26" s="87" t="n">
        <v>-55000.0000044</v>
      </c>
      <c r="AU26" s="87" t="n">
        <v>-55000.0000044</v>
      </c>
      <c r="AV26" s="87" t="n">
        <v>-55000.0000044</v>
      </c>
      <c r="AW26" s="87" t="n">
        <v>-55000.0000044</v>
      </c>
      <c r="AX26" s="87" t="n">
        <v>-55000.0000044</v>
      </c>
      <c r="AY26" s="87" t="n">
        <v>-55000.0000044</v>
      </c>
      <c r="AZ26" s="87" t="n">
        <v>-55000.0000044</v>
      </c>
      <c r="BA26" s="87" t="n">
        <v>-55000.0000044</v>
      </c>
      <c r="BB26" s="87" t="n">
        <v>-55000.0000044</v>
      </c>
      <c r="BC26" s="87" t="n">
        <v>-55000.0000044</v>
      </c>
      <c r="BD26" s="87" t="n">
        <v>-55000.0000044</v>
      </c>
      <c r="BE26" s="87" t="n">
        <v>-55000.0000044</v>
      </c>
      <c r="BF26" s="87" t="n">
        <v>-55000.0000044</v>
      </c>
      <c r="BG26" s="87" t="n">
        <v>-55000.0000044</v>
      </c>
      <c r="BH26" s="87" t="n">
        <v>-55000.0000044</v>
      </c>
      <c r="BI26" s="87" t="n">
        <v>-55000.0000044</v>
      </c>
      <c r="BJ26" s="87" t="n">
        <v>-55000.0000044</v>
      </c>
      <c r="BK26" s="87" t="n">
        <v>-55000.0000044</v>
      </c>
      <c r="BL26" s="87" t="n">
        <v>-55000.0000044</v>
      </c>
      <c r="BM26" s="87" t="n">
        <v>-55000.0000044</v>
      </c>
      <c r="BN26" s="87" t="n">
        <v>-55000.0000044</v>
      </c>
      <c r="BO26" s="87" t="n">
        <v>-54999.999846</v>
      </c>
      <c r="BP26" s="87" t="n">
        <v>-54999.999846</v>
      </c>
      <c r="BQ26" s="87" t="n">
        <v>0</v>
      </c>
      <c r="BR26" s="87" t="n">
        <v>0</v>
      </c>
      <c r="BS26" s="87" t="n">
        <v>0</v>
      </c>
      <c r="BT26" s="87" t="n">
        <v>0</v>
      </c>
      <c r="BU26" s="87" t="n">
        <v>0</v>
      </c>
      <c r="BV26" s="87" t="n">
        <v>0</v>
      </c>
      <c r="BW26" s="87" t="n">
        <v>0</v>
      </c>
      <c r="BX26" s="87" t="n">
        <v>0</v>
      </c>
      <c r="BY26" s="87" t="n">
        <v>0</v>
      </c>
      <c r="BZ26" s="87" t="n">
        <v>0</v>
      </c>
      <c r="CA26" s="87" t="n">
        <v>0</v>
      </c>
      <c r="CB26" s="87" t="n">
        <v>0</v>
      </c>
      <c r="CC26" s="87" t="n">
        <v>0</v>
      </c>
      <c r="CD26" s="87" t="n">
        <v>0</v>
      </c>
      <c r="CE26" s="87" t="n">
        <v>0</v>
      </c>
      <c r="CF26" s="87" t="n">
        <v>0</v>
      </c>
      <c r="CG26" s="87" t="n">
        <v>0</v>
      </c>
      <c r="CH26" s="87" t="n">
        <v>0</v>
      </c>
      <c r="CI26" s="87" t="n">
        <v>0</v>
      </c>
      <c r="CJ26" s="87" t="n">
        <v>0</v>
      </c>
      <c r="CK26" s="87" t="n">
        <v>0</v>
      </c>
      <c r="CL26" s="87" t="n">
        <v>0</v>
      </c>
      <c r="CM26" s="87" t="n">
        <v>0</v>
      </c>
      <c r="CN26" s="87" t="n">
        <v>0</v>
      </c>
      <c r="CO26" s="87" t="n">
        <v>0</v>
      </c>
      <c r="CP26" s="87" t="n">
        <v>0</v>
      </c>
      <c r="CQ26" s="87" t="n">
        <v>0</v>
      </c>
      <c r="CR26" s="87" t="n">
        <v>0</v>
      </c>
      <c r="CS26" s="87" t="n">
        <v>0</v>
      </c>
      <c r="CT26" s="87" t="n">
        <v>0</v>
      </c>
      <c r="CU26" s="87" t="n">
        <v>0</v>
      </c>
      <c r="CV26" s="87" t="n">
        <v>0</v>
      </c>
      <c r="CW26" s="87" t="n">
        <v>0</v>
      </c>
      <c r="CX26" s="87" t="n">
        <v>0</v>
      </c>
      <c r="CY26" s="87" t="n">
        <v>0</v>
      </c>
      <c r="CZ26" s="87" t="n">
        <v>0</v>
      </c>
      <c r="DA26" s="87" t="n">
        <v>0</v>
      </c>
      <c r="DB26" s="87" t="n">
        <v>0</v>
      </c>
      <c r="DC26" s="87" t="n">
        <v>0</v>
      </c>
      <c r="DD26" s="87" t="n">
        <v>0</v>
      </c>
      <c r="DE26" s="87" t="n">
        <v>0</v>
      </c>
      <c r="DF26" s="87" t="n">
        <v>0</v>
      </c>
      <c r="DG26" s="87" t="n">
        <v>0</v>
      </c>
      <c r="DH26" s="87" t="n">
        <v>0</v>
      </c>
      <c r="DI26" s="87" t="n">
        <v>0</v>
      </c>
      <c r="DJ26" s="87" t="n">
        <v>0</v>
      </c>
      <c r="DK26" s="87" t="n">
        <v>0</v>
      </c>
      <c r="DL26" s="87" t="n">
        <v>0</v>
      </c>
      <c r="DM26" s="87" t="n">
        <v>0</v>
      </c>
      <c r="DN26" s="87" t="n">
        <v>0</v>
      </c>
      <c r="DO26" s="87" t="n">
        <v>0</v>
      </c>
      <c r="DP26" s="87" t="n">
        <v>0</v>
      </c>
      <c r="DQ26" s="87" t="n">
        <v>0</v>
      </c>
      <c r="DR26" s="87" t="n">
        <v>0</v>
      </c>
      <c r="DS26" s="87" t="n">
        <v>0</v>
      </c>
      <c r="DT26" s="87" t="n">
        <v>0</v>
      </c>
      <c r="DU26" s="87" t="n">
        <v>0</v>
      </c>
      <c r="DV26" s="87" t="n">
        <v>0</v>
      </c>
      <c r="DW26" s="87" t="n">
        <v>0</v>
      </c>
      <c r="DX26" s="87" t="n">
        <v>0</v>
      </c>
      <c r="DY26" s="87" t="n">
        <v>0</v>
      </c>
      <c r="DZ26" s="87" t="n">
        <v>0</v>
      </c>
      <c r="EA26" s="87" t="n">
        <v>0</v>
      </c>
      <c r="EB26" s="87" t="n">
        <v>0</v>
      </c>
      <c r="EC26" s="87" t="n">
        <v>0</v>
      </c>
      <c r="ED26" s="87" t="n">
        <v>0</v>
      </c>
      <c r="EE26" s="87" t="n">
        <v>0</v>
      </c>
      <c r="EF26" s="87" t="n">
        <v>0</v>
      </c>
      <c r="EG26" s="87" t="n">
        <v>0</v>
      </c>
      <c r="EH26" s="87" t="n">
        <v>0</v>
      </c>
      <c r="EI26" s="87" t="n">
        <v>0</v>
      </c>
      <c r="EJ26" s="87" t="n">
        <v>0</v>
      </c>
      <c r="EK26" s="87" t="n">
        <v>0</v>
      </c>
      <c r="EL26" s="87" t="n">
        <v>0</v>
      </c>
      <c r="EM26" s="87" t="n">
        <v>0</v>
      </c>
      <c r="EN26" s="87" t="n">
        <v>0</v>
      </c>
      <c r="EO26" s="87" t="n">
        <v>0</v>
      </c>
      <c r="EP26" s="87" t="n">
        <v>0</v>
      </c>
      <c r="EQ26" s="87" t="n">
        <v>0</v>
      </c>
      <c r="ER26" s="87" t="n">
        <v>0</v>
      </c>
      <c r="ES26" s="87" t="n">
        <v>0</v>
      </c>
      <c r="ET26" s="87" t="n">
        <v>0</v>
      </c>
      <c r="EU26" s="87" t="n">
        <v>0</v>
      </c>
      <c r="EV26" s="87" t="n">
        <v>0</v>
      </c>
      <c r="EW26" s="87" t="n">
        <v>0</v>
      </c>
      <c r="EX26" s="87" t="n">
        <v>0</v>
      </c>
      <c r="EY26" s="87" t="n">
        <v>0</v>
      </c>
      <c r="EZ26" s="87" t="n">
        <v>0</v>
      </c>
      <c r="FA26" s="87" t="n">
        <v>0</v>
      </c>
      <c r="FB26" s="87" t="n">
        <v>0</v>
      </c>
      <c r="FC26" s="87" t="n">
        <v>0</v>
      </c>
      <c r="FD26" s="87" t="n">
        <v>0</v>
      </c>
      <c r="FE26" s="87" t="n">
        <v>0</v>
      </c>
      <c r="FF26" s="87" t="n">
        <v>0</v>
      </c>
      <c r="FG26" s="87" t="n">
        <v>0</v>
      </c>
      <c r="FH26" s="87" t="n">
        <v>0</v>
      </c>
      <c r="FI26" s="87" t="n">
        <v>0</v>
      </c>
      <c r="FJ26" s="87" t="n">
        <v>0</v>
      </c>
      <c r="FK26" s="87" t="n">
        <v>0</v>
      </c>
      <c r="FL26" s="87" t="n">
        <v>0</v>
      </c>
      <c r="FM26" s="87" t="n">
        <v>0</v>
      </c>
      <c r="FN26" s="87" t="n">
        <v>0</v>
      </c>
      <c r="FO26" s="87" t="n">
        <v>0</v>
      </c>
      <c r="FP26" s="87" t="n">
        <v>0</v>
      </c>
      <c r="FQ26" s="87" t="n">
        <v>0</v>
      </c>
      <c r="FR26" s="87" t="n">
        <v>0</v>
      </c>
      <c r="FS26" s="87" t="n">
        <v>0</v>
      </c>
      <c r="FT26" s="87" t="n">
        <v>0</v>
      </c>
      <c r="FU26" s="87" t="n">
        <v>0</v>
      </c>
      <c r="FV26" s="87" t="n">
        <v>0</v>
      </c>
      <c r="FW26" s="87" t="n">
        <v>0</v>
      </c>
      <c r="FX26" s="87" t="n">
        <v>0</v>
      </c>
      <c r="FY26" s="87" t="n">
        <v>0</v>
      </c>
      <c r="FZ26" s="87" t="n">
        <v>0</v>
      </c>
      <c r="GA26" s="87" t="n">
        <v>0</v>
      </c>
      <c r="GB26" s="87" t="n">
        <v>0</v>
      </c>
      <c r="GC26" s="87" t="n">
        <v>0</v>
      </c>
      <c r="GD26" s="87" t="n">
        <v>0</v>
      </c>
      <c r="GE26" s="87" t="n">
        <v>0</v>
      </c>
      <c r="GF26" s="87" t="n">
        <v>0</v>
      </c>
      <c r="GG26" s="87" t="n">
        <v>0</v>
      </c>
      <c r="GH26" s="87" t="n">
        <v>0</v>
      </c>
      <c r="GI26" s="87" t="n">
        <v>0</v>
      </c>
      <c r="GJ26" s="87" t="n">
        <v>0</v>
      </c>
      <c r="GK26" s="87" t="n">
        <v>0</v>
      </c>
      <c r="GL26" s="87" t="n">
        <v>0</v>
      </c>
      <c r="GM26" s="87" t="n">
        <v>0</v>
      </c>
      <c r="GN26" s="87" t="n">
        <v>0</v>
      </c>
      <c r="GO26" s="87" t="n">
        <v>0</v>
      </c>
      <c r="GP26" s="87" t="n">
        <v>0</v>
      </c>
      <c r="GQ26" s="87" t="n">
        <v>0</v>
      </c>
      <c r="GR26" s="87" t="n">
        <v>0</v>
      </c>
      <c r="GS26" s="87" t="n">
        <v>0</v>
      </c>
      <c r="GT26" s="87" t="n">
        <v>0</v>
      </c>
      <c r="GU26" s="87" t="n">
        <v>0</v>
      </c>
      <c r="GV26" s="87" t="n">
        <v>0</v>
      </c>
      <c r="GW26" s="87" t="n">
        <v>0</v>
      </c>
      <c r="GX26" s="87" t="n">
        <v>0</v>
      </c>
      <c r="GY26" s="87" t="n">
        <v>0</v>
      </c>
      <c r="GZ26" s="87" t="n">
        <v>0</v>
      </c>
      <c r="HA26" s="87" t="n">
        <v>0</v>
      </c>
      <c r="HB26" s="87" t="n">
        <v>0</v>
      </c>
      <c r="HC26" s="87" t="n">
        <v>0</v>
      </c>
      <c r="HD26" s="87" t="n">
        <v>0</v>
      </c>
      <c r="HE26" s="87" t="n">
        <v>0</v>
      </c>
      <c r="HF26" s="87" t="n">
        <v>0</v>
      </c>
      <c r="HG26" s="87" t="n">
        <v>0</v>
      </c>
      <c r="HH26" s="87" t="n">
        <v>0</v>
      </c>
      <c r="HI26" s="87" t="n">
        <v>0</v>
      </c>
      <c r="HJ26" s="87" t="n">
        <v>0</v>
      </c>
      <c r="HK26" s="87" t="n">
        <v>0</v>
      </c>
      <c r="HL26" s="87" t="n">
        <v>0</v>
      </c>
      <c r="HM26" s="87" t="n">
        <v>0</v>
      </c>
      <c r="HN26" s="87" t="n">
        <v>0</v>
      </c>
      <c r="HO26" s="87" t="n">
        <v>0</v>
      </c>
      <c r="HP26" s="87" t="n">
        <v>0</v>
      </c>
      <c r="HQ26" s="87" t="n">
        <v>0</v>
      </c>
      <c r="HR26" s="87" t="n">
        <v>0</v>
      </c>
      <c r="HS26" s="87" t="n">
        <v>0</v>
      </c>
      <c r="HT26" s="87" t="n">
        <v>0</v>
      </c>
      <c r="HU26" s="87" t="n">
        <v>0</v>
      </c>
      <c r="JF26" s="87">
        <f>AP26</f>
        <v/>
      </c>
      <c r="JG26" s="87">
        <f>SUM(Z26:AK26)</f>
        <v/>
      </c>
      <c r="JH26" s="87">
        <f>SUM(AL26:AP26)</f>
        <v/>
      </c>
      <c r="JI26" s="87">
        <f>SUM(C26:AP26)</f>
        <v/>
      </c>
      <c r="JJ26" s="446" t="n"/>
      <c r="JM26" s="87" t="n">
        <v>-55000.0000044</v>
      </c>
      <c r="KG26" s="136">
        <f>B26</f>
        <v/>
      </c>
      <c r="KH26" s="345">
        <f>AR26</f>
        <v/>
      </c>
    </row>
    <row r="27" ht="16.2" customHeight="1">
      <c r="A27" s="7" t="inlineStr">
        <is>
          <t>Marketing</t>
        </is>
      </c>
      <c r="B27" s="136">
        <f>SUM(C27:AP27)</f>
        <v/>
      </c>
      <c r="C27" s="85" t="n"/>
      <c r="D27" s="87" t="n"/>
      <c r="E27" s="85" t="n"/>
      <c r="F27" s="85" t="n"/>
      <c r="G27" s="85" t="n"/>
      <c r="H27" s="85" t="n"/>
      <c r="I27" s="86" t="n"/>
      <c r="J27" s="218" t="n"/>
      <c r="K27" s="114" t="n"/>
      <c r="L27" s="122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>
        <v>-32159.95</v>
      </c>
      <c r="X27" s="219" t="n">
        <v>-30740</v>
      </c>
      <c r="Y27" s="219" t="n">
        <v>-18988.62</v>
      </c>
      <c r="Z27" s="219" t="n">
        <v>-196816.01</v>
      </c>
      <c r="AA27" s="219" t="n">
        <v>-308461.65</v>
      </c>
      <c r="AB27" s="219" t="n">
        <v>-387396.3</v>
      </c>
      <c r="AC27" s="219" t="n">
        <v>-264220.34</v>
      </c>
      <c r="AD27" s="219" t="n">
        <v>-187387.35</v>
      </c>
      <c r="AE27" s="219" t="n">
        <v>-142662.13</v>
      </c>
      <c r="AF27" s="219">
        <f>-121163.48+959.8</f>
        <v/>
      </c>
      <c r="AG27" s="219">
        <f>-101944.3+959.8</f>
        <v/>
      </c>
      <c r="AH27" s="219">
        <f>-94040.76-9315.02</f>
        <v/>
      </c>
      <c r="AI27" s="219" t="n">
        <v>-184088.23</v>
      </c>
      <c r="AJ27" s="219" t="n">
        <v>-148907.24</v>
      </c>
      <c r="AK27" s="219">
        <f>-148676.77-17900</f>
        <v/>
      </c>
      <c r="AL27" s="219" t="n">
        <v>-280720.57</v>
      </c>
      <c r="AM27" s="219" t="n">
        <v>-80116.73</v>
      </c>
      <c r="AN27" s="219" t="n">
        <v>-140928.2</v>
      </c>
      <c r="AO27" s="219" t="n">
        <v>-132699.9</v>
      </c>
      <c r="AP27" s="219" t="n">
        <v>-161932.68</v>
      </c>
      <c r="AQ27" s="53" t="n"/>
      <c r="AR27" s="345">
        <f>SUM(AT27:HU27)</f>
        <v/>
      </c>
      <c r="AS27" s="53" t="n"/>
      <c r="AT27" s="87" t="n">
        <v>-166659.2695133614</v>
      </c>
      <c r="AU27" s="87" t="n">
        <v>-166659.2695133614</v>
      </c>
      <c r="AV27" s="87" t="n">
        <v>-166659.2695133614</v>
      </c>
      <c r="AW27" s="87" t="n">
        <v>-166659.2695133614</v>
      </c>
      <c r="AX27" s="87" t="n">
        <v>-166659.2695133614</v>
      </c>
      <c r="AY27" s="87" t="n">
        <v>-166659.2695133614</v>
      </c>
      <c r="AZ27" s="87" t="n">
        <v>-166659.2695133614</v>
      </c>
      <c r="BA27" s="87" t="n">
        <v>-83329.63475668074</v>
      </c>
      <c r="BB27" s="87" t="n">
        <v>-83329.63475668074</v>
      </c>
      <c r="BC27" s="87" t="n">
        <v>-83329.63475668074</v>
      </c>
      <c r="BD27" s="87" t="n">
        <v>-83329.63475668074</v>
      </c>
      <c r="BE27" s="87" t="n">
        <v>-83329.63475668074</v>
      </c>
      <c r="BF27" s="87" t="n">
        <v>-83329.63475668074</v>
      </c>
      <c r="BG27" s="87" t="n">
        <v>-83329.63475668074</v>
      </c>
      <c r="BH27" s="87" t="n">
        <v>-83329.63475668074</v>
      </c>
      <c r="BI27" s="87" t="n">
        <v>-83329.63475668074</v>
      </c>
      <c r="BJ27" s="87" t="n">
        <v>-83329.63475668074</v>
      </c>
      <c r="BK27" s="87" t="n">
        <v>-83329.63475668074</v>
      </c>
      <c r="BL27" s="87" t="n">
        <v>-83329.63475668074</v>
      </c>
      <c r="BM27" s="87" t="n">
        <v>-83329.63475668074</v>
      </c>
      <c r="BN27" s="87" t="n">
        <v>-83329.63475668074</v>
      </c>
      <c r="BO27" s="87" t="n">
        <v>-83329.63475668074</v>
      </c>
      <c r="BP27" s="87" t="n">
        <v>-83329.63475668074</v>
      </c>
      <c r="BQ27" s="87" t="n">
        <v>-83329.63475668074</v>
      </c>
      <c r="BR27" s="87" t="n">
        <v>-83329.63475668074</v>
      </c>
      <c r="BS27" s="87" t="n">
        <v>-83329.63475668074</v>
      </c>
      <c r="BT27" s="87" t="n">
        <v>-83329.63475668074</v>
      </c>
      <c r="BU27" s="87" t="n">
        <v>-83329.63475668074</v>
      </c>
      <c r="BV27" s="87" t="n">
        <v>-83329.63475668074</v>
      </c>
      <c r="BW27" s="87" t="n">
        <v>-83329.63475668074</v>
      </c>
      <c r="BX27" s="87" t="n">
        <v>-83329.63475668074</v>
      </c>
      <c r="BY27" s="87" t="n">
        <v>-83329.63475668074</v>
      </c>
      <c r="BZ27" s="87" t="n">
        <v>-83329.63475668074</v>
      </c>
      <c r="CA27" s="87" t="n">
        <v>-83329.63475668074</v>
      </c>
      <c r="CB27" s="87" t="n">
        <v>-83329.63475668074</v>
      </c>
      <c r="CC27" s="87" t="n">
        <v>-83329.63475668074</v>
      </c>
      <c r="CD27" s="87" t="n">
        <v>-83329.63475668074</v>
      </c>
      <c r="CE27" s="87" t="n">
        <v>-83329.63475668074</v>
      </c>
      <c r="CF27" s="87" t="n">
        <v>-83329.63475668074</v>
      </c>
      <c r="CG27" s="87" t="n">
        <v>-83329.63475668074</v>
      </c>
      <c r="CH27" s="87" t="n">
        <v>-83329.63475668074</v>
      </c>
      <c r="CI27" s="87" t="n">
        <v>-83329.63475668074</v>
      </c>
      <c r="CJ27" s="87" t="n">
        <v>-83329.63475668074</v>
      </c>
      <c r="CK27" s="87" t="n">
        <v>-83329.63475668074</v>
      </c>
      <c r="CL27" s="87" t="n">
        <v>-83329.63475668074</v>
      </c>
      <c r="CM27" s="87" t="n">
        <v>-83329.63475668074</v>
      </c>
      <c r="CN27" s="87" t="n">
        <v>-83329.63475668074</v>
      </c>
      <c r="CO27" s="87" t="n">
        <v>-83329.63475668074</v>
      </c>
      <c r="CP27" s="87" t="n">
        <v>-83329.63475668074</v>
      </c>
      <c r="CQ27" s="87" t="n">
        <v>-83329.63475668074</v>
      </c>
      <c r="CR27" s="87" t="n">
        <v>-83329.63475668074</v>
      </c>
      <c r="CS27" s="87" t="n">
        <v>-83329.63475668074</v>
      </c>
      <c r="CT27" s="87" t="n">
        <v>-83329.63475668074</v>
      </c>
      <c r="CU27" s="87" t="n">
        <v>-83329.63475668074</v>
      </c>
      <c r="CV27" s="87" t="n">
        <v>-83329.63475668074</v>
      </c>
      <c r="CW27" s="87" t="n">
        <v>-83329.63475668074</v>
      </c>
      <c r="CX27" s="87" t="n">
        <v>-83329.63475668074</v>
      </c>
      <c r="CY27" s="87" t="n">
        <v>-83329.63475668074</v>
      </c>
      <c r="CZ27" s="87" t="n">
        <v>-83329.63475668074</v>
      </c>
      <c r="DA27" s="87" t="n">
        <v>-83329.63475668074</v>
      </c>
      <c r="DB27" s="87" t="n">
        <v>-83329.63475668074</v>
      </c>
      <c r="DC27" s="87" t="n">
        <v>-83329.63475668074</v>
      </c>
      <c r="DD27" s="87" t="n">
        <v>-83329.63475668074</v>
      </c>
      <c r="DE27" s="87" t="n">
        <v>-83329.63475668074</v>
      </c>
      <c r="DF27" s="87" t="n">
        <v>-83329.63475668074</v>
      </c>
      <c r="DG27" s="87" t="n">
        <v>-83329.63475668074</v>
      </c>
      <c r="DH27" s="87" t="n">
        <v>-83329.63475668074</v>
      </c>
      <c r="DI27" s="87" t="n">
        <v>-83329.63475668074</v>
      </c>
      <c r="DJ27" s="87" t="n"/>
      <c r="DK27" s="87" t="n"/>
      <c r="DL27" s="87" t="n"/>
      <c r="DM27" s="87" t="n"/>
      <c r="DN27" s="87" t="n"/>
      <c r="DO27" s="87" t="n"/>
      <c r="DP27" s="87" t="n"/>
      <c r="DQ27" s="87" t="n"/>
      <c r="DR27" s="87" t="n"/>
      <c r="DS27" s="87" t="n">
        <v>0</v>
      </c>
      <c r="DT27" s="87" t="n">
        <v>0</v>
      </c>
      <c r="DU27" s="87" t="n">
        <v>0</v>
      </c>
      <c r="DV27" s="87" t="n">
        <v>0</v>
      </c>
      <c r="DW27" s="87" t="n">
        <v>0</v>
      </c>
      <c r="DX27" s="87" t="n">
        <v>0</v>
      </c>
      <c r="DY27" s="87" t="n">
        <v>0</v>
      </c>
      <c r="DZ27" s="87" t="n">
        <v>0</v>
      </c>
      <c r="EA27" s="87" t="n">
        <v>0</v>
      </c>
      <c r="EB27" s="87" t="n"/>
      <c r="EC27" s="87" t="n">
        <v>0</v>
      </c>
      <c r="ED27" s="87" t="n">
        <v>0</v>
      </c>
      <c r="EE27" s="87" t="n">
        <v>0</v>
      </c>
      <c r="EF27" s="87" t="n">
        <v>0</v>
      </c>
      <c r="EG27" s="87" t="n">
        <v>0</v>
      </c>
      <c r="EH27" s="87" t="n">
        <v>0</v>
      </c>
      <c r="EI27" s="87" t="n">
        <v>0</v>
      </c>
      <c r="EJ27" s="87" t="n">
        <v>0</v>
      </c>
      <c r="EK27" s="87" t="n">
        <v>0</v>
      </c>
      <c r="EL27" s="87" t="n">
        <v>0</v>
      </c>
      <c r="EM27" s="87" t="n">
        <v>0</v>
      </c>
      <c r="EN27" s="87" t="n">
        <v>0</v>
      </c>
      <c r="EO27" s="87" t="n">
        <v>0</v>
      </c>
      <c r="EP27" s="87" t="n">
        <v>0</v>
      </c>
      <c r="EQ27" s="87" t="n">
        <v>0</v>
      </c>
      <c r="ER27" s="87" t="n">
        <v>0</v>
      </c>
      <c r="ES27" s="87" t="n">
        <v>0</v>
      </c>
      <c r="ET27" s="87" t="n">
        <v>0</v>
      </c>
      <c r="EU27" s="87" t="n">
        <v>0</v>
      </c>
      <c r="EV27" s="87" t="n">
        <v>0</v>
      </c>
      <c r="EW27" s="87" t="n">
        <v>0</v>
      </c>
      <c r="EX27" s="87" t="n">
        <v>0</v>
      </c>
      <c r="EY27" s="87" t="n">
        <v>0</v>
      </c>
      <c r="EZ27" s="87" t="n">
        <v>0</v>
      </c>
      <c r="FA27" s="87" t="n">
        <v>0</v>
      </c>
      <c r="FB27" s="87" t="n">
        <v>0</v>
      </c>
      <c r="FC27" s="87" t="n">
        <v>0</v>
      </c>
      <c r="FD27" s="87" t="n">
        <v>0</v>
      </c>
      <c r="FE27" s="87" t="n">
        <v>0</v>
      </c>
      <c r="FF27" s="87" t="n">
        <v>0</v>
      </c>
      <c r="FG27" s="87" t="n">
        <v>0</v>
      </c>
      <c r="FH27" s="87" t="n">
        <v>0</v>
      </c>
      <c r="FI27" s="87" t="n">
        <v>0</v>
      </c>
      <c r="FJ27" s="87" t="n">
        <v>0</v>
      </c>
      <c r="FK27" s="87" t="n">
        <v>0</v>
      </c>
      <c r="FL27" s="87" t="n">
        <v>0</v>
      </c>
      <c r="FM27" s="87" t="n">
        <v>0</v>
      </c>
      <c r="FN27" s="87" t="n">
        <v>0</v>
      </c>
      <c r="FO27" s="87" t="n">
        <v>0</v>
      </c>
      <c r="FP27" s="87" t="n">
        <v>0</v>
      </c>
      <c r="FQ27" s="87" t="n">
        <v>0</v>
      </c>
      <c r="FR27" s="87" t="n">
        <v>0</v>
      </c>
      <c r="FS27" s="87" t="n">
        <v>0</v>
      </c>
      <c r="FT27" s="87" t="n">
        <v>0</v>
      </c>
      <c r="FU27" s="87" t="n">
        <v>0</v>
      </c>
      <c r="FV27" s="87" t="n">
        <v>0</v>
      </c>
      <c r="FW27" s="87" t="n">
        <v>0</v>
      </c>
      <c r="FX27" s="87" t="n">
        <v>0</v>
      </c>
      <c r="FY27" s="87" t="n">
        <v>0</v>
      </c>
      <c r="FZ27" s="87" t="n">
        <v>0</v>
      </c>
      <c r="GA27" s="87" t="n">
        <v>0</v>
      </c>
      <c r="GB27" s="87" t="n">
        <v>0</v>
      </c>
      <c r="GC27" s="87" t="n">
        <v>0</v>
      </c>
      <c r="GD27" s="87" t="n">
        <v>0</v>
      </c>
      <c r="GE27" s="87" t="n">
        <v>0</v>
      </c>
      <c r="GF27" s="87" t="n">
        <v>0</v>
      </c>
      <c r="GG27" s="87" t="n">
        <v>0</v>
      </c>
      <c r="GH27" s="87" t="n">
        <v>0</v>
      </c>
      <c r="GI27" s="87" t="n">
        <v>0</v>
      </c>
      <c r="GJ27" s="87" t="n">
        <v>0</v>
      </c>
      <c r="GK27" s="87" t="n">
        <v>0</v>
      </c>
      <c r="GL27" s="87" t="n">
        <v>0</v>
      </c>
      <c r="GM27" s="87" t="n">
        <v>0</v>
      </c>
      <c r="GN27" s="87" t="n">
        <v>0</v>
      </c>
      <c r="GO27" s="87" t="n">
        <v>0</v>
      </c>
      <c r="GP27" s="87" t="n">
        <v>0</v>
      </c>
      <c r="GQ27" s="87" t="n">
        <v>0</v>
      </c>
      <c r="GR27" s="87" t="n">
        <v>0</v>
      </c>
      <c r="GS27" s="87" t="n">
        <v>0</v>
      </c>
      <c r="GT27" s="87" t="n">
        <v>0</v>
      </c>
      <c r="GU27" s="87" t="n">
        <v>0</v>
      </c>
      <c r="GV27" s="87" t="n">
        <v>0</v>
      </c>
      <c r="GW27" s="87" t="n">
        <v>0</v>
      </c>
      <c r="GX27" s="87" t="n">
        <v>0</v>
      </c>
      <c r="GY27" s="87" t="n">
        <v>0</v>
      </c>
      <c r="GZ27" s="87" t="n">
        <v>0</v>
      </c>
      <c r="HA27" s="87" t="n">
        <v>0</v>
      </c>
      <c r="HB27" s="87" t="n">
        <v>0</v>
      </c>
      <c r="HC27" s="87" t="n">
        <v>0</v>
      </c>
      <c r="HD27" s="87" t="n">
        <v>0</v>
      </c>
      <c r="HE27" s="87" t="n">
        <v>0</v>
      </c>
      <c r="HF27" s="87" t="n">
        <v>0</v>
      </c>
      <c r="HG27" s="87" t="n">
        <v>0</v>
      </c>
      <c r="HH27" s="87" t="n">
        <v>0</v>
      </c>
      <c r="HI27" s="87" t="n">
        <v>0</v>
      </c>
      <c r="HJ27" s="87" t="n">
        <v>0</v>
      </c>
      <c r="HK27" s="87" t="n">
        <v>0</v>
      </c>
      <c r="HL27" s="87" t="n">
        <v>0</v>
      </c>
      <c r="HM27" s="87" t="n">
        <v>0</v>
      </c>
      <c r="HN27" s="87" t="n">
        <v>0</v>
      </c>
      <c r="HO27" s="87" t="n">
        <v>0</v>
      </c>
      <c r="HP27" s="87" t="n">
        <v>0</v>
      </c>
      <c r="HQ27" s="87" t="n">
        <v>0</v>
      </c>
      <c r="HR27" s="87" t="n">
        <v>0</v>
      </c>
      <c r="HS27" s="87" t="n">
        <v>0</v>
      </c>
      <c r="HT27" s="87" t="n">
        <v>0</v>
      </c>
      <c r="HU27" s="87" t="n">
        <v>0</v>
      </c>
      <c r="JF27" s="87">
        <f>AP27</f>
        <v/>
      </c>
      <c r="JG27" s="87">
        <f>SUM(Z27:AK27)</f>
        <v/>
      </c>
      <c r="JH27" s="87">
        <f>SUM(AL27:AP27)</f>
        <v/>
      </c>
      <c r="JI27" s="87">
        <f>SUM(C27:AP27)</f>
        <v/>
      </c>
      <c r="JJ27" s="446" t="n"/>
      <c r="JM27" s="87" t="n">
        <v>-166659.2695133614</v>
      </c>
      <c r="KG27" s="136">
        <f>B27</f>
        <v/>
      </c>
      <c r="KH27" s="345">
        <f>AR27</f>
        <v/>
      </c>
    </row>
    <row r="28" ht="16.2" customHeight="1">
      <c r="A28" s="7" t="n"/>
      <c r="B28" s="136">
        <f>SUM(C28:AP28)</f>
        <v/>
      </c>
      <c r="C28" s="85" t="n"/>
      <c r="D28" s="87" t="n"/>
      <c r="E28" s="85" t="n"/>
      <c r="F28" s="85" t="n"/>
      <c r="G28" s="85" t="n"/>
      <c r="H28" s="85" t="n"/>
      <c r="I28" s="86" t="n"/>
      <c r="J28" s="218" t="n"/>
      <c r="K28" s="114" t="n"/>
      <c r="L28" s="122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53" t="n"/>
      <c r="AR28" s="345">
        <f>SUM(AT28:HU28)</f>
        <v/>
      </c>
      <c r="AS28" s="53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296" t="n"/>
      <c r="BE28" s="87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296" t="n"/>
      <c r="BQ28" s="87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296" t="n"/>
      <c r="CC28" s="87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296" t="n"/>
      <c r="CO28" s="87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296" t="n"/>
      <c r="DA28" s="87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6" t="n"/>
      <c r="DK28" s="85" t="n"/>
      <c r="DL28" s="86" t="n">
        <v>0</v>
      </c>
      <c r="DM28" s="86" t="n">
        <v>0</v>
      </c>
      <c r="DN28" s="86" t="n">
        <v>0</v>
      </c>
      <c r="DO28" s="86" t="n">
        <v>0</v>
      </c>
      <c r="DP28" s="86" t="n">
        <v>0</v>
      </c>
      <c r="DQ28" s="86" t="n">
        <v>0</v>
      </c>
      <c r="DR28" s="86" t="n">
        <v>0</v>
      </c>
      <c r="DS28" s="86" t="n">
        <v>0</v>
      </c>
      <c r="DT28" s="86" t="n">
        <v>0</v>
      </c>
      <c r="DU28" s="86" t="n">
        <v>0</v>
      </c>
      <c r="DV28" s="86" t="n">
        <v>0</v>
      </c>
      <c r="DW28" s="86" t="n">
        <v>0</v>
      </c>
      <c r="DX28" s="86" t="n">
        <v>0</v>
      </c>
      <c r="DY28" s="86" t="n">
        <v>0</v>
      </c>
      <c r="DZ28" s="86" t="n">
        <v>0</v>
      </c>
      <c r="EA28" s="86" t="n">
        <v>0</v>
      </c>
      <c r="EB28" s="86" t="n">
        <v>0</v>
      </c>
      <c r="EC28" s="86" t="n">
        <v>0</v>
      </c>
      <c r="ED28" s="86" t="n">
        <v>0</v>
      </c>
      <c r="EE28" s="86" t="n">
        <v>0</v>
      </c>
      <c r="EF28" s="86" t="n">
        <v>0</v>
      </c>
      <c r="EG28" s="86" t="n">
        <v>0</v>
      </c>
      <c r="EH28" s="86" t="n">
        <v>0</v>
      </c>
      <c r="EI28" s="86" t="n">
        <v>0</v>
      </c>
      <c r="EJ28" s="86" t="n">
        <v>0</v>
      </c>
      <c r="EK28" s="86" t="n">
        <v>0</v>
      </c>
      <c r="EL28" s="86" t="n">
        <v>0</v>
      </c>
      <c r="EM28" s="86" t="n">
        <v>0</v>
      </c>
      <c r="EN28" s="86" t="n">
        <v>0</v>
      </c>
      <c r="EO28" s="86" t="n">
        <v>0</v>
      </c>
      <c r="EP28" s="86" t="n">
        <v>0</v>
      </c>
      <c r="EQ28" s="86" t="n">
        <v>0</v>
      </c>
      <c r="ER28" s="86" t="n">
        <v>0</v>
      </c>
      <c r="ES28" s="86" t="n">
        <v>0</v>
      </c>
      <c r="ET28" s="86" t="n">
        <v>0</v>
      </c>
      <c r="EU28" s="86" t="n">
        <v>0</v>
      </c>
      <c r="EV28" s="86" t="n">
        <v>0</v>
      </c>
      <c r="EW28" s="86" t="n">
        <v>0</v>
      </c>
      <c r="EX28" s="86" t="n">
        <v>0</v>
      </c>
      <c r="EY28" s="86" t="n">
        <v>0</v>
      </c>
      <c r="EZ28" s="86" t="n">
        <v>0</v>
      </c>
      <c r="FA28" s="86" t="n">
        <v>0</v>
      </c>
      <c r="FB28" s="86" t="n">
        <v>0</v>
      </c>
      <c r="FC28" s="86" t="n">
        <v>0</v>
      </c>
      <c r="FD28" s="86" t="n">
        <v>0</v>
      </c>
      <c r="FE28" s="86" t="n">
        <v>0</v>
      </c>
      <c r="FF28" s="86" t="n">
        <v>0</v>
      </c>
      <c r="FG28" s="86" t="n">
        <v>0</v>
      </c>
      <c r="FH28" s="86" t="n">
        <v>0</v>
      </c>
      <c r="FI28" s="86" t="n">
        <v>0</v>
      </c>
      <c r="FJ28" s="86" t="n">
        <v>0</v>
      </c>
      <c r="FK28" s="86" t="n">
        <v>0</v>
      </c>
      <c r="FL28" s="86" t="n">
        <v>0</v>
      </c>
      <c r="FM28" s="86" t="n">
        <v>0</v>
      </c>
      <c r="FN28" s="86" t="n">
        <v>0</v>
      </c>
      <c r="FO28" s="86" t="n">
        <v>0</v>
      </c>
      <c r="FP28" s="86" t="n">
        <v>0</v>
      </c>
      <c r="FQ28" s="86" t="n">
        <v>0</v>
      </c>
      <c r="FR28" s="86" t="n">
        <v>0</v>
      </c>
      <c r="FS28" s="86" t="n">
        <v>0</v>
      </c>
      <c r="FT28" s="86" t="n">
        <v>0</v>
      </c>
      <c r="FU28" s="86" t="n">
        <v>0</v>
      </c>
      <c r="FV28" s="86" t="n">
        <v>0</v>
      </c>
      <c r="FW28" s="86" t="n">
        <v>0</v>
      </c>
      <c r="FX28" s="86" t="n">
        <v>0</v>
      </c>
      <c r="FY28" s="86" t="n">
        <v>0</v>
      </c>
      <c r="FZ28" s="86" t="n">
        <v>0</v>
      </c>
      <c r="GA28" s="86" t="n">
        <v>0</v>
      </c>
      <c r="GB28" s="86" t="n">
        <v>0</v>
      </c>
      <c r="GC28" s="86" t="n">
        <v>0</v>
      </c>
      <c r="GD28" s="86" t="n">
        <v>0</v>
      </c>
      <c r="GE28" s="86" t="n">
        <v>0</v>
      </c>
      <c r="GF28" s="86" t="n">
        <v>0</v>
      </c>
      <c r="GG28" s="86" t="n">
        <v>0</v>
      </c>
      <c r="GH28" s="86" t="n">
        <v>0</v>
      </c>
      <c r="GI28" s="86" t="n">
        <v>0</v>
      </c>
      <c r="GJ28" s="86" t="n">
        <v>0</v>
      </c>
      <c r="GK28" s="86" t="n">
        <v>0</v>
      </c>
      <c r="GL28" s="86" t="n">
        <v>0</v>
      </c>
      <c r="GM28" s="86" t="n">
        <v>0</v>
      </c>
      <c r="GN28" s="86" t="n">
        <v>0</v>
      </c>
      <c r="GO28" s="86" t="n">
        <v>0</v>
      </c>
      <c r="GP28" s="86" t="n">
        <v>0</v>
      </c>
      <c r="GQ28" s="86" t="n">
        <v>0</v>
      </c>
      <c r="GR28" s="86" t="n">
        <v>0</v>
      </c>
      <c r="GS28" s="86" t="n">
        <v>0</v>
      </c>
      <c r="GT28" s="86" t="n">
        <v>0</v>
      </c>
      <c r="GU28" s="86" t="n">
        <v>0</v>
      </c>
      <c r="GV28" s="86" t="n">
        <v>0</v>
      </c>
      <c r="GW28" s="86" t="n">
        <v>0</v>
      </c>
      <c r="GX28" s="86" t="n">
        <v>0</v>
      </c>
      <c r="GY28" s="86" t="n">
        <v>0</v>
      </c>
      <c r="GZ28" s="86" t="n">
        <v>0</v>
      </c>
      <c r="HA28" s="86" t="n">
        <v>0</v>
      </c>
      <c r="HB28" s="86" t="n">
        <v>0</v>
      </c>
      <c r="HC28" s="86" t="n">
        <v>0</v>
      </c>
      <c r="HD28" s="86" t="n">
        <v>0</v>
      </c>
      <c r="HE28" s="86" t="n">
        <v>0</v>
      </c>
      <c r="HF28" s="86" t="n">
        <v>0</v>
      </c>
      <c r="HG28" s="86" t="n">
        <v>0</v>
      </c>
      <c r="HH28" s="86" t="n">
        <v>0</v>
      </c>
      <c r="HI28" s="86" t="n">
        <v>0</v>
      </c>
      <c r="HJ28" s="86" t="n">
        <v>0</v>
      </c>
      <c r="HK28" s="86" t="n">
        <v>0</v>
      </c>
      <c r="HL28" s="86" t="n">
        <v>0</v>
      </c>
      <c r="HM28" s="86" t="n">
        <v>0</v>
      </c>
      <c r="HN28" s="86" t="n">
        <v>0</v>
      </c>
      <c r="HO28" s="86" t="n">
        <v>0</v>
      </c>
      <c r="HP28" s="86" t="n">
        <v>0</v>
      </c>
      <c r="HQ28" s="86" t="n">
        <v>0</v>
      </c>
      <c r="HR28" s="86" t="n">
        <v>0</v>
      </c>
      <c r="HS28" s="86" t="n">
        <v>0</v>
      </c>
      <c r="HT28" s="86" t="n">
        <v>0</v>
      </c>
      <c r="HU28" s="86" t="n">
        <v>0</v>
      </c>
      <c r="JF28" s="85">
        <f>AP28</f>
        <v/>
      </c>
      <c r="JG28" s="85">
        <f>SUM(Z28:AK28)</f>
        <v/>
      </c>
      <c r="JH28" s="85">
        <f>SUM(AL28:AP28)</f>
        <v/>
      </c>
      <c r="JI28" s="85">
        <f>SUM(C28:AP28)</f>
        <v/>
      </c>
      <c r="JJ28" s="446" t="n"/>
      <c r="JM28" s="86" t="n"/>
      <c r="KG28" s="136">
        <f>B28</f>
        <v/>
      </c>
      <c r="KH28" s="345">
        <f>AR28</f>
        <v/>
      </c>
    </row>
    <row r="29" ht="16.2" customHeight="1" thickBot="1">
      <c r="A29" s="77" t="inlineStr">
        <is>
          <t>Subtotal</t>
        </is>
      </c>
      <c r="B29" s="137">
        <f>SUM(C29:AP29)</f>
        <v/>
      </c>
      <c r="C29" s="516">
        <f>SUM(C25:C28)</f>
        <v/>
      </c>
      <c r="D29" s="516">
        <f>SUM(D25:D28)</f>
        <v/>
      </c>
      <c r="E29" s="516">
        <f>SUM(E25:E28)</f>
        <v/>
      </c>
      <c r="F29" s="516">
        <f>SUM(F25:F28)</f>
        <v/>
      </c>
      <c r="G29" s="516">
        <f>SUM(G25:G28)</f>
        <v/>
      </c>
      <c r="H29" s="516">
        <f>SUM(H25:H28)</f>
        <v/>
      </c>
      <c r="I29" s="517">
        <f>SUM(I25:I28)</f>
        <v/>
      </c>
      <c r="J29" s="518">
        <f>SUM(J25:J28)</f>
        <v/>
      </c>
      <c r="K29" s="516">
        <f>SUM(K25:K28)</f>
        <v/>
      </c>
      <c r="L29" s="516">
        <f>SUM(L25:L28)</f>
        <v/>
      </c>
      <c r="M29" s="519">
        <f>SUM(M25:M28)</f>
        <v/>
      </c>
      <c r="N29" s="519">
        <f>SUM(N25:N28)</f>
        <v/>
      </c>
      <c r="O29" s="519">
        <f>SUM(O25:O28)</f>
        <v/>
      </c>
      <c r="P29" s="519">
        <f>SUM(P25:P28)</f>
        <v/>
      </c>
      <c r="Q29" s="519">
        <f>SUM(Q25:Q28)</f>
        <v/>
      </c>
      <c r="R29" s="519">
        <f>SUM(R25:R28)</f>
        <v/>
      </c>
      <c r="S29" s="519">
        <f>SUM(S25:S28)</f>
        <v/>
      </c>
      <c r="T29" s="519">
        <f>SUM(T25:T28)</f>
        <v/>
      </c>
      <c r="U29" s="519">
        <f>SUM(U25:U28)</f>
        <v/>
      </c>
      <c r="V29" s="519">
        <f>SUM(V25:V28)</f>
        <v/>
      </c>
      <c r="W29" s="519">
        <f>SUM(W25:W28)</f>
        <v/>
      </c>
      <c r="X29" s="519">
        <f>SUM(X25:X28)</f>
        <v/>
      </c>
      <c r="Y29" s="519">
        <f>SUM(Y25:Y28)</f>
        <v/>
      </c>
      <c r="Z29" s="519">
        <f>SUM(Z25:Z28)</f>
        <v/>
      </c>
      <c r="AA29" s="519">
        <f>SUM(AA25:AA28)</f>
        <v/>
      </c>
      <c r="AB29" s="519">
        <f>SUM(AB25:AB28)</f>
        <v/>
      </c>
      <c r="AC29" s="519">
        <f>SUM(AC25:AC28)</f>
        <v/>
      </c>
      <c r="AD29" s="519">
        <f>SUM(AD25:AD28)</f>
        <v/>
      </c>
      <c r="AE29" s="519">
        <f>SUM(AE25:AE28)</f>
        <v/>
      </c>
      <c r="AF29" s="519">
        <f>SUM(AF25:AF28)</f>
        <v/>
      </c>
      <c r="AG29" s="519">
        <f>SUM(AG25:AG28)</f>
        <v/>
      </c>
      <c r="AH29" s="519">
        <f>SUM(AH25:AH28)</f>
        <v/>
      </c>
      <c r="AI29" s="519">
        <f>SUM(AI25:AI28)</f>
        <v/>
      </c>
      <c r="AJ29" s="519">
        <f>SUM(AJ25:AJ28)</f>
        <v/>
      </c>
      <c r="AK29" s="519">
        <f>SUM(AK25:AK28)</f>
        <v/>
      </c>
      <c r="AL29" s="519">
        <f>SUM(AL25:AL28)</f>
        <v/>
      </c>
      <c r="AM29" s="519">
        <f>SUM(AM25:AM28)</f>
        <v/>
      </c>
      <c r="AN29" s="519">
        <f>SUM(AN25:AN28)</f>
        <v/>
      </c>
      <c r="AO29" s="519">
        <f>SUM(AO25:AO28)</f>
        <v/>
      </c>
      <c r="AP29" s="519">
        <f>SUM(AP25:AP28)</f>
        <v/>
      </c>
      <c r="AQ29" s="13" t="n"/>
      <c r="AR29" s="332">
        <f>SUM(AT29:HU29)</f>
        <v/>
      </c>
      <c r="AS29" s="13" t="n"/>
      <c r="AT29" s="516">
        <f>SUM(AT25:AT28)</f>
        <v/>
      </c>
      <c r="AU29" s="516">
        <f>SUM(AU25:AU28)</f>
        <v/>
      </c>
      <c r="AV29" s="516">
        <f>SUM(AV25:AV28)</f>
        <v/>
      </c>
      <c r="AW29" s="516">
        <f>SUM(AW25:AW28)</f>
        <v/>
      </c>
      <c r="AX29" s="516">
        <f>SUM(AX25:AX28)</f>
        <v/>
      </c>
      <c r="AY29" s="516">
        <f>SUM(AY25:AY28)</f>
        <v/>
      </c>
      <c r="AZ29" s="516">
        <f>SUM(AZ25:AZ28)</f>
        <v/>
      </c>
      <c r="BA29" s="516">
        <f>SUM(BA25:BA28)</f>
        <v/>
      </c>
      <c r="BB29" s="516">
        <f>SUM(BB25:BB28)</f>
        <v/>
      </c>
      <c r="BC29" s="516">
        <f>SUM(BC25:BC28)</f>
        <v/>
      </c>
      <c r="BD29" s="521">
        <f>SUM(BD25:BD28)</f>
        <v/>
      </c>
      <c r="BE29" s="520">
        <f>SUM(BE25:BE28)</f>
        <v/>
      </c>
      <c r="BF29" s="516">
        <f>SUM(BF25:BF28)</f>
        <v/>
      </c>
      <c r="BG29" s="516">
        <f>SUM(BG25:BG28)</f>
        <v/>
      </c>
      <c r="BH29" s="516">
        <f>SUM(BH25:BH28)</f>
        <v/>
      </c>
      <c r="BI29" s="516">
        <f>SUM(BI25:BI28)</f>
        <v/>
      </c>
      <c r="BJ29" s="516">
        <f>SUM(BJ25:BJ28)</f>
        <v/>
      </c>
      <c r="BK29" s="516">
        <f>SUM(BK25:BK28)</f>
        <v/>
      </c>
      <c r="BL29" s="516">
        <f>SUM(BL25:BL28)</f>
        <v/>
      </c>
      <c r="BM29" s="516">
        <f>SUM(BM25:BM28)</f>
        <v/>
      </c>
      <c r="BN29" s="516">
        <f>SUM(BN25:BN28)</f>
        <v/>
      </c>
      <c r="BO29" s="516">
        <f>SUM(BO25:BO28)</f>
        <v/>
      </c>
      <c r="BP29" s="521">
        <f>SUM(BP25:BP28)</f>
        <v/>
      </c>
      <c r="BQ29" s="520">
        <f>SUM(BQ25:BQ28)</f>
        <v/>
      </c>
      <c r="BR29" s="516">
        <f>SUM(BR25:BR28)</f>
        <v/>
      </c>
      <c r="BS29" s="516">
        <f>SUM(BS25:BS28)</f>
        <v/>
      </c>
      <c r="BT29" s="516">
        <f>SUM(BT25:BT28)</f>
        <v/>
      </c>
      <c r="BU29" s="516">
        <f>SUM(BU25:BU28)</f>
        <v/>
      </c>
      <c r="BV29" s="516">
        <f>SUM(BV25:BV28)</f>
        <v/>
      </c>
      <c r="BW29" s="516">
        <f>SUM(BW25:BW28)</f>
        <v/>
      </c>
      <c r="BX29" s="516">
        <f>SUM(BX25:BX28)</f>
        <v/>
      </c>
      <c r="BY29" s="516">
        <f>SUM(BY25:BY28)</f>
        <v/>
      </c>
      <c r="BZ29" s="516">
        <f>SUM(BZ25:BZ28)</f>
        <v/>
      </c>
      <c r="CA29" s="516">
        <f>SUM(CA25:CA28)</f>
        <v/>
      </c>
      <c r="CB29" s="521">
        <f>SUM(CB25:CB28)</f>
        <v/>
      </c>
      <c r="CC29" s="520">
        <f>SUM(CC25:CC28)</f>
        <v/>
      </c>
      <c r="CD29" s="516">
        <f>SUM(CD25:CD28)</f>
        <v/>
      </c>
      <c r="CE29" s="516">
        <f>SUM(CE25:CE28)</f>
        <v/>
      </c>
      <c r="CF29" s="516">
        <f>SUM(CF25:CF28)</f>
        <v/>
      </c>
      <c r="CG29" s="516">
        <f>SUM(CG25:CG28)</f>
        <v/>
      </c>
      <c r="CH29" s="516">
        <f>SUM(CH25:CH28)</f>
        <v/>
      </c>
      <c r="CI29" s="516">
        <f>SUM(CI25:CI28)</f>
        <v/>
      </c>
      <c r="CJ29" s="516">
        <f>SUM(CJ25:CJ28)</f>
        <v/>
      </c>
      <c r="CK29" s="516">
        <f>SUM(CK25:CK28)</f>
        <v/>
      </c>
      <c r="CL29" s="516">
        <f>SUM(CL25:CL28)</f>
        <v/>
      </c>
      <c r="CM29" s="516">
        <f>SUM(CM25:CM28)</f>
        <v/>
      </c>
      <c r="CN29" s="521">
        <f>SUM(CN25:CN28)</f>
        <v/>
      </c>
      <c r="CO29" s="520">
        <f>SUM(CO25:CO28)</f>
        <v/>
      </c>
      <c r="CP29" s="516">
        <f>SUM(CP25:CP28)</f>
        <v/>
      </c>
      <c r="CQ29" s="516">
        <f>SUM(CQ25:CQ28)</f>
        <v/>
      </c>
      <c r="CR29" s="516">
        <f>SUM(CR25:CR28)</f>
        <v/>
      </c>
      <c r="CS29" s="516">
        <f>SUM(CS25:CS28)</f>
        <v/>
      </c>
      <c r="CT29" s="516">
        <f>SUM(CT25:CT28)</f>
        <v/>
      </c>
      <c r="CU29" s="516">
        <f>SUM(CU25:CU28)</f>
        <v/>
      </c>
      <c r="CV29" s="516">
        <f>SUM(CV25:CV28)</f>
        <v/>
      </c>
      <c r="CW29" s="516">
        <f>SUM(CW25:CW28)</f>
        <v/>
      </c>
      <c r="CX29" s="516">
        <f>SUM(CX25:CX28)</f>
        <v/>
      </c>
      <c r="CY29" s="516">
        <f>SUM(CY25:CY28)</f>
        <v/>
      </c>
      <c r="CZ29" s="521">
        <f>SUM(CZ25:CZ28)</f>
        <v/>
      </c>
      <c r="DA29" s="520">
        <f>SUM(DA25:DA28)</f>
        <v/>
      </c>
      <c r="DB29" s="516">
        <f>SUM(DB25:DB28)</f>
        <v/>
      </c>
      <c r="DC29" s="516">
        <f>SUM(DC25:DC28)</f>
        <v/>
      </c>
      <c r="DD29" s="516">
        <f>SUM(DD25:DD28)</f>
        <v/>
      </c>
      <c r="DE29" s="516">
        <f>SUM(DE25:DE28)</f>
        <v/>
      </c>
      <c r="DF29" s="516">
        <f>SUM(DF25:DF28)</f>
        <v/>
      </c>
      <c r="DG29" s="516">
        <f>SUM(DG25:DG28)</f>
        <v/>
      </c>
      <c r="DH29" s="516">
        <f>SUM(DH25:DH28)</f>
        <v/>
      </c>
      <c r="DI29" s="516">
        <f>SUM(DI25:DI28)</f>
        <v/>
      </c>
      <c r="DJ29" s="517">
        <f>SUM(DJ25:DJ28)</f>
        <v/>
      </c>
      <c r="DK29" s="517">
        <f>SUM(DK25:DK28)</f>
        <v/>
      </c>
      <c r="DL29" s="517">
        <f>SUM(DL25:DL28)</f>
        <v/>
      </c>
      <c r="DM29" s="517">
        <f>SUM(DM25:DM28)</f>
        <v/>
      </c>
      <c r="DN29" s="517">
        <f>SUM(DN25:DN28)</f>
        <v/>
      </c>
      <c r="DO29" s="517">
        <f>SUM(DO25:DO28)</f>
        <v/>
      </c>
      <c r="DP29" s="517">
        <f>SUM(DP25:DP28)</f>
        <v/>
      </c>
      <c r="DQ29" s="517">
        <f>SUM(DQ25:DQ28)</f>
        <v/>
      </c>
      <c r="DR29" s="517">
        <f>SUM(DR25:DR28)</f>
        <v/>
      </c>
      <c r="DS29" s="517">
        <f>SUM(DS25:DS28)</f>
        <v/>
      </c>
      <c r="DT29" s="517">
        <f>SUM(DT25:DT28)</f>
        <v/>
      </c>
      <c r="DU29" s="517">
        <f>SUM(DU25:DU28)</f>
        <v/>
      </c>
      <c r="DV29" s="517">
        <f>SUM(DV25:DV28)</f>
        <v/>
      </c>
      <c r="DW29" s="517">
        <f>SUM(DW25:DW28)</f>
        <v/>
      </c>
      <c r="DX29" s="517">
        <f>SUM(DX25:DX28)</f>
        <v/>
      </c>
      <c r="DY29" s="517">
        <f>SUM(DY25:DY28)</f>
        <v/>
      </c>
      <c r="DZ29" s="517">
        <f>SUM(DZ25:DZ28)</f>
        <v/>
      </c>
      <c r="EA29" s="517">
        <f>SUM(EA25:EA28)</f>
        <v/>
      </c>
      <c r="EB29" s="517">
        <f>SUM(EB25:EB28)</f>
        <v/>
      </c>
      <c r="EC29" s="517">
        <f>SUM(EC25:EC28)</f>
        <v/>
      </c>
      <c r="ED29" s="517">
        <f>SUM(ED25:ED28)</f>
        <v/>
      </c>
      <c r="EE29" s="517">
        <f>SUM(EE25:EE28)</f>
        <v/>
      </c>
      <c r="EF29" s="517">
        <f>SUM(EF25:EF28)</f>
        <v/>
      </c>
      <c r="EG29" s="517">
        <f>SUM(EG25:EG28)</f>
        <v/>
      </c>
      <c r="EH29" s="517">
        <f>SUM(EH25:EH28)</f>
        <v/>
      </c>
      <c r="EI29" s="517">
        <f>SUM(EI25:EI28)</f>
        <v/>
      </c>
      <c r="EJ29" s="517">
        <f>SUM(EJ25:EJ28)</f>
        <v/>
      </c>
      <c r="EK29" s="517">
        <f>SUM(EK25:EK28)</f>
        <v/>
      </c>
      <c r="EL29" s="517">
        <f>SUM(EL25:EL28)</f>
        <v/>
      </c>
      <c r="EM29" s="517">
        <f>SUM(EM25:EM28)</f>
        <v/>
      </c>
      <c r="EN29" s="517">
        <f>SUM(EN25:EN28)</f>
        <v/>
      </c>
      <c r="EO29" s="517">
        <f>SUM(EO25:EO28)</f>
        <v/>
      </c>
      <c r="EP29" s="517">
        <f>SUM(EP25:EP28)</f>
        <v/>
      </c>
      <c r="EQ29" s="517">
        <f>SUM(EQ25:EQ28)</f>
        <v/>
      </c>
      <c r="ER29" s="517">
        <f>SUM(ER25:ER28)</f>
        <v/>
      </c>
      <c r="ES29" s="517">
        <f>SUM(ES25:ES28)</f>
        <v/>
      </c>
      <c r="ET29" s="517">
        <f>SUM(ET25:ET28)</f>
        <v/>
      </c>
      <c r="EU29" s="517">
        <f>SUM(EU25:EU28)</f>
        <v/>
      </c>
      <c r="EV29" s="517">
        <f>SUM(EV25:EV28)</f>
        <v/>
      </c>
      <c r="EW29" s="517">
        <f>SUM(EW25:EW28)</f>
        <v/>
      </c>
      <c r="EX29" s="517">
        <f>SUM(EX25:EX28)</f>
        <v/>
      </c>
      <c r="EY29" s="517">
        <f>SUM(EY25:EY28)</f>
        <v/>
      </c>
      <c r="EZ29" s="517">
        <f>SUM(EZ25:EZ28)</f>
        <v/>
      </c>
      <c r="FA29" s="517">
        <f>SUM(FA25:FA28)</f>
        <v/>
      </c>
      <c r="FB29" s="517">
        <f>SUM(FB25:FB28)</f>
        <v/>
      </c>
      <c r="FC29" s="517">
        <f>SUM(FC25:FC28)</f>
        <v/>
      </c>
      <c r="FD29" s="517">
        <f>SUM(FD25:FD28)</f>
        <v/>
      </c>
      <c r="FE29" s="517">
        <f>SUM(FE25:FE28)</f>
        <v/>
      </c>
      <c r="FF29" s="517">
        <f>SUM(FF25:FF28)</f>
        <v/>
      </c>
      <c r="FG29" s="517">
        <f>SUM(FG25:FG28)</f>
        <v/>
      </c>
      <c r="FH29" s="517">
        <f>SUM(FH25:FH28)</f>
        <v/>
      </c>
      <c r="FI29" s="517">
        <f>SUM(FI25:FI28)</f>
        <v/>
      </c>
      <c r="FJ29" s="517">
        <f>SUM(FJ25:FJ28)</f>
        <v/>
      </c>
      <c r="FK29" s="517">
        <f>SUM(FK25:FK28)</f>
        <v/>
      </c>
      <c r="FL29" s="517">
        <f>SUM(FL25:FL28)</f>
        <v/>
      </c>
      <c r="FM29" s="517">
        <f>SUM(FM25:FM28)</f>
        <v/>
      </c>
      <c r="FN29" s="517">
        <f>SUM(FN25:FN28)</f>
        <v/>
      </c>
      <c r="FO29" s="517">
        <f>SUM(FO25:FO28)</f>
        <v/>
      </c>
      <c r="FP29" s="517">
        <f>SUM(FP25:FP28)</f>
        <v/>
      </c>
      <c r="FQ29" s="517">
        <f>SUM(FQ25:FQ28)</f>
        <v/>
      </c>
      <c r="FR29" s="517">
        <f>SUM(FR25:FR28)</f>
        <v/>
      </c>
      <c r="FS29" s="517">
        <f>SUM(FS25:FS28)</f>
        <v/>
      </c>
      <c r="FT29" s="517">
        <f>SUM(FT25:FT28)</f>
        <v/>
      </c>
      <c r="FU29" s="517">
        <f>SUM(FU25:FU28)</f>
        <v/>
      </c>
      <c r="FV29" s="517">
        <f>SUM(FV25:FV28)</f>
        <v/>
      </c>
      <c r="FW29" s="517">
        <f>SUM(FW25:FW28)</f>
        <v/>
      </c>
      <c r="FX29" s="517">
        <f>SUM(FX25:FX28)</f>
        <v/>
      </c>
      <c r="FY29" s="517">
        <f>SUM(FY25:FY28)</f>
        <v/>
      </c>
      <c r="FZ29" s="517">
        <f>SUM(FZ25:FZ28)</f>
        <v/>
      </c>
      <c r="GA29" s="517">
        <f>SUM(GA25:GA28)</f>
        <v/>
      </c>
      <c r="GB29" s="517">
        <f>SUM(GB25:GB28)</f>
        <v/>
      </c>
      <c r="GC29" s="517">
        <f>SUM(GC25:GC28)</f>
        <v/>
      </c>
      <c r="GD29" s="517">
        <f>SUM(GD25:GD28)</f>
        <v/>
      </c>
      <c r="GE29" s="517">
        <f>SUM(GE25:GE28)</f>
        <v/>
      </c>
      <c r="GF29" s="517">
        <f>SUM(GF25:GF28)</f>
        <v/>
      </c>
      <c r="GG29" s="517">
        <f>SUM(GG25:GG28)</f>
        <v/>
      </c>
      <c r="GH29" s="517">
        <f>SUM(GH25:GH28)</f>
        <v/>
      </c>
      <c r="GI29" s="517">
        <f>SUM(GI25:GI28)</f>
        <v/>
      </c>
      <c r="GJ29" s="517">
        <f>SUM(GJ25:GJ28)</f>
        <v/>
      </c>
      <c r="GK29" s="517">
        <f>SUM(GK25:GK28)</f>
        <v/>
      </c>
      <c r="GL29" s="517">
        <f>SUM(GL25:GL28)</f>
        <v/>
      </c>
      <c r="GM29" s="517">
        <f>SUM(GM25:GM28)</f>
        <v/>
      </c>
      <c r="GN29" s="517">
        <f>SUM(GN25:GN28)</f>
        <v/>
      </c>
      <c r="GO29" s="517">
        <f>SUM(GO25:GO28)</f>
        <v/>
      </c>
      <c r="GP29" s="517">
        <f>SUM(GP25:GP28)</f>
        <v/>
      </c>
      <c r="GQ29" s="517">
        <f>SUM(GQ25:GQ28)</f>
        <v/>
      </c>
      <c r="GR29" s="517">
        <f>SUM(GR25:GR28)</f>
        <v/>
      </c>
      <c r="GS29" s="517">
        <f>SUM(GS25:GS28)</f>
        <v/>
      </c>
      <c r="GT29" s="517">
        <f>SUM(GT25:GT28)</f>
        <v/>
      </c>
      <c r="GU29" s="517">
        <f>SUM(GU25:GU28)</f>
        <v/>
      </c>
      <c r="GV29" s="517">
        <f>SUM(GV25:GV28)</f>
        <v/>
      </c>
      <c r="GW29" s="517">
        <f>SUM(GW25:GW28)</f>
        <v/>
      </c>
      <c r="GX29" s="517">
        <f>SUM(GX25:GX28)</f>
        <v/>
      </c>
      <c r="GY29" s="517">
        <f>SUM(GY25:GY28)</f>
        <v/>
      </c>
      <c r="GZ29" s="517">
        <f>SUM(GZ25:GZ28)</f>
        <v/>
      </c>
      <c r="HA29" s="517">
        <f>SUM(HA25:HA28)</f>
        <v/>
      </c>
      <c r="HB29" s="517">
        <f>SUM(HB25:HB28)</f>
        <v/>
      </c>
      <c r="HC29" s="517">
        <f>SUM(HC25:HC28)</f>
        <v/>
      </c>
      <c r="HD29" s="517">
        <f>SUM(HD25:HD28)</f>
        <v/>
      </c>
      <c r="HE29" s="517">
        <f>SUM(HE25:HE28)</f>
        <v/>
      </c>
      <c r="HF29" s="517">
        <f>SUM(HF25:HF28)</f>
        <v/>
      </c>
      <c r="HG29" s="517">
        <f>SUM(HG25:HG28)</f>
        <v/>
      </c>
      <c r="HH29" s="517">
        <f>SUM(HH25:HH28)</f>
        <v/>
      </c>
      <c r="HI29" s="517">
        <f>SUM(HI25:HI28)</f>
        <v/>
      </c>
      <c r="HJ29" s="517">
        <f>SUM(HJ25:HJ28)</f>
        <v/>
      </c>
      <c r="HK29" s="517">
        <f>SUM(HK25:HK28)</f>
        <v/>
      </c>
      <c r="HL29" s="517">
        <f>SUM(HL25:HL28)</f>
        <v/>
      </c>
      <c r="HM29" s="517">
        <f>SUM(HM25:HM28)</f>
        <v/>
      </c>
      <c r="HN29" s="517">
        <f>SUM(HN25:HN28)</f>
        <v/>
      </c>
      <c r="HO29" s="517">
        <f>SUM(HO25:HO28)</f>
        <v/>
      </c>
      <c r="HP29" s="517">
        <f>SUM(HP25:HP28)</f>
        <v/>
      </c>
      <c r="HQ29" s="517">
        <f>SUM(HQ25:HQ28)</f>
        <v/>
      </c>
      <c r="HR29" s="517">
        <f>SUM(HR25:HR28)</f>
        <v/>
      </c>
      <c r="HS29" s="517">
        <f>SUM(HS25:HS28)</f>
        <v/>
      </c>
      <c r="HT29" s="517">
        <f>SUM(HT25:HT28)</f>
        <v/>
      </c>
      <c r="HU29" s="517">
        <f>SUM(HU25:HU28)</f>
        <v/>
      </c>
      <c r="JF29" s="516">
        <f>AP29</f>
        <v/>
      </c>
      <c r="JG29" s="516">
        <f>SUM(Z29:AK29)</f>
        <v/>
      </c>
      <c r="JH29" s="516">
        <f>SUM(AL29:AP29)</f>
        <v/>
      </c>
      <c r="JI29" s="516">
        <f>SUM(C29:AP29)</f>
        <v/>
      </c>
      <c r="JJ29" s="446" t="n"/>
      <c r="JM29" s="517" t="n">
        <v>-250344.3495177614</v>
      </c>
      <c r="KG29" s="137">
        <f>B29</f>
        <v/>
      </c>
      <c r="KH29" s="332">
        <f>AR29</f>
        <v/>
      </c>
    </row>
    <row r="30" ht="6.75" customHeight="1" thickBot="1">
      <c r="A30" s="88" t="n"/>
      <c r="B30" s="138" t="n"/>
      <c r="C30" s="522" t="n"/>
      <c r="D30" s="522" t="n"/>
      <c r="E30" s="522" t="n"/>
      <c r="F30" s="522" t="n"/>
      <c r="G30" s="522" t="n"/>
      <c r="H30" s="522" t="n"/>
      <c r="I30" s="522" t="n"/>
      <c r="J30" s="523" t="n"/>
      <c r="K30" s="522" t="n"/>
      <c r="L30" s="522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524" t="n"/>
      <c r="AI30" s="524" t="n"/>
      <c r="AJ30" s="524" t="n"/>
      <c r="AK30" s="524" t="n"/>
      <c r="AL30" s="524" t="n"/>
      <c r="AM30" s="524" t="n"/>
      <c r="AN30" s="524" t="n"/>
      <c r="AO30" s="524" t="n"/>
      <c r="AP30" s="524" t="n"/>
      <c r="AQ30" s="13" t="n"/>
      <c r="AR30" s="240" t="n"/>
      <c r="AS30" s="13" t="n"/>
      <c r="AT30" s="522" t="n"/>
      <c r="AU30" s="522" t="n"/>
      <c r="AV30" s="522" t="n"/>
      <c r="AW30" s="522" t="n"/>
      <c r="AX30" s="522" t="n"/>
      <c r="AY30" s="522" t="n"/>
      <c r="AZ30" s="522" t="n"/>
      <c r="BA30" s="522" t="n"/>
      <c r="BB30" s="522" t="n"/>
      <c r="BC30" s="522" t="n"/>
      <c r="BD30" s="525" t="n"/>
      <c r="BE30" s="522" t="n"/>
      <c r="BF30" s="522" t="n"/>
      <c r="BG30" s="522" t="n"/>
      <c r="BH30" s="522" t="n"/>
      <c r="BI30" s="522" t="n"/>
      <c r="BJ30" s="522" t="n"/>
      <c r="BK30" s="522" t="n"/>
      <c r="BL30" s="522" t="n"/>
      <c r="BM30" s="522" t="n"/>
      <c r="BN30" s="522" t="n"/>
      <c r="BO30" s="522" t="n"/>
      <c r="BP30" s="525" t="n"/>
      <c r="BQ30" s="522" t="n"/>
      <c r="BR30" s="522" t="n"/>
      <c r="BS30" s="522" t="n"/>
      <c r="BT30" s="522" t="n"/>
      <c r="BU30" s="522" t="n"/>
      <c r="BV30" s="522" t="n"/>
      <c r="BW30" s="522" t="n"/>
      <c r="BX30" s="522" t="n"/>
      <c r="BY30" s="522" t="n"/>
      <c r="BZ30" s="522" t="n"/>
      <c r="CA30" s="522" t="n"/>
      <c r="CB30" s="525" t="n"/>
      <c r="CC30" s="522" t="n"/>
      <c r="CD30" s="522" t="n"/>
      <c r="CE30" s="522" t="n"/>
      <c r="CF30" s="522" t="n"/>
      <c r="CG30" s="522" t="n"/>
      <c r="CH30" s="522" t="n"/>
      <c r="CI30" s="522" t="n"/>
      <c r="CJ30" s="522" t="n"/>
      <c r="CK30" s="522" t="n"/>
      <c r="CL30" s="522" t="n"/>
      <c r="CM30" s="522" t="n"/>
      <c r="CN30" s="525" t="n"/>
      <c r="CO30" s="522" t="n"/>
      <c r="CP30" s="522" t="n"/>
      <c r="CQ30" s="522" t="n"/>
      <c r="CR30" s="522" t="n"/>
      <c r="CS30" s="522" t="n"/>
      <c r="CT30" s="522" t="n"/>
      <c r="CU30" s="522" t="n"/>
      <c r="CV30" s="522" t="n"/>
      <c r="CW30" s="522" t="n"/>
      <c r="CX30" s="522" t="n"/>
      <c r="CY30" s="522" t="n"/>
      <c r="CZ30" s="525" t="n"/>
      <c r="DA30" s="522" t="n"/>
      <c r="DB30" s="522" t="n"/>
      <c r="DC30" s="522" t="n"/>
      <c r="DD30" s="522" t="n"/>
      <c r="DE30" s="522" t="n"/>
      <c r="DF30" s="522" t="n"/>
      <c r="DG30" s="522" t="n"/>
      <c r="DH30" s="522" t="n"/>
      <c r="DI30" s="522" t="n"/>
      <c r="DJ30" s="522" t="n"/>
      <c r="DK30" s="522" t="n"/>
      <c r="DL30" s="522" t="n"/>
      <c r="DM30" s="522" t="n"/>
      <c r="DN30" s="522" t="n"/>
      <c r="DO30" s="522" t="n"/>
      <c r="DP30" s="522" t="n"/>
      <c r="DQ30" s="522" t="n"/>
      <c r="DR30" s="522" t="n"/>
      <c r="DS30" s="522" t="n"/>
      <c r="DT30" s="522" t="n"/>
      <c r="DU30" s="522" t="n"/>
      <c r="DV30" s="522" t="n"/>
      <c r="DW30" s="522" t="n"/>
      <c r="DX30" s="522" t="n"/>
      <c r="DY30" s="522" t="n"/>
      <c r="DZ30" s="522" t="n"/>
      <c r="EA30" s="522" t="n"/>
      <c r="EB30" s="522" t="n"/>
      <c r="EC30" s="522" t="n"/>
      <c r="ED30" s="522" t="n"/>
      <c r="EE30" s="522" t="n"/>
      <c r="EF30" s="522" t="n"/>
      <c r="EG30" s="522" t="n"/>
      <c r="EH30" s="522" t="n"/>
      <c r="EI30" s="522" t="n"/>
      <c r="EJ30" s="522" t="n"/>
      <c r="EK30" s="522" t="n"/>
      <c r="EL30" s="522" t="n"/>
      <c r="EM30" s="522" t="n"/>
      <c r="EN30" s="522" t="n"/>
      <c r="EO30" s="522" t="n"/>
      <c r="EP30" s="522" t="n"/>
      <c r="EQ30" s="522" t="n"/>
      <c r="ER30" s="522" t="n"/>
      <c r="ES30" s="522" t="n"/>
      <c r="ET30" s="522" t="n"/>
      <c r="EU30" s="522" t="n"/>
      <c r="EV30" s="522" t="n"/>
      <c r="EW30" s="522" t="n"/>
      <c r="EX30" s="522" t="n"/>
      <c r="EY30" s="522" t="n"/>
      <c r="EZ30" s="522" t="n"/>
      <c r="FA30" s="522" t="n"/>
      <c r="FB30" s="522" t="n"/>
      <c r="FC30" s="522" t="n"/>
      <c r="FD30" s="522" t="n"/>
      <c r="FE30" s="522" t="n"/>
      <c r="FF30" s="522" t="n"/>
      <c r="FG30" s="522" t="n"/>
      <c r="FH30" s="522" t="n"/>
      <c r="FI30" s="522" t="n"/>
      <c r="FJ30" s="522" t="n"/>
      <c r="FK30" s="522" t="n"/>
      <c r="FL30" s="522" t="n"/>
      <c r="FM30" s="522" t="n"/>
      <c r="FN30" s="522" t="n"/>
      <c r="FO30" s="522" t="n"/>
      <c r="FP30" s="522" t="n"/>
      <c r="FQ30" s="522" t="n"/>
      <c r="FR30" s="522" t="n"/>
      <c r="FS30" s="522" t="n"/>
      <c r="FT30" s="522" t="n"/>
      <c r="FU30" s="522" t="n"/>
      <c r="FV30" s="522" t="n"/>
      <c r="FW30" s="522" t="n"/>
      <c r="FX30" s="522" t="n"/>
      <c r="FY30" s="522" t="n"/>
      <c r="FZ30" s="522" t="n"/>
      <c r="GA30" s="522" t="n"/>
      <c r="GB30" s="522" t="n"/>
      <c r="GC30" s="522" t="n"/>
      <c r="GD30" s="522" t="n"/>
      <c r="GE30" s="522" t="n"/>
      <c r="GF30" s="522" t="n"/>
      <c r="GG30" s="522" t="n"/>
      <c r="GH30" s="522" t="n"/>
      <c r="GI30" s="522" t="n"/>
      <c r="GJ30" s="522" t="n"/>
      <c r="GK30" s="522" t="n"/>
      <c r="GL30" s="522" t="n"/>
      <c r="GM30" s="522" t="n"/>
      <c r="GN30" s="522" t="n"/>
      <c r="GO30" s="522" t="n"/>
      <c r="GP30" s="522" t="n"/>
      <c r="GQ30" s="522" t="n"/>
      <c r="GR30" s="522" t="n"/>
      <c r="GS30" s="522" t="n"/>
      <c r="GT30" s="522" t="n"/>
      <c r="GU30" s="522" t="n"/>
      <c r="GV30" s="522" t="n"/>
      <c r="GW30" s="522" t="n"/>
      <c r="GX30" s="522" t="n"/>
      <c r="GY30" s="522" t="n"/>
      <c r="GZ30" s="522" t="n"/>
      <c r="HA30" s="522" t="n"/>
      <c r="HB30" s="522" t="n"/>
      <c r="HC30" s="522" t="n"/>
      <c r="HD30" s="522" t="n"/>
      <c r="HE30" s="522" t="n"/>
      <c r="HF30" s="522" t="n"/>
      <c r="HG30" s="522" t="n"/>
      <c r="HH30" s="522" t="n"/>
      <c r="HI30" s="522" t="n"/>
      <c r="HJ30" s="522" t="n"/>
      <c r="HK30" s="522" t="n"/>
      <c r="HL30" s="522" t="n"/>
      <c r="HM30" s="522" t="n"/>
      <c r="HN30" s="522" t="n"/>
      <c r="HO30" s="522" t="n"/>
      <c r="HP30" s="522" t="n"/>
      <c r="HQ30" s="522" t="n"/>
      <c r="HR30" s="522" t="n"/>
      <c r="HS30" s="522" t="n"/>
      <c r="HT30" s="522" t="n"/>
      <c r="HU30" s="522" t="n"/>
      <c r="JF30" s="522">
        <f>AP30</f>
        <v/>
      </c>
      <c r="JG30" s="522">
        <f>SUM(Z30:AK30)</f>
        <v/>
      </c>
      <c r="JH30" s="522">
        <f>SUM(AL30:AP30)</f>
        <v/>
      </c>
      <c r="JI30" s="522">
        <f>SUM(C30:AP30)</f>
        <v/>
      </c>
      <c r="JJ30" s="446" t="n"/>
      <c r="JM30" s="522" t="n"/>
      <c r="KG30" s="138">
        <f>B30</f>
        <v/>
      </c>
      <c r="KH30" s="240">
        <f>AR30</f>
        <v/>
      </c>
    </row>
    <row r="31" ht="16.2" customHeight="1">
      <c r="A31" s="19" t="inlineStr">
        <is>
          <t>ITBI + IPTU ESTOQUE(-)</t>
        </is>
      </c>
      <c r="B31" s="139" t="n"/>
      <c r="C31" s="20" t="n"/>
      <c r="D31" s="22" t="n"/>
      <c r="E31" s="20" t="n"/>
      <c r="F31" s="20" t="n"/>
      <c r="G31" s="20" t="n"/>
      <c r="H31" s="20" t="n"/>
      <c r="I31" s="21" t="n"/>
      <c r="J31" s="175" t="n"/>
      <c r="K31" s="21" t="n"/>
      <c r="L31" s="108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  <c r="AL31" s="220" t="n"/>
      <c r="AM31" s="220" t="n"/>
      <c r="AN31" s="220" t="n"/>
      <c r="AO31" s="220" t="n"/>
      <c r="AP31" s="220" t="n"/>
      <c r="AQ31" s="200" t="n"/>
      <c r="AR31" s="334" t="n"/>
      <c r="AS31" s="20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99" t="n"/>
      <c r="BE31" s="22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99" t="n"/>
      <c r="BQ31" s="22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99" t="n"/>
      <c r="CC31" s="22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99" t="n"/>
      <c r="CO31" s="22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320" t="n"/>
      <c r="DA31" s="22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1" t="n"/>
      <c r="DK31" s="20" t="n"/>
      <c r="DL31" s="21" t="n"/>
      <c r="DM31" s="20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1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1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1" t="n"/>
      <c r="GI31" s="21" t="n"/>
      <c r="GJ31" s="21" t="n"/>
      <c r="GK31" s="21" t="n"/>
      <c r="GL31" s="21" t="n"/>
      <c r="GM31" s="21" t="n"/>
      <c r="GN31" s="21" t="n"/>
      <c r="GO31" s="21" t="n"/>
      <c r="GP31" s="21" t="n"/>
      <c r="GQ31" s="21" t="n"/>
      <c r="GR31" s="21" t="n"/>
      <c r="GS31" s="21" t="n"/>
      <c r="GT31" s="21" t="n"/>
      <c r="GU31" s="21" t="n"/>
      <c r="GV31" s="21" t="n"/>
      <c r="GW31" s="21" t="n"/>
      <c r="GX31" s="21" t="n"/>
      <c r="GY31" s="21" t="n"/>
      <c r="GZ31" s="21" t="n"/>
      <c r="HA31" s="21" t="n"/>
      <c r="HB31" s="21" t="n"/>
      <c r="HC31" s="21" t="n"/>
      <c r="HD31" s="21" t="n"/>
      <c r="HE31" s="21" t="n"/>
      <c r="HF31" s="21" t="n"/>
      <c r="HG31" s="21" t="n"/>
      <c r="HH31" s="21" t="n"/>
      <c r="HI31" s="21" t="n"/>
      <c r="HJ31" s="21" t="n"/>
      <c r="HK31" s="21" t="n"/>
      <c r="HL31" s="21" t="n"/>
      <c r="HM31" s="21" t="n"/>
      <c r="HN31" s="21" t="n"/>
      <c r="HO31" s="21" t="n"/>
      <c r="HP31" s="21" t="n"/>
      <c r="HQ31" s="21" t="n"/>
      <c r="HR31" s="21" t="n"/>
      <c r="HS31" s="21" t="n"/>
      <c r="HT31" s="21" t="n"/>
      <c r="HU31" s="21" t="n"/>
      <c r="JF31" s="20">
        <f>AP31</f>
        <v/>
      </c>
      <c r="JG31" s="20">
        <f>SUM(Z31:AK31)</f>
        <v/>
      </c>
      <c r="JH31" s="20">
        <f>SUM(AL31:AP31)</f>
        <v/>
      </c>
      <c r="JI31" s="20">
        <f>SUM(C31:AP31)</f>
        <v/>
      </c>
      <c r="JJ31" s="446" t="n"/>
      <c r="JM31" s="21" t="n"/>
      <c r="KG31" s="139">
        <f>B31</f>
        <v/>
      </c>
      <c r="KH31" s="334">
        <f>AR31</f>
        <v/>
      </c>
    </row>
    <row r="32" ht="15.75" customHeight="1">
      <c r="A32" s="7" t="inlineStr">
        <is>
          <t>ITBI</t>
        </is>
      </c>
      <c r="B32" s="136">
        <f>SUM(C32:AP32)</f>
        <v/>
      </c>
      <c r="C32" s="85" t="n"/>
      <c r="D32" s="87" t="n"/>
      <c r="E32" s="85" t="n"/>
      <c r="F32" s="85" t="n"/>
      <c r="G32" s="85" t="n"/>
      <c r="H32" s="85" t="n"/>
      <c r="I32" s="86" t="n"/>
      <c r="J32" s="218" t="n"/>
      <c r="K32" s="113" t="n"/>
      <c r="L32" s="122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0" t="n"/>
      <c r="X32" s="219" t="n"/>
      <c r="Y32" s="219" t="n"/>
      <c r="Z32" s="219" t="n"/>
      <c r="AA32" s="219" t="n"/>
      <c r="AB32" s="219" t="n"/>
      <c r="AC32" s="219" t="n"/>
      <c r="AD32" s="219">
        <f>-425723.20325</f>
        <v/>
      </c>
      <c r="AE32" s="219" t="n">
        <v>-169878.95</v>
      </c>
      <c r="AF32" s="219" t="n">
        <v>-233674.3</v>
      </c>
      <c r="AG32" s="219" t="n">
        <v>-164053.77</v>
      </c>
      <c r="AH32" s="219" t="n">
        <v>-88145.00999999999</v>
      </c>
      <c r="AI32" s="219" t="n">
        <v>-72316.23</v>
      </c>
      <c r="AJ32" s="219" t="n">
        <v>-116408.21</v>
      </c>
      <c r="AK32" s="219" t="n">
        <v>-93487.63</v>
      </c>
      <c r="AL32" s="219" t="n">
        <v>-225000.78</v>
      </c>
      <c r="AM32" s="219" t="n">
        <v>-144626.49</v>
      </c>
      <c r="AN32" s="219" t="n">
        <v>-113015.4</v>
      </c>
      <c r="AO32" s="219" t="n">
        <v>-73115.61</v>
      </c>
      <c r="AP32" s="219" t="n">
        <v>-100151.9</v>
      </c>
      <c r="AQ32" s="13" t="n"/>
      <c r="AR32" s="345">
        <f>SUM(AT32:HU32)</f>
        <v/>
      </c>
      <c r="AS32" s="13" t="n"/>
      <c r="AT32" s="87">
        <f>-(B8+B32)/3</f>
        <v/>
      </c>
      <c r="AU32" s="87">
        <f>AT32</f>
        <v/>
      </c>
      <c r="AV32" s="87">
        <f>AU32</f>
        <v/>
      </c>
      <c r="AW32" s="87" t="n">
        <v>0</v>
      </c>
      <c r="AX32" s="87" t="n">
        <v>0</v>
      </c>
      <c r="AY32" s="87" t="n">
        <v>0</v>
      </c>
      <c r="AZ32" s="87" t="n">
        <v>0</v>
      </c>
      <c r="BA32" s="87" t="n">
        <v>0</v>
      </c>
      <c r="BB32" s="87" t="n">
        <v>0</v>
      </c>
      <c r="BC32" s="87" t="n">
        <v>0</v>
      </c>
      <c r="BD32" s="87" t="n">
        <v>0</v>
      </c>
      <c r="BE32" s="87" t="n">
        <v>0</v>
      </c>
      <c r="BF32" s="87" t="n">
        <v>0</v>
      </c>
      <c r="BG32" s="87" t="n">
        <v>0</v>
      </c>
      <c r="BH32" s="87" t="n">
        <v>0</v>
      </c>
      <c r="BI32" s="87" t="n">
        <v>0</v>
      </c>
      <c r="BJ32" s="87" t="n">
        <v>0</v>
      </c>
      <c r="BK32" s="87" t="n">
        <v>0</v>
      </c>
      <c r="BL32" s="87" t="n">
        <v>0</v>
      </c>
      <c r="BM32" s="87" t="n">
        <v>0</v>
      </c>
      <c r="BN32" s="87" t="n">
        <v>0</v>
      </c>
      <c r="BO32" s="87" t="n">
        <v>0</v>
      </c>
      <c r="BP32" s="87" t="n">
        <v>0</v>
      </c>
      <c r="BQ32" s="87" t="n">
        <v>0</v>
      </c>
      <c r="BR32" s="87" t="n">
        <v>0</v>
      </c>
      <c r="BS32" s="87" t="n">
        <v>0</v>
      </c>
      <c r="BT32" s="87" t="n">
        <v>0</v>
      </c>
      <c r="BU32" s="87" t="n">
        <v>0</v>
      </c>
      <c r="BV32" s="87" t="n">
        <v>0</v>
      </c>
      <c r="BW32" s="87" t="n">
        <v>0</v>
      </c>
      <c r="BX32" s="87" t="n">
        <v>0</v>
      </c>
      <c r="BY32" s="87" t="n">
        <v>0</v>
      </c>
      <c r="BZ32" s="87" t="n">
        <v>0</v>
      </c>
      <c r="CA32" s="87" t="n">
        <v>0</v>
      </c>
      <c r="CB32" s="87" t="n">
        <v>0</v>
      </c>
      <c r="CC32" s="87" t="n">
        <v>0</v>
      </c>
      <c r="CD32" s="87" t="n">
        <v>0</v>
      </c>
      <c r="CE32" s="87" t="n">
        <v>0</v>
      </c>
      <c r="CF32" s="87" t="n">
        <v>0</v>
      </c>
      <c r="CG32" s="87" t="n">
        <v>0</v>
      </c>
      <c r="CH32" s="87" t="n">
        <v>0</v>
      </c>
      <c r="CI32" s="87" t="n">
        <v>0</v>
      </c>
      <c r="CJ32" s="87" t="n">
        <v>0</v>
      </c>
      <c r="CK32" s="87" t="n">
        <v>0</v>
      </c>
      <c r="CL32" s="87" t="n">
        <v>0</v>
      </c>
      <c r="CM32" s="87" t="n">
        <v>0</v>
      </c>
      <c r="CN32" s="87" t="n">
        <v>0</v>
      </c>
      <c r="CO32" s="87" t="n">
        <v>0</v>
      </c>
      <c r="CP32" s="87" t="n">
        <v>0</v>
      </c>
      <c r="CQ32" s="87" t="n">
        <v>0</v>
      </c>
      <c r="CR32" s="87" t="n">
        <v>0</v>
      </c>
      <c r="CS32" s="87" t="n">
        <v>0</v>
      </c>
      <c r="CT32" s="87" t="n">
        <v>0</v>
      </c>
      <c r="CU32" s="87" t="n">
        <v>0</v>
      </c>
      <c r="CV32" s="87" t="n">
        <v>0</v>
      </c>
      <c r="CW32" s="87" t="n">
        <v>0</v>
      </c>
      <c r="CX32" s="87" t="n">
        <v>0</v>
      </c>
      <c r="CY32" s="87" t="n">
        <v>0</v>
      </c>
      <c r="CZ32" s="87" t="n">
        <v>0</v>
      </c>
      <c r="DA32" s="87" t="n">
        <v>0</v>
      </c>
      <c r="DB32" s="87" t="n">
        <v>0</v>
      </c>
      <c r="DC32" s="87" t="n">
        <v>0</v>
      </c>
      <c r="DD32" s="87" t="n">
        <v>0</v>
      </c>
      <c r="DE32" s="87" t="n">
        <v>0</v>
      </c>
      <c r="DF32" s="87" t="n">
        <v>0</v>
      </c>
      <c r="DG32" s="87" t="n">
        <v>0</v>
      </c>
      <c r="DH32" s="87" t="n">
        <v>0</v>
      </c>
      <c r="DI32" s="87" t="n">
        <v>0</v>
      </c>
      <c r="DJ32" s="87" t="n">
        <v>0</v>
      </c>
      <c r="DK32" s="87" t="n">
        <v>0</v>
      </c>
      <c r="DL32" s="87" t="n">
        <v>0</v>
      </c>
      <c r="DM32" s="87" t="n">
        <v>0</v>
      </c>
      <c r="DN32" s="87" t="n">
        <v>0</v>
      </c>
      <c r="DO32" s="87" t="n">
        <v>0</v>
      </c>
      <c r="DP32" s="87" t="n">
        <v>0</v>
      </c>
      <c r="DQ32" s="87" t="n">
        <v>0</v>
      </c>
      <c r="DR32" s="87" t="n">
        <v>0</v>
      </c>
      <c r="DS32" s="87" t="n">
        <v>0</v>
      </c>
      <c r="DT32" s="87" t="n">
        <v>0</v>
      </c>
      <c r="DU32" s="87" t="n">
        <v>0</v>
      </c>
      <c r="DV32" s="87" t="n">
        <v>0</v>
      </c>
      <c r="DW32" s="87" t="n">
        <v>0</v>
      </c>
      <c r="DX32" s="87" t="n">
        <v>0</v>
      </c>
      <c r="DY32" s="87" t="n">
        <v>0</v>
      </c>
      <c r="DZ32" s="87" t="n">
        <v>0</v>
      </c>
      <c r="EA32" s="87" t="n">
        <v>0</v>
      </c>
      <c r="EB32" s="87" t="n">
        <v>0</v>
      </c>
      <c r="EC32" s="87" t="n">
        <v>0</v>
      </c>
      <c r="ED32" s="87" t="n">
        <v>0</v>
      </c>
      <c r="EE32" s="87" t="n">
        <v>0</v>
      </c>
      <c r="EF32" s="87" t="n">
        <v>0</v>
      </c>
      <c r="EG32" s="87" t="n">
        <v>0</v>
      </c>
      <c r="EH32" s="87" t="n">
        <v>0</v>
      </c>
      <c r="EI32" s="87" t="n">
        <v>0</v>
      </c>
      <c r="EJ32" s="87" t="n">
        <v>0</v>
      </c>
      <c r="EK32" s="87" t="n">
        <v>0</v>
      </c>
      <c r="EL32" s="87" t="n">
        <v>0</v>
      </c>
      <c r="EM32" s="87" t="n">
        <v>0</v>
      </c>
      <c r="EN32" s="87" t="n">
        <v>0</v>
      </c>
      <c r="EO32" s="87" t="n">
        <v>0</v>
      </c>
      <c r="EP32" s="87" t="n">
        <v>0</v>
      </c>
      <c r="EQ32" s="87" t="n">
        <v>0</v>
      </c>
      <c r="ER32" s="87" t="n">
        <v>0</v>
      </c>
      <c r="ES32" s="87" t="n">
        <v>0</v>
      </c>
      <c r="ET32" s="87" t="n">
        <v>0</v>
      </c>
      <c r="EU32" s="87" t="n">
        <v>0</v>
      </c>
      <c r="EV32" s="87" t="n">
        <v>0</v>
      </c>
      <c r="EW32" s="87" t="n">
        <v>0</v>
      </c>
      <c r="EX32" s="87" t="n">
        <v>0</v>
      </c>
      <c r="EY32" s="87" t="n">
        <v>0</v>
      </c>
      <c r="EZ32" s="87" t="n">
        <v>0</v>
      </c>
      <c r="FA32" s="87" t="n">
        <v>0</v>
      </c>
      <c r="FB32" s="87" t="n">
        <v>0</v>
      </c>
      <c r="FC32" s="87" t="n">
        <v>0</v>
      </c>
      <c r="FD32" s="87" t="n">
        <v>0</v>
      </c>
      <c r="FE32" s="87" t="n">
        <v>0</v>
      </c>
      <c r="FF32" s="87" t="n">
        <v>0</v>
      </c>
      <c r="FG32" s="87" t="n">
        <v>0</v>
      </c>
      <c r="FH32" s="87" t="n">
        <v>0</v>
      </c>
      <c r="FI32" s="87" t="n">
        <v>0</v>
      </c>
      <c r="FJ32" s="87" t="n">
        <v>0</v>
      </c>
      <c r="FK32" s="87" t="n">
        <v>0</v>
      </c>
      <c r="FL32" s="87" t="n">
        <v>0</v>
      </c>
      <c r="FM32" s="87" t="n">
        <v>0</v>
      </c>
      <c r="FN32" s="87" t="n">
        <v>0</v>
      </c>
      <c r="FO32" s="87" t="n">
        <v>0</v>
      </c>
      <c r="FP32" s="87" t="n">
        <v>0</v>
      </c>
      <c r="FQ32" s="87" t="n">
        <v>0</v>
      </c>
      <c r="FR32" s="87" t="n">
        <v>0</v>
      </c>
      <c r="FS32" s="87" t="n">
        <v>0</v>
      </c>
      <c r="FT32" s="87" t="n">
        <v>0</v>
      </c>
      <c r="FU32" s="87" t="n">
        <v>0</v>
      </c>
      <c r="FV32" s="87" t="n">
        <v>0</v>
      </c>
      <c r="FW32" s="87" t="n">
        <v>0</v>
      </c>
      <c r="FX32" s="87" t="n">
        <v>0</v>
      </c>
      <c r="FY32" s="87" t="n">
        <v>0</v>
      </c>
      <c r="FZ32" s="87" t="n">
        <v>0</v>
      </c>
      <c r="GA32" s="87" t="n">
        <v>0</v>
      </c>
      <c r="GB32" s="87" t="n">
        <v>0</v>
      </c>
      <c r="GC32" s="87" t="n">
        <v>0</v>
      </c>
      <c r="GD32" s="87" t="n">
        <v>0</v>
      </c>
      <c r="GE32" s="87" t="n">
        <v>0</v>
      </c>
      <c r="GF32" s="87" t="n">
        <v>0</v>
      </c>
      <c r="GG32" s="87" t="n">
        <v>0</v>
      </c>
      <c r="GH32" s="87" t="n">
        <v>0</v>
      </c>
      <c r="GI32" s="87" t="n">
        <v>0</v>
      </c>
      <c r="GJ32" s="87" t="n">
        <v>0</v>
      </c>
      <c r="GK32" s="87" t="n">
        <v>0</v>
      </c>
      <c r="GL32" s="87" t="n">
        <v>0</v>
      </c>
      <c r="GM32" s="87" t="n">
        <v>0</v>
      </c>
      <c r="GN32" s="87" t="n">
        <v>0</v>
      </c>
      <c r="GO32" s="87" t="n">
        <v>0</v>
      </c>
      <c r="GP32" s="87" t="n">
        <v>0</v>
      </c>
      <c r="GQ32" s="87" t="n">
        <v>0</v>
      </c>
      <c r="GR32" s="87" t="n">
        <v>0</v>
      </c>
      <c r="GS32" s="87" t="n">
        <v>0</v>
      </c>
      <c r="GT32" s="87" t="n">
        <v>0</v>
      </c>
      <c r="GU32" s="87" t="n">
        <v>0</v>
      </c>
      <c r="GV32" s="87" t="n">
        <v>0</v>
      </c>
      <c r="GW32" s="87" t="n">
        <v>0</v>
      </c>
      <c r="GX32" s="87" t="n">
        <v>0</v>
      </c>
      <c r="GY32" s="87" t="n">
        <v>0</v>
      </c>
      <c r="GZ32" s="87" t="n">
        <v>0</v>
      </c>
      <c r="HA32" s="87" t="n">
        <v>0</v>
      </c>
      <c r="HB32" s="87" t="n">
        <v>0</v>
      </c>
      <c r="HC32" s="87" t="n">
        <v>0</v>
      </c>
      <c r="HD32" s="87" t="n">
        <v>0</v>
      </c>
      <c r="HE32" s="87" t="n">
        <v>0</v>
      </c>
      <c r="HF32" s="87" t="n">
        <v>0</v>
      </c>
      <c r="HG32" s="87" t="n">
        <v>0</v>
      </c>
      <c r="HH32" s="87" t="n">
        <v>0</v>
      </c>
      <c r="HI32" s="87" t="n">
        <v>0</v>
      </c>
      <c r="HJ32" s="87" t="n">
        <v>0</v>
      </c>
      <c r="HK32" s="87" t="n">
        <v>0</v>
      </c>
      <c r="HL32" s="87" t="n">
        <v>0</v>
      </c>
      <c r="HM32" s="87" t="n">
        <v>0</v>
      </c>
      <c r="HN32" s="87" t="n">
        <v>0</v>
      </c>
      <c r="HO32" s="87" t="n">
        <v>0</v>
      </c>
      <c r="HP32" s="87" t="n">
        <v>0</v>
      </c>
      <c r="HQ32" s="87" t="n">
        <v>0</v>
      </c>
      <c r="HR32" s="87" t="n">
        <v>0</v>
      </c>
      <c r="HS32" s="87" t="n">
        <v>0</v>
      </c>
      <c r="HT32" s="87" t="n">
        <v>0</v>
      </c>
      <c r="HU32" s="87" t="n">
        <v>0</v>
      </c>
      <c r="JF32" s="87">
        <f>AP32</f>
        <v/>
      </c>
      <c r="JG32" s="87">
        <f>SUM(Z32:AK32)</f>
        <v/>
      </c>
      <c r="JH32" s="87">
        <f>SUM(AL32:AP32)</f>
        <v/>
      </c>
      <c r="JI32" s="87">
        <f>SUM(C32:AP32)</f>
        <v/>
      </c>
      <c r="JJ32" s="446" t="n"/>
      <c r="JM32" s="87" t="n">
        <v>-131508.2655833335</v>
      </c>
      <c r="KG32" s="136">
        <f>B32</f>
        <v/>
      </c>
      <c r="KH32" s="345">
        <f>AR32</f>
        <v/>
      </c>
    </row>
    <row r="33" ht="15.75" customHeight="1">
      <c r="A33" s="7" t="inlineStr">
        <is>
          <t>IPTU Estoque</t>
        </is>
      </c>
      <c r="B33" s="136">
        <f>SUM(C33:AP33)</f>
        <v/>
      </c>
      <c r="C33" s="24" t="n"/>
      <c r="D33" s="26" t="n"/>
      <c r="E33" s="256" t="n"/>
      <c r="F33" s="256" t="n"/>
      <c r="G33" s="256" t="n"/>
      <c r="H33" s="256" t="n"/>
      <c r="I33" s="257" t="n"/>
      <c r="J33" s="176" t="n"/>
      <c r="K33" s="25" t="n"/>
      <c r="L33" s="34" t="n"/>
      <c r="M33" s="15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>
        <v>-63859.04000000006</v>
      </c>
      <c r="AF33" s="219" t="n">
        <v>-62215.4</v>
      </c>
      <c r="AG33" s="219" t="n">
        <v>-62215.4</v>
      </c>
      <c r="AH33" s="219" t="n">
        <v>-60545.9</v>
      </c>
      <c r="AI33" s="219" t="n">
        <v>-61966.65</v>
      </c>
      <c r="AJ33" s="219" t="n">
        <v>-58978.75</v>
      </c>
      <c r="AK33" s="219" t="n">
        <v>-56594.14</v>
      </c>
      <c r="AL33" s="219" t="n"/>
      <c r="AM33" s="219" t="n"/>
      <c r="AN33" s="219" t="n">
        <v>-38399.02</v>
      </c>
      <c r="AO33" s="219" t="n">
        <v>-38162.09</v>
      </c>
      <c r="AP33" s="219" t="n">
        <v>-37873.25</v>
      </c>
      <c r="AQ33" s="13" t="n"/>
      <c r="AR33" s="345">
        <f>SUM(AT33:HU33)</f>
        <v/>
      </c>
      <c r="AS33" s="13" t="n"/>
      <c r="AT33" s="87" t="n">
        <v>-29841</v>
      </c>
      <c r="AU33" s="87" t="n">
        <v>-29473.5</v>
      </c>
      <c r="AV33" s="87" t="n">
        <v>-29106</v>
      </c>
      <c r="AW33" s="87" t="n">
        <v>-28738.5</v>
      </c>
      <c r="AX33" s="87" t="n">
        <v>-28371</v>
      </c>
      <c r="AY33" s="87" t="n">
        <v>-28003.5</v>
      </c>
      <c r="AZ33" s="87" t="n">
        <v>-27636</v>
      </c>
      <c r="BA33" s="87" t="n">
        <v>-27268.5</v>
      </c>
      <c r="BB33" s="87" t="n">
        <v>-26901</v>
      </c>
      <c r="BC33" s="87" t="n">
        <v>-26533.5</v>
      </c>
      <c r="BD33" s="87" t="n">
        <v>-26166</v>
      </c>
      <c r="BE33" s="87" t="n">
        <v>-25798.5</v>
      </c>
      <c r="BF33" s="87" t="n">
        <v>-25431</v>
      </c>
      <c r="BG33" s="87" t="n">
        <v>-25063.5</v>
      </c>
      <c r="BH33" s="87" t="n">
        <v>-98784</v>
      </c>
      <c r="BI33" s="87" t="n">
        <v>-97314</v>
      </c>
      <c r="BJ33" s="87" t="n">
        <v>-95844</v>
      </c>
      <c r="BK33" s="87" t="n">
        <v>-94374</v>
      </c>
      <c r="BL33" s="87" t="n">
        <v>-92904</v>
      </c>
      <c r="BM33" s="87" t="n">
        <v>-91434</v>
      </c>
      <c r="BN33" s="87" t="n">
        <v>-89964</v>
      </c>
      <c r="BO33" s="87" t="n">
        <v>-88494</v>
      </c>
      <c r="BP33" s="87" t="n">
        <v>-87024</v>
      </c>
      <c r="BQ33" s="87" t="n">
        <v>-85554</v>
      </c>
      <c r="BR33" s="87" t="n">
        <v>-84084</v>
      </c>
      <c r="BS33" s="87" t="n">
        <v>-82614</v>
      </c>
      <c r="BT33" s="87" t="n">
        <v>-81144</v>
      </c>
      <c r="BU33" s="87" t="n">
        <v>-79674</v>
      </c>
      <c r="BV33" s="87" t="n">
        <v>-78204</v>
      </c>
      <c r="BW33" s="87" t="n">
        <v>-76734</v>
      </c>
      <c r="BX33" s="87" t="n">
        <v>-75264</v>
      </c>
      <c r="BY33" s="87" t="n">
        <v>-73794</v>
      </c>
      <c r="BZ33" s="87" t="n">
        <v>-72324</v>
      </c>
      <c r="CA33" s="87" t="n">
        <v>-70854</v>
      </c>
      <c r="CB33" s="87" t="n">
        <v>-69384</v>
      </c>
      <c r="CC33" s="87" t="n">
        <v>-67914</v>
      </c>
      <c r="CD33" s="87" t="n">
        <v>-66444</v>
      </c>
      <c r="CE33" s="87" t="n">
        <v>-64974</v>
      </c>
      <c r="CF33" s="87" t="n">
        <v>-63504</v>
      </c>
      <c r="CG33" s="87" t="n">
        <v>-62034</v>
      </c>
      <c r="CH33" s="87" t="n">
        <v>-60564</v>
      </c>
      <c r="CI33" s="87" t="n">
        <v>-59094</v>
      </c>
      <c r="CJ33" s="87" t="n">
        <v>-57624</v>
      </c>
      <c r="CK33" s="87" t="n">
        <v>-56154</v>
      </c>
      <c r="CL33" s="87" t="n">
        <v>-54684</v>
      </c>
      <c r="CM33" s="87" t="n">
        <v>-53214</v>
      </c>
      <c r="CN33" s="87" t="n">
        <v>-51744</v>
      </c>
      <c r="CO33" s="87" t="n">
        <v>-50274</v>
      </c>
      <c r="CP33" s="87" t="n">
        <v>-48804</v>
      </c>
      <c r="CQ33" s="87" t="n">
        <v>-47334</v>
      </c>
      <c r="CR33" s="87" t="n">
        <v>-45864</v>
      </c>
      <c r="CS33" s="87" t="n">
        <v>-44394</v>
      </c>
      <c r="CT33" s="87" t="n">
        <v>-42924</v>
      </c>
      <c r="CU33" s="87" t="n">
        <v>-41454</v>
      </c>
      <c r="CV33" s="87" t="n">
        <v>-39984</v>
      </c>
      <c r="CW33" s="87" t="n">
        <v>-38514</v>
      </c>
      <c r="CX33" s="87" t="n">
        <v>-37044</v>
      </c>
      <c r="CY33" s="87" t="n">
        <v>-35574</v>
      </c>
      <c r="CZ33" s="87" t="n">
        <v>-34104</v>
      </c>
      <c r="DA33" s="87" t="n">
        <v>-32634</v>
      </c>
      <c r="DB33" s="87" t="n">
        <v>-31164</v>
      </c>
      <c r="DC33" s="87" t="n">
        <v>-29694</v>
      </c>
      <c r="DD33" s="87" t="n">
        <v>-28224</v>
      </c>
      <c r="DE33" s="87" t="n">
        <v>-26754</v>
      </c>
      <c r="DF33" s="87" t="n">
        <v>-25284</v>
      </c>
      <c r="DG33" s="87" t="n">
        <v>-23814</v>
      </c>
      <c r="DH33" s="87" t="n">
        <v>-22344</v>
      </c>
      <c r="DI33" s="87" t="n">
        <v>-20874</v>
      </c>
      <c r="DJ33" s="87" t="n">
        <v>-19404</v>
      </c>
      <c r="DK33" s="87" t="n">
        <v>-17934</v>
      </c>
      <c r="DL33" s="87" t="n">
        <v>-16464</v>
      </c>
      <c r="DM33" s="87" t="n">
        <v>-14994</v>
      </c>
      <c r="DN33" s="87" t="n">
        <v>-13524</v>
      </c>
      <c r="DO33" s="87" t="n">
        <v>-12054</v>
      </c>
      <c r="DP33" s="87" t="n">
        <v>-10584</v>
      </c>
      <c r="DQ33" s="87" t="n">
        <v>-9114</v>
      </c>
      <c r="DR33" s="87" t="n">
        <v>-7644</v>
      </c>
      <c r="DS33" s="87" t="n">
        <v>-6174</v>
      </c>
      <c r="DT33" s="87" t="n">
        <v>-4704</v>
      </c>
      <c r="DU33" s="87" t="n">
        <v>-3234</v>
      </c>
      <c r="DV33" s="87" t="n">
        <v>-1764</v>
      </c>
      <c r="DW33" s="87" t="n">
        <v>-294</v>
      </c>
      <c r="DX33" s="87" t="n">
        <v>0</v>
      </c>
      <c r="DY33" s="87" t="n">
        <v>0</v>
      </c>
      <c r="DZ33" s="87" t="n">
        <v>0</v>
      </c>
      <c r="EA33" s="87" t="n">
        <v>0</v>
      </c>
      <c r="EB33" s="87" t="n">
        <v>0</v>
      </c>
      <c r="EC33" s="87" t="n">
        <v>0</v>
      </c>
      <c r="ED33" s="87" t="n">
        <v>0</v>
      </c>
      <c r="EE33" s="87" t="n">
        <v>0</v>
      </c>
      <c r="EF33" s="87" t="n">
        <v>0</v>
      </c>
      <c r="EG33" s="87" t="n">
        <v>0</v>
      </c>
      <c r="EH33" s="87" t="n">
        <v>0</v>
      </c>
      <c r="EI33" s="87" t="n">
        <v>0</v>
      </c>
      <c r="EJ33" s="87" t="n"/>
      <c r="EK33" s="87" t="n"/>
      <c r="EL33" s="87" t="n"/>
      <c r="EM33" s="87" t="n"/>
      <c r="EN33" s="87" t="n"/>
      <c r="EO33" s="26" t="n"/>
      <c r="EP33" s="26" t="n"/>
      <c r="EQ33" s="26" t="n"/>
      <c r="ER33" s="26" t="n"/>
      <c r="ES33" s="26" t="n"/>
      <c r="ET33" s="26" t="n"/>
      <c r="EU33" s="26" t="n"/>
      <c r="EV33" s="26" t="n"/>
      <c r="EW33" s="26" t="n"/>
      <c r="EX33" s="26" t="n"/>
      <c r="EY33" s="26" t="n"/>
      <c r="EZ33" s="26" t="n"/>
      <c r="FA33" s="26" t="n"/>
      <c r="FB33" s="26" t="n"/>
      <c r="FC33" s="26" t="n"/>
      <c r="FD33" s="26" t="n"/>
      <c r="FE33" s="26" t="n"/>
      <c r="FF33" s="26" t="n"/>
      <c r="FG33" s="26" t="n"/>
      <c r="FH33" s="26" t="n"/>
      <c r="FI33" s="26" t="n"/>
      <c r="FJ33" s="26" t="n"/>
      <c r="FK33" s="26" t="n"/>
      <c r="FL33" s="26" t="n"/>
      <c r="FM33" s="26" t="n"/>
      <c r="FN33" s="26" t="n"/>
      <c r="FO33" s="26" t="n"/>
      <c r="FP33" s="26" t="n"/>
      <c r="FQ33" s="26" t="n"/>
      <c r="FR33" s="26" t="n"/>
      <c r="FS33" s="26" t="n"/>
      <c r="FT33" s="26" t="n"/>
      <c r="FU33" s="26" t="n"/>
      <c r="FV33" s="26" t="n"/>
      <c r="FW33" s="26" t="n"/>
      <c r="FX33" s="26" t="n"/>
      <c r="FY33" s="26" t="n"/>
      <c r="FZ33" s="26" t="n"/>
      <c r="GA33" s="26" t="n"/>
      <c r="GB33" s="26" t="n"/>
      <c r="GC33" s="26" t="n"/>
      <c r="GD33" s="26" t="n"/>
      <c r="GE33" s="26" t="n"/>
      <c r="GF33" s="26" t="n"/>
      <c r="GG33" s="26" t="n"/>
      <c r="GH33" s="26" t="n"/>
      <c r="GI33" s="26" t="n"/>
      <c r="GJ33" s="26" t="n"/>
      <c r="GK33" s="26" t="n"/>
      <c r="GL33" s="26" t="n"/>
      <c r="GM33" s="26" t="n"/>
      <c r="GN33" s="26" t="n"/>
      <c r="GO33" s="26" t="n"/>
      <c r="GP33" s="26" t="n"/>
      <c r="GQ33" s="26" t="n"/>
      <c r="GR33" s="26" t="n"/>
      <c r="GS33" s="26" t="n"/>
      <c r="GT33" s="26" t="n"/>
      <c r="GU33" s="26" t="n">
        <v>0</v>
      </c>
      <c r="GV33" s="26" t="n">
        <v>0</v>
      </c>
      <c r="GW33" s="26" t="n">
        <v>0</v>
      </c>
      <c r="GX33" s="26" t="n">
        <v>0</v>
      </c>
      <c r="GY33" s="26" t="n">
        <v>0</v>
      </c>
      <c r="GZ33" s="26" t="n">
        <v>0</v>
      </c>
      <c r="HA33" s="26" t="n">
        <v>0</v>
      </c>
      <c r="HB33" s="26" t="n">
        <v>0</v>
      </c>
      <c r="HC33" s="26" t="n">
        <v>0</v>
      </c>
      <c r="HD33" s="26" t="n">
        <v>0</v>
      </c>
      <c r="HE33" s="26" t="n">
        <v>0</v>
      </c>
      <c r="HF33" s="26" t="n">
        <v>0</v>
      </c>
      <c r="HG33" s="26" t="n">
        <v>0</v>
      </c>
      <c r="HH33" s="26" t="n">
        <v>0</v>
      </c>
      <c r="HI33" s="26" t="n">
        <v>0</v>
      </c>
      <c r="HJ33" s="26" t="n">
        <v>0</v>
      </c>
      <c r="HK33" s="26" t="n">
        <v>0</v>
      </c>
      <c r="HL33" s="26" t="n">
        <v>0</v>
      </c>
      <c r="HM33" s="26" t="n">
        <v>0</v>
      </c>
      <c r="HN33" s="26" t="n">
        <v>0</v>
      </c>
      <c r="HO33" s="26" t="n">
        <v>0</v>
      </c>
      <c r="HP33" s="26" t="n">
        <v>0</v>
      </c>
      <c r="HQ33" s="26" t="n">
        <v>0</v>
      </c>
      <c r="HR33" s="26" t="n">
        <v>0</v>
      </c>
      <c r="HS33" s="26" t="n">
        <v>0</v>
      </c>
      <c r="HT33" s="26" t="n">
        <v>0</v>
      </c>
      <c r="HU33" s="26" t="n">
        <v>0</v>
      </c>
      <c r="JF33" s="87">
        <f>AP33</f>
        <v/>
      </c>
      <c r="JG33" s="87">
        <f>SUM(Z33:AK33)</f>
        <v/>
      </c>
      <c r="JH33" s="87">
        <f>SUM(AL33:AP33)</f>
        <v/>
      </c>
      <c r="JI33" s="87">
        <f>SUM(C33:AP33)</f>
        <v/>
      </c>
      <c r="JJ33" s="446" t="n"/>
      <c r="JM33" s="87" t="n">
        <v>-30502.5</v>
      </c>
      <c r="KG33" s="136">
        <f>B33</f>
        <v/>
      </c>
      <c r="KH33" s="345">
        <f>AR33</f>
        <v/>
      </c>
    </row>
    <row r="34" ht="15.75" customHeight="1">
      <c r="A34" s="7" t="inlineStr">
        <is>
          <t>Condominio Estoque</t>
        </is>
      </c>
      <c r="B34" s="136">
        <f>SUM(C34:AP34)</f>
        <v/>
      </c>
      <c r="C34" s="25" t="n"/>
      <c r="D34" s="53" t="n"/>
      <c r="E34" s="256" t="n"/>
      <c r="F34" s="256" t="n"/>
      <c r="G34" s="256" t="n"/>
      <c r="H34" s="256" t="n"/>
      <c r="I34" s="257" t="n"/>
      <c r="J34" s="176" t="n"/>
      <c r="K34" s="25" t="n"/>
      <c r="L34" s="34" t="n"/>
      <c r="M34" s="15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13" t="n"/>
      <c r="AR34" s="345">
        <f>SUM(AT34:HU34)</f>
        <v/>
      </c>
      <c r="AS34" s="13" t="n"/>
      <c r="AT34" s="87" t="n">
        <v>0</v>
      </c>
      <c r="AU34" s="87" t="n">
        <v>0</v>
      </c>
      <c r="AV34" s="87" t="n">
        <v>0</v>
      </c>
      <c r="AW34" s="87" t="n">
        <v>0</v>
      </c>
      <c r="AX34" s="87" t="n">
        <v>0</v>
      </c>
      <c r="AY34" s="87" t="n">
        <v>0</v>
      </c>
      <c r="AZ34" s="87" t="n">
        <v>0</v>
      </c>
      <c r="BA34" s="87" t="n">
        <v>0</v>
      </c>
      <c r="BB34" s="87" t="n">
        <v>0</v>
      </c>
      <c r="BC34" s="87" t="n">
        <v>0</v>
      </c>
      <c r="BD34" s="87" t="n">
        <v>0</v>
      </c>
      <c r="BE34" s="87" t="n">
        <v>0</v>
      </c>
      <c r="BF34" s="87" t="n">
        <v>0</v>
      </c>
      <c r="BG34" s="87" t="n">
        <v>0</v>
      </c>
      <c r="BH34" s="87" t="n">
        <v>-336000</v>
      </c>
      <c r="BI34" s="87" t="n">
        <v>-331000</v>
      </c>
      <c r="BJ34" s="87" t="n">
        <v>-326000</v>
      </c>
      <c r="BK34" s="87" t="n">
        <v>-321000</v>
      </c>
      <c r="BL34" s="87" t="n">
        <v>-316000</v>
      </c>
      <c r="BM34" s="87" t="n">
        <v>-311000</v>
      </c>
      <c r="BN34" s="87" t="n">
        <v>-306000</v>
      </c>
      <c r="BO34" s="87" t="n">
        <v>-301000</v>
      </c>
      <c r="BP34" s="87" t="n">
        <v>-296000</v>
      </c>
      <c r="BQ34" s="87" t="n">
        <v>-291000</v>
      </c>
      <c r="BR34" s="87" t="n">
        <v>-286000</v>
      </c>
      <c r="BS34" s="87" t="n">
        <v>-281000</v>
      </c>
      <c r="BT34" s="87" t="n">
        <v>-276000</v>
      </c>
      <c r="BU34" s="87" t="n">
        <v>-271000</v>
      </c>
      <c r="BV34" s="87" t="n">
        <v>-266000</v>
      </c>
      <c r="BW34" s="87" t="n">
        <v>-261000</v>
      </c>
      <c r="BX34" s="87" t="n">
        <v>-256000</v>
      </c>
      <c r="BY34" s="87" t="n">
        <v>-251000</v>
      </c>
      <c r="BZ34" s="87" t="n">
        <v>-246000</v>
      </c>
      <c r="CA34" s="87" t="n">
        <v>-241000</v>
      </c>
      <c r="CB34" s="87" t="n">
        <v>-236000</v>
      </c>
      <c r="CC34" s="87" t="n">
        <v>-231000</v>
      </c>
      <c r="CD34" s="87" t="n">
        <v>-226000</v>
      </c>
      <c r="CE34" s="87" t="n">
        <v>-221000</v>
      </c>
      <c r="CF34" s="87" t="n">
        <v>-216000</v>
      </c>
      <c r="CG34" s="87" t="n">
        <v>-211000</v>
      </c>
      <c r="CH34" s="87" t="n">
        <v>-206000</v>
      </c>
      <c r="CI34" s="87" t="n">
        <v>-201000</v>
      </c>
      <c r="CJ34" s="87" t="n">
        <v>-196000</v>
      </c>
      <c r="CK34" s="87" t="n">
        <v>-191000</v>
      </c>
      <c r="CL34" s="87" t="n">
        <v>-186000</v>
      </c>
      <c r="CM34" s="87" t="n">
        <v>-181000</v>
      </c>
      <c r="CN34" s="87" t="n">
        <v>-176000</v>
      </c>
      <c r="CO34" s="87" t="n">
        <v>-171000</v>
      </c>
      <c r="CP34" s="87" t="n">
        <v>-166000</v>
      </c>
      <c r="CQ34" s="87" t="n">
        <v>-161000</v>
      </c>
      <c r="CR34" s="87" t="n">
        <v>-109200</v>
      </c>
      <c r="CS34" s="87" t="n">
        <v>-105700</v>
      </c>
      <c r="CT34" s="87" t="n">
        <v>-102200</v>
      </c>
      <c r="CU34" s="87" t="n">
        <v>-98700</v>
      </c>
      <c r="CV34" s="87" t="n">
        <v>-95200</v>
      </c>
      <c r="CW34" s="87" t="n">
        <v>-91700</v>
      </c>
      <c r="CX34" s="87" t="n">
        <v>-88200</v>
      </c>
      <c r="CY34" s="87" t="n">
        <v>-84700</v>
      </c>
      <c r="CZ34" s="87" t="n">
        <v>-81200</v>
      </c>
      <c r="DA34" s="87" t="n">
        <v>-77700</v>
      </c>
      <c r="DB34" s="87" t="n">
        <v>-74200</v>
      </c>
      <c r="DC34" s="87" t="n">
        <v>-70700</v>
      </c>
      <c r="DD34" s="87" t="n">
        <v>-67200</v>
      </c>
      <c r="DE34" s="87" t="n">
        <v>-63700</v>
      </c>
      <c r="DF34" s="87" t="n">
        <v>-60200</v>
      </c>
      <c r="DG34" s="87" t="n">
        <v>-56700</v>
      </c>
      <c r="DH34" s="87" t="n">
        <v>-53200</v>
      </c>
      <c r="DI34" s="87" t="n">
        <v>-49700</v>
      </c>
      <c r="DJ34" s="87" t="n">
        <v>-46200</v>
      </c>
      <c r="DK34" s="87" t="n">
        <v>-42700</v>
      </c>
      <c r="DL34" s="87" t="n">
        <v>-39200</v>
      </c>
      <c r="DM34" s="87" t="n">
        <v>-35700</v>
      </c>
      <c r="DN34" s="87" t="n">
        <v>-32200</v>
      </c>
      <c r="DO34" s="87" t="n">
        <v>-28700</v>
      </c>
      <c r="DP34" s="87" t="n">
        <v>-25200</v>
      </c>
      <c r="DQ34" s="87" t="n">
        <v>-21700</v>
      </c>
      <c r="DR34" s="87" t="n">
        <v>-18200</v>
      </c>
      <c r="DS34" s="87" t="n">
        <v>-14700</v>
      </c>
      <c r="DT34" s="87" t="n">
        <v>-11200</v>
      </c>
      <c r="DU34" s="87" t="n">
        <v>-7700</v>
      </c>
      <c r="DV34" s="87" t="n">
        <v>-4200</v>
      </c>
      <c r="DW34" s="87" t="n">
        <v>-700</v>
      </c>
      <c r="DX34" s="87" t="n">
        <v>0</v>
      </c>
      <c r="DY34" s="87" t="n">
        <v>0</v>
      </c>
      <c r="DZ34" s="87" t="n">
        <v>0</v>
      </c>
      <c r="EA34" s="87" t="n">
        <v>0</v>
      </c>
      <c r="EB34" s="87" t="n">
        <v>0</v>
      </c>
      <c r="EC34" s="87" t="n">
        <v>0</v>
      </c>
      <c r="ED34" s="87" t="n">
        <v>0</v>
      </c>
      <c r="EE34" s="87" t="n">
        <v>0</v>
      </c>
      <c r="EF34" s="87" t="n">
        <v>0</v>
      </c>
      <c r="EG34" s="87" t="n">
        <v>0</v>
      </c>
      <c r="EH34" s="87" t="n">
        <v>0</v>
      </c>
      <c r="EI34" s="87" t="n">
        <v>0</v>
      </c>
      <c r="EJ34" s="87" t="n"/>
      <c r="EK34" s="87" t="n"/>
      <c r="EL34" s="87" t="n"/>
      <c r="EM34" s="87" t="n"/>
      <c r="EN34" s="87" t="n"/>
      <c r="EO34" s="87" t="n"/>
      <c r="EP34" s="87" t="n"/>
      <c r="EQ34" s="87" t="n"/>
      <c r="ER34" s="87" t="n"/>
      <c r="ES34" s="87" t="n"/>
      <c r="ET34" s="87" t="n"/>
      <c r="EU34" s="87" t="n"/>
      <c r="EV34" s="87" t="n"/>
      <c r="EW34" s="87" t="n"/>
      <c r="EX34" s="87" t="n"/>
      <c r="EY34" s="87" t="n"/>
      <c r="EZ34" s="87" t="n"/>
      <c r="FA34" s="87" t="n"/>
      <c r="FB34" s="87" t="n"/>
      <c r="FC34" s="87" t="n"/>
      <c r="FD34" s="87" t="n"/>
      <c r="FE34" s="87" t="n"/>
      <c r="FF34" s="87" t="n"/>
      <c r="FG34" s="87" t="n"/>
      <c r="FH34" s="87" t="n"/>
      <c r="FI34" s="87" t="n"/>
      <c r="FJ34" s="87" t="n"/>
      <c r="FK34" s="87" t="n"/>
      <c r="FL34" s="87" t="n"/>
      <c r="FM34" s="87" t="n"/>
      <c r="FN34" s="87" t="n"/>
      <c r="FO34" s="87" t="n"/>
      <c r="FP34" s="87" t="n"/>
      <c r="FQ34" s="87" t="n"/>
      <c r="FR34" s="87" t="n"/>
      <c r="FS34" s="87" t="n"/>
      <c r="FT34" s="87" t="n"/>
      <c r="FU34" s="87" t="n"/>
      <c r="FV34" s="87" t="n"/>
      <c r="FW34" s="87" t="n"/>
      <c r="FX34" s="87" t="n"/>
      <c r="FY34" s="87" t="n"/>
      <c r="FZ34" s="87" t="n"/>
      <c r="GA34" s="87" t="n"/>
      <c r="GB34" s="87" t="n"/>
      <c r="GC34" s="87" t="n"/>
      <c r="GD34" s="87" t="n"/>
      <c r="GE34" s="87" t="n"/>
      <c r="GF34" s="87" t="n"/>
      <c r="GG34" s="87" t="n"/>
      <c r="GH34" s="87" t="n"/>
      <c r="GI34" s="87" t="n"/>
      <c r="GJ34" s="87" t="n"/>
      <c r="GK34" s="87" t="n"/>
      <c r="GL34" s="87" t="n"/>
      <c r="GM34" s="87" t="n"/>
      <c r="GN34" s="87" t="n"/>
      <c r="GO34" s="87" t="n"/>
      <c r="GP34" s="87" t="n"/>
      <c r="GQ34" s="87" t="n"/>
      <c r="GR34" s="87" t="n"/>
      <c r="GS34" s="87" t="n"/>
      <c r="GT34" s="87" t="n"/>
      <c r="GU34" s="87" t="n">
        <v>0</v>
      </c>
      <c r="GV34" s="87" t="n">
        <v>0</v>
      </c>
      <c r="GW34" s="87" t="n">
        <v>0</v>
      </c>
      <c r="GX34" s="87" t="n">
        <v>0</v>
      </c>
      <c r="GY34" s="87" t="n">
        <v>0</v>
      </c>
      <c r="GZ34" s="87" t="n">
        <v>0</v>
      </c>
      <c r="HA34" s="87" t="n">
        <v>0</v>
      </c>
      <c r="HB34" s="87" t="n">
        <v>0</v>
      </c>
      <c r="HC34" s="87" t="n">
        <v>0</v>
      </c>
      <c r="HD34" s="87" t="n">
        <v>0</v>
      </c>
      <c r="HE34" s="87" t="n">
        <v>0</v>
      </c>
      <c r="HF34" s="87" t="n">
        <v>0</v>
      </c>
      <c r="HG34" s="87" t="n">
        <v>0</v>
      </c>
      <c r="HH34" s="87" t="n">
        <v>0</v>
      </c>
      <c r="HI34" s="87" t="n">
        <v>0</v>
      </c>
      <c r="HJ34" s="87" t="n">
        <v>0</v>
      </c>
      <c r="HK34" s="87" t="n">
        <v>0</v>
      </c>
      <c r="HL34" s="87" t="n">
        <v>0</v>
      </c>
      <c r="HM34" s="87" t="n">
        <v>0</v>
      </c>
      <c r="HN34" s="87" t="n">
        <v>0</v>
      </c>
      <c r="HO34" s="87" t="n">
        <v>0</v>
      </c>
      <c r="HP34" s="87" t="n">
        <v>0</v>
      </c>
      <c r="HQ34" s="87" t="n">
        <v>0</v>
      </c>
      <c r="HR34" s="87" t="n">
        <v>0</v>
      </c>
      <c r="HS34" s="87" t="n">
        <v>0</v>
      </c>
      <c r="HT34" s="87" t="n">
        <v>0</v>
      </c>
      <c r="HU34" s="87" t="n">
        <v>0</v>
      </c>
      <c r="JF34" s="87">
        <f>AP34</f>
        <v/>
      </c>
      <c r="JG34" s="87">
        <f>SUM(Z34:AK34)</f>
        <v/>
      </c>
      <c r="JH34" s="87">
        <f>SUM(AL34:AP34)</f>
        <v/>
      </c>
      <c r="JI34" s="87">
        <f>SUM(C34:AP34)</f>
        <v/>
      </c>
      <c r="JJ34" s="446" t="n"/>
      <c r="JM34" s="87" t="n">
        <v>0</v>
      </c>
      <c r="KG34" s="136">
        <f>B34</f>
        <v/>
      </c>
      <c r="KH34" s="345">
        <f>AR34</f>
        <v/>
      </c>
    </row>
    <row r="35" ht="15.75" customHeight="1" thickBot="1">
      <c r="A35" s="89" t="inlineStr">
        <is>
          <t>Subtotal</t>
        </is>
      </c>
      <c r="B35" s="137">
        <f>SUM(C35:AP35)</f>
        <v/>
      </c>
      <c r="C35" s="260">
        <f>SUM(C32:C33)</f>
        <v/>
      </c>
      <c r="D35" s="260">
        <f>SUM(D32:D33)</f>
        <v/>
      </c>
      <c r="E35" s="261">
        <f>SUM(E32:E33)</f>
        <v/>
      </c>
      <c r="F35" s="261">
        <f>SUM(F32:F33)</f>
        <v/>
      </c>
      <c r="G35" s="261">
        <f>SUM(G32:G33)</f>
        <v/>
      </c>
      <c r="H35" s="261">
        <f>SUM(H32:H33)</f>
        <v/>
      </c>
      <c r="I35" s="260">
        <f>SUM(I32:I33)</f>
        <v/>
      </c>
      <c r="J35" s="262">
        <f>SUM(J32:J33)</f>
        <v/>
      </c>
      <c r="K35" s="260">
        <f>SUM(K32:K33)</f>
        <v/>
      </c>
      <c r="L35" s="263">
        <f>SUM(L32:L33)</f>
        <v/>
      </c>
      <c r="M35" s="264">
        <f>SUM(M32:M33)</f>
        <v/>
      </c>
      <c r="N35" s="264">
        <f>SUM(N32:N33)</f>
        <v/>
      </c>
      <c r="O35" s="264">
        <f>SUM(O32:O33)</f>
        <v/>
      </c>
      <c r="P35" s="264">
        <f>SUM(P32:P33)</f>
        <v/>
      </c>
      <c r="Q35" s="264">
        <f>SUM(Q32:Q33)</f>
        <v/>
      </c>
      <c r="R35" s="264">
        <f>SUM(R32:R33)</f>
        <v/>
      </c>
      <c r="S35" s="264" t="n"/>
      <c r="T35" s="264">
        <f>SUM(T32:T33)</f>
        <v/>
      </c>
      <c r="U35" s="264">
        <f>SUM(U32:U33)</f>
        <v/>
      </c>
      <c r="V35" s="264">
        <f>SUM(V32:V33)</f>
        <v/>
      </c>
      <c r="W35" s="264">
        <f>SUM(W32:W33)</f>
        <v/>
      </c>
      <c r="X35" s="264">
        <f>SUM(X32:X33)</f>
        <v/>
      </c>
      <c r="Y35" s="264">
        <f>SUM(Y32:Y33)</f>
        <v/>
      </c>
      <c r="Z35" s="264">
        <f>SUM(Z32:Z33)</f>
        <v/>
      </c>
      <c r="AA35" s="264">
        <f>SUM(AA32:AA33)</f>
        <v/>
      </c>
      <c r="AB35" s="264">
        <f>SUM(AB32:AB33)</f>
        <v/>
      </c>
      <c r="AC35" s="264">
        <f>SUM(AC32:AC33)</f>
        <v/>
      </c>
      <c r="AD35" s="264">
        <f>SUM(AD32:AD33)</f>
        <v/>
      </c>
      <c r="AE35" s="264">
        <f>SUM(AE32:AE33)</f>
        <v/>
      </c>
      <c r="AF35" s="264">
        <f>SUM(AF32:AF33)</f>
        <v/>
      </c>
      <c r="AG35" s="264">
        <f>SUM(AG32:AG33)</f>
        <v/>
      </c>
      <c r="AH35" s="264">
        <f>SUM(AH32:AH33)</f>
        <v/>
      </c>
      <c r="AI35" s="264">
        <f>SUM(AI32:AI33)</f>
        <v/>
      </c>
      <c r="AJ35" s="264">
        <f>SUM(AJ32:AJ33)</f>
        <v/>
      </c>
      <c r="AK35" s="264">
        <f>SUM(AK32:AK33)</f>
        <v/>
      </c>
      <c r="AL35" s="264">
        <f>SUM(AL32:AL33)</f>
        <v/>
      </c>
      <c r="AM35" s="264">
        <f>SUM(AM32:AM33)</f>
        <v/>
      </c>
      <c r="AN35" s="264">
        <f>SUM(AN32:AN33)</f>
        <v/>
      </c>
      <c r="AO35" s="264">
        <f>SUM(AO32:AO33)</f>
        <v/>
      </c>
      <c r="AP35" s="264">
        <f>SUM(AP32:AP33)</f>
        <v/>
      </c>
      <c r="AQ35" s="13" t="n"/>
      <c r="AR35" s="335">
        <f>SUM(AT35:HU35)</f>
        <v/>
      </c>
      <c r="AS35" s="13" t="n"/>
      <c r="AT35" s="271">
        <f>SUM(AT32:AT34)</f>
        <v/>
      </c>
      <c r="AU35" s="271">
        <f>SUM(AU32:AU34)</f>
        <v/>
      </c>
      <c r="AV35" s="271">
        <f>SUM(AV32:AV34)</f>
        <v/>
      </c>
      <c r="AW35" s="271">
        <f>SUM(AW32:AW34)</f>
        <v/>
      </c>
      <c r="AX35" s="271">
        <f>SUM(AX32:AX34)</f>
        <v/>
      </c>
      <c r="AY35" s="271">
        <f>SUM(AY32:AY34)</f>
        <v/>
      </c>
      <c r="AZ35" s="271">
        <f>SUM(AZ32:AZ34)</f>
        <v/>
      </c>
      <c r="BA35" s="271">
        <f>SUM(BA32:BA34)</f>
        <v/>
      </c>
      <c r="BB35" s="271">
        <f>SUM(BB32:BB34)</f>
        <v/>
      </c>
      <c r="BC35" s="271">
        <f>SUM(BC32:BC34)</f>
        <v/>
      </c>
      <c r="BD35" s="271">
        <f>SUM(BD32:BD34)</f>
        <v/>
      </c>
      <c r="BE35" s="271">
        <f>SUM(BE32:BE34)</f>
        <v/>
      </c>
      <c r="BF35" s="271">
        <f>SUM(BF32:BF34)</f>
        <v/>
      </c>
      <c r="BG35" s="271">
        <f>SUM(BG32:BG34)</f>
        <v/>
      </c>
      <c r="BH35" s="271">
        <f>SUM(BH32:BH34)</f>
        <v/>
      </c>
      <c r="BI35" s="271">
        <f>SUM(BI32:BI34)</f>
        <v/>
      </c>
      <c r="BJ35" s="271">
        <f>SUM(BJ32:BJ34)</f>
        <v/>
      </c>
      <c r="BK35" s="271">
        <f>SUM(BK32:BK34)</f>
        <v/>
      </c>
      <c r="BL35" s="271">
        <f>SUM(BL32:BL34)</f>
        <v/>
      </c>
      <c r="BM35" s="271">
        <f>SUM(BM32:BM34)</f>
        <v/>
      </c>
      <c r="BN35" s="271">
        <f>SUM(BN32:BN34)</f>
        <v/>
      </c>
      <c r="BO35" s="271">
        <f>SUM(BO32:BO34)</f>
        <v/>
      </c>
      <c r="BP35" s="271">
        <f>SUM(BP32:BP34)</f>
        <v/>
      </c>
      <c r="BQ35" s="271">
        <f>SUM(BQ32:BQ34)</f>
        <v/>
      </c>
      <c r="BR35" s="271">
        <f>SUM(BR32:BR34)</f>
        <v/>
      </c>
      <c r="BS35" s="271">
        <f>SUM(BS32:BS34)</f>
        <v/>
      </c>
      <c r="BT35" s="271">
        <f>SUM(BT32:BT34)</f>
        <v/>
      </c>
      <c r="BU35" s="271">
        <f>SUM(BU32:BU34)</f>
        <v/>
      </c>
      <c r="BV35" s="271">
        <f>SUM(BV32:BV34)</f>
        <v/>
      </c>
      <c r="BW35" s="271">
        <f>SUM(BW32:BW34)</f>
        <v/>
      </c>
      <c r="BX35" s="271">
        <f>SUM(BX32:BX34)</f>
        <v/>
      </c>
      <c r="BY35" s="271">
        <f>SUM(BY32:BY34)</f>
        <v/>
      </c>
      <c r="BZ35" s="271">
        <f>SUM(BZ32:BZ34)</f>
        <v/>
      </c>
      <c r="CA35" s="271">
        <f>SUM(CA32:CA34)</f>
        <v/>
      </c>
      <c r="CB35" s="271">
        <f>SUM(CB32:CB34)</f>
        <v/>
      </c>
      <c r="CC35" s="271">
        <f>SUM(CC32:CC34)</f>
        <v/>
      </c>
      <c r="CD35" s="271">
        <f>SUM(CD32:CD34)</f>
        <v/>
      </c>
      <c r="CE35" s="271">
        <f>SUM(CE32:CE34)</f>
        <v/>
      </c>
      <c r="CF35" s="271">
        <f>SUM(CF32:CF34)</f>
        <v/>
      </c>
      <c r="CG35" s="271">
        <f>SUM(CG32:CG34)</f>
        <v/>
      </c>
      <c r="CH35" s="271">
        <f>SUM(CH32:CH34)</f>
        <v/>
      </c>
      <c r="CI35" s="271">
        <f>SUM(CI32:CI34)</f>
        <v/>
      </c>
      <c r="CJ35" s="271">
        <f>SUM(CJ32:CJ34)</f>
        <v/>
      </c>
      <c r="CK35" s="271">
        <f>SUM(CK32:CK34)</f>
        <v/>
      </c>
      <c r="CL35" s="271">
        <f>SUM(CL32:CL34)</f>
        <v/>
      </c>
      <c r="CM35" s="271">
        <f>SUM(CM32:CM34)</f>
        <v/>
      </c>
      <c r="CN35" s="271">
        <f>SUM(CN32:CN34)</f>
        <v/>
      </c>
      <c r="CO35" s="271">
        <f>SUM(CO32:CO34)</f>
        <v/>
      </c>
      <c r="CP35" s="271">
        <f>SUM(CP32:CP34)</f>
        <v/>
      </c>
      <c r="CQ35" s="271">
        <f>SUM(CQ32:CQ34)</f>
        <v/>
      </c>
      <c r="CR35" s="271">
        <f>SUM(CR32:CR34)</f>
        <v/>
      </c>
      <c r="CS35" s="271">
        <f>SUM(CS32:CS34)</f>
        <v/>
      </c>
      <c r="CT35" s="271">
        <f>SUM(CT32:CT34)</f>
        <v/>
      </c>
      <c r="CU35" s="271">
        <f>SUM(CU32:CU34)</f>
        <v/>
      </c>
      <c r="CV35" s="271">
        <f>SUM(CV32:CV34)</f>
        <v/>
      </c>
      <c r="CW35" s="271">
        <f>SUM(CW32:CW34)</f>
        <v/>
      </c>
      <c r="CX35" s="271">
        <f>SUM(CX32:CX34)</f>
        <v/>
      </c>
      <c r="CY35" s="271">
        <f>SUM(CY32:CY34)</f>
        <v/>
      </c>
      <c r="CZ35" s="271">
        <f>SUM(CZ32:CZ34)</f>
        <v/>
      </c>
      <c r="DA35" s="271">
        <f>SUM(DA32:DA34)</f>
        <v/>
      </c>
      <c r="DB35" s="271">
        <f>SUM(DB32:DB34)</f>
        <v/>
      </c>
      <c r="DC35" s="271">
        <f>SUM(DC32:DC34)</f>
        <v/>
      </c>
      <c r="DD35" s="271">
        <f>SUM(DD32:DD34)</f>
        <v/>
      </c>
      <c r="DE35" s="271">
        <f>SUM(DE32:DE34)</f>
        <v/>
      </c>
      <c r="DF35" s="271">
        <f>SUM(DF32:DF34)</f>
        <v/>
      </c>
      <c r="DG35" s="271">
        <f>SUM(DG32:DG34)</f>
        <v/>
      </c>
      <c r="DH35" s="271">
        <f>SUM(DH32:DH34)</f>
        <v/>
      </c>
      <c r="DI35" s="271">
        <f>SUM(DI32:DI34)</f>
        <v/>
      </c>
      <c r="DJ35" s="271">
        <f>SUM(DJ32:DJ34)</f>
        <v/>
      </c>
      <c r="DK35" s="271">
        <f>SUM(DK32:DK34)</f>
        <v/>
      </c>
      <c r="DL35" s="271">
        <f>SUM(DL32:DL34)</f>
        <v/>
      </c>
      <c r="DM35" s="271">
        <f>SUM(DM32:DM34)</f>
        <v/>
      </c>
      <c r="DN35" s="271">
        <f>SUM(DN32:DN34)</f>
        <v/>
      </c>
      <c r="DO35" s="271">
        <f>SUM(DO32:DO34)</f>
        <v/>
      </c>
      <c r="DP35" s="271">
        <f>SUM(DP32:DP34)</f>
        <v/>
      </c>
      <c r="DQ35" s="271">
        <f>SUM(DQ32:DQ34)</f>
        <v/>
      </c>
      <c r="DR35" s="271">
        <f>SUM(DR32:DR34)</f>
        <v/>
      </c>
      <c r="DS35" s="271">
        <f>SUM(DS32:DS34)</f>
        <v/>
      </c>
      <c r="DT35" s="271">
        <f>SUM(DT32:DT34)</f>
        <v/>
      </c>
      <c r="DU35" s="271">
        <f>SUM(DU32:DU34)</f>
        <v/>
      </c>
      <c r="DV35" s="271">
        <f>SUM(DV32:DV34)</f>
        <v/>
      </c>
      <c r="DW35" s="271">
        <f>SUM(DW32:DW34)</f>
        <v/>
      </c>
      <c r="DX35" s="271">
        <f>SUM(DX32:DX34)</f>
        <v/>
      </c>
      <c r="DY35" s="271">
        <f>SUM(DY32:DY34)</f>
        <v/>
      </c>
      <c r="DZ35" s="271">
        <f>SUM(DZ32:DZ34)</f>
        <v/>
      </c>
      <c r="EA35" s="271">
        <f>SUM(EA32:EA34)</f>
        <v/>
      </c>
      <c r="EB35" s="271">
        <f>SUM(EB32:EB34)</f>
        <v/>
      </c>
      <c r="EC35" s="271">
        <f>SUM(EC32:EC34)</f>
        <v/>
      </c>
      <c r="ED35" s="271">
        <f>SUM(ED32:ED34)</f>
        <v/>
      </c>
      <c r="EE35" s="271">
        <f>SUM(EE32:EE34)</f>
        <v/>
      </c>
      <c r="EF35" s="271">
        <f>SUM(EF32:EF34)</f>
        <v/>
      </c>
      <c r="EG35" s="271">
        <f>SUM(EG32:EG34)</f>
        <v/>
      </c>
      <c r="EH35" s="271">
        <f>SUM(EH32:EH34)</f>
        <v/>
      </c>
      <c r="EI35" s="271">
        <f>SUM(EI32:EI34)</f>
        <v/>
      </c>
      <c r="EJ35" s="271">
        <f>SUM(EJ32:EJ34)</f>
        <v/>
      </c>
      <c r="EK35" s="271">
        <f>SUM(EK32:EK34)</f>
        <v/>
      </c>
      <c r="EL35" s="271">
        <f>SUM(EL32:EL34)</f>
        <v/>
      </c>
      <c r="EM35" s="271">
        <f>SUM(EM32:EM34)</f>
        <v/>
      </c>
      <c r="EN35" s="271">
        <f>SUM(EN32:EN34)</f>
        <v/>
      </c>
      <c r="EO35" s="271">
        <f>SUM(EO32:EO34)</f>
        <v/>
      </c>
      <c r="EP35" s="271">
        <f>SUM(EP32:EP34)</f>
        <v/>
      </c>
      <c r="EQ35" s="271">
        <f>SUM(EQ32:EQ34)</f>
        <v/>
      </c>
      <c r="ER35" s="271">
        <f>SUM(ER32:ER34)</f>
        <v/>
      </c>
      <c r="ES35" s="271">
        <f>SUM(ES32:ES34)</f>
        <v/>
      </c>
      <c r="ET35" s="271">
        <f>SUM(ET32:ET34)</f>
        <v/>
      </c>
      <c r="EU35" s="271">
        <f>SUM(EU32:EU34)</f>
        <v/>
      </c>
      <c r="EV35" s="271">
        <f>SUM(EV32:EV34)</f>
        <v/>
      </c>
      <c r="EW35" s="271">
        <f>SUM(EW32:EW34)</f>
        <v/>
      </c>
      <c r="EX35" s="271">
        <f>SUM(EX32:EX34)</f>
        <v/>
      </c>
      <c r="EY35" s="271">
        <f>SUM(EY32:EY34)</f>
        <v/>
      </c>
      <c r="EZ35" s="271">
        <f>SUM(EZ32:EZ34)</f>
        <v/>
      </c>
      <c r="FA35" s="271">
        <f>SUM(FA32:FA34)</f>
        <v/>
      </c>
      <c r="FB35" s="271">
        <f>SUM(FB32:FB34)</f>
        <v/>
      </c>
      <c r="FC35" s="271">
        <f>SUM(FC32:FC34)</f>
        <v/>
      </c>
      <c r="FD35" s="271">
        <f>SUM(FD32:FD34)</f>
        <v/>
      </c>
      <c r="FE35" s="271">
        <f>SUM(FE32:FE34)</f>
        <v/>
      </c>
      <c r="FF35" s="271">
        <f>SUM(FF32:FF34)</f>
        <v/>
      </c>
      <c r="FG35" s="271">
        <f>SUM(FG32:FG34)</f>
        <v/>
      </c>
      <c r="FH35" s="271">
        <f>SUM(FH32:FH34)</f>
        <v/>
      </c>
      <c r="FI35" s="271">
        <f>SUM(FI32:FI34)</f>
        <v/>
      </c>
      <c r="FJ35" s="271">
        <f>SUM(FJ32:FJ34)</f>
        <v/>
      </c>
      <c r="FK35" s="271">
        <f>SUM(FK32:FK34)</f>
        <v/>
      </c>
      <c r="FL35" s="271">
        <f>SUM(FL32:FL34)</f>
        <v/>
      </c>
      <c r="FM35" s="271">
        <f>SUM(FM32:FM34)</f>
        <v/>
      </c>
      <c r="FN35" s="271">
        <f>SUM(FN32:FN34)</f>
        <v/>
      </c>
      <c r="FO35" s="271">
        <f>SUM(FO32:FO34)</f>
        <v/>
      </c>
      <c r="FP35" s="271">
        <f>SUM(FP32:FP34)</f>
        <v/>
      </c>
      <c r="FQ35" s="271">
        <f>SUM(FQ32:FQ34)</f>
        <v/>
      </c>
      <c r="FR35" s="271">
        <f>SUM(FR32:FR34)</f>
        <v/>
      </c>
      <c r="FS35" s="271">
        <f>SUM(FS32:FS34)</f>
        <v/>
      </c>
      <c r="FT35" s="271">
        <f>SUM(FT32:FT34)</f>
        <v/>
      </c>
      <c r="FU35" s="271">
        <f>SUM(FU32:FU34)</f>
        <v/>
      </c>
      <c r="FV35" s="271">
        <f>SUM(FV32:FV34)</f>
        <v/>
      </c>
      <c r="FW35" s="271">
        <f>SUM(FW32:FW34)</f>
        <v/>
      </c>
      <c r="FX35" s="271">
        <f>SUM(FX32:FX34)</f>
        <v/>
      </c>
      <c r="FY35" s="271">
        <f>SUM(FY32:FY34)</f>
        <v/>
      </c>
      <c r="FZ35" s="271">
        <f>SUM(FZ32:FZ34)</f>
        <v/>
      </c>
      <c r="GA35" s="271">
        <f>SUM(GA32:GA34)</f>
        <v/>
      </c>
      <c r="GB35" s="271">
        <f>SUM(GB32:GB34)</f>
        <v/>
      </c>
      <c r="GC35" s="271">
        <f>SUM(GC32:GC34)</f>
        <v/>
      </c>
      <c r="GD35" s="271">
        <f>SUM(GD32:GD34)</f>
        <v/>
      </c>
      <c r="GE35" s="271">
        <f>SUM(GE32:GE34)</f>
        <v/>
      </c>
      <c r="GF35" s="271">
        <f>SUM(GF32:GF34)</f>
        <v/>
      </c>
      <c r="GG35" s="271">
        <f>SUM(GG32:GG34)</f>
        <v/>
      </c>
      <c r="GH35" s="271">
        <f>SUM(GH32:GH34)</f>
        <v/>
      </c>
      <c r="GI35" s="271">
        <f>SUM(GI32:GI34)</f>
        <v/>
      </c>
      <c r="GJ35" s="271">
        <f>SUM(GJ32:GJ34)</f>
        <v/>
      </c>
      <c r="GK35" s="271">
        <f>SUM(GK32:GK34)</f>
        <v/>
      </c>
      <c r="GL35" s="271">
        <f>SUM(GL32:GL34)</f>
        <v/>
      </c>
      <c r="GM35" s="271">
        <f>SUM(GM32:GM34)</f>
        <v/>
      </c>
      <c r="GN35" s="271">
        <f>SUM(GN32:GN34)</f>
        <v/>
      </c>
      <c r="GO35" s="271">
        <f>SUM(GO32:GO34)</f>
        <v/>
      </c>
      <c r="GP35" s="271">
        <f>SUM(GP32:GP34)</f>
        <v/>
      </c>
      <c r="GQ35" s="271">
        <f>SUM(GQ32:GQ34)</f>
        <v/>
      </c>
      <c r="GR35" s="271">
        <f>SUM(GR32:GR34)</f>
        <v/>
      </c>
      <c r="GS35" s="271">
        <f>SUM(GS32:GS34)</f>
        <v/>
      </c>
      <c r="GT35" s="271">
        <f>SUM(GT32:GT34)</f>
        <v/>
      </c>
      <c r="GU35" s="271">
        <f>SUM(GU32:GU34)</f>
        <v/>
      </c>
      <c r="GV35" s="271">
        <f>SUM(GV32:GV34)</f>
        <v/>
      </c>
      <c r="GW35" s="271">
        <f>SUM(GW32:GW34)</f>
        <v/>
      </c>
      <c r="GX35" s="271">
        <f>SUM(GX32:GX34)</f>
        <v/>
      </c>
      <c r="GY35" s="271">
        <f>SUM(GY32:GY34)</f>
        <v/>
      </c>
      <c r="GZ35" s="271">
        <f>SUM(GZ32:GZ34)</f>
        <v/>
      </c>
      <c r="HA35" s="271">
        <f>SUM(HA32:HA34)</f>
        <v/>
      </c>
      <c r="HB35" s="271">
        <f>SUM(HB32:HB34)</f>
        <v/>
      </c>
      <c r="HC35" s="271">
        <f>SUM(HC32:HC34)</f>
        <v/>
      </c>
      <c r="HD35" s="271">
        <f>SUM(HD32:HD34)</f>
        <v/>
      </c>
      <c r="HE35" s="271">
        <f>SUM(HE32:HE34)</f>
        <v/>
      </c>
      <c r="HF35" s="271">
        <f>SUM(HF32:HF34)</f>
        <v/>
      </c>
      <c r="HG35" s="271">
        <f>SUM(HG32:HG34)</f>
        <v/>
      </c>
      <c r="HH35" s="271">
        <f>SUM(HH32:HH34)</f>
        <v/>
      </c>
      <c r="HI35" s="271">
        <f>SUM(HI32:HI34)</f>
        <v/>
      </c>
      <c r="HJ35" s="271">
        <f>SUM(HJ32:HJ34)</f>
        <v/>
      </c>
      <c r="HK35" s="271">
        <f>SUM(HK32:HK34)</f>
        <v/>
      </c>
      <c r="HL35" s="271">
        <f>SUM(HL32:HL34)</f>
        <v/>
      </c>
      <c r="HM35" s="271">
        <f>SUM(HM32:HM34)</f>
        <v/>
      </c>
      <c r="HN35" s="271">
        <f>SUM(HN32:HN34)</f>
        <v/>
      </c>
      <c r="HO35" s="271">
        <f>SUM(HO32:HO34)</f>
        <v/>
      </c>
      <c r="HP35" s="271">
        <f>SUM(HP32:HP34)</f>
        <v/>
      </c>
      <c r="HQ35" s="271">
        <f>SUM(HQ32:HQ34)</f>
        <v/>
      </c>
      <c r="HR35" s="271">
        <f>SUM(HR32:HR34)</f>
        <v/>
      </c>
      <c r="HS35" s="271">
        <f>SUM(HS32:HS34)</f>
        <v/>
      </c>
      <c r="HT35" s="271">
        <f>SUM(HT32:HT34)</f>
        <v/>
      </c>
      <c r="HU35" s="271">
        <f>SUM(HU32:HU34)</f>
        <v/>
      </c>
      <c r="JF35" s="271">
        <f>AP35</f>
        <v/>
      </c>
      <c r="JG35" s="271">
        <f>SUM(Z35:AK35)</f>
        <v/>
      </c>
      <c r="JH35" s="271">
        <f>SUM(AL35:AP35)</f>
        <v/>
      </c>
      <c r="JI35" s="271">
        <f>SUM(C35:AP35)</f>
        <v/>
      </c>
      <c r="JJ35" s="446" t="n"/>
      <c r="JM35" s="271" t="n">
        <v>-162010.7655833335</v>
      </c>
      <c r="KG35" s="137">
        <f>B35</f>
        <v/>
      </c>
      <c r="KH35" s="335">
        <f>AR35</f>
        <v/>
      </c>
    </row>
    <row r="36" ht="6" customHeight="1">
      <c r="A36" s="90" t="n"/>
      <c r="B36" s="141" t="n"/>
      <c r="C36" s="91" t="n"/>
      <c r="D36" s="91" t="n"/>
      <c r="E36" s="91" t="n"/>
      <c r="F36" s="91" t="n"/>
      <c r="G36" s="91" t="n"/>
      <c r="H36" s="91" t="n"/>
      <c r="I36" s="91" t="n"/>
      <c r="J36" s="177" t="n"/>
      <c r="K36" s="91" t="n"/>
      <c r="L36" s="91" t="n"/>
      <c r="M36" s="178" t="n"/>
      <c r="N36" s="178" t="n"/>
      <c r="O36" s="178" t="n"/>
      <c r="P36" s="178" t="n"/>
      <c r="Q36" s="178" t="n"/>
      <c r="R36" s="178" t="n"/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3" t="n"/>
      <c r="AR36" s="333" t="n"/>
      <c r="AS36" s="13" t="n"/>
      <c r="AT36" s="91" t="n"/>
      <c r="AU36" s="91" t="n"/>
      <c r="AV36" s="91" t="n"/>
      <c r="AW36" s="91" t="n"/>
      <c r="AX36" s="91" t="n"/>
      <c r="AY36" s="91" t="n"/>
      <c r="AZ36" s="91" t="n"/>
      <c r="BA36" s="91" t="n"/>
      <c r="BB36" s="91" t="n"/>
      <c r="BC36" s="91" t="n"/>
      <c r="BD36" s="302" t="n"/>
      <c r="BE36" s="91" t="n"/>
      <c r="BF36" s="91" t="n"/>
      <c r="BG36" s="91" t="n"/>
      <c r="BH36" s="91" t="n"/>
      <c r="BI36" s="91" t="n"/>
      <c r="BJ36" s="91" t="n"/>
      <c r="BK36" s="91" t="n"/>
      <c r="BL36" s="91" t="n"/>
      <c r="BM36" s="91" t="n"/>
      <c r="BN36" s="91" t="n"/>
      <c r="BO36" s="91" t="n"/>
      <c r="BP36" s="302" t="n"/>
      <c r="BQ36" s="91" t="n"/>
      <c r="BR36" s="91" t="n"/>
      <c r="BS36" s="91" t="n"/>
      <c r="BT36" s="91" t="n"/>
      <c r="BU36" s="91" t="n"/>
      <c r="BV36" s="91" t="n"/>
      <c r="BW36" s="91" t="n"/>
      <c r="BX36" s="91" t="n"/>
      <c r="BY36" s="91" t="n"/>
      <c r="BZ36" s="91" t="n"/>
      <c r="CA36" s="91" t="n"/>
      <c r="CB36" s="302" t="n"/>
      <c r="CC36" s="91" t="n"/>
      <c r="CD36" s="91" t="n"/>
      <c r="CE36" s="91" t="n"/>
      <c r="CF36" s="91" t="n"/>
      <c r="CG36" s="91" t="n"/>
      <c r="CH36" s="91" t="n"/>
      <c r="CI36" s="91" t="n"/>
      <c r="CJ36" s="91" t="n"/>
      <c r="CK36" s="91" t="n"/>
      <c r="CL36" s="91" t="n"/>
      <c r="CM36" s="91" t="n"/>
      <c r="CN36" s="302" t="n"/>
      <c r="CO36" s="91" t="n"/>
      <c r="CP36" s="91" t="n"/>
      <c r="CQ36" s="91" t="n"/>
      <c r="CR36" s="91" t="n"/>
      <c r="CS36" s="91" t="n"/>
      <c r="CT36" s="91" t="n"/>
      <c r="CU36" s="91" t="n"/>
      <c r="CV36" s="91" t="n"/>
      <c r="CW36" s="91" t="n"/>
      <c r="CX36" s="91" t="n"/>
      <c r="CY36" s="91" t="n"/>
      <c r="CZ36" s="302" t="n"/>
      <c r="DA36" s="91" t="n"/>
      <c r="DB36" s="91" t="n"/>
      <c r="DC36" s="91" t="n"/>
      <c r="DD36" s="91" t="n"/>
      <c r="DE36" s="91" t="n"/>
      <c r="DF36" s="91" t="n"/>
      <c r="DG36" s="91" t="n"/>
      <c r="DH36" s="91" t="n"/>
      <c r="DI36" s="91" t="n"/>
      <c r="DJ36" s="91" t="n"/>
      <c r="DK36" s="91" t="n"/>
      <c r="DL36" s="91" t="n"/>
      <c r="DM36" s="91" t="n"/>
      <c r="DN36" s="91" t="n"/>
      <c r="DO36" s="91" t="n"/>
      <c r="DP36" s="91" t="n"/>
      <c r="DQ36" s="91" t="n"/>
      <c r="DR36" s="91" t="n"/>
      <c r="DS36" s="91" t="n"/>
      <c r="DT36" s="91" t="n"/>
      <c r="DU36" s="91" t="n"/>
      <c r="DV36" s="91" t="n"/>
      <c r="DW36" s="91" t="n"/>
      <c r="DX36" s="91" t="n"/>
      <c r="DY36" s="91" t="n"/>
      <c r="DZ36" s="91" t="n"/>
      <c r="EA36" s="91" t="n"/>
      <c r="EB36" s="91" t="n"/>
      <c r="EC36" s="91" t="n"/>
      <c r="ED36" s="91" t="n"/>
      <c r="EE36" s="91" t="n"/>
      <c r="EF36" s="91" t="n"/>
      <c r="EG36" s="91" t="n"/>
      <c r="EH36" s="91" t="n"/>
      <c r="EI36" s="91" t="n"/>
      <c r="EJ36" s="91" t="n"/>
      <c r="EK36" s="91" t="n"/>
      <c r="EL36" s="91" t="n"/>
      <c r="EM36" s="91" t="n"/>
      <c r="EN36" s="91" t="n"/>
      <c r="EO36" s="91" t="n"/>
      <c r="EP36" s="91" t="n"/>
      <c r="EQ36" s="91" t="n"/>
      <c r="ER36" s="91" t="n"/>
      <c r="ES36" s="91" t="n"/>
      <c r="ET36" s="91" t="n"/>
      <c r="EU36" s="91" t="n"/>
      <c r="EV36" s="91" t="n"/>
      <c r="EW36" s="91" t="n"/>
      <c r="EX36" s="91" t="n"/>
      <c r="EY36" s="91" t="n"/>
      <c r="EZ36" s="91" t="n"/>
      <c r="FA36" s="91" t="n"/>
      <c r="FB36" s="91" t="n"/>
      <c r="FC36" s="91" t="n"/>
      <c r="FD36" s="91" t="n"/>
      <c r="FE36" s="91" t="n"/>
      <c r="FF36" s="91" t="n"/>
      <c r="FG36" s="91" t="n"/>
      <c r="FH36" s="91" t="n"/>
      <c r="FI36" s="91" t="n"/>
      <c r="FJ36" s="91" t="n"/>
      <c r="FK36" s="91" t="n"/>
      <c r="FL36" s="91" t="n"/>
      <c r="FM36" s="91" t="n"/>
      <c r="FN36" s="91" t="n"/>
      <c r="FO36" s="91" t="n"/>
      <c r="FP36" s="91" t="n"/>
      <c r="FQ36" s="91" t="n"/>
      <c r="FR36" s="91" t="n"/>
      <c r="FS36" s="91" t="n"/>
      <c r="FT36" s="91" t="n"/>
      <c r="FU36" s="91" t="n"/>
      <c r="FV36" s="91" t="n"/>
      <c r="FW36" s="91" t="n"/>
      <c r="FX36" s="91" t="n"/>
      <c r="FY36" s="91" t="n"/>
      <c r="FZ36" s="91" t="n"/>
      <c r="GA36" s="91" t="n"/>
      <c r="GB36" s="91" t="n"/>
      <c r="GC36" s="91" t="n"/>
      <c r="GD36" s="91" t="n"/>
      <c r="GE36" s="91" t="n"/>
      <c r="GF36" s="91" t="n"/>
      <c r="GG36" s="91" t="n"/>
      <c r="GH36" s="91" t="n"/>
      <c r="GI36" s="91" t="n"/>
      <c r="GJ36" s="91" t="n"/>
      <c r="GK36" s="91" t="n"/>
      <c r="GL36" s="91" t="n"/>
      <c r="GM36" s="91" t="n"/>
      <c r="GN36" s="91" t="n"/>
      <c r="GO36" s="91" t="n"/>
      <c r="GP36" s="91" t="n"/>
      <c r="GQ36" s="91" t="n"/>
      <c r="GR36" s="91" t="n"/>
      <c r="GS36" s="91" t="n"/>
      <c r="GT36" s="91" t="n"/>
      <c r="GU36" s="91" t="n"/>
      <c r="GV36" s="91" t="n"/>
      <c r="GW36" s="91" t="n"/>
      <c r="GX36" s="91" t="n"/>
      <c r="GY36" s="91" t="n"/>
      <c r="GZ36" s="91" t="n"/>
      <c r="HA36" s="91" t="n"/>
      <c r="HB36" s="91" t="n"/>
      <c r="HC36" s="91" t="n"/>
      <c r="HD36" s="91" t="n"/>
      <c r="HE36" s="91" t="n"/>
      <c r="HF36" s="91" t="n"/>
      <c r="HG36" s="91" t="n"/>
      <c r="HH36" s="91" t="n"/>
      <c r="HI36" s="91" t="n"/>
      <c r="HJ36" s="91" t="n"/>
      <c r="HK36" s="91" t="n"/>
      <c r="HL36" s="91" t="n"/>
      <c r="HM36" s="91" t="n"/>
      <c r="HN36" s="91" t="n"/>
      <c r="HO36" s="91" t="n"/>
      <c r="HP36" s="91" t="n"/>
      <c r="HQ36" s="91" t="n"/>
      <c r="HR36" s="91" t="n"/>
      <c r="HS36" s="91" t="n"/>
      <c r="HT36" s="91" t="n"/>
      <c r="HU36" s="91" t="n"/>
      <c r="JF36" s="91">
        <f>AP36</f>
        <v/>
      </c>
      <c r="JG36" s="91">
        <f>SUM(Z36:AK36)</f>
        <v/>
      </c>
      <c r="JH36" s="91">
        <f>SUM(AL36:AP36)</f>
        <v/>
      </c>
      <c r="JI36" s="91">
        <f>SUM(C36:AP36)</f>
        <v/>
      </c>
      <c r="JJ36" s="446" t="n"/>
      <c r="JM36" s="91" t="n"/>
      <c r="KG36" s="141">
        <f>B36</f>
        <v/>
      </c>
      <c r="KH36" s="333">
        <f>AR36</f>
        <v/>
      </c>
    </row>
    <row r="37" ht="16.2" customHeight="1">
      <c r="A37" s="81" t="inlineStr">
        <is>
          <t>DESPESAS DE OBRA (-) | Projeto (-)</t>
        </is>
      </c>
      <c r="B37" s="142" t="n"/>
      <c r="C37" s="82" t="n"/>
      <c r="D37" s="84" t="n"/>
      <c r="E37" s="82" t="n"/>
      <c r="F37" s="82" t="n"/>
      <c r="G37" s="82" t="n"/>
      <c r="H37" s="82" t="n"/>
      <c r="I37" s="83" t="n"/>
      <c r="J37" s="179" t="n"/>
      <c r="K37" s="109" t="n"/>
      <c r="L37" s="108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00" t="n"/>
      <c r="AR37" s="241" t="n"/>
      <c r="AS37" s="200" t="n"/>
      <c r="AT37" s="92" t="n"/>
      <c r="AU37" s="92" t="n"/>
      <c r="AV37" s="92" t="n"/>
      <c r="AW37" s="92" t="n"/>
      <c r="AX37" s="92" t="n"/>
      <c r="AY37" s="92" t="n"/>
      <c r="AZ37" s="92" t="n"/>
      <c r="BA37" s="92" t="n"/>
      <c r="BB37" s="92" t="n"/>
      <c r="BC37" s="92" t="n"/>
      <c r="BD37" s="303" t="n"/>
      <c r="BE37" s="272" t="n"/>
      <c r="BF37" s="92" t="n"/>
      <c r="BG37" s="92" t="n"/>
      <c r="BH37" s="92" t="n"/>
      <c r="BI37" s="92" t="n"/>
      <c r="BJ37" s="92" t="n"/>
      <c r="BK37" s="92" t="n"/>
      <c r="BL37" s="92" t="n"/>
      <c r="BM37" s="92" t="n"/>
      <c r="BN37" s="92" t="n"/>
      <c r="BO37" s="92" t="n"/>
      <c r="BP37" s="303" t="n"/>
      <c r="BQ37" s="272" t="n"/>
      <c r="BR37" s="92" t="n"/>
      <c r="BS37" s="92" t="n"/>
      <c r="BT37" s="92" t="n"/>
      <c r="BU37" s="92" t="n"/>
      <c r="BV37" s="92" t="n"/>
      <c r="BW37" s="92" t="n"/>
      <c r="BX37" s="92" t="n"/>
      <c r="BY37" s="92" t="n"/>
      <c r="BZ37" s="92" t="n"/>
      <c r="CA37" s="92" t="n"/>
      <c r="CB37" s="303" t="n"/>
      <c r="CC37" s="272" t="n"/>
      <c r="CD37" s="92" t="n"/>
      <c r="CE37" s="92" t="n"/>
      <c r="CF37" s="92" t="n"/>
      <c r="CG37" s="92" t="n"/>
      <c r="CH37" s="92" t="n"/>
      <c r="CI37" s="92" t="n"/>
      <c r="CJ37" s="92" t="n"/>
      <c r="CK37" s="92" t="n"/>
      <c r="CL37" s="92" t="n"/>
      <c r="CM37" s="92" t="n"/>
      <c r="CN37" s="303" t="n"/>
      <c r="CO37" s="272" t="n"/>
      <c r="CP37" s="92" t="n"/>
      <c r="CQ37" s="92" t="n"/>
      <c r="CR37" s="92" t="n"/>
      <c r="CS37" s="92" t="n"/>
      <c r="CT37" s="92" t="n"/>
      <c r="CU37" s="92" t="n"/>
      <c r="CV37" s="92" t="n"/>
      <c r="CW37" s="92" t="n"/>
      <c r="CX37" s="92" t="n"/>
      <c r="CY37" s="92" t="n"/>
      <c r="CZ37" s="303" t="n"/>
      <c r="DA37" s="272" t="n"/>
      <c r="DB37" s="92" t="n"/>
      <c r="DC37" s="92" t="n"/>
      <c r="DD37" s="92" t="n"/>
      <c r="DE37" s="92" t="n"/>
      <c r="DF37" s="92" t="n"/>
      <c r="DG37" s="92" t="n"/>
      <c r="DH37" s="92" t="n"/>
      <c r="DI37" s="92" t="n"/>
      <c r="DJ37" s="109" t="n"/>
      <c r="DK37" s="92" t="n"/>
      <c r="DL37" s="109" t="n"/>
      <c r="DM37" s="92" t="n"/>
      <c r="DN37" s="109" t="n"/>
      <c r="DO37" s="109" t="n"/>
      <c r="DP37" s="109" t="n"/>
      <c r="DQ37" s="109" t="n"/>
      <c r="DR37" s="109" t="n"/>
      <c r="DS37" s="109" t="n"/>
      <c r="DT37" s="109" t="n"/>
      <c r="DU37" s="109" t="n"/>
      <c r="DV37" s="109" t="n"/>
      <c r="DW37" s="109" t="n"/>
      <c r="DX37" s="109" t="n"/>
      <c r="DY37" s="109" t="n"/>
      <c r="DZ37" s="109" t="n"/>
      <c r="EA37" s="109" t="n"/>
      <c r="EB37" s="109" t="n"/>
      <c r="EC37" s="109" t="n"/>
      <c r="ED37" s="109" t="n"/>
      <c r="EE37" s="109" t="n"/>
      <c r="EF37" s="109" t="n"/>
      <c r="EG37" s="109" t="n"/>
      <c r="EH37" s="109" t="n"/>
      <c r="EI37" s="109" t="n"/>
      <c r="EJ37" s="109" t="n"/>
      <c r="EK37" s="109" t="n"/>
      <c r="EL37" s="109" t="n"/>
      <c r="EM37" s="109" t="n"/>
      <c r="EN37" s="109" t="n"/>
      <c r="EO37" s="109" t="n"/>
      <c r="EP37" s="109" t="n"/>
      <c r="EQ37" s="109" t="n"/>
      <c r="ER37" s="109" t="n"/>
      <c r="ES37" s="109" t="n"/>
      <c r="ET37" s="109" t="n"/>
      <c r="EU37" s="109" t="n"/>
      <c r="EV37" s="109" t="n"/>
      <c r="EW37" s="109" t="n"/>
      <c r="EX37" s="109" t="n"/>
      <c r="EY37" s="109" t="n"/>
      <c r="EZ37" s="109" t="n"/>
      <c r="FA37" s="109" t="n"/>
      <c r="FB37" s="109" t="n"/>
      <c r="FC37" s="109" t="n"/>
      <c r="FD37" s="109" t="n"/>
      <c r="FE37" s="109" t="n"/>
      <c r="FF37" s="109" t="n"/>
      <c r="FG37" s="109" t="n"/>
      <c r="FH37" s="109" t="n"/>
      <c r="FI37" s="109" t="n"/>
      <c r="FJ37" s="109" t="n"/>
      <c r="FK37" s="109" t="n"/>
      <c r="FL37" s="109" t="n"/>
      <c r="FM37" s="109" t="n"/>
      <c r="FN37" s="109" t="n"/>
      <c r="FO37" s="109" t="n"/>
      <c r="FP37" s="109" t="n"/>
      <c r="FQ37" s="109" t="n"/>
      <c r="FR37" s="109" t="n"/>
      <c r="FS37" s="109" t="n"/>
      <c r="FT37" s="109" t="n"/>
      <c r="FU37" s="109" t="n"/>
      <c r="FV37" s="109" t="n"/>
      <c r="FW37" s="109" t="n"/>
      <c r="FX37" s="109" t="n"/>
      <c r="FY37" s="109" t="n"/>
      <c r="FZ37" s="109" t="n"/>
      <c r="GA37" s="109" t="n"/>
      <c r="GB37" s="109" t="n"/>
      <c r="GC37" s="109" t="n"/>
      <c r="GD37" s="109" t="n"/>
      <c r="GE37" s="109" t="n"/>
      <c r="GF37" s="109" t="n"/>
      <c r="GG37" s="109" t="n"/>
      <c r="GH37" s="109" t="n"/>
      <c r="GI37" s="109" t="n"/>
      <c r="GJ37" s="109" t="n"/>
      <c r="GK37" s="109" t="n"/>
      <c r="GL37" s="109" t="n"/>
      <c r="GM37" s="109" t="n"/>
      <c r="GN37" s="109" t="n"/>
      <c r="GO37" s="109" t="n"/>
      <c r="GP37" s="109" t="n"/>
      <c r="GQ37" s="109" t="n"/>
      <c r="GR37" s="109" t="n"/>
      <c r="GS37" s="109" t="n"/>
      <c r="GT37" s="109" t="n"/>
      <c r="GU37" s="109" t="n"/>
      <c r="GV37" s="109" t="n"/>
      <c r="GW37" s="109" t="n"/>
      <c r="GX37" s="109" t="n"/>
      <c r="GY37" s="109" t="n"/>
      <c r="GZ37" s="109" t="n"/>
      <c r="HA37" s="109" t="n"/>
      <c r="HB37" s="109" t="n"/>
      <c r="HC37" s="109" t="n"/>
      <c r="HD37" s="109" t="n"/>
      <c r="HE37" s="109" t="n"/>
      <c r="HF37" s="109" t="n"/>
      <c r="HG37" s="109" t="n"/>
      <c r="HH37" s="109" t="n"/>
      <c r="HI37" s="109" t="n"/>
      <c r="HJ37" s="109" t="n"/>
      <c r="HK37" s="109" t="n"/>
      <c r="HL37" s="109" t="n"/>
      <c r="HM37" s="109" t="n"/>
      <c r="HN37" s="109" t="n"/>
      <c r="HO37" s="109" t="n"/>
      <c r="HP37" s="109" t="n"/>
      <c r="HQ37" s="109" t="n"/>
      <c r="HR37" s="109" t="n"/>
      <c r="HS37" s="109" t="n"/>
      <c r="HT37" s="109" t="n"/>
      <c r="HU37" s="109" t="n"/>
      <c r="JF37" s="92">
        <f>AP37</f>
        <v/>
      </c>
      <c r="JG37" s="92">
        <f>SUM(Z37:AK37)</f>
        <v/>
      </c>
      <c r="JH37" s="92">
        <f>SUM(AL37:AP37)</f>
        <v/>
      </c>
      <c r="JI37" s="92">
        <f>SUM(C37:AP37)</f>
        <v/>
      </c>
      <c r="JJ37" s="446" t="n"/>
      <c r="JM37" s="109" t="n"/>
      <c r="KG37" s="142">
        <f>B37</f>
        <v/>
      </c>
      <c r="KH37" s="241">
        <f>AR37</f>
        <v/>
      </c>
    </row>
    <row r="38" ht="18" customHeight="1">
      <c r="A38" s="7" t="inlineStr">
        <is>
          <t>OBRA - (revisão ABRIL/26)</t>
        </is>
      </c>
      <c r="B38" s="136">
        <f>SUM(C38:AP38)</f>
        <v/>
      </c>
      <c r="C38" s="85" t="n"/>
      <c r="D38" s="87" t="n"/>
      <c r="E38" s="85" t="n"/>
      <c r="F38" s="85" t="n"/>
      <c r="G38" s="85" t="n"/>
      <c r="H38" s="85" t="n"/>
      <c r="I38" s="86" t="n"/>
      <c r="J38" s="526" t="n"/>
      <c r="K38" s="527" t="n"/>
      <c r="L38" s="528" t="n"/>
      <c r="M38" s="529" t="n"/>
      <c r="N38" s="529" t="n"/>
      <c r="O38" s="529" t="n"/>
      <c r="P38" s="529" t="n"/>
      <c r="Q38" s="529" t="n"/>
      <c r="R38" s="529" t="n"/>
      <c r="S38" s="529" t="n"/>
      <c r="T38" s="529" t="n"/>
      <c r="U38" s="529" t="n"/>
      <c r="V38" s="529" t="n"/>
      <c r="W38" s="529" t="n"/>
      <c r="X38" s="529" t="n"/>
      <c r="Y38" s="529" t="n"/>
      <c r="Z38" s="529" t="n"/>
      <c r="AA38" s="529" t="n"/>
      <c r="AB38" s="529" t="n"/>
      <c r="AC38" s="529">
        <f>-124003.31+107752.3</f>
        <v/>
      </c>
      <c r="AD38" s="529" t="n">
        <v>-15360</v>
      </c>
      <c r="AE38" s="529" t="n">
        <v>-494572.5</v>
      </c>
      <c r="AF38" s="529" t="n">
        <v>-570102.1799999999</v>
      </c>
      <c r="AG38" s="529" t="n">
        <v>-1543804.35</v>
      </c>
      <c r="AH38" s="529" t="n">
        <v>-1436152.9</v>
      </c>
      <c r="AI38" s="529" t="n">
        <v>-1462529.72</v>
      </c>
      <c r="AJ38" s="529">
        <f>-2392797.39-19000</f>
        <v/>
      </c>
      <c r="AK38" s="529">
        <f>-3640788.84+55000</f>
        <v/>
      </c>
      <c r="AL38" s="529">
        <f>-2865171.27+29261.06</f>
        <v/>
      </c>
      <c r="AM38" s="529" t="n">
        <v>-798176.1899999999</v>
      </c>
      <c r="AN38" s="529" t="n">
        <v>-1093169.71</v>
      </c>
      <c r="AO38" s="529" t="n">
        <v>-1975027.38</v>
      </c>
      <c r="AP38" s="529" t="n">
        <v>-3609373.31</v>
      </c>
      <c r="AQ38" s="13" t="n"/>
      <c r="AR38" s="345">
        <f>SUM(AT38:HU38)</f>
        <v/>
      </c>
      <c r="AS38" s="13" t="n"/>
      <c r="AT38" s="87" t="n">
        <v>-6186623.486159776</v>
      </c>
      <c r="AU38" s="87" t="n">
        <v>-6156623.486159776</v>
      </c>
      <c r="AV38" s="87">
        <f>-4814839.46-224972.62-137837.64</f>
        <v/>
      </c>
      <c r="AW38" s="87" t="n">
        <v>-5312619.46</v>
      </c>
      <c r="AX38" s="87" t="n">
        <v>-5169839.46</v>
      </c>
      <c r="AY38" s="87" t="n">
        <v>-4677099.7</v>
      </c>
      <c r="AZ38" s="87" t="n">
        <v>-4782099.7</v>
      </c>
      <c r="BA38" s="87" t="n">
        <v>-2312321.53</v>
      </c>
      <c r="BB38" s="87" t="n">
        <v>-2710771.53</v>
      </c>
      <c r="BC38" s="87" t="n">
        <v>-2241942.99</v>
      </c>
      <c r="BD38" s="87" t="n">
        <v>-2091426.76</v>
      </c>
      <c r="BE38" s="87" t="n">
        <v>-1213525</v>
      </c>
      <c r="BF38" s="87" t="n">
        <v>-2251060.67</v>
      </c>
      <c r="BG38" s="87" t="n">
        <v>-743916.67</v>
      </c>
      <c r="BH38" s="87" t="n">
        <v>-918916.67</v>
      </c>
      <c r="BI38" s="87" t="n">
        <v>-918916.67</v>
      </c>
      <c r="BJ38" s="87" t="n">
        <v>-918916.67</v>
      </c>
      <c r="BK38" s="87" t="n">
        <v>-918916.67</v>
      </c>
      <c r="BL38" s="87" t="n">
        <v>-1001416.67</v>
      </c>
      <c r="BM38" s="87" t="n">
        <v>-1216416.67</v>
      </c>
      <c r="BN38" s="87" t="n">
        <v>-1216416.67</v>
      </c>
      <c r="BO38" s="87" t="n">
        <v>-2983083.33</v>
      </c>
      <c r="BP38" s="87" t="n">
        <v>-2983083.33</v>
      </c>
      <c r="BQ38" s="87" t="n">
        <v>-2768083.33</v>
      </c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  <c r="FX38" s="87" t="n"/>
      <c r="FY38" s="87" t="n"/>
      <c r="FZ38" s="87" t="n"/>
      <c r="GA38" s="87" t="n"/>
      <c r="GB38" s="87" t="n"/>
      <c r="GC38" s="87" t="n"/>
      <c r="GD38" s="87" t="n"/>
      <c r="GE38" s="87" t="n"/>
      <c r="GF38" s="87" t="n"/>
      <c r="GG38" s="87" t="n"/>
      <c r="GH38" s="87" t="n"/>
      <c r="GI38" s="87" t="n"/>
      <c r="GJ38" s="87" t="n"/>
      <c r="GK38" s="87" t="n"/>
      <c r="GL38" s="87" t="n"/>
      <c r="GM38" s="87" t="n"/>
      <c r="GN38" s="87" t="n"/>
      <c r="GO38" s="87" t="n"/>
      <c r="GP38" s="87" t="n"/>
      <c r="GQ38" s="87" t="n"/>
      <c r="GR38" s="87" t="n"/>
      <c r="GS38" s="87" t="n"/>
      <c r="GT38" s="87" t="n"/>
      <c r="GU38" s="87" t="n"/>
      <c r="GV38" s="87" t="n"/>
      <c r="GW38" s="87" t="n"/>
      <c r="GX38" s="87" t="n"/>
      <c r="GY38" s="87" t="n"/>
      <c r="GZ38" s="87" t="n"/>
      <c r="HA38" s="87" t="n"/>
      <c r="HB38" s="87" t="n"/>
      <c r="HC38" s="87" t="n"/>
      <c r="HD38" s="87" t="n"/>
      <c r="HE38" s="87" t="n"/>
      <c r="HF38" s="87" t="n"/>
      <c r="HG38" s="87" t="n"/>
      <c r="HH38" s="87" t="n"/>
      <c r="HI38" s="87" t="n"/>
      <c r="HJ38" s="87" t="n"/>
      <c r="HK38" s="87" t="n"/>
      <c r="HL38" s="87" t="n"/>
      <c r="HM38" s="87" t="n"/>
      <c r="HN38" s="87" t="n"/>
      <c r="HO38" s="87" t="n"/>
      <c r="HP38" s="87" t="n"/>
      <c r="HQ38" s="87" t="n"/>
      <c r="HR38" s="87" t="n"/>
      <c r="HS38" s="87" t="n"/>
      <c r="HT38" s="87" t="n"/>
      <c r="HU38" s="87" t="n"/>
      <c r="JF38" s="87">
        <f>AP38</f>
        <v/>
      </c>
      <c r="JG38" s="87">
        <f>SUM(Z38:AK38)</f>
        <v/>
      </c>
      <c r="JH38" s="87">
        <f>SUM(AL38:AP38)</f>
        <v/>
      </c>
      <c r="JI38" s="87">
        <f>SUM(C38:AP38)</f>
        <v/>
      </c>
      <c r="JJ38" s="446" t="n"/>
      <c r="JM38" s="469" t="n">
        <v>-3747210.946159777</v>
      </c>
      <c r="KG38" s="136">
        <f>B38</f>
        <v/>
      </c>
      <c r="KH38" s="345">
        <f>AR38</f>
        <v/>
      </c>
    </row>
    <row r="39" ht="18" customHeight="1">
      <c r="A39" s="7" t="inlineStr">
        <is>
          <t>Verba de pós obra</t>
        </is>
      </c>
      <c r="B39" s="136">
        <f>SUM(C39:AP39)</f>
        <v/>
      </c>
      <c r="C39" s="85" t="n"/>
      <c r="D39" s="87" t="n"/>
      <c r="E39" s="85" t="n"/>
      <c r="F39" s="85" t="n"/>
      <c r="G39" s="85" t="n"/>
      <c r="H39" s="85" t="n"/>
      <c r="I39" s="86" t="n"/>
      <c r="J39" s="526" t="n"/>
      <c r="K39" s="527" t="n"/>
      <c r="L39" s="528" t="n"/>
      <c r="M39" s="529" t="n"/>
      <c r="N39" s="529" t="n"/>
      <c r="O39" s="529" t="n"/>
      <c r="P39" s="529" t="n"/>
      <c r="Q39" s="529" t="n"/>
      <c r="R39" s="529" t="n"/>
      <c r="S39" s="529" t="n"/>
      <c r="T39" s="529" t="n"/>
      <c r="U39" s="529" t="n"/>
      <c r="V39" s="529" t="n"/>
      <c r="W39" s="529" t="n"/>
      <c r="X39" s="529" t="n"/>
      <c r="Y39" s="529" t="n"/>
      <c r="Z39" s="529" t="n"/>
      <c r="AA39" s="529" t="n"/>
      <c r="AB39" s="529" t="n"/>
      <c r="AC39" s="529" t="n"/>
      <c r="AD39" s="529" t="n"/>
      <c r="AE39" s="529" t="n"/>
      <c r="AF39" s="529" t="n"/>
      <c r="AG39" s="529" t="n"/>
      <c r="AH39" s="529" t="n"/>
      <c r="AI39" s="529" t="n"/>
      <c r="AJ39" s="529" t="n"/>
      <c r="AK39" s="529" t="n"/>
      <c r="AL39" s="529" t="n"/>
      <c r="AM39" s="529" t="n"/>
      <c r="AN39" s="529" t="n"/>
      <c r="AO39" s="529" t="n"/>
      <c r="AP39" s="529" t="n"/>
      <c r="AQ39" s="13" t="n"/>
      <c r="AR39" s="345">
        <f>SUM(AT39:HU39)</f>
        <v/>
      </c>
      <c r="AS39" s="13" t="n"/>
      <c r="AT39" s="87" t="n">
        <v>0</v>
      </c>
      <c r="AU39" s="87" t="n">
        <v>0</v>
      </c>
      <c r="AV39" s="87" t="n">
        <v>0</v>
      </c>
      <c r="AW39" s="87" t="n">
        <v>0</v>
      </c>
      <c r="AX39" s="87" t="n">
        <v>0</v>
      </c>
      <c r="AY39" s="87" t="n">
        <v>0</v>
      </c>
      <c r="AZ39" s="87" t="n">
        <v>0</v>
      </c>
      <c r="BA39" s="87" t="n">
        <v>0</v>
      </c>
      <c r="BB39" s="87" t="n">
        <v>0</v>
      </c>
      <c r="BC39" s="87" t="n">
        <v>0</v>
      </c>
      <c r="BD39" s="87" t="n">
        <v>0</v>
      </c>
      <c r="BE39" s="87" t="n">
        <v>0</v>
      </c>
      <c r="BF39" s="87" t="n">
        <v>0</v>
      </c>
      <c r="BG39" s="87" t="n">
        <v>0</v>
      </c>
      <c r="BH39" s="87" t="n">
        <v>0</v>
      </c>
      <c r="BI39" s="87" t="n">
        <v>0</v>
      </c>
      <c r="BJ39" s="87" t="n">
        <v>0</v>
      </c>
      <c r="BK39" s="87" t="n">
        <v>0</v>
      </c>
      <c r="BL39" s="87" t="n">
        <v>0</v>
      </c>
      <c r="BM39" s="87" t="n">
        <v>0</v>
      </c>
      <c r="BN39" s="87" t="n">
        <v>0</v>
      </c>
      <c r="BO39" s="87" t="n">
        <v>0</v>
      </c>
      <c r="BP39" s="87" t="n">
        <v>-74113.02066768291</v>
      </c>
      <c r="BQ39" s="87" t="n">
        <v>-74113.02066768291</v>
      </c>
      <c r="BR39" s="87" t="n">
        <v>-74113.02066768291</v>
      </c>
      <c r="BS39" s="87" t="n">
        <v>-74113.02066768291</v>
      </c>
      <c r="BT39" s="87" t="n">
        <v>-74113.02066768291</v>
      </c>
      <c r="BU39" s="87" t="n">
        <v>-74113.02066768291</v>
      </c>
      <c r="BV39" s="87" t="n">
        <v>-74113.02066768291</v>
      </c>
      <c r="BW39" s="87" t="n">
        <v>-74113.02066768291</v>
      </c>
      <c r="BX39" s="87" t="n">
        <v>-74113.02066768291</v>
      </c>
      <c r="BY39" s="87" t="n">
        <v>-74113.02066768291</v>
      </c>
      <c r="BZ39" s="87" t="n">
        <v>-74113.02066768291</v>
      </c>
      <c r="CA39" s="87" t="n">
        <v>-74113.02066768291</v>
      </c>
      <c r="CB39" s="87" t="n">
        <v>-74113.02066768291</v>
      </c>
      <c r="CC39" s="87" t="n">
        <v>-74113.02066768291</v>
      </c>
      <c r="CD39" s="87" t="n">
        <v>-74113.02066768291</v>
      </c>
      <c r="CE39" s="87" t="n">
        <v>-74113.02066768291</v>
      </c>
      <c r="CF39" s="87" t="n">
        <v>-74113.02066768291</v>
      </c>
      <c r="CG39" s="87" t="n">
        <v>-74113.02066768291</v>
      </c>
      <c r="CH39" s="87" t="n">
        <v>-74113.02066768291</v>
      </c>
      <c r="CI39" s="87" t="n">
        <v>-74113.02066768291</v>
      </c>
      <c r="CJ39" s="87" t="n">
        <v>-74113.02066768291</v>
      </c>
      <c r="CK39" s="87" t="n">
        <v>-74113.02066768291</v>
      </c>
      <c r="CL39" s="87" t="n">
        <v>-74113.02066768291</v>
      </c>
      <c r="CM39" s="87" t="n">
        <v>-74113.02066768291</v>
      </c>
      <c r="CN39" s="87" t="n"/>
      <c r="CO39" s="87" t="n"/>
      <c r="CP39" s="87" t="n"/>
      <c r="CQ39" s="87" t="n"/>
      <c r="CR39" s="87" t="n"/>
      <c r="CS39" s="87" t="n"/>
      <c r="CT39" s="87" t="n"/>
      <c r="CU39" s="87" t="n"/>
      <c r="CV39" s="87" t="n"/>
      <c r="CW39" s="87" t="n"/>
      <c r="CX39" s="87" t="n"/>
      <c r="CY39" s="87" t="n"/>
      <c r="CZ39" s="87" t="n"/>
      <c r="DA39" s="87" t="n"/>
      <c r="DB39" s="87" t="n"/>
      <c r="DC39" s="87" t="n"/>
      <c r="DD39" s="87" t="n"/>
      <c r="DE39" s="87" t="n"/>
      <c r="DF39" s="87" t="n"/>
      <c r="DG39" s="87" t="n"/>
      <c r="DH39" s="87" t="n"/>
      <c r="DI39" s="87" t="n"/>
      <c r="DJ39" s="87" t="n"/>
      <c r="DK39" s="87" t="n"/>
      <c r="DL39" s="87" t="n"/>
      <c r="DM39" s="87" t="n"/>
      <c r="DN39" s="87" t="n"/>
      <c r="DO39" s="87" t="n"/>
      <c r="DP39" s="87" t="n"/>
      <c r="DQ39" s="87" t="n"/>
      <c r="DR39" s="87" t="n"/>
      <c r="DS39" s="87" t="n"/>
      <c r="DT39" s="87" t="n"/>
      <c r="DU39" s="87" t="n"/>
      <c r="DV39" s="87" t="n"/>
      <c r="DW39" s="87" t="n"/>
      <c r="DX39" s="87" t="n"/>
      <c r="DY39" s="87" t="n"/>
      <c r="DZ39" s="87" t="n"/>
      <c r="EA39" s="87" t="n"/>
      <c r="EB39" s="87" t="n"/>
      <c r="EC39" s="87" t="n"/>
      <c r="ED39" s="87" t="n"/>
      <c r="EE39" s="87" t="n"/>
      <c r="EF39" s="87" t="n"/>
      <c r="EG39" s="87" t="n"/>
      <c r="EH39" s="87" t="n"/>
      <c r="EI39" s="87" t="n"/>
      <c r="EJ39" s="87" t="n"/>
      <c r="EK39" s="87" t="n"/>
      <c r="EL39" s="87" t="n"/>
      <c r="EM39" s="87" t="n"/>
      <c r="EN39" s="87" t="n"/>
      <c r="EO39" s="87" t="n"/>
      <c r="EP39" s="87" t="n"/>
      <c r="EQ39" s="87" t="n"/>
      <c r="ER39" s="87" t="n"/>
      <c r="ES39" s="87" t="n"/>
      <c r="ET39" s="87" t="n"/>
      <c r="EU39" s="87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87" t="n"/>
      <c r="FM39" s="87" t="n"/>
      <c r="FN39" s="87" t="n"/>
      <c r="FO39" s="87" t="n"/>
      <c r="FP39" s="87" t="n"/>
      <c r="FQ39" s="87" t="n"/>
      <c r="FR39" s="87" t="n"/>
      <c r="FS39" s="87" t="n"/>
      <c r="FT39" s="87" t="n"/>
      <c r="FU39" s="87" t="n"/>
      <c r="FV39" s="87" t="n"/>
      <c r="FW39" s="87" t="n"/>
      <c r="FX39" s="87" t="n"/>
      <c r="FY39" s="87" t="n"/>
      <c r="FZ39" s="87" t="n"/>
      <c r="GA39" s="87" t="n"/>
      <c r="GB39" s="87" t="n"/>
      <c r="GC39" s="87" t="n"/>
      <c r="GD39" s="87" t="n"/>
      <c r="GE39" s="87" t="n"/>
      <c r="GF39" s="87" t="n"/>
      <c r="GG39" s="87" t="n"/>
      <c r="GH39" s="87" t="n"/>
      <c r="GI39" s="87" t="n"/>
      <c r="GJ39" s="87" t="n"/>
      <c r="GK39" s="87" t="n"/>
      <c r="GL39" s="87" t="n"/>
      <c r="GM39" s="87" t="n"/>
      <c r="GN39" s="87" t="n"/>
      <c r="GO39" s="87" t="n"/>
      <c r="GP39" s="87" t="n"/>
      <c r="GQ39" s="87" t="n"/>
      <c r="GR39" s="87" t="n"/>
      <c r="GS39" s="87" t="n"/>
      <c r="GT39" s="87" t="n"/>
      <c r="GU39" s="87" t="n"/>
      <c r="GV39" s="87" t="n"/>
      <c r="GW39" s="87" t="n"/>
      <c r="GX39" s="87" t="n"/>
      <c r="GY39" s="87" t="n"/>
      <c r="GZ39" s="87" t="n"/>
      <c r="HA39" s="87" t="n"/>
      <c r="HB39" s="87" t="n"/>
      <c r="HC39" s="87" t="n"/>
      <c r="HD39" s="87" t="n"/>
      <c r="HE39" s="87" t="n"/>
      <c r="HF39" s="87" t="n"/>
      <c r="HG39" s="87" t="n"/>
      <c r="HH39" s="87" t="n"/>
      <c r="HI39" s="87" t="n"/>
      <c r="HJ39" s="87" t="n"/>
      <c r="HK39" s="87" t="n"/>
      <c r="HL39" s="87" t="n"/>
      <c r="HM39" s="87" t="n"/>
      <c r="HN39" s="87" t="n"/>
      <c r="HO39" s="87" t="n"/>
      <c r="HP39" s="87" t="n"/>
      <c r="HQ39" s="87" t="n"/>
      <c r="HR39" s="87" t="n"/>
      <c r="HS39" s="87" t="n"/>
      <c r="HT39" s="87" t="n"/>
      <c r="HU39" s="87" t="n"/>
      <c r="JF39" s="87" t="n"/>
      <c r="JG39" s="87" t="n"/>
      <c r="JH39" s="87">
        <f>SUM(AL39:AP39)</f>
        <v/>
      </c>
      <c r="JI39" s="87" t="n"/>
      <c r="JJ39" s="446" t="n"/>
      <c r="JM39" s="87" t="n">
        <v>0</v>
      </c>
      <c r="KG39" s="136">
        <f>B39</f>
        <v/>
      </c>
      <c r="KH39" s="345">
        <f>AR39</f>
        <v/>
      </c>
    </row>
    <row r="40" ht="16.2" customHeight="1">
      <c r="A40" s="7" t="inlineStr">
        <is>
          <t>CONTRAPARTIDA SAAE</t>
        </is>
      </c>
      <c r="B40" s="136">
        <f>SUM(C40:AP40)</f>
        <v/>
      </c>
      <c r="C40" s="85" t="n"/>
      <c r="D40" s="87" t="n"/>
      <c r="E40" s="85" t="n"/>
      <c r="F40" s="85" t="n"/>
      <c r="G40" s="85" t="n"/>
      <c r="H40" s="85" t="n"/>
      <c r="I40" s="86" t="n"/>
      <c r="J40" s="526" t="n"/>
      <c r="K40" s="527" t="n"/>
      <c r="L40" s="528" t="n"/>
      <c r="M40" s="529" t="n"/>
      <c r="N40" s="529" t="n"/>
      <c r="O40" s="529" t="n"/>
      <c r="P40" s="529" t="n"/>
      <c r="Q40" s="529" t="n"/>
      <c r="R40" s="529" t="n"/>
      <c r="S40" s="529" t="n"/>
      <c r="T40" s="529" t="n"/>
      <c r="U40" s="529" t="n"/>
      <c r="V40" s="529" t="n"/>
      <c r="W40" s="529" t="n"/>
      <c r="X40" s="529" t="n"/>
      <c r="Y40" s="529" t="n"/>
      <c r="Z40" s="529" t="n"/>
      <c r="AA40" s="529" t="n"/>
      <c r="AB40" s="529" t="n"/>
      <c r="AC40" s="529" t="n"/>
      <c r="AD40" s="529" t="n"/>
      <c r="AE40" s="529" t="n"/>
      <c r="AF40" s="529" t="n"/>
      <c r="AG40" s="529" t="n"/>
      <c r="AH40" s="529" t="n"/>
      <c r="AI40" s="529" t="n"/>
      <c r="AJ40" s="529" t="n"/>
      <c r="AK40" s="529" t="n"/>
      <c r="AL40" s="529" t="n"/>
      <c r="AM40" s="529" t="n"/>
      <c r="AN40" s="529" t="n"/>
      <c r="AO40" s="529" t="n"/>
      <c r="AP40" s="529" t="n"/>
      <c r="AQ40" s="13" t="n"/>
      <c r="AR40" s="345">
        <f>SUM(AT40:HU40)</f>
        <v/>
      </c>
      <c r="AS40" s="13" t="n"/>
      <c r="AT40" s="87" t="n">
        <v>0</v>
      </c>
      <c r="AU40" s="87" t="n">
        <v>0</v>
      </c>
      <c r="AV40" s="87" t="n">
        <v>0</v>
      </c>
      <c r="AW40" s="87" t="n">
        <v>0</v>
      </c>
      <c r="AX40" s="87" t="n">
        <v>0</v>
      </c>
      <c r="AY40" s="87" t="n">
        <v>0</v>
      </c>
      <c r="AZ40" s="87" t="n">
        <v>0</v>
      </c>
      <c r="BA40" s="87" t="n">
        <v>0</v>
      </c>
      <c r="BB40" s="87" t="n">
        <v>0</v>
      </c>
      <c r="BC40" s="87" t="n">
        <v>0</v>
      </c>
      <c r="BD40" s="87" t="n">
        <v>0</v>
      </c>
      <c r="BE40" s="87">
        <f>-1279528.22*1.05</f>
        <v/>
      </c>
      <c r="BF40" s="87" t="n">
        <v>0</v>
      </c>
      <c r="BG40" s="87" t="n">
        <v>0</v>
      </c>
      <c r="BH40" s="87" t="n">
        <v>0</v>
      </c>
      <c r="BI40" s="87" t="n">
        <v>0</v>
      </c>
      <c r="BJ40" s="87" t="n">
        <v>0</v>
      </c>
      <c r="BK40" s="87" t="n">
        <v>0</v>
      </c>
      <c r="BL40" s="87" t="n">
        <v>0</v>
      </c>
      <c r="BM40" s="87" t="n">
        <v>0</v>
      </c>
      <c r="BN40" s="87" t="n">
        <v>0</v>
      </c>
      <c r="BO40" s="87" t="n">
        <v>0</v>
      </c>
      <c r="BP40" s="87" t="n">
        <v>0</v>
      </c>
      <c r="BQ40" s="87" t="n">
        <v>0</v>
      </c>
      <c r="BR40" s="87" t="n">
        <v>0</v>
      </c>
      <c r="BS40" s="87" t="n">
        <v>0</v>
      </c>
      <c r="BT40" s="87" t="n">
        <v>0</v>
      </c>
      <c r="BU40" s="87" t="n">
        <v>0</v>
      </c>
      <c r="BV40" s="87" t="n">
        <v>0</v>
      </c>
      <c r="BW40" s="87" t="n">
        <v>0</v>
      </c>
      <c r="BX40" s="87" t="n">
        <v>0</v>
      </c>
      <c r="BY40" s="87" t="n">
        <v>0</v>
      </c>
      <c r="BZ40" s="87" t="n">
        <v>0</v>
      </c>
      <c r="CA40" s="87" t="n">
        <v>0</v>
      </c>
      <c r="CB40" s="87" t="n">
        <v>0</v>
      </c>
      <c r="CC40" s="87" t="n">
        <v>0</v>
      </c>
      <c r="CD40" s="87" t="n">
        <v>0</v>
      </c>
      <c r="CE40" s="87" t="n">
        <v>0</v>
      </c>
      <c r="CF40" s="87" t="n">
        <v>0</v>
      </c>
      <c r="CG40" s="87" t="n">
        <v>0</v>
      </c>
      <c r="CH40" s="87" t="n">
        <v>0</v>
      </c>
      <c r="CI40" s="87" t="n">
        <v>0</v>
      </c>
      <c r="CJ40" s="87" t="n">
        <v>0</v>
      </c>
      <c r="CK40" s="87" t="n">
        <v>0</v>
      </c>
      <c r="CL40" s="87" t="n">
        <v>0</v>
      </c>
      <c r="CM40" s="87" t="n">
        <v>0</v>
      </c>
      <c r="CN40" s="87" t="n">
        <v>0</v>
      </c>
      <c r="CO40" s="87" t="n">
        <v>0</v>
      </c>
      <c r="CP40" s="87" t="n">
        <v>0</v>
      </c>
      <c r="CQ40" s="87" t="n">
        <v>0</v>
      </c>
      <c r="CR40" s="87" t="n">
        <v>0</v>
      </c>
      <c r="CS40" s="87" t="n">
        <v>0</v>
      </c>
      <c r="CT40" s="87" t="n">
        <v>0</v>
      </c>
      <c r="CU40" s="87" t="n">
        <v>0</v>
      </c>
      <c r="CV40" s="87" t="n">
        <v>0</v>
      </c>
      <c r="CW40" s="87" t="n">
        <v>0</v>
      </c>
      <c r="CX40" s="87" t="n">
        <v>0</v>
      </c>
      <c r="CY40" s="87" t="n">
        <v>0</v>
      </c>
      <c r="CZ40" s="87" t="n">
        <v>0</v>
      </c>
      <c r="DA40" s="87" t="n">
        <v>0</v>
      </c>
      <c r="DB40" s="87" t="n">
        <v>0</v>
      </c>
      <c r="DC40" s="87" t="n">
        <v>0</v>
      </c>
      <c r="DD40" s="87" t="n">
        <v>0</v>
      </c>
      <c r="DE40" s="87" t="n">
        <v>0</v>
      </c>
      <c r="DF40" s="87" t="n">
        <v>0</v>
      </c>
      <c r="DG40" s="87" t="n">
        <v>0</v>
      </c>
      <c r="DH40" s="87" t="n">
        <v>0</v>
      </c>
      <c r="DI40" s="87" t="n">
        <v>0</v>
      </c>
      <c r="DJ40" s="87" t="n">
        <v>0</v>
      </c>
      <c r="DK40" s="87" t="n">
        <v>0</v>
      </c>
      <c r="DL40" s="87" t="n">
        <v>0</v>
      </c>
      <c r="DM40" s="87" t="n">
        <v>0</v>
      </c>
      <c r="DN40" s="87" t="n">
        <v>0</v>
      </c>
      <c r="DO40" s="87" t="n">
        <v>0</v>
      </c>
      <c r="DP40" s="87" t="n">
        <v>0</v>
      </c>
      <c r="DQ40" s="87" t="n">
        <v>0</v>
      </c>
      <c r="DR40" s="87" t="n">
        <v>0</v>
      </c>
      <c r="DS40" s="87" t="n">
        <v>0</v>
      </c>
      <c r="DT40" s="87" t="n">
        <v>0</v>
      </c>
      <c r="DU40" s="87" t="n">
        <v>0</v>
      </c>
      <c r="DV40" s="87" t="n">
        <v>0</v>
      </c>
      <c r="DW40" s="87" t="n">
        <v>0</v>
      </c>
      <c r="DX40" s="87" t="n">
        <v>0</v>
      </c>
      <c r="DY40" s="87" t="n">
        <v>0</v>
      </c>
      <c r="DZ40" s="87" t="n">
        <v>0</v>
      </c>
      <c r="EA40" s="87" t="n">
        <v>0</v>
      </c>
      <c r="EB40" s="87" t="n">
        <v>0</v>
      </c>
      <c r="EC40" s="87" t="n">
        <v>0</v>
      </c>
      <c r="ED40" s="87" t="n">
        <v>0</v>
      </c>
      <c r="EE40" s="87" t="n">
        <v>0</v>
      </c>
      <c r="EF40" s="87" t="n">
        <v>0</v>
      </c>
      <c r="EG40" s="87" t="n">
        <v>0</v>
      </c>
      <c r="EH40" s="87" t="n">
        <v>0</v>
      </c>
      <c r="EI40" s="87" t="n">
        <v>0</v>
      </c>
      <c r="EJ40" s="87" t="n">
        <v>0</v>
      </c>
      <c r="EK40" s="87" t="n">
        <v>0</v>
      </c>
      <c r="EL40" s="87" t="n">
        <v>0</v>
      </c>
      <c r="EM40" s="87" t="n">
        <v>0</v>
      </c>
      <c r="EN40" s="87" t="n">
        <v>0</v>
      </c>
      <c r="EO40" s="87" t="n">
        <v>0</v>
      </c>
      <c r="EP40" s="87" t="n">
        <v>0</v>
      </c>
      <c r="EQ40" s="87" t="n">
        <v>0</v>
      </c>
      <c r="ER40" s="87" t="n">
        <v>0</v>
      </c>
      <c r="ES40" s="87" t="n">
        <v>0</v>
      </c>
      <c r="ET40" s="87" t="n">
        <v>0</v>
      </c>
      <c r="EU40" s="87" t="n">
        <v>0</v>
      </c>
      <c r="EV40" s="87" t="n">
        <v>0</v>
      </c>
      <c r="EW40" s="87" t="n">
        <v>0</v>
      </c>
      <c r="EX40" s="87" t="n">
        <v>0</v>
      </c>
      <c r="EY40" s="87" t="n">
        <v>0</v>
      </c>
      <c r="EZ40" s="87" t="n">
        <v>0</v>
      </c>
      <c r="FA40" s="87" t="n">
        <v>0</v>
      </c>
      <c r="FB40" s="87" t="n">
        <v>0</v>
      </c>
      <c r="FC40" s="87" t="n">
        <v>0</v>
      </c>
      <c r="FD40" s="87" t="n">
        <v>0</v>
      </c>
      <c r="FE40" s="87" t="n">
        <v>0</v>
      </c>
      <c r="FF40" s="87" t="n">
        <v>0</v>
      </c>
      <c r="FG40" s="87" t="n">
        <v>0</v>
      </c>
      <c r="FH40" s="87" t="n">
        <v>0</v>
      </c>
      <c r="FI40" s="87" t="n">
        <v>0</v>
      </c>
      <c r="FJ40" s="87" t="n">
        <v>0</v>
      </c>
      <c r="FK40" s="87" t="n">
        <v>0</v>
      </c>
      <c r="FL40" s="87" t="n">
        <v>0</v>
      </c>
      <c r="FM40" s="87" t="n">
        <v>0</v>
      </c>
      <c r="FN40" s="87" t="n">
        <v>0</v>
      </c>
      <c r="FO40" s="87" t="n">
        <v>0</v>
      </c>
      <c r="FP40" s="87" t="n">
        <v>0</v>
      </c>
      <c r="FQ40" s="87" t="n">
        <v>0</v>
      </c>
      <c r="FR40" s="87" t="n">
        <v>0</v>
      </c>
      <c r="FS40" s="87" t="n">
        <v>0</v>
      </c>
      <c r="FT40" s="87" t="n">
        <v>0</v>
      </c>
      <c r="FU40" s="87" t="n">
        <v>0</v>
      </c>
      <c r="FV40" s="87" t="n">
        <v>0</v>
      </c>
      <c r="FW40" s="87" t="n">
        <v>0</v>
      </c>
      <c r="FX40" s="87" t="n">
        <v>0</v>
      </c>
      <c r="FY40" s="87" t="n">
        <v>0</v>
      </c>
      <c r="FZ40" s="87" t="n">
        <v>0</v>
      </c>
      <c r="GA40" s="87" t="n">
        <v>0</v>
      </c>
      <c r="GB40" s="87" t="n">
        <v>0</v>
      </c>
      <c r="GC40" s="87" t="n">
        <v>0</v>
      </c>
      <c r="GD40" s="87" t="n">
        <v>0</v>
      </c>
      <c r="GE40" s="87" t="n">
        <v>0</v>
      </c>
      <c r="GF40" s="87" t="n">
        <v>0</v>
      </c>
      <c r="GG40" s="87" t="n">
        <v>0</v>
      </c>
      <c r="GH40" s="87" t="n">
        <v>0</v>
      </c>
      <c r="GI40" s="87" t="n">
        <v>0</v>
      </c>
      <c r="GJ40" s="87" t="n">
        <v>0</v>
      </c>
      <c r="GK40" s="87" t="n">
        <v>0</v>
      </c>
      <c r="GL40" s="87" t="n">
        <v>0</v>
      </c>
      <c r="GM40" s="87" t="n">
        <v>0</v>
      </c>
      <c r="GN40" s="87" t="n">
        <v>0</v>
      </c>
      <c r="GO40" s="87" t="n">
        <v>0</v>
      </c>
      <c r="GP40" s="87" t="n">
        <v>0</v>
      </c>
      <c r="GQ40" s="87" t="n">
        <v>0</v>
      </c>
      <c r="GR40" s="87" t="n">
        <v>0</v>
      </c>
      <c r="GS40" s="87" t="n">
        <v>0</v>
      </c>
      <c r="GT40" s="87" t="n">
        <v>0</v>
      </c>
      <c r="GU40" s="87" t="n">
        <v>0</v>
      </c>
      <c r="GV40" s="87" t="n">
        <v>0</v>
      </c>
      <c r="GW40" s="87" t="n">
        <v>0</v>
      </c>
      <c r="GX40" s="87" t="n">
        <v>0</v>
      </c>
      <c r="GY40" s="87" t="n">
        <v>0</v>
      </c>
      <c r="GZ40" s="87" t="n">
        <v>0</v>
      </c>
      <c r="HA40" s="87" t="n">
        <v>0</v>
      </c>
      <c r="HB40" s="87" t="n">
        <v>0</v>
      </c>
      <c r="HC40" s="87" t="n">
        <v>0</v>
      </c>
      <c r="HD40" s="87" t="n">
        <v>0</v>
      </c>
      <c r="HE40" s="87" t="n">
        <v>0</v>
      </c>
      <c r="HF40" s="87" t="n">
        <v>0</v>
      </c>
      <c r="HG40" s="87" t="n">
        <v>0</v>
      </c>
      <c r="HH40" s="87" t="n">
        <v>0</v>
      </c>
      <c r="HI40" s="87" t="n">
        <v>0</v>
      </c>
      <c r="HJ40" s="87" t="n">
        <v>0</v>
      </c>
      <c r="HK40" s="87" t="n">
        <v>0</v>
      </c>
      <c r="HL40" s="87" t="n">
        <v>0</v>
      </c>
      <c r="HM40" s="87" t="n">
        <v>0</v>
      </c>
      <c r="HN40" s="87" t="n">
        <v>0</v>
      </c>
      <c r="HO40" s="87" t="n">
        <v>0</v>
      </c>
      <c r="HP40" s="87" t="n">
        <v>0</v>
      </c>
      <c r="HQ40" s="87" t="n">
        <v>0</v>
      </c>
      <c r="HR40" s="87" t="n">
        <v>0</v>
      </c>
      <c r="HS40" s="87" t="n">
        <v>0</v>
      </c>
      <c r="HT40" s="87" t="n">
        <v>0</v>
      </c>
      <c r="HU40" s="87" t="n">
        <v>0</v>
      </c>
      <c r="JF40" s="87">
        <f>AP40</f>
        <v/>
      </c>
      <c r="JG40" s="87">
        <f>SUM(Z40:AK40)</f>
        <v/>
      </c>
      <c r="JH40" s="87">
        <f>SUM(AL40:AP40)</f>
        <v/>
      </c>
      <c r="JI40" s="87">
        <f>SUM(C40:AP40)</f>
        <v/>
      </c>
      <c r="JJ40" s="446" t="n"/>
      <c r="JM40" s="87" t="n">
        <v>0</v>
      </c>
      <c r="KG40" s="136">
        <f>B40</f>
        <v/>
      </c>
      <c r="KH40" s="345">
        <f>AR40</f>
        <v/>
      </c>
    </row>
    <row r="41" ht="6.75" customHeight="1">
      <c r="A41" s="1" t="n"/>
      <c r="B41" s="128" t="n"/>
      <c r="C41" s="512" t="n"/>
      <c r="D41" s="512" t="n"/>
      <c r="E41" s="512" t="n"/>
      <c r="F41" s="512" t="n"/>
      <c r="G41" s="512" t="n"/>
      <c r="H41" s="512" t="n"/>
      <c r="I41" s="512" t="n"/>
      <c r="J41" s="513" t="n"/>
      <c r="K41" s="512" t="n"/>
      <c r="L41" s="512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514" t="n"/>
      <c r="AA41" s="514" t="n"/>
      <c r="AB41" s="514" t="n"/>
      <c r="AC41" s="514" t="n"/>
      <c r="AD41" s="514" t="n"/>
      <c r="AE41" s="514" t="n"/>
      <c r="AF41" s="514" t="n"/>
      <c r="AG41" s="514" t="n"/>
      <c r="AH41" s="514" t="n"/>
      <c r="AI41" s="514" t="n"/>
      <c r="AJ41" s="514" t="n"/>
      <c r="AK41" s="514" t="n"/>
      <c r="AL41" s="514" t="n"/>
      <c r="AM41" s="514" t="n"/>
      <c r="AN41" s="514" t="n"/>
      <c r="AO41" s="514" t="n"/>
      <c r="AP41" s="514" t="n"/>
      <c r="AQ41" s="512" t="n"/>
      <c r="AR41" s="533" t="n"/>
      <c r="AS41" s="512" t="n"/>
      <c r="AT41" s="512" t="n"/>
      <c r="AU41" s="512" t="n"/>
      <c r="AV41" s="512" t="n"/>
      <c r="AW41" s="512" t="n"/>
      <c r="AX41" s="512" t="n"/>
      <c r="AY41" s="512" t="n"/>
      <c r="AZ41" s="512" t="n"/>
      <c r="BA41" s="512" t="n"/>
      <c r="BB41" s="512" t="n"/>
      <c r="BC41" s="512" t="n"/>
      <c r="BD41" s="515" t="n"/>
      <c r="BE41" s="512" t="n"/>
      <c r="BF41" s="512" t="n"/>
      <c r="BG41" s="512" t="n"/>
      <c r="BH41" s="512" t="n"/>
      <c r="BI41" s="512" t="n"/>
      <c r="BJ41" s="512" t="n"/>
      <c r="BK41" s="512" t="n"/>
      <c r="BL41" s="512" t="n"/>
      <c r="BM41" s="512" t="n"/>
      <c r="BN41" s="512" t="n"/>
      <c r="BO41" s="512" t="n"/>
      <c r="BP41" s="515" t="n"/>
      <c r="BQ41" s="512" t="n"/>
      <c r="BR41" s="512" t="n"/>
      <c r="BS41" s="512" t="n"/>
      <c r="BT41" s="512" t="n"/>
      <c r="BU41" s="512" t="n"/>
      <c r="BV41" s="512" t="n"/>
      <c r="BW41" s="512" t="n"/>
      <c r="BX41" s="512" t="n"/>
      <c r="BY41" s="512" t="n"/>
      <c r="BZ41" s="512" t="n"/>
      <c r="CA41" s="512" t="n"/>
      <c r="CB41" s="515" t="n"/>
      <c r="CC41" s="512" t="n"/>
      <c r="CD41" s="512" t="n"/>
      <c r="CE41" s="512" t="n"/>
      <c r="CF41" s="512" t="n"/>
      <c r="CG41" s="512" t="n"/>
      <c r="CH41" s="512" t="n"/>
      <c r="CI41" s="512" t="n"/>
      <c r="CJ41" s="512" t="n"/>
      <c r="CK41" s="512" t="n"/>
      <c r="CL41" s="512" t="n"/>
      <c r="CM41" s="512" t="n"/>
      <c r="CN41" s="515" t="n"/>
      <c r="CO41" s="512" t="n"/>
      <c r="CP41" s="512" t="n"/>
      <c r="CQ41" s="512" t="n"/>
      <c r="CR41" s="512" t="n"/>
      <c r="CS41" s="512" t="n"/>
      <c r="CT41" s="512" t="n"/>
      <c r="CU41" s="512" t="n"/>
      <c r="CV41" s="512" t="n"/>
      <c r="CW41" s="512" t="n"/>
      <c r="CX41" s="512" t="n"/>
      <c r="CY41" s="512" t="n"/>
      <c r="CZ41" s="515" t="n"/>
      <c r="DA41" s="512" t="n"/>
      <c r="DB41" s="512" t="n"/>
      <c r="DC41" s="512" t="n"/>
      <c r="DD41" s="512" t="n"/>
      <c r="DE41" s="512" t="n"/>
      <c r="DF41" s="512" t="n"/>
      <c r="DG41" s="512" t="n"/>
      <c r="DH41" s="512" t="n"/>
      <c r="DI41" s="512" t="n"/>
      <c r="DJ41" s="512" t="n"/>
      <c r="DK41" s="512" t="n"/>
      <c r="DL41" s="512" t="n"/>
      <c r="DM41" s="512" t="n"/>
      <c r="DN41" s="512" t="n"/>
      <c r="DO41" s="512" t="n"/>
      <c r="DP41" s="512" t="n"/>
      <c r="DQ41" s="512" t="n"/>
      <c r="DR41" s="512" t="n"/>
      <c r="DS41" s="512" t="n"/>
      <c r="DT41" s="512" t="n"/>
      <c r="DU41" s="512" t="n"/>
      <c r="DV41" s="512" t="n"/>
      <c r="DW41" s="512" t="n"/>
      <c r="DX41" s="512" t="n"/>
      <c r="DY41" s="512" t="n"/>
      <c r="DZ41" s="512" t="n"/>
      <c r="EA41" s="512" t="n"/>
      <c r="EB41" s="512" t="n"/>
      <c r="EC41" s="512" t="n"/>
      <c r="ED41" s="512" t="n"/>
      <c r="EE41" s="512" t="n"/>
      <c r="EF41" s="512" t="n"/>
      <c r="EG41" s="512" t="n"/>
      <c r="EH41" s="512" t="n"/>
      <c r="EI41" s="512" t="n"/>
      <c r="EJ41" s="512" t="n"/>
      <c r="EK41" s="512" t="n"/>
      <c r="EL41" s="512" t="n"/>
      <c r="EM41" s="512" t="n"/>
      <c r="EN41" s="512" t="n"/>
      <c r="EO41" s="512" t="n"/>
      <c r="EP41" s="512" t="n"/>
      <c r="EQ41" s="512" t="n"/>
      <c r="ER41" s="512" t="n"/>
      <c r="ES41" s="512" t="n"/>
      <c r="ET41" s="512" t="n"/>
      <c r="EU41" s="512" t="n"/>
      <c r="EV41" s="512" t="n"/>
      <c r="EW41" s="512" t="n"/>
      <c r="EX41" s="512" t="n"/>
      <c r="EY41" s="512" t="n"/>
      <c r="EZ41" s="512" t="n"/>
      <c r="FA41" s="512" t="n"/>
      <c r="FB41" s="512" t="n"/>
      <c r="FC41" s="512" t="n"/>
      <c r="FD41" s="512" t="n"/>
      <c r="FE41" s="512" t="n"/>
      <c r="FF41" s="512" t="n"/>
      <c r="FG41" s="512" t="n"/>
      <c r="FH41" s="512" t="n"/>
      <c r="FI41" s="512" t="n"/>
      <c r="FJ41" s="512" t="n"/>
      <c r="FK41" s="512" t="n"/>
      <c r="FL41" s="512" t="n"/>
      <c r="FM41" s="512" t="n"/>
      <c r="FN41" s="512" t="n"/>
      <c r="FO41" s="512" t="n"/>
      <c r="FP41" s="512" t="n"/>
      <c r="FQ41" s="512" t="n"/>
      <c r="FR41" s="512" t="n"/>
      <c r="FS41" s="512" t="n"/>
      <c r="FT41" s="512" t="n"/>
      <c r="FU41" s="512" t="n"/>
      <c r="FV41" s="512" t="n"/>
      <c r="FW41" s="512" t="n"/>
      <c r="FX41" s="512" t="n"/>
      <c r="FY41" s="512" t="n"/>
      <c r="FZ41" s="512" t="n"/>
      <c r="GA41" s="512" t="n"/>
      <c r="GB41" s="512" t="n"/>
      <c r="GC41" s="512" t="n"/>
      <c r="GD41" s="512" t="n"/>
      <c r="GE41" s="512" t="n"/>
      <c r="GF41" s="512" t="n"/>
      <c r="GG41" s="512" t="n"/>
      <c r="GH41" s="512" t="n"/>
      <c r="GI41" s="512" t="n"/>
      <c r="GJ41" s="512" t="n"/>
      <c r="GK41" s="512" t="n"/>
      <c r="GL41" s="512" t="n"/>
      <c r="GM41" s="512" t="n"/>
      <c r="GN41" s="512" t="n"/>
      <c r="GO41" s="512" t="n"/>
      <c r="GP41" s="512" t="n"/>
      <c r="GQ41" s="512" t="n"/>
      <c r="GR41" s="512" t="n"/>
      <c r="GS41" s="512" t="n"/>
      <c r="GT41" s="512" t="n"/>
      <c r="GU41" s="512" t="n"/>
      <c r="GV41" s="512" t="n"/>
      <c r="GW41" s="512" t="n"/>
      <c r="GX41" s="512" t="n"/>
      <c r="GY41" s="512" t="n"/>
      <c r="GZ41" s="512" t="n"/>
      <c r="HA41" s="512" t="n"/>
      <c r="HB41" s="512" t="n"/>
      <c r="HC41" s="512" t="n"/>
      <c r="HD41" s="512" t="n"/>
      <c r="HE41" s="512" t="n"/>
      <c r="HF41" s="512" t="n"/>
      <c r="HG41" s="512" t="n"/>
      <c r="HH41" s="512" t="n"/>
      <c r="HI41" s="512" t="n"/>
      <c r="HJ41" s="512" t="n"/>
      <c r="HK41" s="512" t="n"/>
      <c r="HL41" s="512" t="n"/>
      <c r="HM41" s="512" t="n"/>
      <c r="HN41" s="512" t="n"/>
      <c r="HO41" s="512" t="n"/>
      <c r="HP41" s="512" t="n"/>
      <c r="HQ41" s="512" t="n"/>
      <c r="HR41" s="512" t="n"/>
      <c r="HS41" s="512" t="n"/>
      <c r="HT41" s="512" t="n"/>
      <c r="HU41" s="512" t="n"/>
      <c r="JF41" s="512">
        <f>AP41</f>
        <v/>
      </c>
      <c r="JG41" s="512">
        <f>SUM(Z41:AK41)</f>
        <v/>
      </c>
      <c r="JH41" s="512">
        <f>SUM(AL41:AP41)</f>
        <v/>
      </c>
      <c r="JI41" s="512">
        <f>SUM(C41:AP41)</f>
        <v/>
      </c>
      <c r="JJ41" s="446" t="n"/>
      <c r="JM41" s="512" t="n"/>
      <c r="KG41" s="128">
        <f>B41</f>
        <v/>
      </c>
      <c r="KH41" s="533">
        <f>AR41</f>
        <v/>
      </c>
    </row>
    <row r="42" ht="16.2" customHeight="1">
      <c r="A42" s="19" t="inlineStr">
        <is>
          <t>INCORPORAÇÃO (-)</t>
        </is>
      </c>
      <c r="B42" s="139" t="n"/>
      <c r="C42" s="20" t="n"/>
      <c r="D42" s="22" t="n"/>
      <c r="E42" s="20" t="n"/>
      <c r="F42" s="20" t="n"/>
      <c r="G42" s="20" t="n"/>
      <c r="H42" s="20" t="n"/>
      <c r="I42" s="21" t="n"/>
      <c r="J42" s="175" t="n"/>
      <c r="K42" s="21" t="n"/>
      <c r="L42" s="108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00" t="n"/>
      <c r="AR42" s="241" t="n"/>
      <c r="AS42" s="20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99" t="n"/>
      <c r="BE42" s="22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99" t="n"/>
      <c r="BQ42" s="22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99" t="n"/>
      <c r="CC42" s="22" t="n"/>
      <c r="CD42" s="20" t="n"/>
      <c r="CE42" s="20" t="n"/>
      <c r="CF42" s="20" t="n"/>
      <c r="CG42" s="20" t="n"/>
      <c r="CH42" s="20" t="n"/>
      <c r="CI42" s="20" t="n"/>
      <c r="CJ42" s="20" t="n"/>
      <c r="CK42" s="20" t="n"/>
      <c r="CL42" s="20" t="n"/>
      <c r="CM42" s="20" t="n"/>
      <c r="CN42" s="299" t="n"/>
      <c r="CO42" s="22" t="n"/>
      <c r="CP42" s="20" t="n"/>
      <c r="CQ42" s="20" t="n"/>
      <c r="CR42" s="20" t="n"/>
      <c r="CS42" s="20" t="n"/>
      <c r="CT42" s="20" t="n"/>
      <c r="CU42" s="20" t="n"/>
      <c r="CV42" s="20" t="n"/>
      <c r="CW42" s="20" t="n"/>
      <c r="CX42" s="20" t="n"/>
      <c r="CY42" s="20" t="n"/>
      <c r="CZ42" s="299" t="n"/>
      <c r="DA42" s="22" t="n"/>
      <c r="DB42" s="20" t="n"/>
      <c r="DC42" s="20" t="n"/>
      <c r="DD42" s="20" t="n"/>
      <c r="DE42" s="20" t="n"/>
      <c r="DF42" s="20" t="n"/>
      <c r="DG42" s="20" t="n"/>
      <c r="DH42" s="20" t="n"/>
      <c r="DI42" s="20" t="n"/>
      <c r="DJ42" s="21" t="n"/>
      <c r="DK42" s="20" t="n"/>
      <c r="DL42" s="21" t="n"/>
      <c r="DM42" s="20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 t="n"/>
      <c r="EG42" s="21" t="n"/>
      <c r="EH42" s="21" t="n"/>
      <c r="EI42" s="21" t="n"/>
      <c r="EJ42" s="21" t="n"/>
      <c r="EK42" s="21" t="n"/>
      <c r="EL42" s="21" t="n"/>
      <c r="EM42" s="21" t="n"/>
      <c r="EN42" s="21" t="n"/>
      <c r="EO42" s="21" t="n"/>
      <c r="EP42" s="21" t="n"/>
      <c r="EQ42" s="21" t="n"/>
      <c r="ER42" s="21" t="n"/>
      <c r="ES42" s="21" t="n"/>
      <c r="ET42" s="21" t="n"/>
      <c r="EU42" s="21" t="n"/>
      <c r="EV42" s="21" t="n"/>
      <c r="EW42" s="21" t="n"/>
      <c r="EX42" s="21" t="n"/>
      <c r="EY42" s="21" t="n"/>
      <c r="EZ42" s="21" t="n"/>
      <c r="FA42" s="21" t="n"/>
      <c r="FB42" s="21" t="n"/>
      <c r="FC42" s="21" t="n"/>
      <c r="FD42" s="21" t="n"/>
      <c r="FE42" s="21" t="n"/>
      <c r="FF42" s="21" t="n"/>
      <c r="FG42" s="21" t="n"/>
      <c r="FH42" s="21" t="n"/>
      <c r="FI42" s="21" t="n"/>
      <c r="FJ42" s="21" t="n"/>
      <c r="FK42" s="21" t="n"/>
      <c r="FL42" s="21" t="n"/>
      <c r="FM42" s="21" t="n"/>
      <c r="FN42" s="21" t="n"/>
      <c r="FO42" s="21" t="n"/>
      <c r="FP42" s="21" t="n"/>
      <c r="FQ42" s="21" t="n"/>
      <c r="FR42" s="21" t="n"/>
      <c r="FS42" s="21" t="n"/>
      <c r="FT42" s="21" t="n"/>
      <c r="FU42" s="21" t="n"/>
      <c r="FV42" s="21" t="n"/>
      <c r="FW42" s="21" t="n"/>
      <c r="FX42" s="21" t="n"/>
      <c r="FY42" s="21" t="n"/>
      <c r="FZ42" s="21" t="n"/>
      <c r="GA42" s="21" t="n"/>
      <c r="GB42" s="21" t="n"/>
      <c r="GC42" s="21" t="n"/>
      <c r="GD42" s="21" t="n"/>
      <c r="GE42" s="21" t="n"/>
      <c r="GF42" s="21" t="n"/>
      <c r="GG42" s="21" t="n"/>
      <c r="GH42" s="21" t="n"/>
      <c r="GI42" s="21" t="n"/>
      <c r="GJ42" s="21" t="n"/>
      <c r="GK42" s="21" t="n"/>
      <c r="GL42" s="21" t="n"/>
      <c r="GM42" s="21" t="n"/>
      <c r="GN42" s="21" t="n"/>
      <c r="GO42" s="21" t="n"/>
      <c r="GP42" s="21" t="n"/>
      <c r="GQ42" s="21" t="n"/>
      <c r="GR42" s="21" t="n"/>
      <c r="GS42" s="21" t="n"/>
      <c r="GT42" s="21" t="n"/>
      <c r="GU42" s="21" t="n"/>
      <c r="GV42" s="21" t="n"/>
      <c r="GW42" s="21" t="n"/>
      <c r="GX42" s="21" t="n"/>
      <c r="GY42" s="21" t="n"/>
      <c r="GZ42" s="21" t="n"/>
      <c r="HA42" s="21" t="n"/>
      <c r="HB42" s="21" t="n"/>
      <c r="HC42" s="21" t="n"/>
      <c r="HD42" s="21" t="n"/>
      <c r="HE42" s="21" t="n"/>
      <c r="HF42" s="21" t="n"/>
      <c r="HG42" s="21" t="n"/>
      <c r="HH42" s="21" t="n"/>
      <c r="HI42" s="21" t="n"/>
      <c r="HJ42" s="21" t="n"/>
      <c r="HK42" s="21" t="n"/>
      <c r="HL42" s="21" t="n"/>
      <c r="HM42" s="21" t="n"/>
      <c r="HN42" s="21" t="n"/>
      <c r="HO42" s="21" t="n"/>
      <c r="HP42" s="21" t="n"/>
      <c r="HQ42" s="21" t="n"/>
      <c r="HR42" s="21" t="n"/>
      <c r="HS42" s="21" t="n"/>
      <c r="HT42" s="21" t="n"/>
      <c r="HU42" s="21" t="n"/>
      <c r="JF42" s="20">
        <f>AP42</f>
        <v/>
      </c>
      <c r="JG42" s="20">
        <f>SUM(Z42:AK42)</f>
        <v/>
      </c>
      <c r="JH42" s="20">
        <f>SUM(AL42:AP42)</f>
        <v/>
      </c>
      <c r="JI42" s="20">
        <f>SUM(C42:AP42)</f>
        <v/>
      </c>
      <c r="JJ42" s="446" t="n"/>
      <c r="JM42" s="21" t="n"/>
      <c r="KG42" s="139">
        <f>B42</f>
        <v/>
      </c>
      <c r="KH42" s="241">
        <f>AR42</f>
        <v/>
      </c>
    </row>
    <row r="43" ht="16.2" customHeight="1">
      <c r="A43" s="7" t="inlineStr">
        <is>
          <t>Incorporação</t>
        </is>
      </c>
      <c r="B43" s="136">
        <f>SUM(C43:AP43)</f>
        <v/>
      </c>
      <c r="C43" s="85" t="n">
        <v>-22569.84</v>
      </c>
      <c r="D43" s="87" t="n">
        <v>-66761.36</v>
      </c>
      <c r="E43" s="85" t="n">
        <v>-22685</v>
      </c>
      <c r="F43" s="85" t="n">
        <v>-22753.06</v>
      </c>
      <c r="G43" s="85" t="n">
        <v>-22784.91</v>
      </c>
      <c r="H43" s="85" t="n">
        <v>-25995.64</v>
      </c>
      <c r="I43" s="86" t="n">
        <v>-23082.07</v>
      </c>
      <c r="J43" s="170" t="n">
        <v>-23105.15</v>
      </c>
      <c r="K43" s="86" t="n">
        <v>-28144.43</v>
      </c>
      <c r="L43" s="34" t="n">
        <v>-28223.13</v>
      </c>
      <c r="M43" s="159" t="n">
        <v>-28269.57</v>
      </c>
      <c r="N43" s="219" t="n">
        <v>-28285.85</v>
      </c>
      <c r="O43" s="219" t="n">
        <v>-30358.04</v>
      </c>
      <c r="P43" s="219" t="n">
        <v>-28421.11</v>
      </c>
      <c r="Q43" s="219" t="n">
        <v>-51733.24000000001</v>
      </c>
      <c r="R43" s="219" t="n">
        <v>-57539.95</v>
      </c>
      <c r="S43" s="219" t="n">
        <v>-30362.5</v>
      </c>
      <c r="T43" s="219" t="n">
        <v>-56077.16</v>
      </c>
      <c r="U43" s="219" t="n">
        <v>-30362.5</v>
      </c>
      <c r="V43" s="219" t="n">
        <v>-98850</v>
      </c>
      <c r="W43" s="219" t="n">
        <v>-36362.5</v>
      </c>
      <c r="X43" s="219" t="n">
        <v>-645250.9399999999</v>
      </c>
      <c r="Y43" s="219" t="n">
        <v>-280557.39</v>
      </c>
      <c r="Z43" s="219" t="n">
        <v>-29760.76</v>
      </c>
      <c r="AA43" s="219">
        <f>(-184611.43)+-24760.76</f>
        <v/>
      </c>
      <c r="AB43" s="219" t="n">
        <v>-90439.16</v>
      </c>
      <c r="AC43" s="219">
        <f>-49101.24-49521.52</f>
        <v/>
      </c>
      <c r="AD43" s="219" t="n">
        <v>-49311.19</v>
      </c>
      <c r="AE43" s="219" t="n">
        <v>-34527.34</v>
      </c>
      <c r="AF43" s="219" t="n">
        <v>-72132.67999999999</v>
      </c>
      <c r="AG43" s="219" t="n">
        <v>-18449.64</v>
      </c>
      <c r="AH43" s="219">
        <f>-19109.04+9315.02</f>
        <v/>
      </c>
      <c r="AI43" s="219" t="n">
        <v>-16205.14</v>
      </c>
      <c r="AJ43" s="219">
        <f>-54116.08+19000</f>
        <v/>
      </c>
      <c r="AK43" s="219" t="n">
        <v>-8356.98</v>
      </c>
      <c r="AL43" s="219" t="n">
        <v>-7658.2</v>
      </c>
      <c r="AM43" s="219" t="n">
        <v>-10641.73</v>
      </c>
      <c r="AN43" s="219">
        <f>-40182.18+30654.55</f>
        <v/>
      </c>
      <c r="AO43" s="219">
        <f>-63943+29012.57+24791.61</f>
        <v/>
      </c>
      <c r="AP43" s="219" t="n">
        <v>-11728.44</v>
      </c>
      <c r="AQ43" s="13" t="n"/>
      <c r="AR43" s="345">
        <f>SUM(AT43:HU43)</f>
        <v/>
      </c>
      <c r="AS43" s="13" t="n"/>
      <c r="AT43" s="87" t="n">
        <v>-8000</v>
      </c>
      <c r="AU43" s="87" t="n">
        <v>-8000</v>
      </c>
      <c r="AV43" s="87" t="n">
        <v>-8000</v>
      </c>
      <c r="AW43" s="87" t="n">
        <v>-8000</v>
      </c>
      <c r="AX43" s="87" t="n">
        <v>-8000</v>
      </c>
      <c r="AY43" s="87" t="n">
        <v>-8000</v>
      </c>
      <c r="AZ43" s="87" t="n">
        <v>-8000</v>
      </c>
      <c r="BA43" s="87" t="n">
        <v>-8000</v>
      </c>
      <c r="BB43" s="87" t="n">
        <v>-8000</v>
      </c>
      <c r="BC43" s="87" t="n">
        <v>-8000</v>
      </c>
      <c r="BD43" s="87" t="n">
        <v>-8000</v>
      </c>
      <c r="BE43" s="87" t="n">
        <v>-8000</v>
      </c>
      <c r="BF43" s="87" t="n">
        <v>-8000</v>
      </c>
      <c r="BG43" s="87" t="n">
        <v>-8000</v>
      </c>
      <c r="BH43" s="87" t="n">
        <v>-8000</v>
      </c>
      <c r="BI43" s="87" t="n">
        <v>-8000</v>
      </c>
      <c r="BJ43" s="87" t="n">
        <v>-8000</v>
      </c>
      <c r="BK43" s="87" t="n">
        <v>-8000</v>
      </c>
      <c r="BL43" s="87" t="n">
        <v>-8000</v>
      </c>
      <c r="BM43" s="87" t="n">
        <v>-8000</v>
      </c>
      <c r="BN43" s="87" t="n">
        <v>-8000</v>
      </c>
      <c r="BO43" s="87" t="n">
        <v>-8000</v>
      </c>
      <c r="BP43" s="87" t="n">
        <v>-8000</v>
      </c>
      <c r="BQ43" s="87" t="n">
        <v>-8000</v>
      </c>
      <c r="BR43" s="87" t="n">
        <v>-8000</v>
      </c>
      <c r="BS43" s="87" t="n"/>
      <c r="BT43" s="87" t="n"/>
      <c r="BU43" s="87" t="n"/>
      <c r="BV43" s="87" t="n"/>
      <c r="BW43" s="87" t="n"/>
      <c r="BX43" s="87" t="n"/>
      <c r="BY43" s="87" t="n"/>
      <c r="BZ43" s="87" t="n"/>
      <c r="CA43" s="87" t="n"/>
      <c r="CB43" s="87" t="n"/>
      <c r="CC43" s="87" t="n"/>
      <c r="CD43" s="87" t="n"/>
      <c r="CE43" s="87" t="n"/>
      <c r="CF43" s="87" t="n"/>
      <c r="CG43" s="87" t="n"/>
      <c r="CH43" s="87" t="n"/>
      <c r="CI43" s="87" t="n"/>
      <c r="CJ43" s="87" t="n"/>
      <c r="CK43" s="87" t="n"/>
      <c r="CL43" s="87" t="n"/>
      <c r="CM43" s="87" t="n"/>
      <c r="CN43" s="87" t="n"/>
      <c r="CO43" s="87" t="n"/>
      <c r="CP43" s="87" t="n"/>
      <c r="CQ43" s="87" t="n"/>
      <c r="CR43" s="87" t="n"/>
      <c r="CS43" s="87" t="n"/>
      <c r="CT43" s="87" t="n"/>
      <c r="CU43" s="87" t="n"/>
      <c r="CV43" s="87" t="n"/>
      <c r="CW43" s="87" t="n"/>
      <c r="CX43" s="87" t="n"/>
      <c r="CY43" s="87" t="n"/>
      <c r="CZ43" s="87" t="n"/>
      <c r="DA43" s="87" t="n"/>
      <c r="DB43" s="87" t="n"/>
      <c r="DC43" s="87" t="n"/>
      <c r="DD43" s="87" t="n"/>
      <c r="DE43" s="87" t="n"/>
      <c r="DF43" s="87" t="n"/>
      <c r="DG43" s="87" t="n"/>
      <c r="DH43" s="87" t="n"/>
      <c r="DI43" s="87" t="n"/>
      <c r="DJ43" s="87" t="n"/>
      <c r="DK43" s="87" t="n"/>
      <c r="DL43" s="87" t="n"/>
      <c r="DM43" s="87" t="n"/>
      <c r="DN43" s="87" t="n"/>
      <c r="DO43" s="87" t="n"/>
      <c r="DP43" s="87" t="n"/>
      <c r="DQ43" s="87" t="n"/>
      <c r="DR43" s="87" t="n"/>
      <c r="DS43" s="87" t="n"/>
      <c r="DT43" s="87" t="n"/>
      <c r="DU43" s="87" t="n"/>
      <c r="DV43" s="87" t="n"/>
      <c r="DW43" s="87" t="n"/>
      <c r="DX43" s="87" t="n"/>
      <c r="DY43" s="87" t="n">
        <v>0</v>
      </c>
      <c r="DZ43" s="87" t="n">
        <v>0</v>
      </c>
      <c r="EA43" s="87" t="n">
        <v>0</v>
      </c>
      <c r="EB43" s="87" t="n">
        <v>0</v>
      </c>
      <c r="EC43" s="87" t="n">
        <v>0</v>
      </c>
      <c r="ED43" s="87" t="n">
        <v>0</v>
      </c>
      <c r="EE43" s="87" t="n">
        <v>0</v>
      </c>
      <c r="EF43" s="87" t="n">
        <v>0</v>
      </c>
      <c r="EG43" s="87" t="n">
        <v>0</v>
      </c>
      <c r="EH43" s="87" t="n">
        <v>0</v>
      </c>
      <c r="EI43" s="87" t="n">
        <v>0</v>
      </c>
      <c r="EJ43" s="87" t="n">
        <v>0</v>
      </c>
      <c r="EK43" s="87" t="n">
        <v>0</v>
      </c>
      <c r="EL43" s="87" t="n">
        <v>0</v>
      </c>
      <c r="EM43" s="87" t="n">
        <v>0</v>
      </c>
      <c r="EN43" s="87" t="n">
        <v>0</v>
      </c>
      <c r="EO43" s="87" t="n">
        <v>0</v>
      </c>
      <c r="EP43" s="87" t="n">
        <v>0</v>
      </c>
      <c r="EQ43" s="87" t="n">
        <v>0</v>
      </c>
      <c r="ER43" s="87" t="n">
        <v>0</v>
      </c>
      <c r="ES43" s="87" t="n">
        <v>0</v>
      </c>
      <c r="ET43" s="87" t="n">
        <v>0</v>
      </c>
      <c r="EU43" s="87" t="n">
        <v>0</v>
      </c>
      <c r="EV43" s="87" t="n">
        <v>0</v>
      </c>
      <c r="EW43" s="87" t="n">
        <v>0</v>
      </c>
      <c r="EX43" s="87" t="n">
        <v>0</v>
      </c>
      <c r="EY43" s="87" t="n">
        <v>0</v>
      </c>
      <c r="EZ43" s="87" t="n">
        <v>0</v>
      </c>
      <c r="FA43" s="87" t="n">
        <v>0</v>
      </c>
      <c r="FB43" s="87" t="n">
        <v>0</v>
      </c>
      <c r="FC43" s="87" t="n">
        <v>0</v>
      </c>
      <c r="FD43" s="87" t="n">
        <v>0</v>
      </c>
      <c r="FE43" s="87" t="n">
        <v>0</v>
      </c>
      <c r="FF43" s="87" t="n">
        <v>0</v>
      </c>
      <c r="FG43" s="87" t="n">
        <v>0</v>
      </c>
      <c r="FH43" s="87" t="n">
        <v>0</v>
      </c>
      <c r="FI43" s="87" t="n">
        <v>0</v>
      </c>
      <c r="FJ43" s="87" t="n">
        <v>0</v>
      </c>
      <c r="FK43" s="87" t="n">
        <v>0</v>
      </c>
      <c r="FL43" s="87" t="n">
        <v>0</v>
      </c>
      <c r="FM43" s="87" t="n">
        <v>0</v>
      </c>
      <c r="FN43" s="87" t="n">
        <v>0</v>
      </c>
      <c r="FO43" s="87" t="n">
        <v>0</v>
      </c>
      <c r="FP43" s="87" t="n">
        <v>0</v>
      </c>
      <c r="FQ43" s="87" t="n">
        <v>0</v>
      </c>
      <c r="FR43" s="87" t="n">
        <v>0</v>
      </c>
      <c r="FS43" s="87" t="n">
        <v>0</v>
      </c>
      <c r="FT43" s="87" t="n">
        <v>0</v>
      </c>
      <c r="FU43" s="87" t="n">
        <v>0</v>
      </c>
      <c r="FV43" s="87" t="n">
        <v>0</v>
      </c>
      <c r="FW43" s="87" t="n">
        <v>0</v>
      </c>
      <c r="FX43" s="87" t="n">
        <v>0</v>
      </c>
      <c r="FY43" s="87" t="n">
        <v>0</v>
      </c>
      <c r="FZ43" s="87" t="n">
        <v>0</v>
      </c>
      <c r="GA43" s="87" t="n">
        <v>0</v>
      </c>
      <c r="GB43" s="87" t="n">
        <v>0</v>
      </c>
      <c r="GC43" s="87" t="n">
        <v>0</v>
      </c>
      <c r="GD43" s="87" t="n">
        <v>0</v>
      </c>
      <c r="GE43" s="87" t="n">
        <v>0</v>
      </c>
      <c r="GF43" s="87" t="n">
        <v>0</v>
      </c>
      <c r="GG43" s="87" t="n">
        <v>0</v>
      </c>
      <c r="GH43" s="87" t="n">
        <v>0</v>
      </c>
      <c r="GI43" s="87" t="n">
        <v>0</v>
      </c>
      <c r="GJ43" s="87" t="n">
        <v>0</v>
      </c>
      <c r="GK43" s="87" t="n">
        <v>0</v>
      </c>
      <c r="GL43" s="87" t="n">
        <v>0</v>
      </c>
      <c r="GM43" s="87" t="n">
        <v>0</v>
      </c>
      <c r="GN43" s="87" t="n">
        <v>0</v>
      </c>
      <c r="GO43" s="87" t="n">
        <v>0</v>
      </c>
      <c r="GP43" s="87" t="n">
        <v>0</v>
      </c>
      <c r="GQ43" s="87" t="n">
        <v>0</v>
      </c>
      <c r="GR43" s="87" t="n">
        <v>0</v>
      </c>
      <c r="GS43" s="87" t="n">
        <v>0</v>
      </c>
      <c r="GT43" s="87" t="n">
        <v>0</v>
      </c>
      <c r="GU43" s="87" t="n">
        <v>0</v>
      </c>
      <c r="GV43" s="87" t="n">
        <v>0</v>
      </c>
      <c r="GW43" s="87" t="n">
        <v>0</v>
      </c>
      <c r="GX43" s="87" t="n">
        <v>0</v>
      </c>
      <c r="GY43" s="87" t="n">
        <v>0</v>
      </c>
      <c r="GZ43" s="87" t="n">
        <v>0</v>
      </c>
      <c r="HA43" s="87" t="n">
        <v>0</v>
      </c>
      <c r="HB43" s="87" t="n">
        <v>0</v>
      </c>
      <c r="HC43" s="87" t="n">
        <v>0</v>
      </c>
      <c r="HD43" s="87" t="n">
        <v>0</v>
      </c>
      <c r="HE43" s="87" t="n">
        <v>0</v>
      </c>
      <c r="HF43" s="87" t="n">
        <v>0</v>
      </c>
      <c r="HG43" s="87" t="n">
        <v>0</v>
      </c>
      <c r="HH43" s="87" t="n">
        <v>0</v>
      </c>
      <c r="HI43" s="87" t="n">
        <v>0</v>
      </c>
      <c r="HJ43" s="87" t="n">
        <v>0</v>
      </c>
      <c r="HK43" s="87" t="n">
        <v>0</v>
      </c>
      <c r="HL43" s="87" t="n">
        <v>0</v>
      </c>
      <c r="HM43" s="87" t="n">
        <v>0</v>
      </c>
      <c r="HN43" s="87" t="n">
        <v>0</v>
      </c>
      <c r="HO43" s="87" t="n">
        <v>0</v>
      </c>
      <c r="HP43" s="87" t="n">
        <v>0</v>
      </c>
      <c r="HQ43" s="87" t="n">
        <v>0</v>
      </c>
      <c r="HR43" s="87" t="n">
        <v>0</v>
      </c>
      <c r="HS43" s="87" t="n">
        <v>0</v>
      </c>
      <c r="HT43" s="87" t="n">
        <v>0</v>
      </c>
      <c r="HU43" s="87" t="n">
        <v>0</v>
      </c>
      <c r="JF43" s="87">
        <f>AP43</f>
        <v/>
      </c>
      <c r="JG43" s="87">
        <f>SUM(Z43:AK43)</f>
        <v/>
      </c>
      <c r="JH43" s="87">
        <f>SUM(AL43:AP43)</f>
        <v/>
      </c>
      <c r="JI43" s="87">
        <f>SUM(C43:AP43)</f>
        <v/>
      </c>
      <c r="JJ43" s="446" t="n"/>
      <c r="JM43" s="87" t="n">
        <v>-8000</v>
      </c>
      <c r="KG43" s="136">
        <f>B43</f>
        <v/>
      </c>
      <c r="KH43" s="345">
        <f>AR43</f>
        <v/>
      </c>
    </row>
    <row r="44" ht="16.2" customHeight="1">
      <c r="A44" s="1" t="inlineStr">
        <is>
          <t>Gerenciamento</t>
        </is>
      </c>
      <c r="B44" s="136">
        <f>SUM(C44:AP44)</f>
        <v/>
      </c>
      <c r="C44" s="53" t="n"/>
      <c r="D44" s="53" t="n"/>
      <c r="E44" s="53" t="n"/>
      <c r="F44" s="53" t="n"/>
      <c r="G44" s="53" t="n"/>
      <c r="H44" s="53" t="n"/>
      <c r="I44" s="53" t="n"/>
      <c r="J44" s="185" t="n"/>
      <c r="K44" s="53" t="n"/>
      <c r="L44" s="53" t="n"/>
      <c r="M44" s="186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  <c r="AD44" s="337" t="n">
        <v>-8000</v>
      </c>
      <c r="AE44" s="337" t="n">
        <v>-8000</v>
      </c>
      <c r="AF44" s="337" t="n">
        <v>-8000</v>
      </c>
      <c r="AG44" s="337" t="n">
        <v>-8000</v>
      </c>
      <c r="AH44" s="337" t="n">
        <v>-8000</v>
      </c>
      <c r="AI44" s="337" t="n">
        <v>-8840.610000000001</v>
      </c>
      <c r="AJ44" s="337" t="n">
        <v>-8840.610000000001</v>
      </c>
      <c r="AK44" s="337" t="n">
        <v>-8840.610000000001</v>
      </c>
      <c r="AL44" s="337" t="n">
        <v>-8840.610000000001</v>
      </c>
      <c r="AM44" s="337" t="n">
        <v>-8840.610000000001</v>
      </c>
      <c r="AN44" s="337" t="n">
        <v>-8840.610000000001</v>
      </c>
      <c r="AO44" s="337" t="n">
        <v>-8840.610000000001</v>
      </c>
      <c r="AP44" s="337" t="n">
        <v>-8840.610000000001</v>
      </c>
      <c r="AQ44" s="13" t="n"/>
      <c r="AR44" s="345">
        <f>SUM(AT44:HU44)</f>
        <v/>
      </c>
      <c r="AS44" s="13" t="n"/>
      <c r="AT44" s="26" t="n">
        <v>-8840.610000000001</v>
      </c>
      <c r="AU44" s="26" t="n">
        <v>-8840.610000000001</v>
      </c>
      <c r="AV44" s="26" t="n">
        <v>-8840.610000000001</v>
      </c>
      <c r="AW44" s="26" t="n">
        <v>-8840.610000000001</v>
      </c>
      <c r="AX44" s="26" t="n">
        <v>-8840.610000000001</v>
      </c>
      <c r="AY44" s="26" t="n">
        <v>-8840.610000000001</v>
      </c>
      <c r="AZ44" s="26" t="n">
        <v>-8840.610000000001</v>
      </c>
      <c r="BA44" s="26" t="n">
        <v>-8840.610000000001</v>
      </c>
      <c r="BB44" s="26" t="n">
        <v>-8840.610000000001</v>
      </c>
      <c r="BC44" s="26" t="n">
        <v>-8840.610000000001</v>
      </c>
      <c r="BD44" s="26" t="n">
        <v>-8840.610000000001</v>
      </c>
      <c r="BE44" s="26" t="n">
        <v>-8840.610000000001</v>
      </c>
      <c r="BF44" s="26" t="n">
        <v>-8840.610000000001</v>
      </c>
      <c r="BG44" s="26" t="n">
        <v>-8840.610000000001</v>
      </c>
      <c r="BH44" s="26" t="n">
        <v>-8840.610000000001</v>
      </c>
      <c r="BI44" s="26" t="n">
        <v>-8840.610000000001</v>
      </c>
      <c r="BJ44" s="26" t="n">
        <v>-8840.610000000001</v>
      </c>
      <c r="BK44" s="26" t="n">
        <v>-8840.610000000001</v>
      </c>
      <c r="BL44" s="26" t="n">
        <v>-8840.610000000001</v>
      </c>
      <c r="BM44" s="26" t="n">
        <v>-8840.610000000001</v>
      </c>
      <c r="BN44" s="26" t="n">
        <v>-8840.610000000001</v>
      </c>
      <c r="BO44" s="26" t="n">
        <v>-8840.610000000001</v>
      </c>
      <c r="BP44" s="26" t="n">
        <v>-8840.610000000001</v>
      </c>
      <c r="BQ44" s="26" t="n">
        <v>-8840.610000000001</v>
      </c>
      <c r="BR44" s="26" t="n">
        <v>-8840.610000000001</v>
      </c>
      <c r="BS44" s="26" t="n">
        <v>-8840.610000000001</v>
      </c>
      <c r="BT44" s="26" t="n">
        <v>-8840.610000000001</v>
      </c>
      <c r="BU44" s="26" t="n">
        <v>-8840.610000000001</v>
      </c>
      <c r="BV44" s="26" t="n">
        <v>-8840.610000000001</v>
      </c>
      <c r="BW44" s="26" t="n">
        <v>-8840.610000000001</v>
      </c>
      <c r="BX44" s="26" t="n">
        <v>-8840.610000000001</v>
      </c>
      <c r="BY44" s="26" t="n">
        <v>-8840.610000000001</v>
      </c>
      <c r="BZ44" s="26" t="n">
        <v>-8840.610000000001</v>
      </c>
      <c r="CA44" s="26" t="n">
        <v>-8840.610000000001</v>
      </c>
      <c r="CB44" s="26" t="n">
        <v>-8840.610000000001</v>
      </c>
      <c r="CC44" s="26" t="n">
        <v>-8840.610000000001</v>
      </c>
      <c r="CD44" s="26" t="n">
        <v>-8840.610000000001</v>
      </c>
      <c r="CE44" s="26" t="n">
        <v>-8840.610000000001</v>
      </c>
      <c r="CF44" s="26" t="n">
        <v>-8840.610000000001</v>
      </c>
      <c r="CG44" s="26" t="n">
        <v>-8840.610000000001</v>
      </c>
      <c r="CH44" s="26" t="n">
        <v>-8840.610000000001</v>
      </c>
      <c r="CI44" s="26" t="n">
        <v>-8840.610000000001</v>
      </c>
      <c r="CJ44" s="26" t="n">
        <v>-8840.610000000001</v>
      </c>
      <c r="CK44" s="26" t="n">
        <v>-8840.610000000001</v>
      </c>
      <c r="CL44" s="26" t="n">
        <v>-8840.610000000001</v>
      </c>
      <c r="CM44" s="26" t="n">
        <v>-8840.610000000001</v>
      </c>
      <c r="CN44" s="26" t="n">
        <v>-8840.610000000001</v>
      </c>
      <c r="CO44" s="26" t="n"/>
      <c r="CP44" s="26" t="n"/>
      <c r="CQ44" s="26" t="n"/>
      <c r="CR44" s="26" t="n"/>
      <c r="CS44" s="26" t="n"/>
      <c r="CT44" s="26" t="n"/>
      <c r="CU44" s="26" t="n"/>
      <c r="CV44" s="26" t="n"/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  <c r="DG44" s="26" t="n"/>
      <c r="DH44" s="26" t="n"/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  <c r="DS44" s="26" t="n"/>
      <c r="DT44" s="26" t="n"/>
      <c r="DU44" s="26" t="n"/>
      <c r="DV44" s="26" t="n"/>
      <c r="DW44" s="26" t="n"/>
      <c r="DX44" s="26" t="n"/>
      <c r="DY44" s="26" t="n">
        <v>0</v>
      </c>
      <c r="DZ44" s="26" t="n">
        <v>0</v>
      </c>
      <c r="EA44" s="26" t="n">
        <v>0</v>
      </c>
      <c r="EB44" s="26" t="n">
        <v>0</v>
      </c>
      <c r="EC44" s="26" t="n">
        <v>0</v>
      </c>
      <c r="ED44" s="26" t="n">
        <v>0</v>
      </c>
      <c r="EE44" s="26" t="n">
        <v>0</v>
      </c>
      <c r="EF44" s="26" t="n">
        <v>0</v>
      </c>
      <c r="EG44" s="26" t="n">
        <v>0</v>
      </c>
      <c r="EH44" s="26" t="n">
        <v>0</v>
      </c>
      <c r="EI44" s="26" t="n">
        <v>0</v>
      </c>
      <c r="EJ44" s="26" t="n">
        <v>0</v>
      </c>
      <c r="EK44" s="26" t="n">
        <v>0</v>
      </c>
      <c r="EL44" s="26" t="n">
        <v>0</v>
      </c>
      <c r="EM44" s="26" t="n">
        <v>0</v>
      </c>
      <c r="EN44" s="26" t="n">
        <v>0</v>
      </c>
      <c r="EO44" s="26" t="n">
        <v>0</v>
      </c>
      <c r="EP44" s="26" t="n">
        <v>0</v>
      </c>
      <c r="EQ44" s="26" t="n">
        <v>0</v>
      </c>
      <c r="ER44" s="26" t="n">
        <v>0</v>
      </c>
      <c r="ES44" s="26" t="n">
        <v>0</v>
      </c>
      <c r="ET44" s="26" t="n">
        <v>0</v>
      </c>
      <c r="EU44" s="26" t="n">
        <v>0</v>
      </c>
      <c r="EV44" s="26" t="n">
        <v>0</v>
      </c>
      <c r="EW44" s="26" t="n">
        <v>0</v>
      </c>
      <c r="EX44" s="26" t="n">
        <v>0</v>
      </c>
      <c r="EY44" s="26" t="n">
        <v>0</v>
      </c>
      <c r="EZ44" s="26" t="n">
        <v>0</v>
      </c>
      <c r="FA44" s="26" t="n">
        <v>0</v>
      </c>
      <c r="FB44" s="26" t="n">
        <v>0</v>
      </c>
      <c r="FC44" s="26" t="n">
        <v>0</v>
      </c>
      <c r="FD44" s="26" t="n">
        <v>0</v>
      </c>
      <c r="FE44" s="26" t="n">
        <v>0</v>
      </c>
      <c r="FF44" s="26" t="n">
        <v>0</v>
      </c>
      <c r="FG44" s="26" t="n">
        <v>0</v>
      </c>
      <c r="FH44" s="26" t="n">
        <v>0</v>
      </c>
      <c r="FI44" s="26" t="n">
        <v>0</v>
      </c>
      <c r="FJ44" s="26" t="n">
        <v>0</v>
      </c>
      <c r="FK44" s="26" t="n">
        <v>0</v>
      </c>
      <c r="FL44" s="26" t="n">
        <v>0</v>
      </c>
      <c r="FM44" s="26" t="n">
        <v>0</v>
      </c>
      <c r="FN44" s="26" t="n">
        <v>0</v>
      </c>
      <c r="FO44" s="26" t="n">
        <v>0</v>
      </c>
      <c r="FP44" s="26" t="n">
        <v>0</v>
      </c>
      <c r="FQ44" s="26" t="n">
        <v>0</v>
      </c>
      <c r="FR44" s="26" t="n">
        <v>0</v>
      </c>
      <c r="FS44" s="26" t="n">
        <v>0</v>
      </c>
      <c r="FT44" s="26" t="n">
        <v>0</v>
      </c>
      <c r="FU44" s="26" t="n">
        <v>0</v>
      </c>
      <c r="FV44" s="26" t="n">
        <v>0</v>
      </c>
      <c r="FW44" s="26" t="n">
        <v>0</v>
      </c>
      <c r="FX44" s="26" t="n">
        <v>0</v>
      </c>
      <c r="FY44" s="26" t="n">
        <v>0</v>
      </c>
      <c r="FZ44" s="26" t="n">
        <v>0</v>
      </c>
      <c r="GA44" s="26" t="n">
        <v>0</v>
      </c>
      <c r="GB44" s="26" t="n">
        <v>0</v>
      </c>
      <c r="GC44" s="26" t="n">
        <v>0</v>
      </c>
      <c r="GD44" s="26" t="n">
        <v>0</v>
      </c>
      <c r="GE44" s="26" t="n">
        <v>0</v>
      </c>
      <c r="GF44" s="26" t="n">
        <v>0</v>
      </c>
      <c r="GG44" s="26" t="n">
        <v>0</v>
      </c>
      <c r="GH44" s="26" t="n">
        <v>0</v>
      </c>
      <c r="GI44" s="26" t="n">
        <v>0</v>
      </c>
      <c r="GJ44" s="26" t="n">
        <v>0</v>
      </c>
      <c r="GK44" s="26" t="n">
        <v>0</v>
      </c>
      <c r="GL44" s="26" t="n">
        <v>0</v>
      </c>
      <c r="GM44" s="26" t="n">
        <v>0</v>
      </c>
      <c r="GN44" s="26" t="n">
        <v>0</v>
      </c>
      <c r="GO44" s="26" t="n">
        <v>0</v>
      </c>
      <c r="GP44" s="26" t="n">
        <v>0</v>
      </c>
      <c r="GQ44" s="26" t="n">
        <v>0</v>
      </c>
      <c r="GR44" s="26" t="n">
        <v>0</v>
      </c>
      <c r="GS44" s="26" t="n">
        <v>0</v>
      </c>
      <c r="GT44" s="26" t="n">
        <v>0</v>
      </c>
      <c r="GU44" s="26" t="n">
        <v>0</v>
      </c>
      <c r="GV44" s="26" t="n">
        <v>0</v>
      </c>
      <c r="GW44" s="26" t="n">
        <v>0</v>
      </c>
      <c r="GX44" s="26" t="n">
        <v>0</v>
      </c>
      <c r="GY44" s="26" t="n">
        <v>0</v>
      </c>
      <c r="GZ44" s="26" t="n">
        <v>0</v>
      </c>
      <c r="HA44" s="26" t="n">
        <v>0</v>
      </c>
      <c r="HB44" s="26" t="n">
        <v>0</v>
      </c>
      <c r="HC44" s="26" t="n">
        <v>0</v>
      </c>
      <c r="HD44" s="26" t="n">
        <v>0</v>
      </c>
      <c r="HE44" s="26" t="n">
        <v>0</v>
      </c>
      <c r="HF44" s="26" t="n">
        <v>0</v>
      </c>
      <c r="HG44" s="26" t="n">
        <v>0</v>
      </c>
      <c r="HH44" s="26" t="n">
        <v>0</v>
      </c>
      <c r="HI44" s="26" t="n">
        <v>0</v>
      </c>
      <c r="HJ44" s="26" t="n">
        <v>0</v>
      </c>
      <c r="HK44" s="26" t="n">
        <v>0</v>
      </c>
      <c r="HL44" s="26" t="n">
        <v>0</v>
      </c>
      <c r="HM44" s="26" t="n">
        <v>0</v>
      </c>
      <c r="HN44" s="26" t="n">
        <v>0</v>
      </c>
      <c r="HO44" s="26" t="n">
        <v>0</v>
      </c>
      <c r="HP44" s="26" t="n">
        <v>0</v>
      </c>
      <c r="HQ44" s="26" t="n">
        <v>0</v>
      </c>
      <c r="HR44" s="26" t="n">
        <v>0</v>
      </c>
      <c r="HS44" s="26" t="n">
        <v>0</v>
      </c>
      <c r="HT44" s="26" t="n">
        <v>0</v>
      </c>
      <c r="HU44" s="26" t="n">
        <v>0</v>
      </c>
      <c r="JF44" s="26">
        <f>AP44</f>
        <v/>
      </c>
      <c r="JG44" s="26">
        <f>SUM(Z44:AK44)</f>
        <v/>
      </c>
      <c r="JH44" s="26">
        <f>SUM(AL44:AP44)</f>
        <v/>
      </c>
      <c r="JI44" s="26">
        <f>SUM(C44:AP44)</f>
        <v/>
      </c>
      <c r="JJ44" s="446" t="n"/>
      <c r="JM44" s="26" t="n">
        <v>-8840.610000000001</v>
      </c>
      <c r="KG44" s="136">
        <f>B44</f>
        <v/>
      </c>
      <c r="KH44" s="345">
        <f>AR44</f>
        <v/>
      </c>
    </row>
    <row r="45" ht="6.6" customHeight="1">
      <c r="A45" s="1" t="n"/>
      <c r="B45" s="128" t="n"/>
      <c r="C45" s="512" t="n"/>
      <c r="D45" s="512" t="n"/>
      <c r="E45" s="512" t="n"/>
      <c r="F45" s="512" t="n"/>
      <c r="G45" s="512" t="n"/>
      <c r="H45" s="512" t="n"/>
      <c r="I45" s="512" t="n"/>
      <c r="J45" s="513" t="n"/>
      <c r="K45" s="512" t="n"/>
      <c r="L45" s="512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514" t="n"/>
      <c r="AA45" s="514" t="n"/>
      <c r="AB45" s="514" t="n"/>
      <c r="AC45" s="514" t="n"/>
      <c r="AD45" s="514" t="n"/>
      <c r="AE45" s="514" t="n"/>
      <c r="AF45" s="514" t="n"/>
      <c r="AG45" s="514" t="n"/>
      <c r="AH45" s="514" t="n"/>
      <c r="AI45" s="514" t="n"/>
      <c r="AJ45" s="514" t="n"/>
      <c r="AK45" s="514" t="n"/>
      <c r="AL45" s="514" t="n"/>
      <c r="AM45" s="514" t="n"/>
      <c r="AN45" s="514" t="n"/>
      <c r="AO45" s="514" t="n"/>
      <c r="AP45" s="514" t="n"/>
      <c r="AQ45" s="512" t="n"/>
      <c r="AR45" s="533" t="n"/>
      <c r="AS45" s="512" t="n"/>
      <c r="AT45" s="512" t="n"/>
      <c r="AU45" s="512" t="n"/>
      <c r="AV45" s="512" t="n"/>
      <c r="AW45" s="512" t="n"/>
      <c r="AX45" s="512" t="n"/>
      <c r="AY45" s="512" t="n"/>
      <c r="AZ45" s="512" t="n"/>
      <c r="BA45" s="512" t="n"/>
      <c r="BB45" s="512" t="n"/>
      <c r="BC45" s="512" t="n"/>
      <c r="BD45" s="515" t="n"/>
      <c r="BE45" s="512" t="n"/>
      <c r="BF45" s="512" t="n"/>
      <c r="BG45" s="512" t="n"/>
      <c r="BH45" s="512" t="n"/>
      <c r="BI45" s="512" t="n"/>
      <c r="BJ45" s="512" t="n"/>
      <c r="BK45" s="512" t="n"/>
      <c r="BL45" s="512" t="n"/>
      <c r="BM45" s="512" t="n"/>
      <c r="BN45" s="512" t="n"/>
      <c r="BO45" s="512" t="n"/>
      <c r="BP45" s="515" t="n"/>
      <c r="BQ45" s="512" t="n"/>
      <c r="BR45" s="512" t="n"/>
      <c r="BS45" s="512" t="n"/>
      <c r="BT45" s="512" t="n"/>
      <c r="BU45" s="512" t="n"/>
      <c r="BV45" s="512" t="n"/>
      <c r="BW45" s="512" t="n"/>
      <c r="BX45" s="512" t="n"/>
      <c r="BY45" s="512" t="n"/>
      <c r="BZ45" s="512" t="n"/>
      <c r="CA45" s="512" t="n"/>
      <c r="CB45" s="515" t="n"/>
      <c r="CC45" s="512" t="n"/>
      <c r="CD45" s="512" t="n"/>
      <c r="CE45" s="512" t="n"/>
      <c r="CF45" s="512" t="n"/>
      <c r="CG45" s="512" t="n"/>
      <c r="CH45" s="512" t="n"/>
      <c r="CI45" s="512" t="n"/>
      <c r="CJ45" s="512" t="n"/>
      <c r="CK45" s="512" t="n"/>
      <c r="CL45" s="512" t="n"/>
      <c r="CM45" s="512" t="n"/>
      <c r="CN45" s="515" t="n"/>
      <c r="CO45" s="512" t="n"/>
      <c r="CP45" s="512" t="n"/>
      <c r="CQ45" s="512" t="n"/>
      <c r="CR45" s="512" t="n"/>
      <c r="CS45" s="512" t="n"/>
      <c r="CT45" s="512" t="n"/>
      <c r="CU45" s="512" t="n"/>
      <c r="CV45" s="512" t="n"/>
      <c r="CW45" s="512" t="n"/>
      <c r="CX45" s="512" t="n"/>
      <c r="CY45" s="512" t="n"/>
      <c r="CZ45" s="515" t="n"/>
      <c r="DA45" s="512" t="n"/>
      <c r="DB45" s="512" t="n"/>
      <c r="DC45" s="512" t="n"/>
      <c r="DD45" s="512" t="n"/>
      <c r="DE45" s="512" t="n"/>
      <c r="DF45" s="512" t="n"/>
      <c r="DG45" s="512" t="n"/>
      <c r="DH45" s="512" t="n"/>
      <c r="DI45" s="512" t="n"/>
      <c r="DJ45" s="512" t="n"/>
      <c r="DK45" s="512" t="n"/>
      <c r="DL45" s="512" t="n"/>
      <c r="DM45" s="512" t="n"/>
      <c r="DN45" s="512" t="n"/>
      <c r="DO45" s="512" t="n"/>
      <c r="DP45" s="512" t="n"/>
      <c r="DQ45" s="512" t="n"/>
      <c r="DR45" s="512" t="n"/>
      <c r="DS45" s="512" t="n"/>
      <c r="DT45" s="512" t="n"/>
      <c r="DU45" s="512" t="n"/>
      <c r="DV45" s="512" t="n"/>
      <c r="DW45" s="512" t="n"/>
      <c r="DX45" s="512" t="n"/>
      <c r="DY45" s="512" t="n"/>
      <c r="DZ45" s="512" t="n"/>
      <c r="EA45" s="512" t="n"/>
      <c r="EB45" s="512" t="n"/>
      <c r="EC45" s="512" t="n"/>
      <c r="ED45" s="512" t="n"/>
      <c r="EE45" s="512" t="n"/>
      <c r="EF45" s="512" t="n"/>
      <c r="EG45" s="512" t="n"/>
      <c r="EH45" s="512" t="n"/>
      <c r="EI45" s="512" t="n"/>
      <c r="EJ45" s="512" t="n"/>
      <c r="EK45" s="512" t="n"/>
      <c r="EL45" s="512" t="n"/>
      <c r="EM45" s="512" t="n"/>
      <c r="EN45" s="512" t="n"/>
      <c r="EO45" s="512" t="n"/>
      <c r="EP45" s="512" t="n"/>
      <c r="EQ45" s="512" t="n"/>
      <c r="ER45" s="512" t="n"/>
      <c r="ES45" s="512" t="n"/>
      <c r="ET45" s="512" t="n"/>
      <c r="EU45" s="512" t="n"/>
      <c r="EV45" s="512" t="n"/>
      <c r="EW45" s="512" t="n"/>
      <c r="EX45" s="512" t="n"/>
      <c r="EY45" s="512" t="n"/>
      <c r="EZ45" s="512" t="n"/>
      <c r="FA45" s="512" t="n"/>
      <c r="FB45" s="512" t="n"/>
      <c r="FC45" s="512" t="n"/>
      <c r="FD45" s="512" t="n"/>
      <c r="FE45" s="512" t="n"/>
      <c r="FF45" s="512" t="n"/>
      <c r="FG45" s="512" t="n"/>
      <c r="FH45" s="512" t="n"/>
      <c r="FI45" s="512" t="n"/>
      <c r="FJ45" s="512" t="n"/>
      <c r="FK45" s="512" t="n"/>
      <c r="FL45" s="512" t="n"/>
      <c r="FM45" s="512" t="n"/>
      <c r="FN45" s="512" t="n"/>
      <c r="FO45" s="512" t="n"/>
      <c r="FP45" s="512" t="n"/>
      <c r="FQ45" s="512" t="n"/>
      <c r="FR45" s="512" t="n"/>
      <c r="FS45" s="512" t="n"/>
      <c r="FT45" s="512" t="n"/>
      <c r="FU45" s="512" t="n"/>
      <c r="FV45" s="512" t="n"/>
      <c r="FW45" s="512" t="n"/>
      <c r="FX45" s="512" t="n"/>
      <c r="FY45" s="512" t="n"/>
      <c r="FZ45" s="512" t="n"/>
      <c r="GA45" s="512" t="n"/>
      <c r="GB45" s="512" t="n"/>
      <c r="GC45" s="512" t="n"/>
      <c r="GD45" s="512" t="n"/>
      <c r="GE45" s="512" t="n"/>
      <c r="GF45" s="512" t="n"/>
      <c r="GG45" s="512" t="n"/>
      <c r="GH45" s="512" t="n"/>
      <c r="GI45" s="512" t="n"/>
      <c r="GJ45" s="512" t="n"/>
      <c r="GK45" s="512" t="n"/>
      <c r="GL45" s="512" t="n"/>
      <c r="GM45" s="512" t="n"/>
      <c r="GN45" s="512" t="n"/>
      <c r="GO45" s="512" t="n"/>
      <c r="GP45" s="512" t="n"/>
      <c r="GQ45" s="512" t="n"/>
      <c r="GR45" s="512" t="n"/>
      <c r="GS45" s="512" t="n"/>
      <c r="GT45" s="512" t="n"/>
      <c r="GU45" s="512" t="n"/>
      <c r="GV45" s="512" t="n"/>
      <c r="GW45" s="512" t="n"/>
      <c r="GX45" s="512" t="n"/>
      <c r="GY45" s="512" t="n"/>
      <c r="GZ45" s="512" t="n"/>
      <c r="HA45" s="512" t="n"/>
      <c r="HB45" s="512" t="n"/>
      <c r="HC45" s="512" t="n"/>
      <c r="HD45" s="512" t="n"/>
      <c r="HE45" s="512" t="n"/>
      <c r="HF45" s="512" t="n"/>
      <c r="HG45" s="512" t="n"/>
      <c r="HH45" s="512" t="n"/>
      <c r="HI45" s="512" t="n"/>
      <c r="HJ45" s="512" t="n"/>
      <c r="HK45" s="512" t="n"/>
      <c r="HL45" s="512" t="n"/>
      <c r="HM45" s="512" t="n"/>
      <c r="HN45" s="512" t="n"/>
      <c r="HO45" s="512" t="n"/>
      <c r="HP45" s="512" t="n"/>
      <c r="HQ45" s="512" t="n"/>
      <c r="HR45" s="512" t="n"/>
      <c r="HS45" s="512" t="n"/>
      <c r="HT45" s="512" t="n"/>
      <c r="HU45" s="512" t="n"/>
      <c r="JF45" s="512">
        <f>AP45</f>
        <v/>
      </c>
      <c r="JG45" s="512">
        <f>SUM(Z45:AK45)</f>
        <v/>
      </c>
      <c r="JH45" s="512">
        <f>SUM(AL45:AP45)</f>
        <v/>
      </c>
      <c r="JI45" s="512">
        <f>SUM(C45:AP45)</f>
        <v/>
      </c>
      <c r="JJ45" s="446" t="n"/>
      <c r="JM45" s="512" t="n"/>
      <c r="KG45" s="128">
        <f>B45</f>
        <v/>
      </c>
      <c r="KH45" s="533">
        <f>AR45</f>
        <v/>
      </c>
    </row>
    <row r="46" ht="16.2" customHeight="1">
      <c r="A46" s="19" t="inlineStr">
        <is>
          <t>DESPESAS JÚRIDICAS (-)</t>
        </is>
      </c>
      <c r="B46" s="139" t="n"/>
      <c r="C46" s="20" t="n"/>
      <c r="D46" s="22" t="n"/>
      <c r="E46" s="20" t="n"/>
      <c r="F46" s="20" t="n"/>
      <c r="G46" s="20" t="n"/>
      <c r="H46" s="20" t="n"/>
      <c r="I46" s="21" t="n"/>
      <c r="J46" s="175" t="n"/>
      <c r="K46" s="21" t="n"/>
      <c r="L46" s="108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00" t="n"/>
      <c r="AR46" s="241" t="n"/>
      <c r="AS46" s="20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299" t="n"/>
      <c r="BE46" s="22" t="n"/>
      <c r="BF46" s="20" t="n"/>
      <c r="BG46" s="20" t="n"/>
      <c r="BH46" s="20" t="n"/>
      <c r="BI46" s="20" t="n"/>
      <c r="BJ46" s="20" t="n"/>
      <c r="BK46" s="20" t="n"/>
      <c r="BL46" s="20" t="n"/>
      <c r="BM46" s="20" t="n"/>
      <c r="BN46" s="20" t="n"/>
      <c r="BO46" s="20" t="n"/>
      <c r="BP46" s="299" t="n"/>
      <c r="BQ46" s="22" t="n"/>
      <c r="BR46" s="20" t="n"/>
      <c r="BS46" s="20" t="n"/>
      <c r="BT46" s="20" t="n"/>
      <c r="BU46" s="20" t="n"/>
      <c r="BV46" s="20" t="n"/>
      <c r="BW46" s="20" t="n"/>
      <c r="BX46" s="20" t="n"/>
      <c r="BY46" s="20" t="n"/>
      <c r="BZ46" s="20" t="n"/>
      <c r="CA46" s="20" t="n"/>
      <c r="CB46" s="299" t="n"/>
      <c r="CC46" s="22" t="n"/>
      <c r="CD46" s="20" t="n"/>
      <c r="CE46" s="20" t="n"/>
      <c r="CF46" s="20" t="n"/>
      <c r="CG46" s="20" t="n"/>
      <c r="CH46" s="20" t="n"/>
      <c r="CI46" s="20" t="n"/>
      <c r="CJ46" s="20" t="n"/>
      <c r="CK46" s="20" t="n"/>
      <c r="CL46" s="20" t="n"/>
      <c r="CM46" s="20" t="n"/>
      <c r="CN46" s="299" t="n"/>
      <c r="CO46" s="22" t="n"/>
      <c r="CP46" s="20" t="n"/>
      <c r="CQ46" s="20" t="n"/>
      <c r="CR46" s="20" t="n"/>
      <c r="CS46" s="20" t="n"/>
      <c r="CT46" s="20" t="n"/>
      <c r="CU46" s="20" t="n"/>
      <c r="CV46" s="20" t="n"/>
      <c r="CW46" s="20" t="n"/>
      <c r="CX46" s="20" t="n"/>
      <c r="CY46" s="20" t="n"/>
      <c r="CZ46" s="299" t="n"/>
      <c r="DA46" s="22" t="n"/>
      <c r="DB46" s="20" t="n"/>
      <c r="DC46" s="20" t="n"/>
      <c r="DD46" s="20" t="n"/>
      <c r="DE46" s="20" t="n"/>
      <c r="DF46" s="20" t="n"/>
      <c r="DG46" s="20" t="n"/>
      <c r="DH46" s="20" t="n"/>
      <c r="DI46" s="20" t="n"/>
      <c r="DJ46" s="21" t="n"/>
      <c r="DK46" s="20" t="n"/>
      <c r="DL46" s="21" t="n"/>
      <c r="DM46" s="20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 t="n"/>
      <c r="EG46" s="21" t="n"/>
      <c r="EH46" s="21" t="n"/>
      <c r="EI46" s="21" t="n"/>
      <c r="EJ46" s="21" t="n"/>
      <c r="EK46" s="21" t="n"/>
      <c r="EL46" s="21" t="n"/>
      <c r="EM46" s="21" t="n"/>
      <c r="EN46" s="21" t="n"/>
      <c r="EO46" s="21" t="n"/>
      <c r="EP46" s="21" t="n"/>
      <c r="EQ46" s="21" t="n"/>
      <c r="ER46" s="21" t="n"/>
      <c r="ES46" s="21" t="n"/>
      <c r="ET46" s="21" t="n"/>
      <c r="EU46" s="21" t="n"/>
      <c r="EV46" s="21" t="n"/>
      <c r="EW46" s="21" t="n"/>
      <c r="EX46" s="21" t="n"/>
      <c r="EY46" s="21" t="n"/>
      <c r="EZ46" s="21" t="n"/>
      <c r="FA46" s="21" t="n"/>
      <c r="FB46" s="21" t="n"/>
      <c r="FC46" s="21" t="n"/>
      <c r="FD46" s="21" t="n"/>
      <c r="FE46" s="21" t="n"/>
      <c r="FF46" s="21" t="n"/>
      <c r="FG46" s="21" t="n"/>
      <c r="FH46" s="21" t="n"/>
      <c r="FI46" s="21" t="n"/>
      <c r="FJ46" s="21" t="n"/>
      <c r="FK46" s="21" t="n"/>
      <c r="FL46" s="21" t="n"/>
      <c r="FM46" s="21" t="n"/>
      <c r="FN46" s="21" t="n"/>
      <c r="FO46" s="21" t="n"/>
      <c r="FP46" s="21" t="n"/>
      <c r="FQ46" s="21" t="n"/>
      <c r="FR46" s="21" t="n"/>
      <c r="FS46" s="21" t="n"/>
      <c r="FT46" s="21" t="n"/>
      <c r="FU46" s="21" t="n"/>
      <c r="FV46" s="21" t="n"/>
      <c r="FW46" s="21" t="n"/>
      <c r="FX46" s="21" t="n"/>
      <c r="FY46" s="21" t="n"/>
      <c r="FZ46" s="21" t="n"/>
      <c r="GA46" s="21" t="n"/>
      <c r="GB46" s="21" t="n"/>
      <c r="GC46" s="21" t="n"/>
      <c r="GD46" s="21" t="n"/>
      <c r="GE46" s="21" t="n"/>
      <c r="GF46" s="21" t="n"/>
      <c r="GG46" s="21" t="n"/>
      <c r="GH46" s="21" t="n"/>
      <c r="GI46" s="21" t="n"/>
      <c r="GJ46" s="21" t="n"/>
      <c r="GK46" s="21" t="n"/>
      <c r="GL46" s="21" t="n"/>
      <c r="GM46" s="21" t="n"/>
      <c r="GN46" s="21" t="n"/>
      <c r="GO46" s="21" t="n"/>
      <c r="GP46" s="21" t="n"/>
      <c r="GQ46" s="21" t="n"/>
      <c r="GR46" s="21" t="n"/>
      <c r="GS46" s="21" t="n"/>
      <c r="GT46" s="21" t="n"/>
      <c r="GU46" s="21" t="n"/>
      <c r="GV46" s="21" t="n"/>
      <c r="GW46" s="21" t="n"/>
      <c r="GX46" s="21" t="n"/>
      <c r="GY46" s="21" t="n"/>
      <c r="GZ46" s="21" t="n"/>
      <c r="HA46" s="21" t="n"/>
      <c r="HB46" s="21" t="n"/>
      <c r="HC46" s="21" t="n"/>
      <c r="HD46" s="21" t="n"/>
      <c r="HE46" s="21" t="n"/>
      <c r="HF46" s="21" t="n"/>
      <c r="HG46" s="21" t="n"/>
      <c r="HH46" s="21" t="n"/>
      <c r="HI46" s="21" t="n"/>
      <c r="HJ46" s="21" t="n"/>
      <c r="HK46" s="21" t="n"/>
      <c r="HL46" s="21" t="n"/>
      <c r="HM46" s="21" t="n"/>
      <c r="HN46" s="21" t="n"/>
      <c r="HO46" s="21" t="n"/>
      <c r="HP46" s="21" t="n"/>
      <c r="HQ46" s="21" t="n"/>
      <c r="HR46" s="21" t="n"/>
      <c r="HS46" s="21" t="n"/>
      <c r="HT46" s="21" t="n"/>
      <c r="HU46" s="21" t="n"/>
      <c r="JF46" s="20">
        <f>AP46</f>
        <v/>
      </c>
      <c r="JG46" s="20">
        <f>SUM(Z46:AK46)</f>
        <v/>
      </c>
      <c r="JH46" s="20">
        <f>SUM(AL46:AP46)</f>
        <v/>
      </c>
      <c r="JI46" s="20">
        <f>SUM(C46:AP46)</f>
        <v/>
      </c>
      <c r="JJ46" s="446" t="n"/>
      <c r="JM46" s="21" t="n"/>
      <c r="KG46" s="139">
        <f>B46</f>
        <v/>
      </c>
      <c r="KH46" s="241">
        <f>AR46</f>
        <v/>
      </c>
    </row>
    <row r="47" ht="18.75" customHeight="1">
      <c r="A47" s="7" t="inlineStr">
        <is>
          <t>Despesas juridicas</t>
        </is>
      </c>
      <c r="B47" s="136">
        <f>SUM(C47:AP47)</f>
        <v/>
      </c>
      <c r="C47" s="85" t="n"/>
      <c r="D47" s="87" t="n"/>
      <c r="E47" s="85" t="n"/>
      <c r="F47" s="85" t="n"/>
      <c r="G47" s="85" t="n"/>
      <c r="H47" s="85" t="n"/>
      <c r="I47" s="86" t="n"/>
      <c r="J47" s="218" t="n"/>
      <c r="K47" s="113" t="n"/>
      <c r="L47" s="122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>
        <f>50092.5732500069-959.8</f>
        <v/>
      </c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13" t="n"/>
      <c r="AR47" s="342">
        <f>SUM(AT47:HU47)</f>
        <v/>
      </c>
      <c r="AS47" s="13" t="n"/>
      <c r="AT47" s="26" t="n">
        <v>0</v>
      </c>
      <c r="AU47" s="26" t="n">
        <v>0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0</v>
      </c>
      <c r="BQ47" s="26" t="n">
        <v>0</v>
      </c>
      <c r="BR47" s="26" t="n">
        <v>0</v>
      </c>
      <c r="BS47" s="26" t="n">
        <v>0</v>
      </c>
      <c r="BT47" s="26" t="n">
        <v>0</v>
      </c>
      <c r="BU47" s="26" t="n">
        <v>0</v>
      </c>
      <c r="BV47" s="26" t="n">
        <v>0</v>
      </c>
      <c r="BW47" s="26" t="n">
        <v>0</v>
      </c>
      <c r="BX47" s="26" t="n">
        <v>0</v>
      </c>
      <c r="BY47" s="26" t="n">
        <v>0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0</v>
      </c>
      <c r="CN47" s="26" t="n">
        <v>0</v>
      </c>
      <c r="CO47" s="26" t="n">
        <v>0</v>
      </c>
      <c r="CP47" s="26" t="n">
        <v>0</v>
      </c>
      <c r="CQ47" s="26" t="n">
        <v>0</v>
      </c>
      <c r="CR47" s="26" t="n">
        <v>0</v>
      </c>
      <c r="CS47" s="26" t="n">
        <v>0</v>
      </c>
      <c r="CT47" s="26" t="n">
        <v>0</v>
      </c>
      <c r="CU47" s="26" t="n">
        <v>0</v>
      </c>
      <c r="CV47" s="26" t="n">
        <v>0</v>
      </c>
      <c r="CW47" s="26" t="n">
        <v>0</v>
      </c>
      <c r="CX47" s="26" t="n">
        <v>0</v>
      </c>
      <c r="CY47" s="26" t="n">
        <v>0</v>
      </c>
      <c r="CZ47" s="26" t="n">
        <v>0</v>
      </c>
      <c r="DA47" s="26" t="n">
        <v>0</v>
      </c>
      <c r="DB47" s="26" t="n">
        <v>0</v>
      </c>
      <c r="DC47" s="26" t="n">
        <v>0</v>
      </c>
      <c r="DD47" s="26" t="n">
        <v>0</v>
      </c>
      <c r="DE47" s="26" t="n">
        <v>0</v>
      </c>
      <c r="DF47" s="26" t="n">
        <v>0</v>
      </c>
      <c r="DG47" s="26" t="n">
        <v>0</v>
      </c>
      <c r="DH47" s="26" t="n">
        <v>0</v>
      </c>
      <c r="DI47" s="26" t="n">
        <v>0</v>
      </c>
      <c r="DJ47" s="26" t="n">
        <v>0</v>
      </c>
      <c r="DK47" s="26" t="n">
        <v>0</v>
      </c>
      <c r="DL47" s="26" t="n">
        <v>0</v>
      </c>
      <c r="DM47" s="26" t="n">
        <v>0</v>
      </c>
      <c r="DN47" s="26" t="n">
        <v>0</v>
      </c>
      <c r="DO47" s="26" t="n">
        <v>0</v>
      </c>
      <c r="DP47" s="26" t="n">
        <v>0</v>
      </c>
      <c r="DQ47" s="26" t="n">
        <v>0</v>
      </c>
      <c r="DR47" s="26" t="n">
        <v>0</v>
      </c>
      <c r="DS47" s="26" t="n">
        <v>0</v>
      </c>
      <c r="DT47" s="26" t="n">
        <v>0</v>
      </c>
      <c r="DU47" s="26" t="n">
        <v>0</v>
      </c>
      <c r="DV47" s="26" t="n">
        <v>0</v>
      </c>
      <c r="DW47" s="26" t="n">
        <v>0</v>
      </c>
      <c r="DX47" s="26" t="n">
        <v>0</v>
      </c>
      <c r="DY47" s="26" t="n">
        <v>0</v>
      </c>
      <c r="DZ47" s="26" t="n">
        <v>0</v>
      </c>
      <c r="EA47" s="26" t="n">
        <v>0</v>
      </c>
      <c r="EB47" s="26" t="n">
        <v>0</v>
      </c>
      <c r="EC47" s="26" t="n">
        <v>0</v>
      </c>
      <c r="ED47" s="26" t="n">
        <v>0</v>
      </c>
      <c r="EE47" s="26" t="n">
        <v>0</v>
      </c>
      <c r="EF47" s="26" t="n">
        <v>0</v>
      </c>
      <c r="EG47" s="26" t="n">
        <v>0</v>
      </c>
      <c r="EH47" s="26" t="n">
        <v>0</v>
      </c>
      <c r="EI47" s="26" t="n">
        <v>0</v>
      </c>
      <c r="EJ47" s="26" t="n">
        <v>0</v>
      </c>
      <c r="EK47" s="26" t="n">
        <v>0</v>
      </c>
      <c r="EL47" s="26" t="n">
        <v>0</v>
      </c>
      <c r="EM47" s="26" t="n">
        <v>0</v>
      </c>
      <c r="EN47" s="26" t="n">
        <v>0</v>
      </c>
      <c r="EO47" s="26" t="n">
        <v>0</v>
      </c>
      <c r="EP47" s="26" t="n">
        <v>0</v>
      </c>
      <c r="EQ47" s="26" t="n">
        <v>0</v>
      </c>
      <c r="ER47" s="26" t="n">
        <v>0</v>
      </c>
      <c r="ES47" s="26" t="n">
        <v>0</v>
      </c>
      <c r="ET47" s="26" t="n">
        <v>0</v>
      </c>
      <c r="EU47" s="26" t="n">
        <v>0</v>
      </c>
      <c r="EV47" s="26" t="n">
        <v>0</v>
      </c>
      <c r="EW47" s="26" t="n">
        <v>0</v>
      </c>
      <c r="EX47" s="26" t="n">
        <v>0</v>
      </c>
      <c r="EY47" s="26" t="n">
        <v>0</v>
      </c>
      <c r="EZ47" s="26" t="n">
        <v>0</v>
      </c>
      <c r="FA47" s="26" t="n">
        <v>0</v>
      </c>
      <c r="FB47" s="26" t="n">
        <v>0</v>
      </c>
      <c r="FC47" s="26" t="n">
        <v>0</v>
      </c>
      <c r="FD47" s="26" t="n">
        <v>0</v>
      </c>
      <c r="FE47" s="26" t="n">
        <v>0</v>
      </c>
      <c r="FF47" s="26" t="n">
        <v>0</v>
      </c>
      <c r="FG47" s="26" t="n">
        <v>0</v>
      </c>
      <c r="FH47" s="26" t="n">
        <v>0</v>
      </c>
      <c r="FI47" s="26" t="n">
        <v>0</v>
      </c>
      <c r="FJ47" s="26" t="n">
        <v>0</v>
      </c>
      <c r="FK47" s="26" t="n">
        <v>0</v>
      </c>
      <c r="FL47" s="26" t="n">
        <v>0</v>
      </c>
      <c r="FM47" s="26" t="n">
        <v>0</v>
      </c>
      <c r="FN47" s="26" t="n">
        <v>0</v>
      </c>
      <c r="FO47" s="26" t="n">
        <v>0</v>
      </c>
      <c r="FP47" s="26" t="n">
        <v>0</v>
      </c>
      <c r="FQ47" s="26" t="n">
        <v>0</v>
      </c>
      <c r="FR47" s="26" t="n">
        <v>0</v>
      </c>
      <c r="FS47" s="26" t="n">
        <v>0</v>
      </c>
      <c r="FT47" s="26" t="n">
        <v>0</v>
      </c>
      <c r="FU47" s="26" t="n">
        <v>0</v>
      </c>
      <c r="FV47" s="26" t="n">
        <v>0</v>
      </c>
      <c r="FW47" s="26" t="n">
        <v>0</v>
      </c>
      <c r="FX47" s="26" t="n">
        <v>0</v>
      </c>
      <c r="FY47" s="26" t="n">
        <v>0</v>
      </c>
      <c r="FZ47" s="26" t="n">
        <v>0</v>
      </c>
      <c r="GA47" s="26" t="n">
        <v>0</v>
      </c>
      <c r="GB47" s="26" t="n">
        <v>0</v>
      </c>
      <c r="GC47" s="26" t="n">
        <v>0</v>
      </c>
      <c r="GD47" s="26" t="n">
        <v>0</v>
      </c>
      <c r="GE47" s="26" t="n">
        <v>0</v>
      </c>
      <c r="GF47" s="26" t="n">
        <v>0</v>
      </c>
      <c r="GG47" s="26" t="n">
        <v>0</v>
      </c>
      <c r="GH47" s="26" t="n">
        <v>0</v>
      </c>
      <c r="GI47" s="26" t="n">
        <v>0</v>
      </c>
      <c r="GJ47" s="26" t="n">
        <v>0</v>
      </c>
      <c r="GK47" s="26" t="n">
        <v>0</v>
      </c>
      <c r="GL47" s="26" t="n">
        <v>0</v>
      </c>
      <c r="GM47" s="26" t="n">
        <v>0</v>
      </c>
      <c r="GN47" s="26" t="n">
        <v>0</v>
      </c>
      <c r="GO47" s="26" t="n">
        <v>0</v>
      </c>
      <c r="GP47" s="26" t="n">
        <v>0</v>
      </c>
      <c r="GQ47" s="26" t="n">
        <v>0</v>
      </c>
      <c r="GR47" s="26" t="n">
        <v>0</v>
      </c>
      <c r="GS47" s="26" t="n">
        <v>0</v>
      </c>
      <c r="GT47" s="26" t="n">
        <v>0</v>
      </c>
      <c r="GU47" s="26" t="n">
        <v>0</v>
      </c>
      <c r="GV47" s="26" t="n">
        <v>0</v>
      </c>
      <c r="GW47" s="26" t="n">
        <v>0</v>
      </c>
      <c r="GX47" s="26" t="n">
        <v>0</v>
      </c>
      <c r="GY47" s="26" t="n">
        <v>0</v>
      </c>
      <c r="GZ47" s="26" t="n">
        <v>0</v>
      </c>
      <c r="HA47" s="26" t="n">
        <v>0</v>
      </c>
      <c r="HB47" s="26" t="n">
        <v>0</v>
      </c>
      <c r="HC47" s="26" t="n">
        <v>0</v>
      </c>
      <c r="HD47" s="26" t="n">
        <v>0</v>
      </c>
      <c r="HE47" s="26" t="n">
        <v>0</v>
      </c>
      <c r="HF47" s="26" t="n">
        <v>0</v>
      </c>
      <c r="HG47" s="26" t="n">
        <v>0</v>
      </c>
      <c r="HH47" s="26" t="n">
        <v>0</v>
      </c>
      <c r="HI47" s="26" t="n">
        <v>0</v>
      </c>
      <c r="HJ47" s="26" t="n">
        <v>0</v>
      </c>
      <c r="HK47" s="26" t="n">
        <v>0</v>
      </c>
      <c r="HL47" s="26" t="n">
        <v>0</v>
      </c>
      <c r="HM47" s="26" t="n">
        <v>0</v>
      </c>
      <c r="HN47" s="26" t="n">
        <v>0</v>
      </c>
      <c r="HO47" s="26" t="n">
        <v>0</v>
      </c>
      <c r="HP47" s="26" t="n">
        <v>0</v>
      </c>
      <c r="HQ47" s="26" t="n">
        <v>0</v>
      </c>
      <c r="HR47" s="26" t="n">
        <v>0</v>
      </c>
      <c r="HS47" s="26" t="n">
        <v>0</v>
      </c>
      <c r="HT47" s="26" t="n">
        <v>0</v>
      </c>
      <c r="HU47" s="26" t="n">
        <v>0</v>
      </c>
      <c r="JF47" s="26">
        <f>AP47</f>
        <v/>
      </c>
      <c r="JG47" s="26">
        <f>SUM(Z47:AK47)</f>
        <v/>
      </c>
      <c r="JH47" s="26">
        <f>SUM(AL47:AP47)</f>
        <v/>
      </c>
      <c r="JI47" s="26">
        <f>SUM(C47:AP47)</f>
        <v/>
      </c>
      <c r="JJ47" s="446" t="n"/>
      <c r="JM47" s="26" t="n">
        <v>0</v>
      </c>
      <c r="KG47" s="136">
        <f>B47</f>
        <v/>
      </c>
      <c r="KH47" s="342">
        <f>AR47</f>
        <v/>
      </c>
    </row>
    <row r="48" ht="6" customHeight="1">
      <c r="A48" s="1" t="n"/>
      <c r="B48" s="128" t="n"/>
      <c r="C48" s="512" t="n"/>
      <c r="D48" s="512" t="n"/>
      <c r="E48" s="512" t="n"/>
      <c r="F48" s="512" t="n"/>
      <c r="G48" s="512" t="n"/>
      <c r="H48" s="512" t="n"/>
      <c r="I48" s="512" t="n"/>
      <c r="J48" s="513" t="n"/>
      <c r="K48" s="512" t="n"/>
      <c r="L48" s="512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2" t="n"/>
      <c r="AR48" s="533" t="n"/>
      <c r="AS48" s="512" t="n"/>
      <c r="AT48" s="512" t="n"/>
      <c r="AU48" s="512" t="n"/>
      <c r="AV48" s="512" t="n"/>
      <c r="AW48" s="512" t="n"/>
      <c r="AX48" s="512" t="n"/>
      <c r="AY48" s="512" t="n"/>
      <c r="AZ48" s="512" t="n"/>
      <c r="BA48" s="512" t="n"/>
      <c r="BB48" s="512" t="n"/>
      <c r="BC48" s="512" t="n"/>
      <c r="BD48" s="515" t="n"/>
      <c r="BE48" s="512" t="n"/>
      <c r="BF48" s="512" t="n"/>
      <c r="BG48" s="512" t="n"/>
      <c r="BH48" s="512" t="n"/>
      <c r="BI48" s="512" t="n"/>
      <c r="BJ48" s="512" t="n"/>
      <c r="BK48" s="512" t="n"/>
      <c r="BL48" s="512" t="n"/>
      <c r="BM48" s="512" t="n"/>
      <c r="BN48" s="512" t="n"/>
      <c r="BO48" s="512" t="n"/>
      <c r="BP48" s="515" t="n"/>
      <c r="BQ48" s="512" t="n"/>
      <c r="BR48" s="512" t="n"/>
      <c r="BS48" s="512" t="n"/>
      <c r="BT48" s="512" t="n"/>
      <c r="BU48" s="512" t="n"/>
      <c r="BV48" s="512" t="n"/>
      <c r="BW48" s="512" t="n"/>
      <c r="BX48" s="512" t="n"/>
      <c r="BY48" s="512" t="n"/>
      <c r="BZ48" s="512" t="n"/>
      <c r="CA48" s="512" t="n"/>
      <c r="CB48" s="515" t="n"/>
      <c r="CC48" s="512" t="n"/>
      <c r="CD48" s="512" t="n"/>
      <c r="CE48" s="512" t="n"/>
      <c r="CF48" s="512" t="n"/>
      <c r="CG48" s="512" t="n"/>
      <c r="CH48" s="512" t="n"/>
      <c r="CI48" s="512" t="n"/>
      <c r="CJ48" s="512" t="n"/>
      <c r="CK48" s="512" t="n"/>
      <c r="CL48" s="512" t="n"/>
      <c r="CM48" s="512" t="n"/>
      <c r="CN48" s="515" t="n"/>
      <c r="CO48" s="512" t="n"/>
      <c r="CP48" s="512" t="n"/>
      <c r="CQ48" s="512" t="n"/>
      <c r="CR48" s="512" t="n"/>
      <c r="CS48" s="512" t="n"/>
      <c r="CT48" s="512" t="n"/>
      <c r="CU48" s="512" t="n"/>
      <c r="CV48" s="512" t="n"/>
      <c r="CW48" s="512" t="n"/>
      <c r="CX48" s="512" t="n"/>
      <c r="CY48" s="512" t="n"/>
      <c r="CZ48" s="515" t="n"/>
      <c r="DA48" s="512" t="n"/>
      <c r="DB48" s="512" t="n"/>
      <c r="DC48" s="512" t="n"/>
      <c r="DD48" s="512" t="n"/>
      <c r="DE48" s="512" t="n"/>
      <c r="DF48" s="512" t="n"/>
      <c r="DG48" s="512" t="n"/>
      <c r="DH48" s="512" t="n"/>
      <c r="DI48" s="512" t="n"/>
      <c r="DJ48" s="512" t="n"/>
      <c r="DK48" s="512" t="n"/>
      <c r="DL48" s="512" t="n"/>
      <c r="DM48" s="512" t="n"/>
      <c r="DN48" s="512" t="n"/>
      <c r="DO48" s="512" t="n"/>
      <c r="DP48" s="512" t="n"/>
      <c r="DQ48" s="512" t="n"/>
      <c r="DR48" s="512" t="n"/>
      <c r="DS48" s="512" t="n"/>
      <c r="DT48" s="512" t="n"/>
      <c r="DU48" s="512" t="n"/>
      <c r="DV48" s="512" t="n"/>
      <c r="DW48" s="512" t="n"/>
      <c r="DX48" s="512" t="n"/>
      <c r="DY48" s="512" t="n"/>
      <c r="DZ48" s="512" t="n"/>
      <c r="EA48" s="512" t="n"/>
      <c r="EB48" s="512" t="n"/>
      <c r="EC48" s="512" t="n"/>
      <c r="ED48" s="512" t="n"/>
      <c r="EE48" s="512" t="n"/>
      <c r="EF48" s="512" t="n"/>
      <c r="EG48" s="512" t="n"/>
      <c r="EH48" s="512" t="n"/>
      <c r="EI48" s="512" t="n"/>
      <c r="EJ48" s="512" t="n"/>
      <c r="EK48" s="512" t="n"/>
      <c r="EL48" s="512" t="n"/>
      <c r="EM48" s="512" t="n"/>
      <c r="EN48" s="512" t="n"/>
      <c r="EO48" s="512" t="n"/>
      <c r="EP48" s="512" t="n"/>
      <c r="EQ48" s="512" t="n"/>
      <c r="ER48" s="512" t="n"/>
      <c r="ES48" s="512" t="n"/>
      <c r="ET48" s="512" t="n"/>
      <c r="EU48" s="512" t="n"/>
      <c r="EV48" s="512" t="n"/>
      <c r="EW48" s="512" t="n"/>
      <c r="EX48" s="512" t="n"/>
      <c r="EY48" s="512" t="n"/>
      <c r="EZ48" s="512" t="n"/>
      <c r="FA48" s="512" t="n"/>
      <c r="FB48" s="512" t="n"/>
      <c r="FC48" s="512" t="n"/>
      <c r="FD48" s="512" t="n"/>
      <c r="FE48" s="512" t="n"/>
      <c r="FF48" s="512" t="n"/>
      <c r="FG48" s="512" t="n"/>
      <c r="FH48" s="512" t="n"/>
      <c r="FI48" s="512" t="n"/>
      <c r="FJ48" s="512" t="n"/>
      <c r="FK48" s="512" t="n"/>
      <c r="FL48" s="512" t="n"/>
      <c r="FM48" s="512" t="n"/>
      <c r="FN48" s="512" t="n"/>
      <c r="FO48" s="512" t="n"/>
      <c r="FP48" s="512" t="n"/>
      <c r="FQ48" s="512" t="n"/>
      <c r="FR48" s="512" t="n"/>
      <c r="FS48" s="512" t="n"/>
      <c r="FT48" s="512" t="n"/>
      <c r="FU48" s="512" t="n"/>
      <c r="FV48" s="512" t="n"/>
      <c r="FW48" s="512" t="n"/>
      <c r="FX48" s="512" t="n"/>
      <c r="FY48" s="512" t="n"/>
      <c r="FZ48" s="512" t="n"/>
      <c r="GA48" s="512" t="n"/>
      <c r="GB48" s="512" t="n"/>
      <c r="GC48" s="512" t="n"/>
      <c r="GD48" s="512" t="n"/>
      <c r="GE48" s="512" t="n"/>
      <c r="GF48" s="512" t="n"/>
      <c r="GG48" s="512" t="n"/>
      <c r="GH48" s="512" t="n"/>
      <c r="GI48" s="512" t="n"/>
      <c r="GJ48" s="512" t="n"/>
      <c r="GK48" s="512" t="n"/>
      <c r="GL48" s="512" t="n"/>
      <c r="GM48" s="512" t="n"/>
      <c r="GN48" s="512" t="n"/>
      <c r="GO48" s="512" t="n"/>
      <c r="GP48" s="512" t="n"/>
      <c r="GQ48" s="512" t="n"/>
      <c r="GR48" s="512" t="n"/>
      <c r="GS48" s="512" t="n"/>
      <c r="GT48" s="512" t="n"/>
      <c r="GU48" s="512" t="n"/>
      <c r="GV48" s="512" t="n"/>
      <c r="GW48" s="512" t="n"/>
      <c r="GX48" s="512" t="n"/>
      <c r="GY48" s="512" t="n"/>
      <c r="GZ48" s="512" t="n"/>
      <c r="HA48" s="512" t="n"/>
      <c r="HB48" s="512" t="n"/>
      <c r="HC48" s="512" t="n"/>
      <c r="HD48" s="512" t="n"/>
      <c r="HE48" s="512" t="n"/>
      <c r="HF48" s="512" t="n"/>
      <c r="HG48" s="512" t="n"/>
      <c r="HH48" s="512" t="n"/>
      <c r="HI48" s="512" t="n"/>
      <c r="HJ48" s="512" t="n"/>
      <c r="HK48" s="512" t="n"/>
      <c r="HL48" s="512" t="n"/>
      <c r="HM48" s="512" t="n"/>
      <c r="HN48" s="512" t="n"/>
      <c r="HO48" s="512" t="n"/>
      <c r="HP48" s="512" t="n"/>
      <c r="HQ48" s="512" t="n"/>
      <c r="HR48" s="512" t="n"/>
      <c r="HS48" s="512" t="n"/>
      <c r="HT48" s="512" t="n"/>
      <c r="HU48" s="512" t="n"/>
      <c r="JF48" s="512">
        <f>AP48</f>
        <v/>
      </c>
      <c r="JG48" s="512">
        <f>SUM(Z48:AK48)</f>
        <v/>
      </c>
      <c r="JH48" s="512">
        <f>SUM(AL48:AP48)</f>
        <v/>
      </c>
      <c r="JI48" s="512">
        <f>SUM(C48:AP48)</f>
        <v/>
      </c>
      <c r="JJ48" s="446" t="n"/>
      <c r="JM48" s="512" t="n"/>
      <c r="KG48" s="128">
        <f>B48</f>
        <v/>
      </c>
      <c r="KH48" s="533">
        <f>AR48</f>
        <v/>
      </c>
    </row>
    <row r="49" ht="16.2" customHeight="1">
      <c r="A49" s="19" t="inlineStr">
        <is>
          <t>OUTRAS DESPESAS (-)</t>
        </is>
      </c>
      <c r="B49" s="139" t="n"/>
      <c r="C49" s="20" t="n"/>
      <c r="D49" s="22" t="n"/>
      <c r="E49" s="20" t="n"/>
      <c r="F49" s="20" t="n"/>
      <c r="G49" s="20" t="n"/>
      <c r="H49" s="20" t="n"/>
      <c r="I49" s="21" t="n"/>
      <c r="J49" s="175" t="n"/>
      <c r="K49" s="21" t="n"/>
      <c r="L49" s="108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00" t="n"/>
      <c r="AR49" s="241" t="n"/>
      <c r="AS49" s="20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99" t="n"/>
      <c r="BE49" s="22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99" t="n"/>
      <c r="BQ49" s="22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99" t="n"/>
      <c r="CC49" s="22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99" t="n"/>
      <c r="CO49" s="22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99" t="n"/>
      <c r="DA49" s="22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1" t="n"/>
      <c r="DK49" s="20" t="n"/>
      <c r="DL49" s="21" t="n"/>
      <c r="DM49" s="20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 t="n"/>
      <c r="EG49" s="21" t="n"/>
      <c r="EH49" s="21" t="n"/>
      <c r="EI49" s="21" t="n"/>
      <c r="EJ49" s="21" t="n"/>
      <c r="EK49" s="21" t="n"/>
      <c r="EL49" s="21" t="n"/>
      <c r="EM49" s="21" t="n"/>
      <c r="EN49" s="21" t="n"/>
      <c r="EO49" s="21" t="n"/>
      <c r="EP49" s="21" t="n"/>
      <c r="EQ49" s="21" t="n"/>
      <c r="ER49" s="21" t="n"/>
      <c r="ES49" s="21" t="n"/>
      <c r="ET49" s="21" t="n"/>
      <c r="EU49" s="21" t="n"/>
      <c r="EV49" s="21" t="n"/>
      <c r="EW49" s="21" t="n"/>
      <c r="EX49" s="21" t="n"/>
      <c r="EY49" s="21" t="n"/>
      <c r="EZ49" s="21" t="n"/>
      <c r="FA49" s="21" t="n"/>
      <c r="FB49" s="21" t="n"/>
      <c r="FC49" s="21" t="n"/>
      <c r="FD49" s="21" t="n"/>
      <c r="FE49" s="21" t="n"/>
      <c r="FF49" s="21" t="n"/>
      <c r="FG49" s="21" t="n"/>
      <c r="FH49" s="21" t="n"/>
      <c r="FI49" s="21" t="n"/>
      <c r="FJ49" s="21" t="n"/>
      <c r="FK49" s="21" t="n"/>
      <c r="FL49" s="21" t="n"/>
      <c r="FM49" s="21" t="n"/>
      <c r="FN49" s="21" t="n"/>
      <c r="FO49" s="21" t="n"/>
      <c r="FP49" s="21" t="n"/>
      <c r="FQ49" s="21" t="n"/>
      <c r="FR49" s="21" t="n"/>
      <c r="FS49" s="21" t="n"/>
      <c r="FT49" s="21" t="n"/>
      <c r="FU49" s="21" t="n"/>
      <c r="FV49" s="21" t="n"/>
      <c r="FW49" s="21" t="n"/>
      <c r="FX49" s="21" t="n"/>
      <c r="FY49" s="21" t="n"/>
      <c r="FZ49" s="21" t="n"/>
      <c r="GA49" s="21" t="n"/>
      <c r="GB49" s="21" t="n"/>
      <c r="GC49" s="21" t="n"/>
      <c r="GD49" s="21" t="n"/>
      <c r="GE49" s="21" t="n"/>
      <c r="GF49" s="21" t="n"/>
      <c r="GG49" s="21" t="n"/>
      <c r="GH49" s="21" t="n"/>
      <c r="GI49" s="21" t="n"/>
      <c r="GJ49" s="21" t="n"/>
      <c r="GK49" s="21" t="n"/>
      <c r="GL49" s="21" t="n"/>
      <c r="GM49" s="21" t="n"/>
      <c r="GN49" s="21" t="n"/>
      <c r="GO49" s="21" t="n"/>
      <c r="GP49" s="21" t="n"/>
      <c r="GQ49" s="21" t="n"/>
      <c r="GR49" s="21" t="n"/>
      <c r="GS49" s="21" t="n"/>
      <c r="GT49" s="21" t="n"/>
      <c r="GU49" s="21" t="n"/>
      <c r="GV49" s="21" t="n"/>
      <c r="GW49" s="21" t="n"/>
      <c r="GX49" s="21" t="n"/>
      <c r="GY49" s="21" t="n"/>
      <c r="GZ49" s="21" t="n"/>
      <c r="HA49" s="21" t="n"/>
      <c r="HB49" s="21" t="n"/>
      <c r="HC49" s="21" t="n"/>
      <c r="HD49" s="21" t="n"/>
      <c r="HE49" s="21" t="n"/>
      <c r="HF49" s="21" t="n"/>
      <c r="HG49" s="21" t="n"/>
      <c r="HH49" s="21" t="n"/>
      <c r="HI49" s="21" t="n"/>
      <c r="HJ49" s="21" t="n"/>
      <c r="HK49" s="21" t="n"/>
      <c r="HL49" s="21" t="n"/>
      <c r="HM49" s="21" t="n"/>
      <c r="HN49" s="21" t="n"/>
      <c r="HO49" s="21" t="n"/>
      <c r="HP49" s="21" t="n"/>
      <c r="HQ49" s="21" t="n"/>
      <c r="HR49" s="21" t="n"/>
      <c r="HS49" s="21" t="n"/>
      <c r="HT49" s="21" t="n"/>
      <c r="HU49" s="21" t="n"/>
      <c r="JF49" s="20">
        <f>AP49</f>
        <v/>
      </c>
      <c r="JG49" s="20">
        <f>SUM(Z49:AK49)</f>
        <v/>
      </c>
      <c r="JH49" s="20">
        <f>SUM(AL49:AP49)</f>
        <v/>
      </c>
      <c r="JI49" s="20">
        <f>SUM(C49:AP49)</f>
        <v/>
      </c>
      <c r="JJ49" s="446" t="n"/>
      <c r="JM49" s="21" t="n"/>
      <c r="KG49" s="139">
        <f>B49</f>
        <v/>
      </c>
      <c r="KH49" s="241">
        <f>AR49</f>
        <v/>
      </c>
    </row>
    <row r="50" ht="16.2" customHeight="1">
      <c r="A50" s="58" t="inlineStr">
        <is>
          <t>Outras Despesas (adm)</t>
        </is>
      </c>
      <c r="B50" s="136">
        <f>SUM(C50:AP50)</f>
        <v/>
      </c>
      <c r="C50" s="33" t="n"/>
      <c r="D50" s="76" t="n"/>
      <c r="E50" s="33" t="n"/>
      <c r="F50" s="33" t="n"/>
      <c r="G50" s="33" t="n"/>
      <c r="H50" s="33" t="n"/>
      <c r="I50" s="75" t="n"/>
      <c r="J50" s="223" t="n"/>
      <c r="K50" s="119" t="n"/>
      <c r="L50" s="122" t="n">
        <v>-1243.93</v>
      </c>
      <c r="M50" s="219" t="n"/>
      <c r="N50" s="219" t="n"/>
      <c r="O50" s="219" t="n">
        <v>-339</v>
      </c>
      <c r="P50" s="219" t="n"/>
      <c r="Q50" s="219" t="n"/>
      <c r="R50" s="219" t="n"/>
      <c r="S50" s="219" t="n"/>
      <c r="T50" s="219" t="n"/>
      <c r="U50" s="219" t="n"/>
      <c r="V50" s="219" t="n">
        <v>-389</v>
      </c>
      <c r="W50" s="219" t="n">
        <v>0</v>
      </c>
      <c r="X50" s="219" t="n">
        <v>-4</v>
      </c>
      <c r="Y50" s="219" t="n">
        <v>-1155.21</v>
      </c>
      <c r="Z50" s="219" t="n">
        <v>-148.25</v>
      </c>
      <c r="AA50" s="219" t="n">
        <v>-344.9</v>
      </c>
      <c r="AB50" s="219" t="n">
        <v>-459.58</v>
      </c>
      <c r="AC50" s="219">
        <f>-26826.58-250</f>
        <v/>
      </c>
      <c r="AD50" s="219" t="n">
        <v>-6297.44</v>
      </c>
      <c r="AE50" s="219" t="n">
        <v>-4312.64</v>
      </c>
      <c r="AF50" s="219" t="n">
        <v>-4226.87</v>
      </c>
      <c r="AG50" s="219" t="n">
        <v>-4662.58</v>
      </c>
      <c r="AH50" s="219" t="n">
        <v>-4676.65</v>
      </c>
      <c r="AI50" s="219" t="n">
        <v>-5244.59</v>
      </c>
      <c r="AJ50" s="219" t="n">
        <v>-5086.32</v>
      </c>
      <c r="AK50" s="219" t="n">
        <v>-4749.4</v>
      </c>
      <c r="AL50" s="219" t="n">
        <v>-4366.28</v>
      </c>
      <c r="AM50" s="219" t="n">
        <v>-4868.24</v>
      </c>
      <c r="AN50" s="219" t="n">
        <v>-4811.9</v>
      </c>
      <c r="AO50" s="219" t="n">
        <v>-4832.51</v>
      </c>
      <c r="AP50" s="219" t="n">
        <v>-4927.16</v>
      </c>
      <c r="AQ50" s="13" t="n"/>
      <c r="AR50" s="345">
        <f>SUM(AT50:HU50)</f>
        <v/>
      </c>
      <c r="AS50" s="13" t="n"/>
      <c r="AT50" s="76" t="n">
        <v>-8000</v>
      </c>
      <c r="AU50" s="76" t="n">
        <v>-8000</v>
      </c>
      <c r="AV50" s="76" t="n">
        <v>-8000</v>
      </c>
      <c r="AW50" s="76" t="n">
        <v>-8000</v>
      </c>
      <c r="AX50" s="76" t="n">
        <v>-8000</v>
      </c>
      <c r="AY50" s="76" t="n">
        <v>-8000</v>
      </c>
      <c r="AZ50" s="76" t="n">
        <v>-8000</v>
      </c>
      <c r="BA50" s="76" t="n">
        <v>-8000</v>
      </c>
      <c r="BB50" s="76" t="n">
        <v>-8000</v>
      </c>
      <c r="BC50" s="76" t="n">
        <v>-8000</v>
      </c>
      <c r="BD50" s="76" t="n">
        <v>-8000</v>
      </c>
      <c r="BE50" s="76" t="n">
        <v>-8000</v>
      </c>
      <c r="BF50" s="76" t="n">
        <v>-8000</v>
      </c>
      <c r="BG50" s="76" t="n">
        <v>-8000</v>
      </c>
      <c r="BH50" s="76" t="n">
        <v>-8000</v>
      </c>
      <c r="BI50" s="76" t="n">
        <v>-8000</v>
      </c>
      <c r="BJ50" s="76" t="n">
        <v>-8000</v>
      </c>
      <c r="BK50" s="76" t="n">
        <v>-8000</v>
      </c>
      <c r="BL50" s="76" t="n">
        <v>-8000</v>
      </c>
      <c r="BM50" s="76" t="n">
        <v>-8000</v>
      </c>
      <c r="BN50" s="76" t="n">
        <v>-8000</v>
      </c>
      <c r="BO50" s="76" t="n">
        <v>-8000</v>
      </c>
      <c r="BP50" s="76" t="n">
        <v>-8000</v>
      </c>
      <c r="BQ50" s="76" t="n">
        <v>-8000</v>
      </c>
      <c r="BR50" s="76" t="n">
        <v>-8000</v>
      </c>
      <c r="BS50" s="76" t="n">
        <v>-8000</v>
      </c>
      <c r="BT50" s="76" t="n">
        <v>-8000</v>
      </c>
      <c r="BU50" s="76" t="n">
        <v>-8000</v>
      </c>
      <c r="BV50" s="76" t="n">
        <v>-8000</v>
      </c>
      <c r="BW50" s="76" t="n">
        <v>-8000</v>
      </c>
      <c r="BX50" s="76" t="n">
        <v>-8000</v>
      </c>
      <c r="BY50" s="76" t="n">
        <v>-8000</v>
      </c>
      <c r="BZ50" s="76" t="n">
        <v>-8000</v>
      </c>
      <c r="CA50" s="76" t="n">
        <v>-8000</v>
      </c>
      <c r="CB50" s="76" t="n">
        <v>-8000</v>
      </c>
      <c r="CC50" s="76" t="n">
        <v>-8000</v>
      </c>
      <c r="CD50" s="76" t="n">
        <v>-8000</v>
      </c>
      <c r="CE50" s="76" t="n">
        <v>-8000</v>
      </c>
      <c r="CF50" s="76" t="n">
        <v>-8000</v>
      </c>
      <c r="CG50" s="76" t="n">
        <v>-8000</v>
      </c>
      <c r="CH50" s="76" t="n">
        <v>-8000</v>
      </c>
      <c r="CI50" s="76" t="n">
        <v>-8000</v>
      </c>
      <c r="CJ50" s="76" t="n">
        <v>-8000</v>
      </c>
      <c r="CK50" s="76" t="n">
        <v>-8000</v>
      </c>
      <c r="CL50" s="76" t="n">
        <v>-8000</v>
      </c>
      <c r="CM50" s="76" t="n">
        <v>-8000</v>
      </c>
      <c r="CN50" s="76" t="n">
        <v>-8000</v>
      </c>
      <c r="CO50" s="76" t="n">
        <v>-8000</v>
      </c>
      <c r="CP50" s="76" t="n">
        <v>-8000</v>
      </c>
      <c r="CQ50" s="76" t="n">
        <v>-8000</v>
      </c>
      <c r="CR50" s="76" t="n">
        <v>-8000</v>
      </c>
      <c r="CS50" s="76" t="n">
        <v>-8000</v>
      </c>
      <c r="CT50" s="76" t="n">
        <v>-8000</v>
      </c>
      <c r="CU50" s="76" t="n">
        <v>-8000</v>
      </c>
      <c r="CV50" s="76" t="n">
        <v>-8000</v>
      </c>
      <c r="CW50" s="76" t="n">
        <v>-8000</v>
      </c>
      <c r="CX50" s="76" t="n">
        <v>-8000</v>
      </c>
      <c r="CY50" s="76" t="n">
        <v>-8000</v>
      </c>
      <c r="CZ50" s="76" t="n">
        <v>-8000</v>
      </c>
      <c r="DA50" s="76" t="n">
        <v>-8000</v>
      </c>
      <c r="DB50" s="76" t="n">
        <v>-8000</v>
      </c>
      <c r="DC50" s="76" t="n">
        <v>-8000</v>
      </c>
      <c r="DD50" s="76" t="n">
        <v>-8000</v>
      </c>
      <c r="DE50" s="76" t="n">
        <v>-8000</v>
      </c>
      <c r="DF50" s="76" t="n">
        <v>-8000</v>
      </c>
      <c r="DG50" s="76" t="n">
        <v>-8000</v>
      </c>
      <c r="DH50" s="76" t="n">
        <v>-8000</v>
      </c>
      <c r="DI50" s="76" t="n">
        <v>-8000</v>
      </c>
      <c r="DJ50" s="76" t="n">
        <v>-8000</v>
      </c>
      <c r="DK50" s="76" t="n">
        <v>-8000</v>
      </c>
      <c r="DL50" s="76" t="n">
        <v>-8000</v>
      </c>
      <c r="DM50" s="76" t="n">
        <v>-8000</v>
      </c>
      <c r="DN50" s="76" t="n">
        <v>-8000</v>
      </c>
      <c r="DO50" s="76" t="n">
        <v>-8000</v>
      </c>
      <c r="DP50" s="76" t="n">
        <v>-8000</v>
      </c>
      <c r="DQ50" s="76" t="n">
        <v>-8000</v>
      </c>
      <c r="DR50" s="76" t="n"/>
      <c r="DS50" s="76" t="n"/>
      <c r="DT50" s="76" t="n"/>
      <c r="DU50" s="76" t="n"/>
      <c r="DV50" s="76" t="n"/>
      <c r="DW50" s="76" t="n"/>
      <c r="DX50" s="76" t="n"/>
      <c r="DY50" s="76" t="n"/>
      <c r="DZ50" s="76" t="n"/>
      <c r="EA50" s="76" t="n"/>
      <c r="EB50" s="76" t="n"/>
      <c r="EC50" s="76" t="n"/>
      <c r="ED50" s="76" t="n"/>
      <c r="EE50" s="76" t="n"/>
      <c r="EF50" s="76" t="n"/>
      <c r="EG50" s="76" t="n"/>
      <c r="EH50" s="76" t="n"/>
      <c r="EI50" s="76" t="n"/>
      <c r="EJ50" s="76" t="n"/>
      <c r="EK50" s="76" t="n"/>
      <c r="EL50" s="76" t="n"/>
      <c r="EM50" s="76" t="n"/>
      <c r="EN50" s="76" t="n"/>
      <c r="EO50" s="76" t="n"/>
      <c r="EP50" s="76" t="n"/>
      <c r="EQ50" s="76" t="n"/>
      <c r="ER50" s="76" t="n"/>
      <c r="ES50" s="76" t="n"/>
      <c r="ET50" s="76" t="n"/>
      <c r="EU50" s="76" t="n"/>
      <c r="EV50" s="76" t="n"/>
      <c r="EW50" s="76" t="n"/>
      <c r="EX50" s="76" t="n"/>
      <c r="EY50" s="76" t="n"/>
      <c r="EZ50" s="76" t="n"/>
      <c r="FA50" s="76" t="n"/>
      <c r="FB50" s="76" t="n"/>
      <c r="FC50" s="76" t="n"/>
      <c r="FD50" s="76" t="n"/>
      <c r="FE50" s="76" t="n"/>
      <c r="FF50" s="76" t="n"/>
      <c r="FG50" s="76" t="n"/>
      <c r="FH50" s="76" t="n"/>
      <c r="FI50" s="76" t="n"/>
      <c r="FJ50" s="76" t="n"/>
      <c r="FK50" s="76" t="n"/>
      <c r="FL50" s="76" t="n"/>
      <c r="FM50" s="76" t="n"/>
      <c r="FN50" s="76" t="n"/>
      <c r="FO50" s="76" t="n"/>
      <c r="FP50" s="76" t="n"/>
      <c r="FQ50" s="76" t="n"/>
      <c r="FR50" s="76" t="n"/>
      <c r="FS50" s="76" t="n"/>
      <c r="FT50" s="76" t="n"/>
      <c r="FU50" s="76" t="n"/>
      <c r="FV50" s="76" t="n"/>
      <c r="FW50" s="76" t="n"/>
      <c r="FX50" s="76" t="n"/>
      <c r="FY50" s="76" t="n"/>
      <c r="FZ50" s="76" t="n"/>
      <c r="GA50" s="76" t="n"/>
      <c r="GB50" s="76" t="n"/>
      <c r="GC50" s="76" t="n"/>
      <c r="GD50" s="76" t="n"/>
      <c r="GE50" s="76" t="n"/>
      <c r="GF50" s="76" t="n"/>
      <c r="GG50" s="76" t="n"/>
      <c r="GH50" s="76" t="n"/>
      <c r="GI50" s="76" t="n"/>
      <c r="GJ50" s="76" t="n"/>
      <c r="GK50" s="76" t="n"/>
      <c r="GL50" s="76" t="n"/>
      <c r="GM50" s="76" t="n"/>
      <c r="GN50" s="76" t="n"/>
      <c r="GO50" s="76" t="n"/>
      <c r="GP50" s="76" t="n"/>
      <c r="GQ50" s="76" t="n"/>
      <c r="GR50" s="76" t="n"/>
      <c r="GS50" s="76" t="n"/>
      <c r="GT50" s="76" t="n"/>
      <c r="GU50" s="76" t="n"/>
      <c r="GV50" s="76" t="n"/>
      <c r="GW50" s="76" t="n"/>
      <c r="GX50" s="76" t="n"/>
      <c r="GY50" s="76" t="n"/>
      <c r="GZ50" s="76" t="n"/>
      <c r="HA50" s="76" t="n"/>
      <c r="HB50" s="76" t="n"/>
      <c r="HC50" s="76" t="n"/>
      <c r="HD50" s="76" t="n"/>
      <c r="HE50" s="76" t="n"/>
      <c r="HF50" s="76" t="n"/>
      <c r="HG50" s="76" t="n"/>
      <c r="HH50" s="76" t="n"/>
      <c r="HI50" s="76" t="n"/>
      <c r="HJ50" s="76" t="n"/>
      <c r="HK50" s="76" t="n"/>
      <c r="HL50" s="76" t="n"/>
      <c r="HM50" s="76" t="n"/>
      <c r="HN50" s="76" t="n"/>
      <c r="HO50" s="76" t="n"/>
      <c r="HP50" s="76" t="n"/>
      <c r="HQ50" s="76" t="n"/>
      <c r="HR50" s="76" t="n"/>
      <c r="HS50" s="76" t="n"/>
      <c r="HT50" s="76" t="n"/>
      <c r="HU50" s="76" t="n"/>
      <c r="JF50" s="76">
        <f>AP50</f>
        <v/>
      </c>
      <c r="JG50" s="76">
        <f>SUM(Z50:AK50)</f>
        <v/>
      </c>
      <c r="JH50" s="76">
        <f>SUM(AL50:AP50)</f>
        <v/>
      </c>
      <c r="JI50" s="76">
        <f>SUM(C50:AP50)</f>
        <v/>
      </c>
      <c r="JJ50" s="446" t="n"/>
      <c r="JM50" s="76" t="n">
        <v>-8000</v>
      </c>
      <c r="KG50" s="136">
        <f>B50</f>
        <v/>
      </c>
      <c r="KH50" s="345">
        <f>AR50</f>
        <v/>
      </c>
    </row>
    <row r="51" ht="6" customHeight="1">
      <c r="A51" s="23" t="n"/>
      <c r="B51" s="265" t="n"/>
      <c r="C51" s="105" t="n"/>
      <c r="D51" s="104" t="n"/>
      <c r="E51" s="105" t="n"/>
      <c r="F51" s="105" t="n"/>
      <c r="G51" s="105" t="n"/>
      <c r="H51" s="105" t="n"/>
      <c r="I51" s="106" t="n"/>
      <c r="J51" s="180" t="n"/>
      <c r="K51" s="105" t="n"/>
      <c r="L51" s="105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  <c r="AF51" s="181" t="n"/>
      <c r="AG51" s="181" t="n"/>
      <c r="AH51" s="181" t="n"/>
      <c r="AI51" s="181" t="n"/>
      <c r="AJ51" s="181" t="n"/>
      <c r="AK51" s="181" t="n"/>
      <c r="AL51" s="181" t="n"/>
      <c r="AM51" s="181" t="n"/>
      <c r="AN51" s="181" t="n"/>
      <c r="AO51" s="181" t="n"/>
      <c r="AP51" s="181" t="n"/>
      <c r="AQ51" s="13" t="n"/>
      <c r="AR51" s="345" t="n"/>
      <c r="AS51" s="13" t="n"/>
      <c r="AT51" s="105" t="n"/>
      <c r="AU51" s="105" t="n"/>
      <c r="AV51" s="105" t="n"/>
      <c r="AW51" s="105" t="n"/>
      <c r="AX51" s="105" t="n"/>
      <c r="AY51" s="105" t="n"/>
      <c r="AZ51" s="105" t="n"/>
      <c r="BA51" s="105" t="n"/>
      <c r="BB51" s="105" t="n"/>
      <c r="BC51" s="105" t="n"/>
      <c r="BD51" s="304" t="n"/>
      <c r="BE51" s="104" t="n"/>
      <c r="BF51" s="105" t="n"/>
      <c r="BG51" s="105" t="n"/>
      <c r="BH51" s="105" t="n"/>
      <c r="BI51" s="105" t="n"/>
      <c r="BJ51" s="105" t="n"/>
      <c r="BK51" s="105" t="n"/>
      <c r="BL51" s="105" t="n"/>
      <c r="BM51" s="105" t="n"/>
      <c r="BN51" s="105" t="n"/>
      <c r="BO51" s="105" t="n"/>
      <c r="BP51" s="304" t="n"/>
      <c r="BQ51" s="104" t="n"/>
      <c r="BR51" s="105" t="n"/>
      <c r="BS51" s="105" t="n"/>
      <c r="BT51" s="105" t="n"/>
      <c r="BU51" s="105" t="n"/>
      <c r="BV51" s="105" t="n"/>
      <c r="BW51" s="105" t="n"/>
      <c r="BX51" s="105" t="n"/>
      <c r="BY51" s="105" t="n"/>
      <c r="BZ51" s="105" t="n"/>
      <c r="CA51" s="105" t="n"/>
      <c r="CB51" s="304" t="n"/>
      <c r="CC51" s="104" t="n"/>
      <c r="CD51" s="105" t="n"/>
      <c r="CE51" s="105" t="n"/>
      <c r="CF51" s="105" t="n"/>
      <c r="CG51" s="105" t="n"/>
      <c r="CH51" s="105" t="n"/>
      <c r="CI51" s="105" t="n"/>
      <c r="CJ51" s="105" t="n"/>
      <c r="CK51" s="105" t="n"/>
      <c r="CL51" s="105" t="n"/>
      <c r="CM51" s="105" t="n"/>
      <c r="CN51" s="304" t="n"/>
      <c r="CO51" s="104" t="n"/>
      <c r="CP51" s="105" t="n"/>
      <c r="CQ51" s="105" t="n"/>
      <c r="CR51" s="105" t="n"/>
      <c r="CS51" s="105" t="n"/>
      <c r="CT51" s="105" t="n"/>
      <c r="CU51" s="105" t="n"/>
      <c r="CV51" s="105" t="n"/>
      <c r="CW51" s="105" t="n"/>
      <c r="CX51" s="105" t="n"/>
      <c r="CY51" s="105" t="n"/>
      <c r="CZ51" s="304" t="n"/>
      <c r="DA51" s="104" t="n"/>
      <c r="DB51" s="105" t="n"/>
      <c r="DC51" s="105" t="n"/>
      <c r="DD51" s="105" t="n"/>
      <c r="DE51" s="105" t="n"/>
      <c r="DF51" s="105" t="n"/>
      <c r="DG51" s="105" t="n"/>
      <c r="DH51" s="105" t="n"/>
      <c r="DI51" s="105" t="n"/>
      <c r="DJ51" s="106" t="n"/>
      <c r="DK51" s="105" t="n"/>
      <c r="DL51" s="106" t="n"/>
      <c r="DM51" s="105" t="n"/>
      <c r="DN51" s="106" t="n"/>
      <c r="DO51" s="106" t="n"/>
      <c r="DP51" s="106" t="n"/>
      <c r="DQ51" s="106" t="n"/>
      <c r="DR51" s="106" t="n"/>
      <c r="DS51" s="106" t="n"/>
      <c r="DT51" s="106" t="n"/>
      <c r="DU51" s="106" t="n"/>
      <c r="DV51" s="106" t="n"/>
      <c r="DW51" s="106" t="n"/>
      <c r="DX51" s="106" t="n"/>
      <c r="DY51" s="106" t="n"/>
      <c r="DZ51" s="106" t="n"/>
      <c r="EA51" s="106" t="n"/>
      <c r="EB51" s="106" t="n"/>
      <c r="EC51" s="106" t="n"/>
      <c r="ED51" s="106" t="n"/>
      <c r="EE51" s="106" t="n"/>
      <c r="EF51" s="106" t="n"/>
      <c r="EG51" s="106" t="n"/>
      <c r="EH51" s="106" t="n"/>
      <c r="EI51" s="106" t="n"/>
      <c r="EJ51" s="106" t="n"/>
      <c r="EK51" s="106" t="n"/>
      <c r="EL51" s="106" t="n"/>
      <c r="EM51" s="106" t="n"/>
      <c r="EN51" s="106" t="n"/>
      <c r="EO51" s="106" t="n"/>
      <c r="EP51" s="106" t="n"/>
      <c r="EQ51" s="106" t="n"/>
      <c r="ER51" s="106" t="n"/>
      <c r="ES51" s="106" t="n"/>
      <c r="ET51" s="106" t="n"/>
      <c r="EU51" s="106" t="n"/>
      <c r="EV51" s="106" t="n"/>
      <c r="EW51" s="106" t="n"/>
      <c r="EX51" s="106" t="n"/>
      <c r="EY51" s="106" t="n"/>
      <c r="EZ51" s="106" t="n"/>
      <c r="FA51" s="106" t="n"/>
      <c r="FB51" s="106" t="n"/>
      <c r="FC51" s="106" t="n"/>
      <c r="FD51" s="106" t="n"/>
      <c r="FE51" s="106" t="n"/>
      <c r="FF51" s="106" t="n"/>
      <c r="FG51" s="106" t="n"/>
      <c r="FH51" s="106" t="n"/>
      <c r="FI51" s="106" t="n"/>
      <c r="FJ51" s="106" t="n"/>
      <c r="FK51" s="106" t="n"/>
      <c r="FL51" s="106" t="n"/>
      <c r="FM51" s="106" t="n"/>
      <c r="FN51" s="106" t="n"/>
      <c r="FO51" s="106" t="n"/>
      <c r="FP51" s="106" t="n"/>
      <c r="FQ51" s="106" t="n"/>
      <c r="FR51" s="106" t="n"/>
      <c r="FS51" s="106" t="n"/>
      <c r="FT51" s="106" t="n"/>
      <c r="FU51" s="106" t="n"/>
      <c r="FV51" s="106" t="n"/>
      <c r="FW51" s="106" t="n"/>
      <c r="FX51" s="106" t="n"/>
      <c r="FY51" s="106" t="n"/>
      <c r="FZ51" s="106" t="n"/>
      <c r="GA51" s="106" t="n"/>
      <c r="GB51" s="106" t="n"/>
      <c r="GC51" s="106" t="n"/>
      <c r="GD51" s="106" t="n"/>
      <c r="GE51" s="106" t="n"/>
      <c r="GF51" s="106" t="n"/>
      <c r="GG51" s="106" t="n"/>
      <c r="GH51" s="106" t="n"/>
      <c r="GI51" s="106" t="n"/>
      <c r="GJ51" s="106" t="n"/>
      <c r="GK51" s="106" t="n"/>
      <c r="GL51" s="106" t="n"/>
      <c r="GM51" s="106" t="n"/>
      <c r="GN51" s="106" t="n"/>
      <c r="GO51" s="106" t="n"/>
      <c r="GP51" s="106" t="n"/>
      <c r="GQ51" s="106" t="n"/>
      <c r="GR51" s="106" t="n"/>
      <c r="GS51" s="106" t="n"/>
      <c r="GT51" s="106" t="n"/>
      <c r="GU51" s="106" t="n"/>
      <c r="GV51" s="106" t="n"/>
      <c r="GW51" s="106" t="n"/>
      <c r="GX51" s="106" t="n"/>
      <c r="GY51" s="106" t="n"/>
      <c r="GZ51" s="106" t="n"/>
      <c r="HA51" s="106" t="n"/>
      <c r="HB51" s="106" t="n"/>
      <c r="HC51" s="106" t="n"/>
      <c r="HD51" s="106" t="n"/>
      <c r="HE51" s="106" t="n"/>
      <c r="HF51" s="106" t="n"/>
      <c r="HG51" s="106" t="n"/>
      <c r="HH51" s="106" t="n"/>
      <c r="HI51" s="106" t="n"/>
      <c r="HJ51" s="106" t="n"/>
      <c r="HK51" s="106" t="n"/>
      <c r="HL51" s="106" t="n"/>
      <c r="HM51" s="106" t="n"/>
      <c r="HN51" s="106" t="n"/>
      <c r="HO51" s="106" t="n"/>
      <c r="HP51" s="106" t="n"/>
      <c r="HQ51" s="106" t="n"/>
      <c r="HR51" s="106" t="n"/>
      <c r="HS51" s="106" t="n"/>
      <c r="HT51" s="106" t="n"/>
      <c r="HU51" s="106" t="n"/>
      <c r="JF51" s="105">
        <f>AP51</f>
        <v/>
      </c>
      <c r="JG51" s="105">
        <f>SUM(Z51:AK51)</f>
        <v/>
      </c>
      <c r="JH51" s="105">
        <f>SUM(AL51:AP51)</f>
        <v/>
      </c>
      <c r="JI51" s="105">
        <f>SUM(C51:AP51)</f>
        <v/>
      </c>
      <c r="JJ51" s="446" t="n"/>
      <c r="JM51" s="106" t="n"/>
      <c r="KG51" s="265">
        <f>B51</f>
        <v/>
      </c>
      <c r="KH51" s="345">
        <f>AR51</f>
        <v/>
      </c>
    </row>
    <row r="52" ht="16.2" customFormat="1" customHeight="1" s="267">
      <c r="A52" s="73" t="inlineStr">
        <is>
          <t>TOTAL DE DESPESAS OPERACIONAIS (-)</t>
        </is>
      </c>
      <c r="B52" s="268">
        <f>SUM(C52:AP52)</f>
        <v/>
      </c>
      <c r="C52" s="255">
        <f>C50+C47+C43+C38+C35+C29</f>
        <v/>
      </c>
      <c r="D52" s="255">
        <f>D50+D47+D43+D38+D35+D29</f>
        <v/>
      </c>
      <c r="E52" s="255">
        <f>E50+E47+E43+E38+E35+E29</f>
        <v/>
      </c>
      <c r="F52" s="255">
        <f>F50+F47+F43+F38+F35+F29</f>
        <v/>
      </c>
      <c r="G52" s="255">
        <f>G50+G47+G43+G38+G35+G29</f>
        <v/>
      </c>
      <c r="H52" s="255">
        <f>H50+H47+H43+H38+H35+H29</f>
        <v/>
      </c>
      <c r="I52" s="255">
        <f>I50+I47+I43+I38+I35+I29</f>
        <v/>
      </c>
      <c r="J52" s="255">
        <f>J50+J47+J43+J38+J35+J29</f>
        <v/>
      </c>
      <c r="K52" s="255">
        <f>K50+K47+K43+K38+K35+K29</f>
        <v/>
      </c>
      <c r="L52" s="255">
        <f>L50+L47+L43+L38+L35+L29</f>
        <v/>
      </c>
      <c r="M52" s="255">
        <f>M50+M47+M43+M38+M35+M29</f>
        <v/>
      </c>
      <c r="N52" s="255">
        <f>N50+N47+N43+N38+N35+N29</f>
        <v/>
      </c>
      <c r="O52" s="255">
        <f>O50+O47+O43+O38+O35+O29</f>
        <v/>
      </c>
      <c r="P52" s="255">
        <f>P50+P47+P43+P38+P35+P29</f>
        <v/>
      </c>
      <c r="Q52" s="255">
        <f>Q50+Q47+Q43+Q38+Q35+Q29</f>
        <v/>
      </c>
      <c r="R52" s="255">
        <f>R50+R47+R43+R38+R35+R29</f>
        <v/>
      </c>
      <c r="S52" s="255">
        <f>S50+S47+S43+S38+S35+S29</f>
        <v/>
      </c>
      <c r="T52" s="255">
        <f>T50+T47+T43+T38+T35+T29</f>
        <v/>
      </c>
      <c r="U52" s="255">
        <f>U50+U47+U43+U38+U35+U29</f>
        <v/>
      </c>
      <c r="V52" s="255">
        <f>V50+V47+V43+V38+V35+V29</f>
        <v/>
      </c>
      <c r="W52" s="255">
        <f>W50+W47+W43+W38+W35+W29</f>
        <v/>
      </c>
      <c r="X52" s="255">
        <f>X50+X47+X43+X38+X35+X29</f>
        <v/>
      </c>
      <c r="Y52" s="255">
        <f>Y50+Y47+Y43+Y38+Y35+Y29</f>
        <v/>
      </c>
      <c r="Z52" s="255">
        <f>Z50+Z47+Z43+Z38+Z35+Z29</f>
        <v/>
      </c>
      <c r="AA52" s="255">
        <f>AA50+AA47+AA43+AA38+AA35+AA29</f>
        <v/>
      </c>
      <c r="AB52" s="255">
        <f>AB50+AB47+AB43+AB38+AB35+AB29</f>
        <v/>
      </c>
      <c r="AC52" s="255">
        <f>AC50+AC47+AC43+AC38+AC35+AC29+AC44</f>
        <v/>
      </c>
      <c r="AD52" s="255">
        <f>AD50+AD47+AD43+AD38+AD35+AD29+AD44</f>
        <v/>
      </c>
      <c r="AE52" s="255">
        <f>AE50+AE47+AE43+AE38+AE35+AE29+AE44</f>
        <v/>
      </c>
      <c r="AF52" s="255">
        <f>AF50+AF47+AF43+AF38+AF35+AF29+AF44</f>
        <v/>
      </c>
      <c r="AG52" s="255">
        <f>AG50+AG47+AG43+AG38+AG35+AG29+AG44</f>
        <v/>
      </c>
      <c r="AH52" s="255">
        <f>AH50+AH47+AH43+AH38+AH35+AH29+AH44</f>
        <v/>
      </c>
      <c r="AI52" s="255">
        <f>AI50+AI47+AI43+AI38+AI35+AI29+AI44</f>
        <v/>
      </c>
      <c r="AJ52" s="255">
        <f>AJ50+AJ47+AJ43+AJ38+AJ35+AJ29+AJ44</f>
        <v/>
      </c>
      <c r="AK52" s="255">
        <f>AK50+AK47+AK43+AK38+AK35+AK29+AK44</f>
        <v/>
      </c>
      <c r="AL52" s="255">
        <f>AL50+AL47+AL43+AL38+AL35+AL29+AL44</f>
        <v/>
      </c>
      <c r="AM52" s="255">
        <f>AM50+AM47+AM43+AM38+AM35+AM29+AM44</f>
        <v/>
      </c>
      <c r="AN52" s="255">
        <f>AN50+AN47+AN43+AN38+AN35+AN29+AN44</f>
        <v/>
      </c>
      <c r="AO52" s="255">
        <f>AO50+AO47+AO43+AO38+AO35+AO29+AO44</f>
        <v/>
      </c>
      <c r="AP52" s="255">
        <f>AP50+AP47+AP43+AP38+AP35+AP29+AP44</f>
        <v/>
      </c>
      <c r="AQ52" s="13" t="n"/>
      <c r="AR52" s="245">
        <f>SUM(AT52:HU52)</f>
        <v/>
      </c>
      <c r="AS52" s="13" t="n"/>
      <c r="AT52" s="255">
        <f>AT50+AT47+AT43+AT38+AT35+AT29+AT44+AT40+AT39</f>
        <v/>
      </c>
      <c r="AU52" s="255">
        <f>AU50+AU47+AU43+AU38+AU35+AU29+AU44+AU40+AU39</f>
        <v/>
      </c>
      <c r="AV52" s="255">
        <f>AV50+AV47+AV43+AV38+AV35+AV29+AV44+AV40+AV39</f>
        <v/>
      </c>
      <c r="AW52" s="255">
        <f>AW50+AW47+AW43+AW38+AW35+AW29+AW44+AW40+AW39</f>
        <v/>
      </c>
      <c r="AX52" s="255">
        <f>AX50+AX47+AX43+AX38+AX35+AX29+AX44+AX40+AX39</f>
        <v/>
      </c>
      <c r="AY52" s="255">
        <f>AY50+AY47+AY43+AY38+AY35+AY29+AY44+AY40+AY39</f>
        <v/>
      </c>
      <c r="AZ52" s="255">
        <f>AZ50+AZ47+AZ43+AZ38+AZ35+AZ29+AZ44+AZ40+AZ39</f>
        <v/>
      </c>
      <c r="BA52" s="255">
        <f>BA50+BA47+BA43+BA38+BA35+BA29+BA44+BA40+BA39</f>
        <v/>
      </c>
      <c r="BB52" s="255">
        <f>BB50+BB47+BB43+BB38+BB35+BB29+BB44+BB40+BB39</f>
        <v/>
      </c>
      <c r="BC52" s="255">
        <f>BC50+BC47+BC43+BC38+BC35+BC29+BC44+BC40+BC39</f>
        <v/>
      </c>
      <c r="BD52" s="255">
        <f>BD50+BD47+BD43+BD38+BD35+BD29+BD44+BD40+BD39</f>
        <v/>
      </c>
      <c r="BE52" s="255">
        <f>BE50+BE47+BE43+BE38+BE35+BE29+BE44+BE40+BE39</f>
        <v/>
      </c>
      <c r="BF52" s="255">
        <f>BF50+BF47+BF43+BF38+BF35+BF29+BF44+BF40+BF39</f>
        <v/>
      </c>
      <c r="BG52" s="255">
        <f>BG50+BG47+BG43+BG38+BG35+BG29+BG44+BG40+BG39</f>
        <v/>
      </c>
      <c r="BH52" s="255">
        <f>BH50+BH47+BH43+BH38+BH35+BH29+BH44+BH40+BH39</f>
        <v/>
      </c>
      <c r="BI52" s="255">
        <f>BI50+BI47+BI43+BI38+BI35+BI29+BI44+BI40+BI39</f>
        <v/>
      </c>
      <c r="BJ52" s="255">
        <f>BJ50+BJ47+BJ43+BJ38+BJ35+BJ29+BJ44+BJ40+BJ39</f>
        <v/>
      </c>
      <c r="BK52" s="255">
        <f>BK50+BK47+BK43+BK38+BK35+BK29+BK44+BK40+BK39</f>
        <v/>
      </c>
      <c r="BL52" s="255">
        <f>BL50+BL47+BL43+BL38+BL35+BL29+BL44+BL40+BL39</f>
        <v/>
      </c>
      <c r="BM52" s="255">
        <f>BM50+BM47+BM43+BM38+BM35+BM29+BM44+BM40+BM39</f>
        <v/>
      </c>
      <c r="BN52" s="255">
        <f>BN50+BN47+BN43+BN38+BN35+BN29+BN44+BN40+BN39</f>
        <v/>
      </c>
      <c r="BO52" s="255">
        <f>BO50+BO47+BO43+BO38+BO35+BO29+BO44+BO40+BO39</f>
        <v/>
      </c>
      <c r="BP52" s="255">
        <f>BP50+BP47+BP43+BP38+BP35+BP29+BP44+BP40+BP39</f>
        <v/>
      </c>
      <c r="BQ52" s="255">
        <f>BQ50+BQ47+BQ43+BQ38+BQ35+BQ29+BQ44+BQ40+BQ39</f>
        <v/>
      </c>
      <c r="BR52" s="255">
        <f>BR50+BR47+BR43+BR38+BR35+BR29+BR44+BR40+BR39</f>
        <v/>
      </c>
      <c r="BS52" s="255">
        <f>BS50+BS47+BS43+BS38+BS35+BS29+BS44+BS40+BS39</f>
        <v/>
      </c>
      <c r="BT52" s="255">
        <f>BT50+BT47+BT43+BT38+BT35+BT29+BT44+BT40+BT39</f>
        <v/>
      </c>
      <c r="BU52" s="255">
        <f>BU50+BU47+BU43+BU38+BU35+BU29+BU44+BU40+BU39</f>
        <v/>
      </c>
      <c r="BV52" s="255">
        <f>BV50+BV47+BV43+BV38+BV35+BV29+BV44+BV40+BV39</f>
        <v/>
      </c>
      <c r="BW52" s="255">
        <f>BW50+BW47+BW43+BW38+BW35+BW29+BW44+BW40+BW39</f>
        <v/>
      </c>
      <c r="BX52" s="255">
        <f>BX50+BX47+BX43+BX38+BX35+BX29+BX44+BX40+BX39</f>
        <v/>
      </c>
      <c r="BY52" s="255">
        <f>BY50+BY47+BY43+BY38+BY35+BY29+BY44+BY40+BY39</f>
        <v/>
      </c>
      <c r="BZ52" s="255">
        <f>BZ50+BZ47+BZ43+BZ38+BZ35+BZ29+BZ44+BZ40+BZ39</f>
        <v/>
      </c>
      <c r="CA52" s="255">
        <f>CA50+CA47+CA43+CA38+CA35+CA29+CA44+CA40+CA39</f>
        <v/>
      </c>
      <c r="CB52" s="255">
        <f>CB50+CB47+CB43+CB38+CB35+CB29+CB44+CB40+CB39</f>
        <v/>
      </c>
      <c r="CC52" s="255">
        <f>CC50+CC47+CC43+CC38+CC35+CC29+CC44+CC40+CC39</f>
        <v/>
      </c>
      <c r="CD52" s="255">
        <f>CD50+CD47+CD43+CD38+CD35+CD29+CD44+CD40+CD39</f>
        <v/>
      </c>
      <c r="CE52" s="255">
        <f>CE50+CE47+CE43+CE38+CE35+CE29+CE44+CE40+CE39</f>
        <v/>
      </c>
      <c r="CF52" s="255">
        <f>CF50+CF47+CF43+CF38+CF35+CF29+CF44+CF40+CF39</f>
        <v/>
      </c>
      <c r="CG52" s="255">
        <f>CG50+CG47+CG43+CG38+CG35+CG29+CG44+CG40+CG39</f>
        <v/>
      </c>
      <c r="CH52" s="255">
        <f>CH50+CH47+CH43+CH38+CH35+CH29+CH44+CH40+CH39</f>
        <v/>
      </c>
      <c r="CI52" s="255">
        <f>CI50+CI47+CI43+CI38+CI35+CI29+CI44+CI40+CI39</f>
        <v/>
      </c>
      <c r="CJ52" s="255">
        <f>CJ50+CJ47+CJ43+CJ38+CJ35+CJ29+CJ44+CJ40+CJ39</f>
        <v/>
      </c>
      <c r="CK52" s="255">
        <f>CK50+CK47+CK43+CK38+CK35+CK29+CK44+CK40+CK39</f>
        <v/>
      </c>
      <c r="CL52" s="255">
        <f>CL50+CL47+CL43+CL38+CL35+CL29+CL44+CL40+CL39</f>
        <v/>
      </c>
      <c r="CM52" s="255">
        <f>CM50+CM47+CM43+CM38+CM35+CM29+CM44+CM40+CM39</f>
        <v/>
      </c>
      <c r="CN52" s="255">
        <f>CN50+CN47+CN43+CN38+CN35+CN29+CN44+CN40+CN39</f>
        <v/>
      </c>
      <c r="CO52" s="255">
        <f>CO50+CO47+CO43+CO38+CO35+CO29+CO44+CO40+CO39</f>
        <v/>
      </c>
      <c r="CP52" s="255">
        <f>CP50+CP47+CP43+CP38+CP35+CP29+CP44+CP40+CP39</f>
        <v/>
      </c>
      <c r="CQ52" s="255">
        <f>CQ50+CQ47+CQ43+CQ38+CQ35+CQ29+CQ44+CQ40+CQ39</f>
        <v/>
      </c>
      <c r="CR52" s="255">
        <f>CR50+CR47+CR43+CR38+CR35+CR29+CR44+CR40+CR39</f>
        <v/>
      </c>
      <c r="CS52" s="255">
        <f>CS50+CS47+CS43+CS38+CS35+CS29+CS44+CS40+CS39</f>
        <v/>
      </c>
      <c r="CT52" s="255">
        <f>CT50+CT47+CT43+CT38+CT35+CT29+CT44+CT40+CT39</f>
        <v/>
      </c>
      <c r="CU52" s="255">
        <f>CU50+CU47+CU43+CU38+CU35+CU29+CU44+CU40+CU39</f>
        <v/>
      </c>
      <c r="CV52" s="255">
        <f>CV50+CV47+CV43+CV38+CV35+CV29+CV44+CV40+CV39</f>
        <v/>
      </c>
      <c r="CW52" s="255">
        <f>CW50+CW47+CW43+CW38+CW35+CW29+CW44+CW40+CW39</f>
        <v/>
      </c>
      <c r="CX52" s="255">
        <f>CX50+CX47+CX43+CX38+CX35+CX29+CX44+CX40+CX39</f>
        <v/>
      </c>
      <c r="CY52" s="255">
        <f>CY50+CY47+CY43+CY38+CY35+CY29+CY44+CY40+CY39</f>
        <v/>
      </c>
      <c r="CZ52" s="255">
        <f>CZ50+CZ47+CZ43+CZ38+CZ35+CZ29+CZ44+CZ40+CZ39</f>
        <v/>
      </c>
      <c r="DA52" s="255">
        <f>DA50+DA47+DA43+DA38+DA35+DA29+DA44+DA40+DA39</f>
        <v/>
      </c>
      <c r="DB52" s="255">
        <f>DB50+DB47+DB43+DB38+DB35+DB29+DB44+DB40+DB39</f>
        <v/>
      </c>
      <c r="DC52" s="255">
        <f>DC50+DC47+DC43+DC38+DC35+DC29+DC44+DC40+DC39</f>
        <v/>
      </c>
      <c r="DD52" s="255">
        <f>DD50+DD47+DD43+DD38+DD35+DD29+DD44+DD40+DD39</f>
        <v/>
      </c>
      <c r="DE52" s="255">
        <f>DE50+DE47+DE43+DE38+DE35+DE29+DE44+DE40+DE39</f>
        <v/>
      </c>
      <c r="DF52" s="255">
        <f>DF50+DF47+DF43+DF38+DF35+DF29+DF44+DF40+DF39</f>
        <v/>
      </c>
      <c r="DG52" s="255">
        <f>DG50+DG47+DG43+DG38+DG35+DG29+DG44+DG40+DG39</f>
        <v/>
      </c>
      <c r="DH52" s="255">
        <f>DH50+DH47+DH43+DH38+DH35+DH29+DH44+DH40+DH39</f>
        <v/>
      </c>
      <c r="DI52" s="255">
        <f>DI50+DI47+DI43+DI38+DI35+DI29+DI44+DI40+DI39</f>
        <v/>
      </c>
      <c r="DJ52" s="255">
        <f>DJ50+DJ47+DJ43+DJ38+DJ35+DJ29+DJ44+DJ40+DJ39</f>
        <v/>
      </c>
      <c r="DK52" s="255">
        <f>DK50+DK47+DK43+DK38+DK35+DK29+DK44+DK40+DK39</f>
        <v/>
      </c>
      <c r="DL52" s="255">
        <f>DL50+DL47+DL43+DL38+DL35+DL29+DL44+DL40+DL39</f>
        <v/>
      </c>
      <c r="DM52" s="255">
        <f>DM50+DM47+DM43+DM38+DM35+DM29+DM44+DM40+DM39</f>
        <v/>
      </c>
      <c r="DN52" s="255">
        <f>DN50+DN47+DN43+DN38+DN35+DN29+DN44+DN40+DN39</f>
        <v/>
      </c>
      <c r="DO52" s="255">
        <f>DO50+DO47+DO43+DO38+DO35+DO29+DO44+DO40+DO39</f>
        <v/>
      </c>
      <c r="DP52" s="255">
        <f>DP50+DP47+DP43+DP38+DP35+DP29+DP44+DP40+DP39</f>
        <v/>
      </c>
      <c r="DQ52" s="255">
        <f>DQ50+DQ47+DQ43+DQ38+DQ35+DQ29+DQ44+DQ40+DQ39</f>
        <v/>
      </c>
      <c r="DR52" s="255">
        <f>DR50+DR47+DR43+DR38+DR35+DR29+DR44+DR40+DR39</f>
        <v/>
      </c>
      <c r="DS52" s="255">
        <f>DS50+DS47+DS43+DS38+DS35+DS29+DS44+DS40+DS39</f>
        <v/>
      </c>
      <c r="DT52" s="255">
        <f>DT50+DT47+DT43+DT38+DT35+DT29+DT44+DT40+DT39</f>
        <v/>
      </c>
      <c r="DU52" s="255">
        <f>DU50+DU47+DU43+DU38+DU35+DU29+DU44+DU40+DU39</f>
        <v/>
      </c>
      <c r="DV52" s="255">
        <f>DV50+DV47+DV43+DV38+DV35+DV29+DV44+DV40+DV39</f>
        <v/>
      </c>
      <c r="DW52" s="255">
        <f>DW50+DW47+DW43+DW38+DW35+DW29+DW44+DW40+DW39</f>
        <v/>
      </c>
      <c r="DX52" s="255">
        <f>DX50+DX47+DX43+DX38+DX35+DX29+DX44+DX40+DX39</f>
        <v/>
      </c>
      <c r="DY52" s="255">
        <f>DY50+DY47+DY43+DY38+DY35+DY29+DY44+DY40+DY39</f>
        <v/>
      </c>
      <c r="DZ52" s="255">
        <f>DZ50+DZ47+DZ43+DZ38+DZ35+DZ29+DZ44+DZ40+DZ39</f>
        <v/>
      </c>
      <c r="EA52" s="255">
        <f>EA50+EA47+EA43+EA38+EA35+EA29+EA44+EA40+EA39</f>
        <v/>
      </c>
      <c r="EB52" s="255">
        <f>EB50+EB47+EB43+EB38+EB35+EB29+EB44+EB40+EB39</f>
        <v/>
      </c>
      <c r="EC52" s="255">
        <f>EC50+EC47+EC43+EC38+EC35+EC29+EC44+EC40+EC39</f>
        <v/>
      </c>
      <c r="ED52" s="255">
        <f>ED50+ED47+ED43+ED38+ED35+ED29+ED44+ED40+ED39</f>
        <v/>
      </c>
      <c r="EE52" s="255">
        <f>EE50+EE47+EE43+EE38+EE35+EE29+EE44+EE40+EE39</f>
        <v/>
      </c>
      <c r="EF52" s="255">
        <f>EF50+EF47+EF43+EF38+EF35+EF29+EF44+EF40+EF39</f>
        <v/>
      </c>
      <c r="EG52" s="255">
        <f>EG50+EG47+EG43+EG38+EG35+EG29+EG44+EG40+EG39</f>
        <v/>
      </c>
      <c r="EH52" s="255">
        <f>EH50+EH47+EH43+EH38+EH35+EH29+EH44+EH40+EH39</f>
        <v/>
      </c>
      <c r="EI52" s="255">
        <f>EI50+EI47+EI43+EI38+EI35+EI29+EI44+EI40+EI39</f>
        <v/>
      </c>
      <c r="EJ52" s="255">
        <f>EJ50+EJ47+EJ43+EJ38+EJ35+EJ29+EJ44+EJ40+EJ39</f>
        <v/>
      </c>
      <c r="EK52" s="255">
        <f>EK50+EK47+EK43+EK38+EK35+EK29+EK44+EK40+EK39</f>
        <v/>
      </c>
      <c r="EL52" s="255">
        <f>EL50+EL47+EL43+EL38+EL35+EL29+EL44+EL40+EL39</f>
        <v/>
      </c>
      <c r="EM52" s="255">
        <f>EM50+EM47+EM43+EM38+EM35+EM29+EM44+EM40+EM39</f>
        <v/>
      </c>
      <c r="EN52" s="255">
        <f>EN50+EN47+EN43+EN38+EN35+EN29+EN44+EN40+EN39</f>
        <v/>
      </c>
      <c r="EO52" s="255">
        <f>EO50+EO47+EO43+EO38+EO35+EO29+EO44+EO40+EO39</f>
        <v/>
      </c>
      <c r="EP52" s="255">
        <f>EP50+EP47+EP43+EP38+EP35+EP29+EP44+EP40+EP39</f>
        <v/>
      </c>
      <c r="EQ52" s="255">
        <f>EQ50+EQ47+EQ43+EQ38+EQ35+EQ29+EQ44+EQ40+EQ39</f>
        <v/>
      </c>
      <c r="ER52" s="255">
        <f>ER50+ER47+ER43+ER38+ER35+ER29+ER44+ER40+ER39</f>
        <v/>
      </c>
      <c r="ES52" s="255">
        <f>ES50+ES47+ES43+ES38+ES35+ES29+ES44+ES40+ES39</f>
        <v/>
      </c>
      <c r="ET52" s="255">
        <f>ET50+ET47+ET43+ET38+ET35+ET29+ET44+ET40+ET39</f>
        <v/>
      </c>
      <c r="EU52" s="255">
        <f>EU50+EU47+EU43+EU38+EU35+EU29+EU44+EU40+EU39</f>
        <v/>
      </c>
      <c r="EV52" s="255">
        <f>EV50+EV47+EV43+EV38+EV35+EV29+EV44+EV40+EV39</f>
        <v/>
      </c>
      <c r="EW52" s="255">
        <f>EW50+EW47+EW43+EW38+EW35+EW29+EW44+EW40+EW39</f>
        <v/>
      </c>
      <c r="EX52" s="255">
        <f>EX50+EX47+EX43+EX38+EX35+EX29+EX44+EX40+EX39</f>
        <v/>
      </c>
      <c r="EY52" s="255">
        <f>EY50+EY47+EY43+EY38+EY35+EY29+EY44+EY40+EY39</f>
        <v/>
      </c>
      <c r="EZ52" s="255">
        <f>EZ50+EZ47+EZ43+EZ38+EZ35+EZ29+EZ44+EZ40+EZ39</f>
        <v/>
      </c>
      <c r="FA52" s="255">
        <f>FA50+FA47+FA43+FA38+FA35+FA29+FA44+FA40+FA39</f>
        <v/>
      </c>
      <c r="FB52" s="255">
        <f>FB50+FB47+FB43+FB38+FB35+FB29+FB44+FB40+FB39</f>
        <v/>
      </c>
      <c r="FC52" s="255">
        <f>FC50+FC47+FC43+FC38+FC35+FC29+FC44+FC40+FC39</f>
        <v/>
      </c>
      <c r="FD52" s="255">
        <f>FD50+FD47+FD43+FD38+FD35+FD29+FD44+FD40+FD39</f>
        <v/>
      </c>
      <c r="FE52" s="255">
        <f>FE50+FE47+FE43+FE38+FE35+FE29+FE44+FE40+FE39</f>
        <v/>
      </c>
      <c r="FF52" s="255">
        <f>FF50+FF47+FF43+FF38+FF35+FF29+FF44+FF40+FF39</f>
        <v/>
      </c>
      <c r="FG52" s="255">
        <f>FG50+FG47+FG43+FG38+FG35+FG29+FG44+FG40+FG39</f>
        <v/>
      </c>
      <c r="FH52" s="255">
        <f>FH50+FH47+FH43+FH38+FH35+FH29+FH44+FH40+FH39</f>
        <v/>
      </c>
      <c r="FI52" s="255">
        <f>FI50+FI47+FI43+FI38+FI35+FI29+FI44+FI40+FI39</f>
        <v/>
      </c>
      <c r="FJ52" s="255">
        <f>FJ50+FJ47+FJ43+FJ38+FJ35+FJ29+FJ44+FJ40+FJ39</f>
        <v/>
      </c>
      <c r="FK52" s="255">
        <f>FK50+FK47+FK43+FK38+FK35+FK29+FK44+FK40+FK39</f>
        <v/>
      </c>
      <c r="FL52" s="255">
        <f>FL50+FL47+FL43+FL38+FL35+FL29+FL44+FL40+FL39</f>
        <v/>
      </c>
      <c r="FM52" s="255">
        <f>FM50+FM47+FM43+FM38+FM35+FM29+FM44+FM40+FM39</f>
        <v/>
      </c>
      <c r="FN52" s="255">
        <f>FN50+FN47+FN43+FN38+FN35+FN29+FN44+FN40+FN39</f>
        <v/>
      </c>
      <c r="FO52" s="255">
        <f>FO50+FO47+FO43+FO38+FO35+FO29+FO44+FO40+FO39</f>
        <v/>
      </c>
      <c r="FP52" s="255">
        <f>FP50+FP47+FP43+FP38+FP35+FP29+FP44+FP40+FP39</f>
        <v/>
      </c>
      <c r="FQ52" s="255">
        <f>FQ50+FQ47+FQ43+FQ38+FQ35+FQ29+FQ44+FQ40+FQ39</f>
        <v/>
      </c>
      <c r="FR52" s="255">
        <f>FR50+FR47+FR43+FR38+FR35+FR29+FR44+FR40+FR39</f>
        <v/>
      </c>
      <c r="FS52" s="255">
        <f>FS50+FS47+FS43+FS38+FS35+FS29+FS44+FS40+FS39</f>
        <v/>
      </c>
      <c r="FT52" s="255">
        <f>FT50+FT47+FT43+FT38+FT35+FT29+FT44+FT40+FT39</f>
        <v/>
      </c>
      <c r="FU52" s="255">
        <f>FU50+FU47+FU43+FU38+FU35+FU29+FU44+FU40+FU39</f>
        <v/>
      </c>
      <c r="FV52" s="255">
        <f>FV50+FV47+FV43+FV38+FV35+FV29+FV44+FV40+FV39</f>
        <v/>
      </c>
      <c r="FW52" s="255">
        <f>FW50+FW47+FW43+FW38+FW35+FW29+FW44+FW40+FW39</f>
        <v/>
      </c>
      <c r="FX52" s="255">
        <f>FX50+FX47+FX43+FX38+FX35+FX29+FX44+FX40+FX39</f>
        <v/>
      </c>
      <c r="FY52" s="255">
        <f>FY50+FY47+FY43+FY38+FY35+FY29+FY44+FY40+FY39</f>
        <v/>
      </c>
      <c r="FZ52" s="255">
        <f>FZ50+FZ47+FZ43+FZ38+FZ35+FZ29+FZ44+FZ40+FZ39</f>
        <v/>
      </c>
      <c r="GA52" s="255">
        <f>GA50+GA47+GA43+GA38+GA35+GA29+GA44+GA40+GA39</f>
        <v/>
      </c>
      <c r="GB52" s="255">
        <f>GB50+GB47+GB43+GB38+GB35+GB29+GB44+GB40+GB39</f>
        <v/>
      </c>
      <c r="GC52" s="255">
        <f>GC50+GC47+GC43+GC38+GC35+GC29+GC44+GC40+GC39</f>
        <v/>
      </c>
      <c r="GD52" s="255">
        <f>GD50+GD47+GD43+GD38+GD35+GD29+GD44+GD40+GD39</f>
        <v/>
      </c>
      <c r="GE52" s="255">
        <f>GE50+GE47+GE43+GE38+GE35+GE29+GE44+GE40+GE39</f>
        <v/>
      </c>
      <c r="GF52" s="255">
        <f>GF50+GF47+GF43+GF38+GF35+GF29+GF44+GF40+GF39</f>
        <v/>
      </c>
      <c r="GG52" s="255">
        <f>GG50+GG47+GG43+GG38+GG35+GG29+GG44+GG40+GG39</f>
        <v/>
      </c>
      <c r="GH52" s="255">
        <f>GH50+GH47+GH43+GH38+GH35+GH29+GH44+GH40+GH39</f>
        <v/>
      </c>
      <c r="GI52" s="255">
        <f>GI50+GI47+GI43+GI38+GI35+GI29+GI44+GI40+GI39</f>
        <v/>
      </c>
      <c r="GJ52" s="255">
        <f>GJ50+GJ47+GJ43+GJ38+GJ35+GJ29+GJ44+GJ40+GJ39</f>
        <v/>
      </c>
      <c r="GK52" s="255">
        <f>GK50+GK47+GK43+GK38+GK35+GK29+GK44+GK40+GK39</f>
        <v/>
      </c>
      <c r="GL52" s="255">
        <f>GL50+GL47+GL43+GL38+GL35+GL29+GL44+GL40+GL39</f>
        <v/>
      </c>
      <c r="GM52" s="255">
        <f>GM50+GM47+GM43+GM38+GM35+GM29+GM44+GM40+GM39</f>
        <v/>
      </c>
      <c r="GN52" s="255">
        <f>GN50+GN47+GN43+GN38+GN35+GN29+GN44+GN40+GN39</f>
        <v/>
      </c>
      <c r="GO52" s="255">
        <f>GO50+GO47+GO43+GO38+GO35+GO29+GO44+GO40+GO39</f>
        <v/>
      </c>
      <c r="GP52" s="255">
        <f>GP50+GP47+GP43+GP38+GP35+GP29+GP44+GP40+GP39</f>
        <v/>
      </c>
      <c r="GQ52" s="255">
        <f>GQ50+GQ47+GQ43+GQ38+GQ35+GQ29+GQ44+GQ40+GQ39</f>
        <v/>
      </c>
      <c r="GR52" s="255">
        <f>GR50+GR47+GR43+GR38+GR35+GR29+GR44+GR40+GR39</f>
        <v/>
      </c>
      <c r="GS52" s="255">
        <f>GS50+GS47+GS43+GS38+GS35+GS29+GS44+GS40+GS39</f>
        <v/>
      </c>
      <c r="GT52" s="255">
        <f>GT50+GT47+GT43+GT38+GT35+GT29+GT44+GT40+GT39</f>
        <v/>
      </c>
      <c r="GU52" s="255">
        <f>GU50+GU47+GU43+GU38+GU35+GU29+GU44+GU40+GU39</f>
        <v/>
      </c>
      <c r="GV52" s="255">
        <f>GV50+GV47+GV43+GV38+GV35+GV29+GV44+GV40+GV39</f>
        <v/>
      </c>
      <c r="GW52" s="255">
        <f>GW50+GW47+GW43+GW38+GW35+GW29+GW44+GW40+GW39</f>
        <v/>
      </c>
      <c r="GX52" s="255">
        <f>GX50+GX47+GX43+GX38+GX35+GX29+GX44+GX40+GX39</f>
        <v/>
      </c>
      <c r="GY52" s="255">
        <f>GY50+GY47+GY43+GY38+GY35+GY29+GY44+GY40+GY39</f>
        <v/>
      </c>
      <c r="GZ52" s="255">
        <f>GZ50+GZ47+GZ43+GZ38+GZ35+GZ29+GZ44+GZ40+GZ39</f>
        <v/>
      </c>
      <c r="HA52" s="255">
        <f>HA50+HA47+HA43+HA38+HA35+HA29+HA44+HA40+HA39</f>
        <v/>
      </c>
      <c r="HB52" s="255">
        <f>HB50+HB47+HB43+HB38+HB35+HB29+HB44+HB40+HB39</f>
        <v/>
      </c>
      <c r="HC52" s="255">
        <f>HC50+HC47+HC43+HC38+HC35+HC29+HC44+HC40+HC39</f>
        <v/>
      </c>
      <c r="HD52" s="255">
        <f>HD50+HD47+HD43+HD38+HD35+HD29+HD44+HD40+HD39</f>
        <v/>
      </c>
      <c r="HE52" s="255">
        <f>HE50+HE47+HE43+HE38+HE35+HE29+HE44+HE40+HE39</f>
        <v/>
      </c>
      <c r="HF52" s="255">
        <f>HF50+HF47+HF43+HF38+HF35+HF29+HF44+HF40+HF39</f>
        <v/>
      </c>
      <c r="HG52" s="255">
        <f>HG50+HG47+HG43+HG38+HG35+HG29+HG44+HG40+HG39</f>
        <v/>
      </c>
      <c r="HH52" s="255">
        <f>HH50+HH47+HH43+HH38+HH35+HH29+HH44+HH40+HH39</f>
        <v/>
      </c>
      <c r="HI52" s="255">
        <f>HI50+HI47+HI43+HI38+HI35+HI29+HI44+HI40+HI39</f>
        <v/>
      </c>
      <c r="HJ52" s="255">
        <f>HJ50+HJ47+HJ43+HJ38+HJ35+HJ29+HJ44+HJ40+HJ39</f>
        <v/>
      </c>
      <c r="HK52" s="255">
        <f>HK50+HK47+HK43+HK38+HK35+HK29+HK44+HK40+HK39</f>
        <v/>
      </c>
      <c r="HL52" s="255">
        <f>HL50+HL47+HL43+HL38+HL35+HL29+HL44+HL40+HL39</f>
        <v/>
      </c>
      <c r="HM52" s="255">
        <f>HM50+HM47+HM43+HM38+HM35+HM29+HM44+HM40+HM39</f>
        <v/>
      </c>
      <c r="HN52" s="255">
        <f>HN50+HN47+HN43+HN38+HN35+HN29+HN44+HN40+HN39</f>
        <v/>
      </c>
      <c r="HO52" s="255">
        <f>HO50+HO47+HO43+HO38+HO35+HO29+HO44+HO40+HO39</f>
        <v/>
      </c>
      <c r="HP52" s="255">
        <f>HP50+HP47+HP43+HP38+HP35+HP29+HP44+HP40+HP39</f>
        <v/>
      </c>
      <c r="HQ52" s="255">
        <f>HQ50+HQ47+HQ43+HQ38+HQ35+HQ29+HQ44+HQ40+HQ39</f>
        <v/>
      </c>
      <c r="HR52" s="255">
        <f>HR50+HR47+HR43+HR38+HR35+HR29+HR44+HR40+HR39</f>
        <v/>
      </c>
      <c r="HS52" s="255">
        <f>HS50+HS47+HS43+HS38+HS35+HS29+HS44+HS40+HS39</f>
        <v/>
      </c>
      <c r="HT52" s="255">
        <f>HT50+HT47+HT43+HT38+HT35+HT29+HT44+HT40+HT39</f>
        <v/>
      </c>
      <c r="HU52" s="255">
        <f>HU50+HU47+HU43+HU38+HU35+HU29+HU44+HU40+HU39</f>
        <v/>
      </c>
      <c r="JF52" s="255">
        <f>AP52</f>
        <v/>
      </c>
      <c r="JG52" s="255">
        <f>SUM(Z52:AK52)</f>
        <v/>
      </c>
      <c r="JH52" s="255">
        <f>SUM(AL52:AP52)</f>
        <v/>
      </c>
      <c r="JI52" s="255">
        <f>SUM(C52:AP52)</f>
        <v/>
      </c>
      <c r="JJ52" s="446" t="n"/>
      <c r="JM52" s="255" t="n">
        <v>-4184406.671260871</v>
      </c>
      <c r="KG52" s="268">
        <f>B52</f>
        <v/>
      </c>
      <c r="KH52" s="245">
        <f>AR52</f>
        <v/>
      </c>
    </row>
    <row r="53" ht="15.75" customHeight="1">
      <c r="A53" s="74" t="inlineStr">
        <is>
          <t>TOTAL ACUMULADO DE DESPESAS OP.(-)</t>
        </is>
      </c>
      <c r="B53" s="269">
        <f>SUM(C53:AP53)</f>
        <v/>
      </c>
      <c r="C53" s="59" t="n"/>
      <c r="D53" s="59">
        <f>C53+D52</f>
        <v/>
      </c>
      <c r="E53" s="59">
        <f>D53+E52</f>
        <v/>
      </c>
      <c r="F53" s="59">
        <f>D53+F52</f>
        <v/>
      </c>
      <c r="G53" s="59">
        <f>E53+G52</f>
        <v/>
      </c>
      <c r="H53" s="59">
        <f>F53+H52</f>
        <v/>
      </c>
      <c r="I53" s="103">
        <f>G53+I52</f>
        <v/>
      </c>
      <c r="J53" s="182">
        <f>I53+J52</f>
        <v/>
      </c>
      <c r="K53" s="103">
        <f>J53+K52</f>
        <v/>
      </c>
      <c r="L53" s="59">
        <f>K53+L52</f>
        <v/>
      </c>
      <c r="M53" s="59">
        <f>L53+M52</f>
        <v/>
      </c>
      <c r="N53" s="59">
        <f>M53+N52</f>
        <v/>
      </c>
      <c r="O53" s="59">
        <f>N53+O52</f>
        <v/>
      </c>
      <c r="P53" s="59">
        <f>O53+P52</f>
        <v/>
      </c>
      <c r="Q53" s="59">
        <f>P53+Q52</f>
        <v/>
      </c>
      <c r="R53" s="59">
        <f>Q53+R52</f>
        <v/>
      </c>
      <c r="S53" s="59">
        <f>R53+S52</f>
        <v/>
      </c>
      <c r="T53" s="59">
        <f>S53+T52</f>
        <v/>
      </c>
      <c r="U53" s="59">
        <f>T53+U52</f>
        <v/>
      </c>
      <c r="V53" s="59">
        <f>U53+V52</f>
        <v/>
      </c>
      <c r="W53" s="59">
        <f>V53+W52</f>
        <v/>
      </c>
      <c r="X53" s="59">
        <f>W53+X52</f>
        <v/>
      </c>
      <c r="Y53" s="59">
        <f>X53+Y52</f>
        <v/>
      </c>
      <c r="Z53" s="59">
        <f>Y53+Z52</f>
        <v/>
      </c>
      <c r="AA53" s="59">
        <f>Z53+AA52</f>
        <v/>
      </c>
      <c r="AB53" s="59">
        <f>AA53+AB52</f>
        <v/>
      </c>
      <c r="AC53" s="59">
        <f>AB53+AC52</f>
        <v/>
      </c>
      <c r="AD53" s="59">
        <f>AC53+AD52</f>
        <v/>
      </c>
      <c r="AE53" s="59">
        <f>AD53+AE52</f>
        <v/>
      </c>
      <c r="AF53" s="59">
        <f>AE53+AF52</f>
        <v/>
      </c>
      <c r="AG53" s="59">
        <f>AF53+AG52</f>
        <v/>
      </c>
      <c r="AH53" s="59">
        <f>AG53+AH52</f>
        <v/>
      </c>
      <c r="AI53" s="59">
        <f>AH53+AI52</f>
        <v/>
      </c>
      <c r="AJ53" s="59">
        <f>AI53+AJ52</f>
        <v/>
      </c>
      <c r="AK53" s="59">
        <f>AJ53+AK52</f>
        <v/>
      </c>
      <c r="AL53" s="59">
        <f>AK53+AL52</f>
        <v/>
      </c>
      <c r="AM53" s="59">
        <f>AL53+AM52</f>
        <v/>
      </c>
      <c r="AN53" s="59">
        <f>AM53+AN52</f>
        <v/>
      </c>
      <c r="AO53" s="59">
        <f>AN53+AO52</f>
        <v/>
      </c>
      <c r="AP53" s="59">
        <f>AO53+AP52</f>
        <v/>
      </c>
      <c r="AQ53" s="13" t="n"/>
      <c r="AR53" s="183">
        <f>W53+AR52</f>
        <v/>
      </c>
      <c r="AS53" s="13" t="n"/>
      <c r="AT53" s="59">
        <f>AP53+AT52</f>
        <v/>
      </c>
      <c r="AU53" s="59">
        <f>AT53+AU52</f>
        <v/>
      </c>
      <c r="AV53" s="59">
        <f>AU53+AV52</f>
        <v/>
      </c>
      <c r="AW53" s="59">
        <f>AV53+AW52</f>
        <v/>
      </c>
      <c r="AX53" s="59">
        <f>AW53+AX52</f>
        <v/>
      </c>
      <c r="AY53" s="59">
        <f>AX53+AY52</f>
        <v/>
      </c>
      <c r="AZ53" s="59">
        <f>AY53+AZ52</f>
        <v/>
      </c>
      <c r="BA53" s="59">
        <f>AZ53+BA52</f>
        <v/>
      </c>
      <c r="BB53" s="59">
        <f>BA53+BB52</f>
        <v/>
      </c>
      <c r="BC53" s="59">
        <f>BB53+BC52</f>
        <v/>
      </c>
      <c r="BD53" s="305">
        <f>BC53+BD52</f>
        <v/>
      </c>
      <c r="BE53" s="100">
        <f>BD53+BE52</f>
        <v/>
      </c>
      <c r="BF53" s="59">
        <f>BE53+BF52</f>
        <v/>
      </c>
      <c r="BG53" s="59">
        <f>BF53+BG52</f>
        <v/>
      </c>
      <c r="BH53" s="59">
        <f>BG53+BH52</f>
        <v/>
      </c>
      <c r="BI53" s="59">
        <f>BH53+BI52</f>
        <v/>
      </c>
      <c r="BJ53" s="59">
        <f>BI53+BJ52</f>
        <v/>
      </c>
      <c r="BK53" s="59">
        <f>BJ53+BK52</f>
        <v/>
      </c>
      <c r="BL53" s="59">
        <f>BK53+BL52</f>
        <v/>
      </c>
      <c r="BM53" s="59">
        <f>BL53+BM52</f>
        <v/>
      </c>
      <c r="BN53" s="59">
        <f>BM53+BN52</f>
        <v/>
      </c>
      <c r="BO53" s="59">
        <f>BN53+BO52</f>
        <v/>
      </c>
      <c r="BP53" s="305">
        <f>BO53+BP52</f>
        <v/>
      </c>
      <c r="BQ53" s="100">
        <f>BP53+BQ52</f>
        <v/>
      </c>
      <c r="BR53" s="59">
        <f>BQ53+BR52</f>
        <v/>
      </c>
      <c r="BS53" s="59">
        <f>BR53+BS52</f>
        <v/>
      </c>
      <c r="BT53" s="59">
        <f>BS53+BT52</f>
        <v/>
      </c>
      <c r="BU53" s="59">
        <f>BT53+BU52</f>
        <v/>
      </c>
      <c r="BV53" s="59">
        <f>BU53+BV52</f>
        <v/>
      </c>
      <c r="BW53" s="59">
        <f>BV53+BW52</f>
        <v/>
      </c>
      <c r="BX53" s="59">
        <f>BW53+BX52</f>
        <v/>
      </c>
      <c r="BY53" s="59">
        <f>BX53+BY52</f>
        <v/>
      </c>
      <c r="BZ53" s="59">
        <f>BY53+BZ52</f>
        <v/>
      </c>
      <c r="CA53" s="59">
        <f>BZ53+CA52</f>
        <v/>
      </c>
      <c r="CB53" s="305">
        <f>CA53+CB52</f>
        <v/>
      </c>
      <c r="CC53" s="100">
        <f>CB53+CC52</f>
        <v/>
      </c>
      <c r="CD53" s="59">
        <f>CC53+CD52</f>
        <v/>
      </c>
      <c r="CE53" s="59">
        <f>CD53+CE52</f>
        <v/>
      </c>
      <c r="CF53" s="59">
        <f>CE53+CF52</f>
        <v/>
      </c>
      <c r="CG53" s="59">
        <f>CF53+CG52</f>
        <v/>
      </c>
      <c r="CH53" s="59">
        <f>CG53+CH52</f>
        <v/>
      </c>
      <c r="CI53" s="59">
        <f>CH53+CI52</f>
        <v/>
      </c>
      <c r="CJ53" s="59">
        <f>CI53+CJ52</f>
        <v/>
      </c>
      <c r="CK53" s="59">
        <f>CJ53+CK52</f>
        <v/>
      </c>
      <c r="CL53" s="59">
        <f>CK53+CL52</f>
        <v/>
      </c>
      <c r="CM53" s="59">
        <f>CL53+CM52</f>
        <v/>
      </c>
      <c r="CN53" s="305">
        <f>CM53+CN52</f>
        <v/>
      </c>
      <c r="CO53" s="100">
        <f>CN53+CO52</f>
        <v/>
      </c>
      <c r="CP53" s="59">
        <f>CO53+CP52</f>
        <v/>
      </c>
      <c r="CQ53" s="59">
        <f>CP53+CQ52</f>
        <v/>
      </c>
      <c r="CR53" s="59">
        <f>CQ53+CR52</f>
        <v/>
      </c>
      <c r="CS53" s="59">
        <f>CR53+CS52</f>
        <v/>
      </c>
      <c r="CT53" s="59">
        <f>CS53+CT52</f>
        <v/>
      </c>
      <c r="CU53" s="59">
        <f>CT53+CU52</f>
        <v/>
      </c>
      <c r="CV53" s="59">
        <f>CU53+CV52</f>
        <v/>
      </c>
      <c r="CW53" s="59">
        <f>CV53+CW52</f>
        <v/>
      </c>
      <c r="CX53" s="59">
        <f>CW53+CX52</f>
        <v/>
      </c>
      <c r="CY53" s="59">
        <f>CX53+CY52</f>
        <v/>
      </c>
      <c r="CZ53" s="305">
        <f>CY53+CZ52</f>
        <v/>
      </c>
      <c r="DA53" s="100">
        <f>CZ53+DA52</f>
        <v/>
      </c>
      <c r="DB53" s="59">
        <f>DA53+DB52</f>
        <v/>
      </c>
      <c r="DC53" s="59">
        <f>DB53+DC52</f>
        <v/>
      </c>
      <c r="DD53" s="59">
        <f>DC53+DD52</f>
        <v/>
      </c>
      <c r="DE53" s="59">
        <f>DD53+DE52</f>
        <v/>
      </c>
      <c r="DF53" s="59">
        <f>DE53+DF52</f>
        <v/>
      </c>
      <c r="DG53" s="59">
        <f>DF53+DG52</f>
        <v/>
      </c>
      <c r="DH53" s="59">
        <f>DG53+DH52</f>
        <v/>
      </c>
      <c r="DI53" s="59">
        <f>DH53+DI52</f>
        <v/>
      </c>
      <c r="DJ53" s="103">
        <f>DI53+DJ52</f>
        <v/>
      </c>
      <c r="DK53" s="59">
        <f>DJ53+DK52</f>
        <v/>
      </c>
      <c r="DL53" s="103">
        <f>DK53+DL52</f>
        <v/>
      </c>
      <c r="DM53" s="59">
        <f>DL53+DM52</f>
        <v/>
      </c>
      <c r="DN53" s="103">
        <f>DM53+DN52</f>
        <v/>
      </c>
      <c r="DO53" s="103">
        <f>DN53+DO52</f>
        <v/>
      </c>
      <c r="DP53" s="103">
        <f>DO53+DP52</f>
        <v/>
      </c>
      <c r="DQ53" s="103">
        <f>DP53+DQ52</f>
        <v/>
      </c>
      <c r="DR53" s="103">
        <f>DQ53+DR52</f>
        <v/>
      </c>
      <c r="DS53" s="103">
        <f>DR53+DS52</f>
        <v/>
      </c>
      <c r="DT53" s="103">
        <f>DS53+DT52</f>
        <v/>
      </c>
      <c r="DU53" s="103">
        <f>DT53+DU52</f>
        <v/>
      </c>
      <c r="DV53" s="103">
        <f>DU53+DV52</f>
        <v/>
      </c>
      <c r="DW53" s="103">
        <f>DV53+DW52</f>
        <v/>
      </c>
      <c r="DX53" s="103">
        <f>DW53+DX52</f>
        <v/>
      </c>
      <c r="DY53" s="103">
        <f>DX53+DY52</f>
        <v/>
      </c>
      <c r="DZ53" s="103">
        <f>DY53+DZ52</f>
        <v/>
      </c>
      <c r="EA53" s="103">
        <f>DZ53+EA52</f>
        <v/>
      </c>
      <c r="EB53" s="103">
        <f>EA53+EB52</f>
        <v/>
      </c>
      <c r="EC53" s="103">
        <f>EB53+EC52</f>
        <v/>
      </c>
      <c r="ED53" s="103">
        <f>EC53+ED52</f>
        <v/>
      </c>
      <c r="EE53" s="103">
        <f>ED53+EE52</f>
        <v/>
      </c>
      <c r="EF53" s="103">
        <f>EE53+EF52</f>
        <v/>
      </c>
      <c r="EG53" s="103">
        <f>EF53+EG52</f>
        <v/>
      </c>
      <c r="EH53" s="103">
        <f>EG53+EH52</f>
        <v/>
      </c>
      <c r="EI53" s="103">
        <f>EH53+EI52</f>
        <v/>
      </c>
      <c r="EJ53" s="103">
        <f>EI53+EJ52</f>
        <v/>
      </c>
      <c r="EK53" s="103">
        <f>EJ53+EK52</f>
        <v/>
      </c>
      <c r="EL53" s="103">
        <f>EK53+EL52</f>
        <v/>
      </c>
      <c r="EM53" s="103">
        <f>EL53+EM52</f>
        <v/>
      </c>
      <c r="EN53" s="103">
        <f>EM53+EN52</f>
        <v/>
      </c>
      <c r="EO53" s="103">
        <f>EN53+EO52</f>
        <v/>
      </c>
      <c r="EP53" s="103">
        <f>EO53+EP52</f>
        <v/>
      </c>
      <c r="EQ53" s="103">
        <f>EP53+EQ52</f>
        <v/>
      </c>
      <c r="ER53" s="103">
        <f>EQ53+ER52</f>
        <v/>
      </c>
      <c r="ES53" s="103">
        <f>ER53+ES52</f>
        <v/>
      </c>
      <c r="ET53" s="103">
        <f>ES53+ET52</f>
        <v/>
      </c>
      <c r="EU53" s="103">
        <f>ET53+EU52</f>
        <v/>
      </c>
      <c r="EV53" s="103">
        <f>EU53+EV52</f>
        <v/>
      </c>
      <c r="EW53" s="103">
        <f>EV53+EW52</f>
        <v/>
      </c>
      <c r="EX53" s="103">
        <f>EW53+EX52</f>
        <v/>
      </c>
      <c r="EY53" s="103">
        <f>EX53+EY52</f>
        <v/>
      </c>
      <c r="EZ53" s="103">
        <f>EY53+EZ52</f>
        <v/>
      </c>
      <c r="FA53" s="103">
        <f>EZ53+FA52</f>
        <v/>
      </c>
      <c r="FB53" s="103">
        <f>FA53+FB52</f>
        <v/>
      </c>
      <c r="FC53" s="103">
        <f>FB53+FC52</f>
        <v/>
      </c>
      <c r="FD53" s="103">
        <f>FC53+FD52</f>
        <v/>
      </c>
      <c r="FE53" s="103">
        <f>FD53+FE52</f>
        <v/>
      </c>
      <c r="FF53" s="103">
        <f>FE53+FF52</f>
        <v/>
      </c>
      <c r="FG53" s="103">
        <f>FF53+FG52</f>
        <v/>
      </c>
      <c r="FH53" s="103">
        <f>FG53+FH52</f>
        <v/>
      </c>
      <c r="FI53" s="103">
        <f>FH53+FI52</f>
        <v/>
      </c>
      <c r="FJ53" s="103">
        <f>FI53+FJ52</f>
        <v/>
      </c>
      <c r="FK53" s="103">
        <f>FJ53+FK52</f>
        <v/>
      </c>
      <c r="FL53" s="103">
        <f>FK53+FL52</f>
        <v/>
      </c>
      <c r="FM53" s="103">
        <f>FL53+FM52</f>
        <v/>
      </c>
      <c r="FN53" s="103">
        <f>FM53+FN52</f>
        <v/>
      </c>
      <c r="FO53" s="103">
        <f>FN53+FO52</f>
        <v/>
      </c>
      <c r="FP53" s="103">
        <f>FO53+FP52</f>
        <v/>
      </c>
      <c r="FQ53" s="103">
        <f>FP53+FQ52</f>
        <v/>
      </c>
      <c r="FR53" s="103">
        <f>FQ53+FR52</f>
        <v/>
      </c>
      <c r="FS53" s="103">
        <f>FR53+FS52</f>
        <v/>
      </c>
      <c r="FT53" s="103">
        <f>FS53+FT52</f>
        <v/>
      </c>
      <c r="FU53" s="103">
        <f>FT53+FU52</f>
        <v/>
      </c>
      <c r="FV53" s="103">
        <f>FU53+FV52</f>
        <v/>
      </c>
      <c r="FW53" s="103">
        <f>FV53+FW52</f>
        <v/>
      </c>
      <c r="FX53" s="103">
        <f>FW53+FX52</f>
        <v/>
      </c>
      <c r="FY53" s="103">
        <f>FX53+FY52</f>
        <v/>
      </c>
      <c r="FZ53" s="103">
        <f>FY53+FZ52</f>
        <v/>
      </c>
      <c r="GA53" s="103">
        <f>FZ53+GA52</f>
        <v/>
      </c>
      <c r="GB53" s="103">
        <f>GA53+GB52</f>
        <v/>
      </c>
      <c r="GC53" s="103">
        <f>GB53+GC52</f>
        <v/>
      </c>
      <c r="GD53" s="103">
        <f>GC53+GD52</f>
        <v/>
      </c>
      <c r="GE53" s="103">
        <f>GD53+GE52</f>
        <v/>
      </c>
      <c r="GF53" s="103">
        <f>GE53+GF52</f>
        <v/>
      </c>
      <c r="GG53" s="103">
        <f>GF53+GG52</f>
        <v/>
      </c>
      <c r="GH53" s="103">
        <f>GG53+GH52</f>
        <v/>
      </c>
      <c r="GI53" s="103">
        <f>GH53+GI52</f>
        <v/>
      </c>
      <c r="GJ53" s="103">
        <f>GI53+GJ52</f>
        <v/>
      </c>
      <c r="GK53" s="103">
        <f>GJ53+GK52</f>
        <v/>
      </c>
      <c r="GL53" s="103">
        <f>GK53+GL52</f>
        <v/>
      </c>
      <c r="GM53" s="103">
        <f>GL53+GM52</f>
        <v/>
      </c>
      <c r="GN53" s="103">
        <f>GM53+GN52</f>
        <v/>
      </c>
      <c r="GO53" s="103">
        <f>GN53+GO52</f>
        <v/>
      </c>
      <c r="GP53" s="103">
        <f>GO53+GP52</f>
        <v/>
      </c>
      <c r="GQ53" s="103">
        <f>GP53+GQ52</f>
        <v/>
      </c>
      <c r="GR53" s="103">
        <f>GQ53+GR52</f>
        <v/>
      </c>
      <c r="GS53" s="103">
        <f>GR53+GS52</f>
        <v/>
      </c>
      <c r="GT53" s="103">
        <f>GS53+GT52</f>
        <v/>
      </c>
      <c r="GU53" s="103">
        <f>GT53+GU52</f>
        <v/>
      </c>
      <c r="GV53" s="103">
        <f>GU53+GV52</f>
        <v/>
      </c>
      <c r="GW53" s="103">
        <f>GV53+GW52</f>
        <v/>
      </c>
      <c r="GX53" s="103">
        <f>GW53+GX52</f>
        <v/>
      </c>
      <c r="GY53" s="103">
        <f>GX53+GY52</f>
        <v/>
      </c>
      <c r="GZ53" s="103">
        <f>GY53+GZ52</f>
        <v/>
      </c>
      <c r="HA53" s="103">
        <f>GZ53+HA52</f>
        <v/>
      </c>
      <c r="HB53" s="103">
        <f>HA53+HB52</f>
        <v/>
      </c>
      <c r="HC53" s="103">
        <f>HB53+HC52</f>
        <v/>
      </c>
      <c r="HD53" s="103">
        <f>HC53+HD52</f>
        <v/>
      </c>
      <c r="HE53" s="103">
        <f>HD53+HE52</f>
        <v/>
      </c>
      <c r="HF53" s="103">
        <f>HE53+HF52</f>
        <v/>
      </c>
      <c r="HG53" s="103">
        <f>HF53+HG52</f>
        <v/>
      </c>
      <c r="HH53" s="103">
        <f>HG53+HH52</f>
        <v/>
      </c>
      <c r="HI53" s="103">
        <f>HH53+HI52</f>
        <v/>
      </c>
      <c r="HJ53" s="103">
        <f>HI53+HJ52</f>
        <v/>
      </c>
      <c r="HK53" s="103">
        <f>HJ53+HK52</f>
        <v/>
      </c>
      <c r="HL53" s="103">
        <f>HK53+HL52</f>
        <v/>
      </c>
      <c r="HM53" s="103">
        <f>HL53+HM52</f>
        <v/>
      </c>
      <c r="HN53" s="103">
        <f>HM53+HN52</f>
        <v/>
      </c>
      <c r="HO53" s="103">
        <f>HN53+HO52</f>
        <v/>
      </c>
      <c r="HP53" s="103">
        <f>HO53+HP52</f>
        <v/>
      </c>
      <c r="HQ53" s="103">
        <f>HP53+HQ52</f>
        <v/>
      </c>
      <c r="HR53" s="103">
        <f>HQ53+HR52</f>
        <v/>
      </c>
      <c r="HS53" s="103">
        <f>HR53+HS52</f>
        <v/>
      </c>
      <c r="HT53" s="103">
        <f>HS53+HT52</f>
        <v/>
      </c>
      <c r="HU53" s="103">
        <f>HT53+HU52</f>
        <v/>
      </c>
      <c r="JF53" s="100">
        <f>AP53</f>
        <v/>
      </c>
      <c r="JG53" s="100">
        <f>SUM(Z53:AK53)</f>
        <v/>
      </c>
      <c r="JH53" s="100">
        <f>SUM(AL53:AP53)</f>
        <v/>
      </c>
      <c r="JI53" s="100">
        <f>SUM(C53:AP53)</f>
        <v/>
      </c>
      <c r="JJ53" s="446" t="n"/>
      <c r="JM53" s="59" t="n">
        <v>-34156967.47126087</v>
      </c>
      <c r="KG53" s="269">
        <f>B53</f>
        <v/>
      </c>
      <c r="KH53" s="183">
        <f>AR53</f>
        <v/>
      </c>
    </row>
    <row r="54" ht="15.75" customHeight="1">
      <c r="A54" s="54" t="n"/>
      <c r="B54" s="144" t="n"/>
      <c r="C54" s="69" t="n"/>
      <c r="D54" s="69" t="n"/>
      <c r="E54" s="69" t="n"/>
      <c r="F54" s="69" t="n"/>
      <c r="G54" s="69" t="n"/>
      <c r="H54" s="69" t="n"/>
      <c r="I54" s="203" t="n"/>
      <c r="J54" s="184" t="n"/>
      <c r="K54" s="95" t="n"/>
      <c r="L54" s="95" t="n"/>
      <c r="M54" s="225" t="n"/>
      <c r="N54" s="225" t="n"/>
      <c r="O54" s="225" t="n"/>
      <c r="P54" s="225" t="n"/>
      <c r="Q54" s="225" t="n"/>
      <c r="R54" s="225" t="n"/>
      <c r="S54" s="225" t="n"/>
      <c r="T54" s="225" t="n"/>
      <c r="U54" s="225" t="n"/>
      <c r="V54" s="225" t="n"/>
      <c r="W54" s="225" t="n"/>
      <c r="X54" s="225" t="n"/>
      <c r="Y54" s="225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13" t="n"/>
      <c r="AR54" s="242" t="n"/>
      <c r="AS54" s="13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306" t="n"/>
      <c r="BE54" s="95" t="n"/>
      <c r="BF54" s="95" t="n"/>
      <c r="BG54" s="95" t="n"/>
      <c r="BH54" s="95" t="n"/>
      <c r="BI54" s="95" t="n"/>
      <c r="BJ54" s="95" t="n"/>
      <c r="BK54" s="95" t="n"/>
      <c r="BL54" s="95" t="n"/>
      <c r="BM54" s="95" t="n"/>
      <c r="BN54" s="95" t="n"/>
      <c r="BO54" s="95" t="n"/>
      <c r="BP54" s="306" t="n"/>
      <c r="BQ54" s="95" t="n"/>
      <c r="BR54" s="95" t="n"/>
      <c r="BS54" s="95" t="n"/>
      <c r="BT54" s="95" t="n"/>
      <c r="BU54" s="95" t="n"/>
      <c r="BV54" s="95" t="n"/>
      <c r="BW54" s="95" t="n"/>
      <c r="BX54" s="95" t="n"/>
      <c r="BY54" s="95" t="n"/>
      <c r="BZ54" s="95" t="n"/>
      <c r="CA54" s="95" t="n"/>
      <c r="CB54" s="306" t="n"/>
      <c r="CC54" s="95" t="n"/>
      <c r="CD54" s="95" t="n"/>
      <c r="CE54" s="95" t="n"/>
      <c r="CF54" s="95" t="n"/>
      <c r="CG54" s="95" t="n"/>
      <c r="CH54" s="95" t="n"/>
      <c r="CI54" s="95" t="n"/>
      <c r="CJ54" s="95" t="n"/>
      <c r="CK54" s="95" t="n"/>
      <c r="CL54" s="95" t="n"/>
      <c r="CM54" s="95" t="n"/>
      <c r="CN54" s="306" t="n"/>
      <c r="CO54" s="95" t="n"/>
      <c r="CP54" s="95" t="n"/>
      <c r="CQ54" s="95" t="n"/>
      <c r="CR54" s="95" t="n"/>
      <c r="CS54" s="95" t="n"/>
      <c r="CT54" s="95" t="n"/>
      <c r="CU54" s="95" t="n"/>
      <c r="CV54" s="95" t="n"/>
      <c r="CW54" s="95" t="n"/>
      <c r="CX54" s="95" t="n"/>
      <c r="CY54" s="95" t="n"/>
      <c r="CZ54" s="306" t="n"/>
      <c r="DA54" s="95" t="n"/>
      <c r="DB54" s="95" t="n"/>
      <c r="DC54" s="95" t="n"/>
      <c r="DD54" s="95" t="n"/>
      <c r="DE54" s="95" t="n"/>
      <c r="DF54" s="95" t="n"/>
      <c r="DG54" s="95" t="n"/>
      <c r="DH54" s="95" t="n"/>
      <c r="DI54" s="95" t="n"/>
      <c r="DJ54" s="95" t="n"/>
      <c r="DK54" s="95" t="n"/>
      <c r="DL54" s="95" t="n"/>
      <c r="DM54" s="95" t="n"/>
      <c r="DN54" s="95" t="n"/>
      <c r="DO54" s="95" t="n"/>
      <c r="DP54" s="95" t="n"/>
      <c r="DQ54" s="95" t="n"/>
      <c r="DR54" s="95" t="n"/>
      <c r="DS54" s="95" t="n"/>
      <c r="DT54" s="95" t="n"/>
      <c r="DU54" s="95" t="n"/>
      <c r="DV54" s="95" t="n"/>
      <c r="DW54" s="95" t="n"/>
      <c r="DX54" s="95" t="n"/>
      <c r="DY54" s="95" t="n"/>
      <c r="DZ54" s="95" t="n"/>
      <c r="EA54" s="95" t="n"/>
      <c r="EB54" s="95" t="n"/>
      <c r="EC54" s="95" t="n"/>
      <c r="ED54" s="95" t="n"/>
      <c r="EE54" s="95" t="n"/>
      <c r="EF54" s="95" t="n"/>
      <c r="EG54" s="95" t="n"/>
      <c r="EH54" s="95" t="n"/>
      <c r="EI54" s="95" t="n"/>
      <c r="EJ54" s="95" t="n"/>
      <c r="EK54" s="95" t="n"/>
      <c r="EL54" s="95" t="n"/>
      <c r="EM54" s="95" t="n"/>
      <c r="EN54" s="95" t="n"/>
      <c r="EO54" s="95" t="n"/>
      <c r="EP54" s="95" t="n"/>
      <c r="EQ54" s="95" t="n"/>
      <c r="ER54" s="95" t="n"/>
      <c r="ES54" s="95" t="n"/>
      <c r="ET54" s="95" t="n"/>
      <c r="EU54" s="95" t="n"/>
      <c r="EV54" s="95" t="n"/>
      <c r="EW54" s="95" t="n"/>
      <c r="EX54" s="95" t="n"/>
      <c r="EY54" s="95" t="n"/>
      <c r="EZ54" s="95" t="n"/>
      <c r="FA54" s="95" t="n"/>
      <c r="FB54" s="95" t="n"/>
      <c r="FC54" s="95" t="n"/>
      <c r="FD54" s="95" t="n"/>
      <c r="FE54" s="95" t="n"/>
      <c r="FF54" s="95" t="n"/>
      <c r="FG54" s="95" t="n"/>
      <c r="FH54" s="95" t="n"/>
      <c r="FI54" s="95" t="n"/>
      <c r="FJ54" s="95" t="n"/>
      <c r="FK54" s="95" t="n"/>
      <c r="FL54" s="95" t="n"/>
      <c r="FM54" s="95" t="n"/>
      <c r="FN54" s="95" t="n"/>
      <c r="FO54" s="95" t="n"/>
      <c r="FP54" s="95" t="n"/>
      <c r="FQ54" s="95" t="n"/>
      <c r="FR54" s="95" t="n"/>
      <c r="FS54" s="95" t="n"/>
      <c r="FT54" s="95" t="n"/>
      <c r="FU54" s="95" t="n"/>
      <c r="FV54" s="95" t="n"/>
      <c r="FW54" s="95" t="n"/>
      <c r="FX54" s="95" t="n"/>
      <c r="FY54" s="95" t="n"/>
      <c r="FZ54" s="95" t="n"/>
      <c r="GA54" s="95" t="n"/>
      <c r="GB54" s="95" t="n"/>
      <c r="GC54" s="95" t="n"/>
      <c r="GD54" s="95" t="n"/>
      <c r="GE54" s="95" t="n"/>
      <c r="GF54" s="95" t="n"/>
      <c r="GG54" s="95" t="n"/>
      <c r="GH54" s="95" t="n"/>
      <c r="GI54" s="95" t="n"/>
      <c r="GJ54" s="95" t="n"/>
      <c r="GK54" s="95" t="n"/>
      <c r="GL54" s="95" t="n"/>
      <c r="GM54" s="95" t="n"/>
      <c r="GN54" s="95" t="n"/>
      <c r="GO54" s="95" t="n"/>
      <c r="GP54" s="95" t="n"/>
      <c r="GQ54" s="95" t="n"/>
      <c r="GR54" s="95" t="n"/>
      <c r="GS54" s="95" t="n"/>
      <c r="GT54" s="95" t="n"/>
      <c r="GU54" s="95" t="n"/>
      <c r="GV54" s="95" t="n"/>
      <c r="GW54" s="95" t="n"/>
      <c r="GX54" s="95" t="n"/>
      <c r="GY54" s="95" t="n"/>
      <c r="GZ54" s="95" t="n"/>
      <c r="HA54" s="95" t="n"/>
      <c r="HB54" s="95" t="n"/>
      <c r="HC54" s="95" t="n"/>
      <c r="HD54" s="95" t="n"/>
      <c r="HE54" s="95" t="n"/>
      <c r="HF54" s="95" t="n"/>
      <c r="HG54" s="95" t="n"/>
      <c r="HH54" s="95" t="n"/>
      <c r="HI54" s="95" t="n"/>
      <c r="HJ54" s="95" t="n"/>
      <c r="HK54" s="95" t="n"/>
      <c r="HL54" s="95" t="n"/>
      <c r="HM54" s="95" t="n"/>
      <c r="HN54" s="95" t="n"/>
      <c r="HO54" s="95" t="n"/>
      <c r="HP54" s="95" t="n"/>
      <c r="HQ54" s="95" t="n"/>
      <c r="HR54" s="95" t="n"/>
      <c r="HS54" s="95" t="n"/>
      <c r="HT54" s="95" t="n"/>
      <c r="HU54" s="95" t="n"/>
      <c r="JF54" s="95">
        <f>AP54</f>
        <v/>
      </c>
      <c r="JG54" s="95">
        <f>SUM(Z54:AK54)</f>
        <v/>
      </c>
      <c r="JH54" s="95">
        <f>SUM(AL54:AP54)</f>
        <v/>
      </c>
      <c r="JI54" s="95">
        <f>SUM(C54:AP54)</f>
        <v/>
      </c>
      <c r="JJ54" s="446" t="n"/>
      <c r="JM54" s="95" t="n"/>
      <c r="KG54" s="144">
        <f>B54</f>
        <v/>
      </c>
      <c r="KH54" s="242">
        <f>AR54</f>
        <v/>
      </c>
    </row>
    <row r="55" ht="18" customHeight="1">
      <c r="A55" s="19" t="inlineStr">
        <is>
          <t>IMPOSTOS (-)</t>
        </is>
      </c>
      <c r="B55" s="139" t="n"/>
      <c r="C55" s="20" t="n"/>
      <c r="D55" s="22" t="n"/>
      <c r="E55" s="20" t="n"/>
      <c r="F55" s="20" t="n"/>
      <c r="G55" s="20" t="n"/>
      <c r="H55" s="20" t="n"/>
      <c r="I55" s="21" t="n"/>
      <c r="J55" s="175" t="n"/>
      <c r="K55" s="21" t="n"/>
      <c r="L55" s="108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00" t="n"/>
      <c r="AR55" s="241" t="n"/>
      <c r="AS55" s="20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299" t="n"/>
      <c r="BE55" s="22" t="n"/>
      <c r="BF55" s="20" t="n"/>
      <c r="BG55" s="20" t="n"/>
      <c r="BH55" s="20" t="n"/>
      <c r="BI55" s="20" t="n"/>
      <c r="BJ55" s="20" t="n"/>
      <c r="BK55" s="20" t="n"/>
      <c r="BL55" s="20" t="n"/>
      <c r="BM55" s="20" t="n"/>
      <c r="BN55" s="20" t="n"/>
      <c r="BO55" s="20" t="n"/>
      <c r="BP55" s="299" t="n"/>
      <c r="BQ55" s="22" t="n"/>
      <c r="BR55" s="20" t="n"/>
      <c r="BS55" s="20" t="n"/>
      <c r="BT55" s="20" t="n"/>
      <c r="BU55" s="20" t="n"/>
      <c r="BV55" s="20" t="n"/>
      <c r="BW55" s="20" t="n"/>
      <c r="BX55" s="20" t="n"/>
      <c r="BY55" s="20" t="n"/>
      <c r="BZ55" s="20" t="n"/>
      <c r="CA55" s="20" t="n"/>
      <c r="CB55" s="299" t="n"/>
      <c r="CC55" s="22" t="n"/>
      <c r="CD55" s="20" t="n"/>
      <c r="CE55" s="20" t="n"/>
      <c r="CF55" s="20" t="n"/>
      <c r="CG55" s="20" t="n"/>
      <c r="CH55" s="20" t="n"/>
      <c r="CI55" s="20" t="n"/>
      <c r="CJ55" s="20" t="n"/>
      <c r="CK55" s="20" t="n"/>
      <c r="CL55" s="20" t="n"/>
      <c r="CM55" s="20" t="n"/>
      <c r="CN55" s="299" t="n"/>
      <c r="CO55" s="22" t="n"/>
      <c r="CP55" s="20" t="n"/>
      <c r="CQ55" s="20" t="n"/>
      <c r="CR55" s="20" t="n"/>
      <c r="CS55" s="20" t="n"/>
      <c r="CT55" s="20" t="n"/>
      <c r="CU55" s="20" t="n"/>
      <c r="CV55" s="20" t="n"/>
      <c r="CW55" s="20" t="n"/>
      <c r="CX55" s="20" t="n"/>
      <c r="CY55" s="20" t="n"/>
      <c r="CZ55" s="299" t="n"/>
      <c r="DA55" s="22" t="n"/>
      <c r="DB55" s="20" t="n"/>
      <c r="DC55" s="20" t="n"/>
      <c r="DD55" s="20" t="n"/>
      <c r="DE55" s="20" t="n"/>
      <c r="DF55" s="20" t="n"/>
      <c r="DG55" s="20" t="n"/>
      <c r="DH55" s="20" t="n"/>
      <c r="DI55" s="20" t="n"/>
      <c r="DJ55" s="21" t="n"/>
      <c r="DK55" s="20" t="n"/>
      <c r="DL55" s="21" t="n"/>
      <c r="DM55" s="20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 t="n"/>
      <c r="EG55" s="21" t="n"/>
      <c r="EH55" s="21" t="n"/>
      <c r="EI55" s="21" t="n"/>
      <c r="EJ55" s="21" t="n"/>
      <c r="EK55" s="21" t="n"/>
      <c r="EL55" s="21" t="n"/>
      <c r="EM55" s="21" t="n"/>
      <c r="EN55" s="21" t="n"/>
      <c r="EO55" s="21" t="n"/>
      <c r="EP55" s="21" t="n"/>
      <c r="EQ55" s="21" t="n"/>
      <c r="ER55" s="21" t="n"/>
      <c r="ES55" s="21" t="n"/>
      <c r="ET55" s="21" t="n"/>
      <c r="EU55" s="21" t="n"/>
      <c r="EV55" s="21" t="n"/>
      <c r="EW55" s="21" t="n"/>
      <c r="EX55" s="21" t="n"/>
      <c r="EY55" s="21" t="n"/>
      <c r="EZ55" s="21" t="n"/>
      <c r="FA55" s="21" t="n"/>
      <c r="FB55" s="21" t="n"/>
      <c r="FC55" s="21" t="n"/>
      <c r="FD55" s="21" t="n"/>
      <c r="FE55" s="21" t="n"/>
      <c r="FF55" s="21" t="n"/>
      <c r="FG55" s="21" t="n"/>
      <c r="FH55" s="21" t="n"/>
      <c r="FI55" s="21" t="n"/>
      <c r="FJ55" s="21" t="n"/>
      <c r="FK55" s="21" t="n"/>
      <c r="FL55" s="21" t="n"/>
      <c r="FM55" s="21" t="n"/>
      <c r="FN55" s="21" t="n"/>
      <c r="FO55" s="21" t="n"/>
      <c r="FP55" s="21" t="n"/>
      <c r="FQ55" s="21" t="n"/>
      <c r="FR55" s="21" t="n"/>
      <c r="FS55" s="21" t="n"/>
      <c r="FT55" s="21" t="n"/>
      <c r="FU55" s="21" t="n"/>
      <c r="FV55" s="21" t="n"/>
      <c r="FW55" s="21" t="n"/>
      <c r="FX55" s="21" t="n"/>
      <c r="FY55" s="21" t="n"/>
      <c r="FZ55" s="21" t="n"/>
      <c r="GA55" s="21" t="n"/>
      <c r="GB55" s="21" t="n"/>
      <c r="GC55" s="21" t="n"/>
      <c r="GD55" s="21" t="n"/>
      <c r="GE55" s="21" t="n"/>
      <c r="GF55" s="21" t="n"/>
      <c r="GG55" s="21" t="n"/>
      <c r="GH55" s="21" t="n"/>
      <c r="GI55" s="21" t="n"/>
      <c r="GJ55" s="21" t="n"/>
      <c r="GK55" s="21" t="n"/>
      <c r="GL55" s="21" t="n"/>
      <c r="GM55" s="21" t="n"/>
      <c r="GN55" s="21" t="n"/>
      <c r="GO55" s="21" t="n"/>
      <c r="GP55" s="21" t="n"/>
      <c r="GQ55" s="21" t="n"/>
      <c r="GR55" s="21" t="n"/>
      <c r="GS55" s="21" t="n"/>
      <c r="GT55" s="21" t="n"/>
      <c r="GU55" s="21" t="n"/>
      <c r="GV55" s="21" t="n"/>
      <c r="GW55" s="21" t="n"/>
      <c r="GX55" s="21" t="n"/>
      <c r="GY55" s="21" t="n"/>
      <c r="GZ55" s="21" t="n"/>
      <c r="HA55" s="21" t="n"/>
      <c r="HB55" s="21" t="n"/>
      <c r="HC55" s="21" t="n"/>
      <c r="HD55" s="21" t="n"/>
      <c r="HE55" s="21" t="n"/>
      <c r="HF55" s="21" t="n"/>
      <c r="HG55" s="21" t="n"/>
      <c r="HH55" s="21" t="n"/>
      <c r="HI55" s="21" t="n"/>
      <c r="HJ55" s="21" t="n"/>
      <c r="HK55" s="21" t="n"/>
      <c r="HL55" s="21" t="n"/>
      <c r="HM55" s="21" t="n"/>
      <c r="HN55" s="21" t="n"/>
      <c r="HO55" s="21" t="n"/>
      <c r="HP55" s="21" t="n"/>
      <c r="HQ55" s="21" t="n"/>
      <c r="HR55" s="21" t="n"/>
      <c r="HS55" s="21" t="n"/>
      <c r="HT55" s="21" t="n"/>
      <c r="HU55" s="21" t="n"/>
      <c r="JF55" s="20">
        <f>AP55</f>
        <v/>
      </c>
      <c r="JG55" s="20">
        <f>SUM(Z55:AK55)</f>
        <v/>
      </c>
      <c r="JH55" s="20">
        <f>SUM(AL55:AP55)</f>
        <v/>
      </c>
      <c r="JI55" s="20">
        <f>SUM(C55:AP55)</f>
        <v/>
      </c>
      <c r="JJ55" s="446" t="n"/>
      <c r="JM55" s="21" t="n"/>
      <c r="KG55" s="139">
        <f>B55</f>
        <v/>
      </c>
      <c r="KH55" s="241">
        <f>AR55</f>
        <v/>
      </c>
    </row>
    <row r="56" ht="16.2" customHeight="1">
      <c r="A56" s="7" t="inlineStr">
        <is>
          <t>Impostos</t>
        </is>
      </c>
      <c r="B56" s="136">
        <f>SUM(C56:AP56)</f>
        <v/>
      </c>
      <c r="C56" s="85" t="n"/>
      <c r="D56" s="87" t="n"/>
      <c r="E56" s="85" t="n"/>
      <c r="F56" s="85" t="n"/>
      <c r="G56" s="85" t="n"/>
      <c r="H56" s="85" t="n"/>
      <c r="I56" s="86" t="n"/>
      <c r="J56" s="218" t="n"/>
      <c r="K56" s="113" t="n"/>
      <c r="L56" s="122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>
        <f>-210474.96-5661</f>
        <v/>
      </c>
      <c r="AD56" s="219">
        <f>-120603.87-111025.76</f>
        <v/>
      </c>
      <c r="AE56" s="219" t="n">
        <v>-112006.6</v>
      </c>
      <c r="AF56" s="219" t="n">
        <v>-432705.99</v>
      </c>
      <c r="AG56" s="219" t="n">
        <v>-118838.98</v>
      </c>
      <c r="AH56" s="219" t="n">
        <v>-116123.91</v>
      </c>
      <c r="AI56" s="219" t="n">
        <v>-354372.51</v>
      </c>
      <c r="AJ56" s="219" t="n">
        <v>-173967.62</v>
      </c>
      <c r="AK56" s="219" t="n">
        <v>-179418.92</v>
      </c>
      <c r="AL56" s="219" t="n">
        <v>-488063.29</v>
      </c>
      <c r="AM56" s="219" t="n">
        <v>-163274.46</v>
      </c>
      <c r="AN56" s="219" t="n">
        <v>-135237.18</v>
      </c>
      <c r="AO56" s="219" t="n">
        <v>-875555.1899999999</v>
      </c>
      <c r="AP56" s="219" t="n">
        <v>-284941.98</v>
      </c>
      <c r="AQ56" s="13" t="n"/>
      <c r="AR56" s="345">
        <f>SUM(AT56:HU56)</f>
        <v/>
      </c>
      <c r="AS56" s="87" t="n"/>
      <c r="AT56" s="85">
        <f>(AP8+AP9+AP12)*6.75%*-1</f>
        <v/>
      </c>
      <c r="AU56" s="85">
        <f>(AT8+AT9+AT12)*6.75%*-1</f>
        <v/>
      </c>
      <c r="AV56" s="85">
        <f>(AU8+AU9+AU12)*6.75%*-1</f>
        <v/>
      </c>
      <c r="AW56" s="85">
        <f>(AV8+AV9+AV12)*6.75%*-1</f>
        <v/>
      </c>
      <c r="AX56" s="85">
        <f>(AW8+AW9+AW12)*6.75%*-1</f>
        <v/>
      </c>
      <c r="AY56" s="85">
        <f>(AX8+AX9+AX12)*6.75%*-1</f>
        <v/>
      </c>
      <c r="AZ56" s="85">
        <f>(AY8+AY9+AY12)*6.75%*-1</f>
        <v/>
      </c>
      <c r="BA56" s="85">
        <f>(AZ8+AZ9+AZ12)*6.75%*-1</f>
        <v/>
      </c>
      <c r="BB56" s="85">
        <f>(BA8+BA9+BA12)*6.75%*-1</f>
        <v/>
      </c>
      <c r="BC56" s="85">
        <f>(BB8+BB9+BB12)*6.75%*-1</f>
        <v/>
      </c>
      <c r="BD56" s="85">
        <f>(BC8+BC9+BC12)*6.75%*-1</f>
        <v/>
      </c>
      <c r="BE56" s="85">
        <f>(BD8+BD9+BD12)*6.75%*-1</f>
        <v/>
      </c>
      <c r="BF56" s="85">
        <f>(BE8+BE9+BE12)*6.75%*-1</f>
        <v/>
      </c>
      <c r="BG56" s="85">
        <f>(BF8+BF9+BF12)*6.75%*-1</f>
        <v/>
      </c>
      <c r="BH56" s="85">
        <f>(BG8+BG9+BG12)*6.75%*-1</f>
        <v/>
      </c>
      <c r="BI56" s="85">
        <f>(BH8+BH9+BH12)*6.75%*-1</f>
        <v/>
      </c>
      <c r="BJ56" s="85">
        <f>(BI8+BI9+BI12)*6.75%*-1</f>
        <v/>
      </c>
      <c r="BK56" s="85">
        <f>(BJ8+BJ9+BJ12)*6.75%*-1</f>
        <v/>
      </c>
      <c r="BL56" s="85">
        <f>(BK8+BK9+BK12)*6.75%*-1</f>
        <v/>
      </c>
      <c r="BM56" s="85">
        <f>(BL8+BL9+BL12)*6.75%*-1</f>
        <v/>
      </c>
      <c r="BN56" s="85">
        <f>(BM8+BM9+BM12)*6.75%*-1</f>
        <v/>
      </c>
      <c r="BO56" s="85">
        <f>(BN8+BN9+BN12)*6.75%*-1</f>
        <v/>
      </c>
      <c r="BP56" s="296">
        <f>(BO8+BO9+BO12)*6.75%*-1</f>
        <v/>
      </c>
      <c r="BQ56" s="87">
        <f>(BP8+BP9+BP12)*6.75%*-1</f>
        <v/>
      </c>
      <c r="BR56" s="85">
        <f>(BQ8+BQ9+BQ12)*6.75%*-1</f>
        <v/>
      </c>
      <c r="BS56" s="85">
        <f>(BR8+BR9+BR12)*6.75%*-1</f>
        <v/>
      </c>
      <c r="BT56" s="85">
        <f>(BS8+BS9+BS12)*6.75%*-1</f>
        <v/>
      </c>
      <c r="BU56" s="85">
        <f>(BT8+BT9+BT12)*6.75%*-1</f>
        <v/>
      </c>
      <c r="BV56" s="85">
        <f>(BU8+BU9+BU12)*6.75%*-1</f>
        <v/>
      </c>
      <c r="BW56" s="85">
        <f>(BV8+BV9+BV12)*6.75%*-1</f>
        <v/>
      </c>
      <c r="BX56" s="85">
        <f>(BW8+BW9+BW12)*6.75%*-1</f>
        <v/>
      </c>
      <c r="BY56" s="85">
        <f>(BX8+BX9+BX12)*6.75%*-1</f>
        <v/>
      </c>
      <c r="BZ56" s="85">
        <f>(BY8+BY9+BY12)*6.75%*-1</f>
        <v/>
      </c>
      <c r="CA56" s="85">
        <f>(BZ8+BZ9+BZ12)*6.75%*-1</f>
        <v/>
      </c>
      <c r="CB56" s="296">
        <f>(CA8+CA9+CA12)*6.75%*-1</f>
        <v/>
      </c>
      <c r="CC56" s="87">
        <f>(CB8+CB9+CB12)*6.75%*-1</f>
        <v/>
      </c>
      <c r="CD56" s="85">
        <f>(CC8+CC9+CC12)*6.75%*-1</f>
        <v/>
      </c>
      <c r="CE56" s="85">
        <f>(CD8+CD9+CD12)*6.75%*-1</f>
        <v/>
      </c>
      <c r="CF56" s="85">
        <f>(CE8+CE9+CE12)*6.75%*-1</f>
        <v/>
      </c>
      <c r="CG56" s="85">
        <f>(CF8+CF9+CF12)*6.75%*-1</f>
        <v/>
      </c>
      <c r="CH56" s="85">
        <f>(CG8+CG9+CG12)*6.75%*-1</f>
        <v/>
      </c>
      <c r="CI56" s="85">
        <f>(CH8+CH9+CH12)*6.75%*-1</f>
        <v/>
      </c>
      <c r="CJ56" s="85">
        <f>(CI8+CI9+CI12)*6.75%*-1</f>
        <v/>
      </c>
      <c r="CK56" s="85">
        <f>(CJ8+CJ9+CJ12)*6.75%*-1</f>
        <v/>
      </c>
      <c r="CL56" s="85">
        <f>(CK8+CK9+CK12)*6.75%*-1</f>
        <v/>
      </c>
      <c r="CM56" s="85">
        <f>(CL8+CL9+CL12)*6.75%*-1</f>
        <v/>
      </c>
      <c r="CN56" s="296">
        <f>(CM8+CM9+CM12)*6.75%*-1</f>
        <v/>
      </c>
      <c r="CO56" s="87">
        <f>(CN8+CN9+CN12)*6.75%*-1</f>
        <v/>
      </c>
      <c r="CP56" s="85">
        <f>(CO8+CO9+CO12)*6.75%*-1</f>
        <v/>
      </c>
      <c r="CQ56" s="85">
        <f>(CP8+CP9+CP12)*6.75%*-1</f>
        <v/>
      </c>
      <c r="CR56" s="85">
        <f>(CQ8+CQ9+CQ12)*6.75%*-1</f>
        <v/>
      </c>
      <c r="CS56" s="85">
        <f>(CR8+CR9+CR12)*6.75%*-1</f>
        <v/>
      </c>
      <c r="CT56" s="85">
        <f>(CS8+CS9+CS12)*6.75%*-1</f>
        <v/>
      </c>
      <c r="CU56" s="85">
        <f>(CT8+CT9+CT12)*6.75%*-1</f>
        <v/>
      </c>
      <c r="CV56" s="85">
        <f>(CU8+CU9+CU12)*6.75%*-1</f>
        <v/>
      </c>
      <c r="CW56" s="85">
        <f>(CV8+CV9+CV12)*6.75%*-1</f>
        <v/>
      </c>
      <c r="CX56" s="85">
        <f>(CW8+CW9+CW12)*6.75%*-1</f>
        <v/>
      </c>
      <c r="CY56" s="85">
        <f>(CX8+CX9+CX12)*6.75%*-1</f>
        <v/>
      </c>
      <c r="CZ56" s="296">
        <f>(CY8+CY9+CY12)*6.75%*-1</f>
        <v/>
      </c>
      <c r="DA56" s="87">
        <f>(CZ8+CZ9+CZ12)*6.75%*-1</f>
        <v/>
      </c>
      <c r="DB56" s="85">
        <f>(DA8+DA9+DA12)*6.75%*-1</f>
        <v/>
      </c>
      <c r="DC56" s="85">
        <f>(DB8+DB9+DB12)*6.75%*-1</f>
        <v/>
      </c>
      <c r="DD56" s="85">
        <f>(DC8+DC9+DC12)*6.75%*-1</f>
        <v/>
      </c>
      <c r="DE56" s="85">
        <f>(DD8+DD9+DD12)*6.75%*-1</f>
        <v/>
      </c>
      <c r="DF56" s="85">
        <f>(DE8+DE9+DE12)*6.75%*-1</f>
        <v/>
      </c>
      <c r="DG56" s="85">
        <f>(DF8+DF9+DF12)*6.75%*-1</f>
        <v/>
      </c>
      <c r="DH56" s="85">
        <f>(DG8+DG9+DG12)*6.75%*-1</f>
        <v/>
      </c>
      <c r="DI56" s="85">
        <f>(DH8+DH9+DH12)*6.75%*-1</f>
        <v/>
      </c>
      <c r="DJ56" s="85">
        <f>(DI8+DI9+DI12)*6.75%*-1</f>
        <v/>
      </c>
      <c r="DK56" s="85">
        <f>(DJ8+DJ9+DJ12)*6.75%*-1</f>
        <v/>
      </c>
      <c r="DL56" s="85">
        <f>(DK8+DK9+DK12)*6.75%*-1</f>
        <v/>
      </c>
      <c r="DM56" s="85">
        <f>(DL8+DL9+DL12)*6.75%*-1</f>
        <v/>
      </c>
      <c r="DN56" s="85">
        <f>(DM8+DM9+DM12)*6.75%*-1</f>
        <v/>
      </c>
      <c r="DO56" s="85">
        <f>(DN8+DN9+DN12)*6.75%*-1</f>
        <v/>
      </c>
      <c r="DP56" s="85">
        <f>(DO8+DO9+DO12)*6.75%*-1</f>
        <v/>
      </c>
      <c r="DQ56" s="85">
        <f>(DP8+DP9+DP12)*6.75%*-1</f>
        <v/>
      </c>
      <c r="DR56" s="85">
        <f>(DQ8+DQ9+DQ12)*6.75%*-1</f>
        <v/>
      </c>
      <c r="DS56" s="85">
        <f>(DR8+DR9+DR12)*6.75%*-1</f>
        <v/>
      </c>
      <c r="DT56" s="85">
        <f>(DS8+DS9+DS12)*6.75%*-1</f>
        <v/>
      </c>
      <c r="DU56" s="85">
        <f>(DT8+DT9+DT12)*6.75%*-1</f>
        <v/>
      </c>
      <c r="DV56" s="85">
        <f>(DU8+DU9+DU12)*6.75%*-1</f>
        <v/>
      </c>
      <c r="DW56" s="85">
        <f>(DV8+DV9+DV12)*6.75%*-1</f>
        <v/>
      </c>
      <c r="DX56" s="85">
        <f>(DW8+DW9+DW12)*6.75%*-1</f>
        <v/>
      </c>
      <c r="DY56" s="87">
        <f>(DU8+DU9+DU12)*6.75%*-1</f>
        <v/>
      </c>
      <c r="DZ56" s="87">
        <f>(DY8+DY9+DY12)*6.75%*-1</f>
        <v/>
      </c>
      <c r="EA56" s="85">
        <f>(DZ8+DZ9+DZ12)*6.75%*-1</f>
        <v/>
      </c>
      <c r="EB56" s="85">
        <f>(EA8+EA9+EA12)*6.75%*-1</f>
        <v/>
      </c>
      <c r="EC56" s="85">
        <f>(EB8+EB9+EB12)*6.75%*-1</f>
        <v/>
      </c>
      <c r="ED56" s="85">
        <f>(EC8+EC9+EC12)*6.75%*-1</f>
        <v/>
      </c>
      <c r="EE56" s="85">
        <f>(ED8+ED9+ED12)*6.75%*-1</f>
        <v/>
      </c>
      <c r="EF56" s="85">
        <f>(EE8+EE9+EE12)*6.75%*-1</f>
        <v/>
      </c>
      <c r="EG56" s="85">
        <f>(EF8+EF9+EF12)*6.75%*-1</f>
        <v/>
      </c>
      <c r="EH56" s="85">
        <f>(EG8+EG9+EG12)*6.75%*-1</f>
        <v/>
      </c>
      <c r="EI56" s="86">
        <f>(EH8+EH9+EH12)*6.75%*-1</f>
        <v/>
      </c>
      <c r="EJ56" s="86">
        <f>(EI8+EI9+EI12)*6.75%*-1</f>
        <v/>
      </c>
      <c r="EK56" s="85">
        <f>(EJ8+EJ9+EJ12)*6.75%*-1</f>
        <v/>
      </c>
      <c r="EL56" s="85">
        <f>(EK8+EK9+EK12)*6.75%*-1</f>
        <v/>
      </c>
      <c r="EM56" s="85">
        <f>(EL8+EL9+EL12)*6.75%*-1</f>
        <v/>
      </c>
      <c r="EN56" s="85">
        <f>(EM8+EM9+EM12)*6.75%*-1</f>
        <v/>
      </c>
      <c r="EO56" s="85">
        <f>(EN8+EN9+EN12)*6.75%*-1</f>
        <v/>
      </c>
      <c r="EP56" s="85">
        <f>(EO8+EO9+EO12)*6.75%*-1</f>
        <v/>
      </c>
      <c r="EQ56" s="85">
        <f>(EP8+EP9+EP12)*6.75%*-1</f>
        <v/>
      </c>
      <c r="ER56" s="85">
        <f>(EQ8+EQ9+EQ12)*6.75%*-1</f>
        <v/>
      </c>
      <c r="ES56" s="85">
        <f>(ER8+ER9+ER12)*6.75%*-1</f>
        <v/>
      </c>
      <c r="ET56" s="85">
        <f>(ES8+ES9+ES12)*6.75%*-1</f>
        <v/>
      </c>
      <c r="EU56" s="85">
        <f>(ET8+ET9+ET12)*6.75%*-1</f>
        <v/>
      </c>
      <c r="EV56" s="296">
        <f>(EU8+EU9+EU12)*6.75%*-1</f>
        <v/>
      </c>
      <c r="EW56" s="87">
        <f>(EV8+EV9+EV12)*6.75%*-1</f>
        <v/>
      </c>
      <c r="EX56" s="85">
        <f>(EW8+EW9+EW12)*6.75%*-1</f>
        <v/>
      </c>
      <c r="EY56" s="85">
        <f>(EX8+EX9+EX12)*6.75%*-1</f>
        <v/>
      </c>
      <c r="EZ56" s="85">
        <f>(EY8+EY9+EY12)*6.75%*-1</f>
        <v/>
      </c>
      <c r="FA56" s="85">
        <f>(EZ8+EZ9+EZ12)*6.75%*-1</f>
        <v/>
      </c>
      <c r="FB56" s="85">
        <f>(FA8+FA9+FA12)*6.75%*-1</f>
        <v/>
      </c>
      <c r="FC56" s="85">
        <f>(FB8+FB9+FB12)*6.75%*-1</f>
        <v/>
      </c>
      <c r="FD56" s="85">
        <f>(FC8+FC9+FC12)*6.75%*-1</f>
        <v/>
      </c>
      <c r="FE56" s="85">
        <f>(FD8+FD9+FD12)*6.75%*-1</f>
        <v/>
      </c>
      <c r="FF56" s="85">
        <f>(FE8+FE9+FE12)*6.75%*-1</f>
        <v/>
      </c>
      <c r="FG56" s="85">
        <f>(FF8+FF9+FF12)*6.75%*-1</f>
        <v/>
      </c>
      <c r="FH56" s="296">
        <f>(FG8+FG9+FG12)*6.75%*-1</f>
        <v/>
      </c>
      <c r="FI56" s="87">
        <f>(FH8+FH9+FH12)*6.75%*-1</f>
        <v/>
      </c>
      <c r="FJ56" s="85">
        <f>(FI8+FI9+FI12)*6.75%*-1</f>
        <v/>
      </c>
      <c r="FK56" s="85">
        <f>(FJ8+FJ9+FJ12)*6.75%*-1</f>
        <v/>
      </c>
      <c r="FL56" s="85">
        <f>(FK8+FK9+FK12)*6.75%*-1</f>
        <v/>
      </c>
      <c r="FM56" s="85">
        <f>(FL8+FL9+FL12)*6.75%*-1</f>
        <v/>
      </c>
      <c r="FN56" s="85">
        <f>(FM8+FM9+FM12)*6.75%*-1</f>
        <v/>
      </c>
      <c r="FO56" s="85">
        <f>(FN8+FN9+FN12)*6.75%*-1</f>
        <v/>
      </c>
      <c r="FP56" s="85">
        <f>(FO8+FO9+FO12)*6.75%*-1</f>
        <v/>
      </c>
      <c r="FQ56" s="85">
        <f>(FP8+FP9+FP12)*6.75%*-1</f>
        <v/>
      </c>
      <c r="FR56" s="85">
        <f>(FQ8+FQ9+FQ12)*6.75%*-1</f>
        <v/>
      </c>
      <c r="FS56" s="85">
        <f>(FR8+FR9+FR12)*6.75%*-1</f>
        <v/>
      </c>
      <c r="FT56" s="85">
        <f>(FS8+FS9+FS12)*6.75%*-1</f>
        <v/>
      </c>
      <c r="FU56" s="85">
        <f>(FT8+FT9+FT12)*6.75%*-1</f>
        <v/>
      </c>
      <c r="FV56" s="85">
        <f>(FU8+FU9+FU12)*6.75%*-1</f>
        <v/>
      </c>
      <c r="FW56" s="85">
        <f>(FV8+FV9+FV12)*6.75%*-1</f>
        <v/>
      </c>
      <c r="FX56" s="85">
        <f>(FW8+FW9+FW12)*6.75%*-1</f>
        <v/>
      </c>
      <c r="FY56" s="85">
        <f>(FX8+FX9+FX12)*6.75%*-1</f>
        <v/>
      </c>
      <c r="FZ56" s="85">
        <f>(FY8+FY9+FY12)*6.75%*-1</f>
        <v/>
      </c>
      <c r="GA56" s="85">
        <f>(FZ8+FZ9+FZ12)*6.75%*-1</f>
        <v/>
      </c>
      <c r="GB56" s="85">
        <f>(GA8+GA9+GA12)*6.75%*-1</f>
        <v/>
      </c>
      <c r="GC56" s="85">
        <f>(GB8+GB9+GB12)*6.75%*-1</f>
        <v/>
      </c>
      <c r="GD56" s="85">
        <f>(GC8+GC9+GC12)*6.75%*-1</f>
        <v/>
      </c>
      <c r="GE56" s="85">
        <f>(GD8+GD9+GD12)*6.75%*-1</f>
        <v/>
      </c>
      <c r="GF56" s="85">
        <f>(GE8+GE9+GE12)*6.75%*-1</f>
        <v/>
      </c>
      <c r="GG56" s="85">
        <f>(GF8+GF9+GF12)*6.75%*-1</f>
        <v/>
      </c>
      <c r="GH56" s="85">
        <f>(GG8+GG9+GG12)*6.75%*-1</f>
        <v/>
      </c>
      <c r="GI56" s="85">
        <f>(GH8+GH9+GH12)*6.75%*-1</f>
        <v/>
      </c>
      <c r="GJ56" s="85">
        <f>(GI8+GI9+GI12)*6.75%*-1</f>
        <v/>
      </c>
      <c r="GK56" s="85">
        <f>(GJ8+GJ9+GJ12)*6.75%*-1</f>
        <v/>
      </c>
      <c r="GL56" s="85">
        <f>(GK8+GK9+GK12)*6.75%*-1</f>
        <v/>
      </c>
      <c r="GM56" s="85">
        <f>(GL8+GL9+GL12)*6.75%*-1</f>
        <v/>
      </c>
      <c r="GN56" s="85">
        <f>(GM8+GM9+GM12)*6.75%*-1</f>
        <v/>
      </c>
      <c r="GO56" s="85">
        <f>(GN8+GN9+GN12)*6.75%*-1</f>
        <v/>
      </c>
      <c r="GP56" s="85">
        <f>(GO8+GO9+GO12)*6.75%*-1</f>
        <v/>
      </c>
      <c r="GQ56" s="85">
        <f>(GP8+GP9+GP12)*6.75%*-1</f>
        <v/>
      </c>
      <c r="GR56" s="85">
        <f>(GQ8+GQ9+GQ12)*6.75%*-1</f>
        <v/>
      </c>
      <c r="GS56" s="85">
        <f>(GR8+GR9+GR12)*6.75%*-1</f>
        <v/>
      </c>
      <c r="GT56" s="85">
        <f>(GS8+GS9+GS12)*6.75%*-1</f>
        <v/>
      </c>
      <c r="GU56" s="85">
        <f>(GT8+GT9+GT12)*6.75%*-1</f>
        <v/>
      </c>
      <c r="GV56" s="85">
        <f>(GU8+GU9+GU12)*6.75%*-1</f>
        <v/>
      </c>
      <c r="GW56" s="85">
        <f>(GV8+GV9+GV12)*6.75%*-1</f>
        <v/>
      </c>
      <c r="GX56" s="85">
        <f>(GW8+GW9+GW12)*6.75%*-1</f>
        <v/>
      </c>
      <c r="GY56" s="85">
        <f>(GX8+GX9+GX12)*6.75%*-1</f>
        <v/>
      </c>
      <c r="GZ56" s="85">
        <f>(GY8+GY9+GY12)*6.75%*-1</f>
        <v/>
      </c>
      <c r="HA56" s="85">
        <f>(GZ8+GZ9+GZ12)*6.75%*-1</f>
        <v/>
      </c>
      <c r="HB56" s="85">
        <f>(HA8+HA9+HA12)*6.75%*-1</f>
        <v/>
      </c>
      <c r="HC56" s="85">
        <f>(HB8+HB9+HB12)*6.75%*-1</f>
        <v/>
      </c>
      <c r="HD56" s="85">
        <f>(HC8+HC9+HC12)*6.75%*-1</f>
        <v/>
      </c>
      <c r="HE56" s="85">
        <f>(HD8+HD9+HD12)*6.75%*-1</f>
        <v/>
      </c>
      <c r="HF56" s="85">
        <f>(HE8+HE9+HE12)*6.75%*-1</f>
        <v/>
      </c>
      <c r="HG56" s="85">
        <f>(HF8+HF9+HF12)*6.75%*-1</f>
        <v/>
      </c>
      <c r="HH56" s="85">
        <f>(HG8+HG9+HG12)*6.75%*-1</f>
        <v/>
      </c>
      <c r="HI56" s="85">
        <f>(HH8+HH9+HH12)*6.75%*-1</f>
        <v/>
      </c>
      <c r="HJ56" s="85">
        <f>(HI8+HI9+HI12)*6.75%*-1</f>
        <v/>
      </c>
      <c r="HK56" s="85">
        <f>(HJ8+HJ9+HJ12)*6.75%*-1</f>
        <v/>
      </c>
      <c r="HL56" s="85">
        <f>(HK8+HK9+HK12)*6.75%*-1</f>
        <v/>
      </c>
      <c r="HM56" s="85">
        <f>(HL8+HL9+HL12)*6.75%*-1</f>
        <v/>
      </c>
      <c r="HN56" s="85">
        <f>(HM8+HM9+HM12)*6.75%*-1</f>
        <v/>
      </c>
      <c r="HO56" s="85">
        <f>(HN8+HN9+HN12)*6.75%*-1</f>
        <v/>
      </c>
      <c r="HP56" s="85">
        <f>(HO8+HO9+HO12)*6.75%*-1</f>
        <v/>
      </c>
      <c r="HQ56" s="85">
        <f>(HP8+HP9+HP12)*6.75%*-1</f>
        <v/>
      </c>
      <c r="HR56" s="85">
        <f>(HQ8+HQ9+HQ12)*6.75%*-1</f>
        <v/>
      </c>
      <c r="HS56" s="85">
        <f>(HR8+HR9+HR12)*6.75%*-1</f>
        <v/>
      </c>
      <c r="HT56" s="85">
        <f>(HS8+HS9+HS12)*6.75%*-1</f>
        <v/>
      </c>
      <c r="HU56" s="85">
        <f>(HT8+HT9+HT12)*6.75%*-1</f>
        <v/>
      </c>
      <c r="JF56" s="87">
        <f>AP56</f>
        <v/>
      </c>
      <c r="JG56" s="87">
        <f>SUM(Z56:AK56)</f>
        <v/>
      </c>
      <c r="JH56" s="87">
        <f>SUM(AL56:AP56)</f>
        <v/>
      </c>
      <c r="JI56" s="87">
        <f>SUM(C56:AP56)</f>
        <v/>
      </c>
      <c r="JJ56" s="446" t="n"/>
      <c r="JM56" s="85" t="n">
        <v>-253307.5942500001</v>
      </c>
      <c r="KG56" s="136">
        <f>B56</f>
        <v/>
      </c>
      <c r="KH56" s="345">
        <f>AR56</f>
        <v/>
      </c>
    </row>
    <row r="57" ht="16.2" customHeight="1">
      <c r="A57" s="1" t="n"/>
      <c r="B57" s="145" t="n"/>
      <c r="C57" s="53" t="n"/>
      <c r="D57" s="53" t="n"/>
      <c r="E57" s="53" t="n"/>
      <c r="F57" s="53" t="n"/>
      <c r="G57" s="53" t="n"/>
      <c r="H57" s="53" t="n"/>
      <c r="I57" s="53" t="n"/>
      <c r="J57" s="185" t="n"/>
      <c r="K57" s="53" t="n"/>
      <c r="L57" s="53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13" t="n"/>
      <c r="AR57" s="240" t="n"/>
      <c r="AS57" s="1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307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307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307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307" t="n"/>
      <c r="CO57" s="53" t="n"/>
      <c r="CP57" s="53" t="n"/>
      <c r="CQ57" s="53" t="n"/>
      <c r="CR57" s="53" t="n"/>
      <c r="CS57" s="53" t="n"/>
      <c r="CT57" s="53" t="n"/>
      <c r="CU57" s="53" t="n"/>
      <c r="CV57" s="53" t="n"/>
      <c r="CW57" s="53" t="n"/>
      <c r="CX57" s="53" t="n"/>
      <c r="CY57" s="53" t="n"/>
      <c r="CZ57" s="307" t="n"/>
      <c r="DA57" s="53" t="n"/>
      <c r="DB57" s="53" t="n"/>
      <c r="DC57" s="53" t="n"/>
      <c r="DD57" s="53" t="n"/>
      <c r="DE57" s="53" t="n"/>
      <c r="DF57" s="53" t="n"/>
      <c r="DG57" s="53" t="n"/>
      <c r="DH57" s="53" t="n"/>
      <c r="DI57" s="53" t="n"/>
      <c r="DJ57" s="53" t="n"/>
      <c r="DK57" s="53" t="n"/>
      <c r="DL57" s="53" t="n"/>
      <c r="DM57" s="53" t="n"/>
      <c r="DN57" s="53" t="n"/>
      <c r="DO57" s="53" t="n"/>
      <c r="DP57" s="53" t="n"/>
      <c r="DQ57" s="53" t="n"/>
      <c r="DR57" s="53" t="n"/>
      <c r="DS57" s="53" t="n"/>
      <c r="DT57" s="53" t="n"/>
      <c r="DU57" s="53" t="n"/>
      <c r="DV57" s="53" t="n"/>
      <c r="DW57" s="53" t="n"/>
      <c r="DX57" s="53" t="n"/>
      <c r="DY57" s="53" t="n"/>
      <c r="DZ57" s="53" t="n"/>
      <c r="EA57" s="53" t="n"/>
      <c r="EB57" s="53" t="n"/>
      <c r="EC57" s="53" t="n"/>
      <c r="ED57" s="53" t="n"/>
      <c r="EE57" s="53" t="n"/>
      <c r="EF57" s="53" t="n"/>
      <c r="EG57" s="53" t="n"/>
      <c r="EH57" s="53" t="n"/>
      <c r="EI57" s="53" t="n"/>
      <c r="EJ57" s="53" t="n"/>
      <c r="EK57" s="53" t="n"/>
      <c r="EL57" s="53" t="n"/>
      <c r="EM57" s="53" t="n"/>
      <c r="EN57" s="53" t="n"/>
      <c r="EO57" s="53" t="n"/>
      <c r="EP57" s="53" t="n"/>
      <c r="EQ57" s="53" t="n"/>
      <c r="ER57" s="53" t="n"/>
      <c r="ES57" s="53" t="n"/>
      <c r="ET57" s="53" t="n"/>
      <c r="EU57" s="53" t="n"/>
      <c r="EV57" s="53" t="n"/>
      <c r="EW57" s="53" t="n"/>
      <c r="EX57" s="53" t="n"/>
      <c r="EY57" s="53" t="n"/>
      <c r="EZ57" s="53" t="n"/>
      <c r="FA57" s="53" t="n"/>
      <c r="FB57" s="53" t="n"/>
      <c r="FC57" s="53" t="n"/>
      <c r="FD57" s="53" t="n"/>
      <c r="FE57" s="53" t="n"/>
      <c r="FF57" s="53" t="n"/>
      <c r="FG57" s="53" t="n"/>
      <c r="FH57" s="53" t="n"/>
      <c r="FI57" s="53" t="n"/>
      <c r="FJ57" s="53" t="n"/>
      <c r="FK57" s="53" t="n"/>
      <c r="FL57" s="53" t="n"/>
      <c r="FM57" s="53" t="n"/>
      <c r="FN57" s="53" t="n"/>
      <c r="FO57" s="53" t="n"/>
      <c r="FP57" s="53" t="n"/>
      <c r="FQ57" s="53" t="n"/>
      <c r="FR57" s="53" t="n"/>
      <c r="FS57" s="53" t="n"/>
      <c r="FT57" s="53" t="n"/>
      <c r="FU57" s="53" t="n"/>
      <c r="FV57" s="53" t="n"/>
      <c r="FW57" s="53" t="n"/>
      <c r="FX57" s="53" t="n"/>
      <c r="FY57" s="53" t="n"/>
      <c r="FZ57" s="53" t="n"/>
      <c r="GA57" s="53" t="n"/>
      <c r="GB57" s="53" t="n"/>
      <c r="GC57" s="53" t="n"/>
      <c r="GD57" s="53" t="n"/>
      <c r="GE57" s="53" t="n"/>
      <c r="GF57" s="53" t="n"/>
      <c r="GG57" s="53" t="n"/>
      <c r="GH57" s="53" t="n"/>
      <c r="GI57" s="53" t="n"/>
      <c r="GJ57" s="53" t="n"/>
      <c r="GK57" s="53" t="n"/>
      <c r="GL57" s="53" t="n"/>
      <c r="GM57" s="53" t="n"/>
      <c r="GN57" s="53" t="n"/>
      <c r="GO57" s="53" t="n"/>
      <c r="GP57" s="53" t="n"/>
      <c r="GQ57" s="53" t="n"/>
      <c r="GR57" s="53" t="n"/>
      <c r="GS57" s="53" t="n"/>
      <c r="GT57" s="53" t="n"/>
      <c r="GU57" s="53" t="n"/>
      <c r="GV57" s="53" t="n"/>
      <c r="GW57" s="53" t="n"/>
      <c r="GX57" s="53" t="n"/>
      <c r="GY57" s="53" t="n"/>
      <c r="GZ57" s="53" t="n"/>
      <c r="HA57" s="53" t="n"/>
      <c r="HB57" s="53" t="n"/>
      <c r="HC57" s="53" t="n"/>
      <c r="HD57" s="53" t="n"/>
      <c r="HE57" s="53" t="n"/>
      <c r="HF57" s="53" t="n"/>
      <c r="HG57" s="53" t="n"/>
      <c r="HH57" s="53" t="n"/>
      <c r="HI57" s="53" t="n"/>
      <c r="HJ57" s="53" t="n"/>
      <c r="HK57" s="53" t="n"/>
      <c r="HL57" s="53" t="n"/>
      <c r="HM57" s="53" t="n"/>
      <c r="HN57" s="53" t="n"/>
      <c r="HO57" s="53" t="n"/>
      <c r="HP57" s="53" t="n"/>
      <c r="HQ57" s="53" t="n"/>
      <c r="HR57" s="53" t="n"/>
      <c r="HS57" s="53" t="n"/>
      <c r="HT57" s="53" t="n"/>
      <c r="HU57" s="53" t="n"/>
      <c r="JF57" s="53">
        <f>AP57</f>
        <v/>
      </c>
      <c r="JG57" s="53">
        <f>SUM(Z57:AK57)</f>
        <v/>
      </c>
      <c r="JH57" s="53">
        <f>SUM(AL57:AP57)</f>
        <v/>
      </c>
      <c r="JI57" s="53">
        <f>SUM(C57:AP57)</f>
        <v/>
      </c>
      <c r="JJ57" s="446" t="n"/>
      <c r="JM57" s="53" t="n"/>
      <c r="KG57" s="145">
        <f>B57</f>
        <v/>
      </c>
      <c r="KH57" s="240">
        <f>AR57</f>
        <v/>
      </c>
    </row>
    <row r="58" ht="16.2" customHeight="1">
      <c r="A58" s="19" t="inlineStr">
        <is>
          <t>DESAPROPRIAÇÃO (-)</t>
        </is>
      </c>
      <c r="B58" s="139" t="n"/>
      <c r="C58" s="20" t="n"/>
      <c r="D58" s="22" t="n"/>
      <c r="E58" s="20" t="n"/>
      <c r="F58" s="20" t="n"/>
      <c r="G58" s="20" t="n"/>
      <c r="H58" s="20" t="n"/>
      <c r="I58" s="21" t="n"/>
      <c r="J58" s="175" t="n"/>
      <c r="K58" s="21" t="n"/>
      <c r="L58" s="108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00" t="n"/>
      <c r="AR58" s="241" t="n"/>
      <c r="AS58" s="20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99" t="n"/>
      <c r="BE58" s="22" t="n"/>
      <c r="BF58" s="20" t="n"/>
      <c r="BG58" s="20" t="n"/>
      <c r="BH58" s="20" t="n"/>
      <c r="BI58" s="20" t="n"/>
      <c r="BJ58" s="20" t="n"/>
      <c r="BK58" s="20" t="n"/>
      <c r="BL58" s="20" t="n"/>
      <c r="BM58" s="20" t="n"/>
      <c r="BN58" s="20" t="n"/>
      <c r="BO58" s="20" t="n"/>
      <c r="BP58" s="299" t="n"/>
      <c r="BQ58" s="22" t="n"/>
      <c r="BR58" s="20" t="n"/>
      <c r="BS58" s="20" t="n"/>
      <c r="BT58" s="20" t="n"/>
      <c r="BU58" s="20" t="n"/>
      <c r="BV58" s="20" t="n"/>
      <c r="BW58" s="20" t="n"/>
      <c r="BX58" s="20" t="n"/>
      <c r="BY58" s="20" t="n"/>
      <c r="BZ58" s="20" t="n"/>
      <c r="CA58" s="20" t="n"/>
      <c r="CB58" s="299" t="n"/>
      <c r="CC58" s="22" t="n"/>
      <c r="CD58" s="20" t="n"/>
      <c r="CE58" s="20" t="n"/>
      <c r="CF58" s="20" t="n"/>
      <c r="CG58" s="20" t="n"/>
      <c r="CH58" s="20" t="n"/>
      <c r="CI58" s="20" t="n"/>
      <c r="CJ58" s="20" t="n"/>
      <c r="CK58" s="20" t="n"/>
      <c r="CL58" s="20" t="n"/>
      <c r="CM58" s="20" t="n"/>
      <c r="CN58" s="299" t="n"/>
      <c r="CO58" s="22" t="n"/>
      <c r="CP58" s="20" t="n"/>
      <c r="CQ58" s="20" t="n"/>
      <c r="CR58" s="20" t="n"/>
      <c r="CS58" s="20" t="n"/>
      <c r="CT58" s="20" t="n"/>
      <c r="CU58" s="20" t="n"/>
      <c r="CV58" s="20" t="n"/>
      <c r="CW58" s="20" t="n"/>
      <c r="CX58" s="20" t="n"/>
      <c r="CY58" s="20" t="n"/>
      <c r="CZ58" s="299" t="n"/>
      <c r="DA58" s="22" t="n"/>
      <c r="DB58" s="20" t="n"/>
      <c r="DC58" s="20" t="n"/>
      <c r="DD58" s="20" t="n"/>
      <c r="DE58" s="20" t="n"/>
      <c r="DF58" s="20" t="n"/>
      <c r="DG58" s="20" t="n"/>
      <c r="DH58" s="20" t="n"/>
      <c r="DI58" s="20" t="n"/>
      <c r="DJ58" s="21" t="n"/>
      <c r="DK58" s="20" t="n"/>
      <c r="DL58" s="21" t="n"/>
      <c r="DM58" s="20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 t="n"/>
      <c r="EG58" s="21" t="n"/>
      <c r="EH58" s="21" t="n"/>
      <c r="EI58" s="21" t="n"/>
      <c r="EJ58" s="21" t="n"/>
      <c r="EK58" s="21" t="n"/>
      <c r="EL58" s="21" t="n"/>
      <c r="EM58" s="21" t="n"/>
      <c r="EN58" s="21" t="n"/>
      <c r="EO58" s="21" t="n"/>
      <c r="EP58" s="21" t="n"/>
      <c r="EQ58" s="21" t="n"/>
      <c r="ER58" s="21" t="n"/>
      <c r="ES58" s="21" t="n"/>
      <c r="ET58" s="21" t="n"/>
      <c r="EU58" s="21" t="n"/>
      <c r="EV58" s="21" t="n"/>
      <c r="EW58" s="21" t="n"/>
      <c r="EX58" s="21" t="n"/>
      <c r="EY58" s="21" t="n"/>
      <c r="EZ58" s="21" t="n"/>
      <c r="FA58" s="21" t="n"/>
      <c r="FB58" s="21" t="n"/>
      <c r="FC58" s="21" t="n"/>
      <c r="FD58" s="21" t="n"/>
      <c r="FE58" s="21" t="n"/>
      <c r="FF58" s="21" t="n"/>
      <c r="FG58" s="21" t="n"/>
      <c r="FH58" s="21" t="n"/>
      <c r="FI58" s="21" t="n"/>
      <c r="FJ58" s="21" t="n"/>
      <c r="FK58" s="21" t="n"/>
      <c r="FL58" s="21" t="n"/>
      <c r="FM58" s="21" t="n"/>
      <c r="FN58" s="21" t="n"/>
      <c r="FO58" s="21" t="n"/>
      <c r="FP58" s="21" t="n"/>
      <c r="FQ58" s="21" t="n"/>
      <c r="FR58" s="21" t="n"/>
      <c r="FS58" s="21" t="n"/>
      <c r="FT58" s="21" t="n"/>
      <c r="FU58" s="21" t="n"/>
      <c r="FV58" s="21" t="n"/>
      <c r="FW58" s="21" t="n"/>
      <c r="FX58" s="21" t="n"/>
      <c r="FY58" s="21" t="n"/>
      <c r="FZ58" s="21" t="n"/>
      <c r="GA58" s="21" t="n"/>
      <c r="GB58" s="21" t="n"/>
      <c r="GC58" s="21" t="n"/>
      <c r="GD58" s="21" t="n"/>
      <c r="GE58" s="21" t="n"/>
      <c r="GF58" s="21" t="n"/>
      <c r="GG58" s="21" t="n"/>
      <c r="GH58" s="21" t="n"/>
      <c r="GI58" s="21" t="n"/>
      <c r="GJ58" s="21" t="n"/>
      <c r="GK58" s="21" t="n"/>
      <c r="GL58" s="21" t="n"/>
      <c r="GM58" s="21" t="n"/>
      <c r="GN58" s="21" t="n"/>
      <c r="GO58" s="21" t="n"/>
      <c r="GP58" s="21" t="n"/>
      <c r="GQ58" s="21" t="n"/>
      <c r="GR58" s="21" t="n"/>
      <c r="GS58" s="21" t="n"/>
      <c r="GT58" s="21" t="n"/>
      <c r="GU58" s="21" t="n"/>
      <c r="GV58" s="21" t="n"/>
      <c r="GW58" s="21" t="n"/>
      <c r="GX58" s="21" t="n"/>
      <c r="GY58" s="21" t="n"/>
      <c r="GZ58" s="21" t="n"/>
      <c r="HA58" s="21" t="n"/>
      <c r="HB58" s="21" t="n"/>
      <c r="HC58" s="21" t="n"/>
      <c r="HD58" s="21" t="n"/>
      <c r="HE58" s="21" t="n"/>
      <c r="HF58" s="21" t="n"/>
      <c r="HG58" s="21" t="n"/>
      <c r="HH58" s="21" t="n"/>
      <c r="HI58" s="21" t="n"/>
      <c r="HJ58" s="21" t="n"/>
      <c r="HK58" s="21" t="n"/>
      <c r="HL58" s="21" t="n"/>
      <c r="HM58" s="21" t="n"/>
      <c r="HN58" s="21" t="n"/>
      <c r="HO58" s="21" t="n"/>
      <c r="HP58" s="21" t="n"/>
      <c r="HQ58" s="21" t="n"/>
      <c r="HR58" s="21" t="n"/>
      <c r="HS58" s="21" t="n"/>
      <c r="HT58" s="21" t="n"/>
      <c r="HU58" s="21" t="n"/>
      <c r="JF58" s="20">
        <f>AP58</f>
        <v/>
      </c>
      <c r="JG58" s="20">
        <f>SUM(Z58:AK58)</f>
        <v/>
      </c>
      <c r="JH58" s="20">
        <f>SUM(AL58:AP58)</f>
        <v/>
      </c>
      <c r="JI58" s="20">
        <f>SUM(C58:AP58)</f>
        <v/>
      </c>
      <c r="JJ58" s="446" t="n"/>
      <c r="JM58" s="21" t="n"/>
      <c r="KG58" s="139">
        <f>B58</f>
        <v/>
      </c>
      <c r="KH58" s="241">
        <f>AR58</f>
        <v/>
      </c>
    </row>
    <row r="59" ht="16.2" customHeight="1">
      <c r="A59" s="7" t="inlineStr">
        <is>
          <t>Desapropriação</t>
        </is>
      </c>
      <c r="B59" s="136">
        <f>SUM(C59:AP59)</f>
        <v/>
      </c>
      <c r="C59" s="85" t="n">
        <v>0</v>
      </c>
      <c r="D59" s="87" t="n">
        <v>0</v>
      </c>
      <c r="E59" s="85" t="n">
        <v>0</v>
      </c>
      <c r="F59" s="85" t="n">
        <v>0</v>
      </c>
      <c r="G59" s="85" t="n">
        <v>0</v>
      </c>
      <c r="H59" s="85" t="n"/>
      <c r="I59" s="86" t="n">
        <v>0</v>
      </c>
      <c r="J59" s="170" t="n">
        <v>0</v>
      </c>
      <c r="K59" s="86" t="n">
        <v>0</v>
      </c>
      <c r="L59" s="34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  <c r="AG59" s="159" t="n">
        <v>-2778000</v>
      </c>
      <c r="AH59" s="159" t="n">
        <v>0</v>
      </c>
      <c r="AI59" s="159" t="n">
        <v>0</v>
      </c>
      <c r="AJ59" s="159" t="n">
        <v>0</v>
      </c>
      <c r="AK59" s="159" t="n">
        <v>0</v>
      </c>
      <c r="AL59" s="159" t="n">
        <v>0</v>
      </c>
      <c r="AM59" s="159" t="n">
        <v>0</v>
      </c>
      <c r="AN59" s="159" t="n">
        <v>0</v>
      </c>
      <c r="AO59" s="159" t="n">
        <v>0</v>
      </c>
      <c r="AP59" s="159" t="n">
        <v>0</v>
      </c>
      <c r="AQ59" s="13" t="n"/>
      <c r="AR59" s="345">
        <f>SUM(AT59:HU59)</f>
        <v/>
      </c>
      <c r="AS59" s="13" t="n"/>
      <c r="AT59" s="85" t="n">
        <v>0</v>
      </c>
      <c r="AU59" s="85" t="n">
        <v>0</v>
      </c>
      <c r="AV59" s="85" t="n">
        <v>0</v>
      </c>
      <c r="AW59" s="85" t="n">
        <v>0</v>
      </c>
      <c r="AX59" s="85" t="n">
        <v>0</v>
      </c>
      <c r="AY59" s="85" t="n">
        <v>0</v>
      </c>
      <c r="AZ59" s="85" t="n">
        <v>0</v>
      </c>
      <c r="BA59" s="85" t="n">
        <v>0</v>
      </c>
      <c r="BB59" s="85" t="n">
        <v>0</v>
      </c>
      <c r="BC59" s="85" t="n">
        <v>0</v>
      </c>
      <c r="BD59" s="85" t="n">
        <v>0</v>
      </c>
      <c r="BE59" s="85" t="n">
        <v>0</v>
      </c>
      <c r="BF59" s="85" t="n">
        <v>0</v>
      </c>
      <c r="BG59" s="85" t="n">
        <v>0</v>
      </c>
      <c r="BH59" s="85" t="n">
        <v>0</v>
      </c>
      <c r="BI59" s="85" t="n">
        <v>0</v>
      </c>
      <c r="BJ59" s="85" t="n">
        <v>0</v>
      </c>
      <c r="BK59" s="85" t="n">
        <v>0</v>
      </c>
      <c r="BL59" s="85" t="n">
        <v>0</v>
      </c>
      <c r="BM59" s="85" t="n">
        <v>0</v>
      </c>
      <c r="BN59" s="85" t="n">
        <v>0</v>
      </c>
      <c r="BO59" s="85" t="n">
        <v>0</v>
      </c>
      <c r="BP59" s="85" t="n">
        <v>0</v>
      </c>
      <c r="BQ59" s="85" t="n">
        <v>0</v>
      </c>
      <c r="BR59" s="85" t="n">
        <v>0</v>
      </c>
      <c r="BS59" s="85" t="n">
        <v>0</v>
      </c>
      <c r="BT59" s="85" t="n">
        <v>0</v>
      </c>
      <c r="BU59" s="85" t="n">
        <v>0</v>
      </c>
      <c r="BV59" s="85" t="n">
        <v>0</v>
      </c>
      <c r="BW59" s="85" t="n">
        <v>0</v>
      </c>
      <c r="BX59" s="85" t="n">
        <v>0</v>
      </c>
      <c r="BY59" s="85" t="n">
        <v>0</v>
      </c>
      <c r="BZ59" s="85" t="n">
        <v>0</v>
      </c>
      <c r="CA59" s="85" t="n">
        <v>0</v>
      </c>
      <c r="CB59" s="85" t="n">
        <v>0</v>
      </c>
      <c r="CC59" s="85" t="n">
        <v>0</v>
      </c>
      <c r="CD59" s="85" t="n">
        <v>0</v>
      </c>
      <c r="CE59" s="85" t="n">
        <v>0</v>
      </c>
      <c r="CF59" s="85" t="n">
        <v>0</v>
      </c>
      <c r="CG59" s="85" t="n">
        <v>0</v>
      </c>
      <c r="CH59" s="85" t="n">
        <v>0</v>
      </c>
      <c r="CI59" s="85" t="n">
        <v>0</v>
      </c>
      <c r="CJ59" s="85" t="n">
        <v>0</v>
      </c>
      <c r="CK59" s="85" t="n">
        <v>0</v>
      </c>
      <c r="CL59" s="85" t="n">
        <v>0</v>
      </c>
      <c r="CM59" s="85" t="n">
        <v>0</v>
      </c>
      <c r="CN59" s="85" t="n">
        <v>0</v>
      </c>
      <c r="CO59" s="85" t="n">
        <v>0</v>
      </c>
      <c r="CP59" s="85" t="n">
        <v>0</v>
      </c>
      <c r="CQ59" s="85" t="n">
        <v>0</v>
      </c>
      <c r="CR59" s="85" t="n">
        <v>0</v>
      </c>
      <c r="CS59" s="85" t="n">
        <v>0</v>
      </c>
      <c r="CT59" s="85" t="n">
        <v>0</v>
      </c>
      <c r="CU59" s="85" t="n">
        <v>0</v>
      </c>
      <c r="CV59" s="85" t="n">
        <v>0</v>
      </c>
      <c r="CW59" s="85" t="n">
        <v>0</v>
      </c>
      <c r="CX59" s="85" t="n">
        <v>0</v>
      </c>
      <c r="CY59" s="85" t="n">
        <v>0</v>
      </c>
      <c r="CZ59" s="85" t="n">
        <v>0</v>
      </c>
      <c r="DA59" s="85" t="n">
        <v>0</v>
      </c>
      <c r="DB59" s="85" t="n">
        <v>0</v>
      </c>
      <c r="DC59" s="85" t="n">
        <v>0</v>
      </c>
      <c r="DD59" s="85" t="n">
        <v>0</v>
      </c>
      <c r="DE59" s="85" t="n">
        <v>0</v>
      </c>
      <c r="DF59" s="85" t="n">
        <v>0</v>
      </c>
      <c r="DG59" s="85" t="n">
        <v>0</v>
      </c>
      <c r="DH59" s="85" t="n">
        <v>0</v>
      </c>
      <c r="DI59" s="85" t="n">
        <v>0</v>
      </c>
      <c r="DJ59" s="85" t="n">
        <v>0</v>
      </c>
      <c r="DK59" s="85" t="n">
        <v>0</v>
      </c>
      <c r="DL59" s="85" t="n">
        <v>0</v>
      </c>
      <c r="DM59" s="85" t="n">
        <v>0</v>
      </c>
      <c r="DN59" s="85" t="n">
        <v>0</v>
      </c>
      <c r="DO59" s="85" t="n">
        <v>0</v>
      </c>
      <c r="DP59" s="85" t="n">
        <v>0</v>
      </c>
      <c r="DQ59" s="85" t="n">
        <v>0</v>
      </c>
      <c r="DR59" s="85" t="n">
        <v>0</v>
      </c>
      <c r="DS59" s="85" t="n">
        <v>0</v>
      </c>
      <c r="DT59" s="85" t="n">
        <v>0</v>
      </c>
      <c r="DU59" s="85" t="n">
        <v>0</v>
      </c>
      <c r="DV59" s="85" t="n">
        <v>0</v>
      </c>
      <c r="DW59" s="85" t="n">
        <v>0</v>
      </c>
      <c r="DX59" s="85" t="n">
        <v>0</v>
      </c>
      <c r="DY59" s="85" t="n">
        <v>0</v>
      </c>
      <c r="DZ59" s="85" t="n">
        <v>0</v>
      </c>
      <c r="EA59" s="85" t="n">
        <v>0</v>
      </c>
      <c r="EB59" s="85" t="n">
        <v>0</v>
      </c>
      <c r="EC59" s="85" t="n">
        <v>0</v>
      </c>
      <c r="ED59" s="85" t="n">
        <v>0</v>
      </c>
      <c r="EE59" s="85" t="n">
        <v>0</v>
      </c>
      <c r="EF59" s="85" t="n">
        <v>0</v>
      </c>
      <c r="EG59" s="85" t="n">
        <v>0</v>
      </c>
      <c r="EH59" s="85" t="n">
        <v>0</v>
      </c>
      <c r="EI59" s="85" t="n">
        <v>0</v>
      </c>
      <c r="EJ59" s="85" t="n">
        <v>0</v>
      </c>
      <c r="EK59" s="85" t="n">
        <v>0</v>
      </c>
      <c r="EL59" s="85" t="n">
        <v>0</v>
      </c>
      <c r="EM59" s="85" t="n">
        <v>0</v>
      </c>
      <c r="EN59" s="85" t="n">
        <v>0</v>
      </c>
      <c r="EO59" s="85" t="n">
        <v>0</v>
      </c>
      <c r="EP59" s="85" t="n">
        <v>0</v>
      </c>
      <c r="EQ59" s="85" t="n">
        <v>0</v>
      </c>
      <c r="ER59" s="85" t="n">
        <v>0</v>
      </c>
      <c r="ES59" s="85" t="n">
        <v>0</v>
      </c>
      <c r="ET59" s="85" t="n">
        <v>0</v>
      </c>
      <c r="EU59" s="85" t="n">
        <v>0</v>
      </c>
      <c r="EV59" s="85" t="n">
        <v>0</v>
      </c>
      <c r="EW59" s="85" t="n">
        <v>0</v>
      </c>
      <c r="EX59" s="85" t="n">
        <v>0</v>
      </c>
      <c r="EY59" s="85" t="n">
        <v>0</v>
      </c>
      <c r="EZ59" s="85" t="n">
        <v>0</v>
      </c>
      <c r="FA59" s="85" t="n">
        <v>0</v>
      </c>
      <c r="FB59" s="85" t="n">
        <v>0</v>
      </c>
      <c r="FC59" s="85" t="n">
        <v>0</v>
      </c>
      <c r="FD59" s="85" t="n">
        <v>0</v>
      </c>
      <c r="FE59" s="85" t="n">
        <v>0</v>
      </c>
      <c r="FF59" s="85" t="n">
        <v>0</v>
      </c>
      <c r="FG59" s="85" t="n">
        <v>0</v>
      </c>
      <c r="FH59" s="85" t="n">
        <v>0</v>
      </c>
      <c r="FI59" s="85" t="n">
        <v>0</v>
      </c>
      <c r="FJ59" s="85" t="n">
        <v>0</v>
      </c>
      <c r="FK59" s="85" t="n">
        <v>0</v>
      </c>
      <c r="FL59" s="85" t="n">
        <v>0</v>
      </c>
      <c r="FM59" s="85" t="n">
        <v>0</v>
      </c>
      <c r="FN59" s="85" t="n">
        <v>0</v>
      </c>
      <c r="FO59" s="85" t="n">
        <v>0</v>
      </c>
      <c r="FP59" s="85" t="n">
        <v>0</v>
      </c>
      <c r="FQ59" s="85" t="n">
        <v>0</v>
      </c>
      <c r="FR59" s="85" t="n">
        <v>0</v>
      </c>
      <c r="FS59" s="85" t="n">
        <v>0</v>
      </c>
      <c r="FT59" s="85" t="n">
        <v>0</v>
      </c>
      <c r="FU59" s="85" t="n">
        <v>0</v>
      </c>
      <c r="FV59" s="85" t="n">
        <v>0</v>
      </c>
      <c r="FW59" s="85" t="n">
        <v>0</v>
      </c>
      <c r="FX59" s="85" t="n">
        <v>0</v>
      </c>
      <c r="FY59" s="85" t="n">
        <v>0</v>
      </c>
      <c r="FZ59" s="85" t="n">
        <v>0</v>
      </c>
      <c r="GA59" s="85" t="n">
        <v>0</v>
      </c>
      <c r="GB59" s="85" t="n">
        <v>0</v>
      </c>
      <c r="GC59" s="85" t="n">
        <v>0</v>
      </c>
      <c r="GD59" s="85" t="n">
        <v>0</v>
      </c>
      <c r="GE59" s="85" t="n">
        <v>0</v>
      </c>
      <c r="GF59" s="85" t="n">
        <v>0</v>
      </c>
      <c r="GG59" s="85" t="n">
        <v>0</v>
      </c>
      <c r="GH59" s="85" t="n">
        <v>0</v>
      </c>
      <c r="GI59" s="85" t="n">
        <v>0</v>
      </c>
      <c r="GJ59" s="85" t="n">
        <v>0</v>
      </c>
      <c r="GK59" s="85" t="n">
        <v>0</v>
      </c>
      <c r="GL59" s="85" t="n">
        <v>0</v>
      </c>
      <c r="GM59" s="85" t="n">
        <v>0</v>
      </c>
      <c r="GN59" s="85" t="n">
        <v>0</v>
      </c>
      <c r="GO59" s="85" t="n">
        <v>0</v>
      </c>
      <c r="GP59" s="85" t="n">
        <v>0</v>
      </c>
      <c r="GQ59" s="85" t="n">
        <v>0</v>
      </c>
      <c r="GR59" s="85" t="n">
        <v>0</v>
      </c>
      <c r="GS59" s="85" t="n">
        <v>0</v>
      </c>
      <c r="GT59" s="85" t="n">
        <v>0</v>
      </c>
      <c r="GU59" s="85" t="n">
        <v>0</v>
      </c>
      <c r="GV59" s="85" t="n">
        <v>0</v>
      </c>
      <c r="GW59" s="85" t="n">
        <v>0</v>
      </c>
      <c r="GX59" s="85" t="n">
        <v>0</v>
      </c>
      <c r="GY59" s="85" t="n">
        <v>0</v>
      </c>
      <c r="GZ59" s="85" t="n">
        <v>0</v>
      </c>
      <c r="HA59" s="85" t="n">
        <v>0</v>
      </c>
      <c r="HB59" s="85" t="n">
        <v>0</v>
      </c>
      <c r="HC59" s="85" t="n">
        <v>0</v>
      </c>
      <c r="HD59" s="85" t="n">
        <v>0</v>
      </c>
      <c r="HE59" s="85" t="n">
        <v>0</v>
      </c>
      <c r="HF59" s="85" t="n">
        <v>0</v>
      </c>
      <c r="HG59" s="85" t="n">
        <v>0</v>
      </c>
      <c r="HH59" s="85" t="n">
        <v>0</v>
      </c>
      <c r="HI59" s="85" t="n">
        <v>0</v>
      </c>
      <c r="HJ59" s="85" t="n">
        <v>0</v>
      </c>
      <c r="HK59" s="85" t="n">
        <v>0</v>
      </c>
      <c r="HL59" s="85" t="n">
        <v>0</v>
      </c>
      <c r="HM59" s="85" t="n">
        <v>0</v>
      </c>
      <c r="HN59" s="85" t="n">
        <v>0</v>
      </c>
      <c r="HO59" s="85" t="n">
        <v>0</v>
      </c>
      <c r="HP59" s="85" t="n">
        <v>0</v>
      </c>
      <c r="HQ59" s="85" t="n">
        <v>0</v>
      </c>
      <c r="HR59" s="85" t="n">
        <v>0</v>
      </c>
      <c r="HS59" s="85" t="n">
        <v>0</v>
      </c>
      <c r="HT59" s="85" t="n">
        <v>0</v>
      </c>
      <c r="HU59" s="85" t="n">
        <v>0</v>
      </c>
      <c r="JF59" s="87">
        <f>AP59</f>
        <v/>
      </c>
      <c r="JG59" s="87">
        <f>SUM(Z59:AK59)</f>
        <v/>
      </c>
      <c r="JH59" s="87">
        <f>SUM(AL59:AP59)</f>
        <v/>
      </c>
      <c r="JI59" s="87">
        <f>SUM(C59:AP59)</f>
        <v/>
      </c>
      <c r="JJ59" s="446" t="n"/>
      <c r="JM59" s="85" t="n">
        <v>0</v>
      </c>
      <c r="KG59" s="136">
        <f>B59</f>
        <v/>
      </c>
      <c r="KH59" s="345">
        <f>AR59</f>
        <v/>
      </c>
    </row>
    <row r="60" ht="7.2" customHeight="1">
      <c r="A60" s="1" t="n"/>
      <c r="B60" s="143" t="n"/>
      <c r="C60" s="53" t="n"/>
      <c r="D60" s="53" t="n"/>
      <c r="E60" s="53" t="n"/>
      <c r="F60" s="53" t="n"/>
      <c r="G60" s="53" t="n"/>
      <c r="H60" s="53" t="n"/>
      <c r="I60" s="53" t="n"/>
      <c r="J60" s="185" t="n"/>
      <c r="K60" s="53" t="n"/>
      <c r="L60" s="53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3" t="n"/>
      <c r="AR60" s="240" t="n"/>
      <c r="AS60" s="1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307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307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307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307" t="n"/>
      <c r="CO60" s="53" t="n"/>
      <c r="CP60" s="53" t="n"/>
      <c r="CQ60" s="53" t="n"/>
      <c r="CR60" s="53" t="n"/>
      <c r="CS60" s="53" t="n"/>
      <c r="CT60" s="53" t="n"/>
      <c r="CU60" s="53" t="n"/>
      <c r="CV60" s="53" t="n"/>
      <c r="CW60" s="53" t="n"/>
      <c r="CX60" s="53" t="n"/>
      <c r="CY60" s="53" t="n"/>
      <c r="CZ60" s="307" t="n"/>
      <c r="DA60" s="53" t="n"/>
      <c r="DB60" s="53" t="n"/>
      <c r="DC60" s="53" t="n"/>
      <c r="DD60" s="53" t="n"/>
      <c r="DE60" s="53" t="n"/>
      <c r="DF60" s="53" t="n"/>
      <c r="DG60" s="53" t="n"/>
      <c r="DH60" s="53" t="n"/>
      <c r="DI60" s="53" t="n"/>
      <c r="DJ60" s="53" t="n"/>
      <c r="DK60" s="53" t="n"/>
      <c r="DL60" s="53" t="n"/>
      <c r="DM60" s="53" t="n"/>
      <c r="DN60" s="53" t="n"/>
      <c r="DO60" s="53" t="n"/>
      <c r="DP60" s="53" t="n"/>
      <c r="DQ60" s="53" t="n"/>
      <c r="DR60" s="53" t="n"/>
      <c r="DS60" s="53" t="n"/>
      <c r="DT60" s="53" t="n"/>
      <c r="DU60" s="53" t="n"/>
      <c r="DV60" s="53" t="n"/>
      <c r="DW60" s="53" t="n"/>
      <c r="DX60" s="53" t="n"/>
      <c r="DY60" s="53" t="n"/>
      <c r="DZ60" s="53" t="n"/>
      <c r="EA60" s="53" t="n"/>
      <c r="EB60" s="53" t="n"/>
      <c r="EC60" s="53" t="n"/>
      <c r="ED60" s="53" t="n"/>
      <c r="EE60" s="53" t="n"/>
      <c r="EF60" s="53" t="n"/>
      <c r="EG60" s="53" t="n"/>
      <c r="EH60" s="53" t="n"/>
      <c r="EI60" s="53" t="n"/>
      <c r="EJ60" s="53" t="n"/>
      <c r="EK60" s="53" t="n"/>
      <c r="EL60" s="53" t="n"/>
      <c r="EM60" s="53" t="n"/>
      <c r="EN60" s="53" t="n"/>
      <c r="EO60" s="53" t="n"/>
      <c r="EP60" s="53" t="n"/>
      <c r="EQ60" s="53" t="n"/>
      <c r="ER60" s="53" t="n"/>
      <c r="ES60" s="53" t="n"/>
      <c r="ET60" s="53" t="n"/>
      <c r="EU60" s="53" t="n"/>
      <c r="EV60" s="53" t="n"/>
      <c r="EW60" s="53" t="n"/>
      <c r="EX60" s="53" t="n"/>
      <c r="EY60" s="53" t="n"/>
      <c r="EZ60" s="53" t="n"/>
      <c r="FA60" s="53" t="n"/>
      <c r="FB60" s="53" t="n"/>
      <c r="FC60" s="53" t="n"/>
      <c r="FD60" s="53" t="n"/>
      <c r="FE60" s="53" t="n"/>
      <c r="FF60" s="53" t="n"/>
      <c r="FG60" s="53" t="n"/>
      <c r="FH60" s="53" t="n"/>
      <c r="FI60" s="53" t="n"/>
      <c r="FJ60" s="53" t="n"/>
      <c r="FK60" s="53" t="n"/>
      <c r="FL60" s="53" t="n"/>
      <c r="FM60" s="53" t="n"/>
      <c r="FN60" s="53" t="n"/>
      <c r="FO60" s="53" t="n"/>
      <c r="FP60" s="53" t="n"/>
      <c r="FQ60" s="53" t="n"/>
      <c r="FR60" s="53" t="n"/>
      <c r="FS60" s="53" t="n"/>
      <c r="FT60" s="53" t="n"/>
      <c r="FU60" s="53" t="n"/>
      <c r="FV60" s="53" t="n"/>
      <c r="FW60" s="53" t="n"/>
      <c r="FX60" s="53" t="n"/>
      <c r="FY60" s="53" t="n"/>
      <c r="FZ60" s="53" t="n"/>
      <c r="GA60" s="53" t="n"/>
      <c r="GB60" s="53" t="n"/>
      <c r="GC60" s="53" t="n"/>
      <c r="GD60" s="53" t="n"/>
      <c r="GE60" s="53" t="n"/>
      <c r="GF60" s="53" t="n"/>
      <c r="GG60" s="53" t="n"/>
      <c r="GH60" s="53" t="n"/>
      <c r="GI60" s="53" t="n"/>
      <c r="GJ60" s="53" t="n"/>
      <c r="GK60" s="53" t="n"/>
      <c r="GL60" s="53" t="n"/>
      <c r="GM60" s="53" t="n"/>
      <c r="GN60" s="53" t="n"/>
      <c r="GO60" s="53" t="n"/>
      <c r="GP60" s="53" t="n"/>
      <c r="GQ60" s="53" t="n"/>
      <c r="GR60" s="53" t="n"/>
      <c r="GS60" s="53" t="n"/>
      <c r="GT60" s="53" t="n"/>
      <c r="GU60" s="53" t="n"/>
      <c r="GV60" s="53" t="n"/>
      <c r="GW60" s="53" t="n"/>
      <c r="GX60" s="53" t="n"/>
      <c r="GY60" s="53" t="n"/>
      <c r="GZ60" s="53" t="n"/>
      <c r="HA60" s="53" t="n"/>
      <c r="HB60" s="53" t="n"/>
      <c r="HC60" s="53" t="n"/>
      <c r="HD60" s="53" t="n"/>
      <c r="HE60" s="53" t="n"/>
      <c r="HF60" s="53" t="n"/>
      <c r="HG60" s="53" t="n"/>
      <c r="HH60" s="53" t="n"/>
      <c r="HI60" s="53" t="n"/>
      <c r="HJ60" s="53" t="n"/>
      <c r="HK60" s="53" t="n"/>
      <c r="HL60" s="53" t="n"/>
      <c r="HM60" s="53" t="n"/>
      <c r="HN60" s="53" t="n"/>
      <c r="HO60" s="53" t="n"/>
      <c r="HP60" s="53" t="n"/>
      <c r="HQ60" s="53" t="n"/>
      <c r="HR60" s="53" t="n"/>
      <c r="HS60" s="53" t="n"/>
      <c r="HT60" s="53" t="n"/>
      <c r="HU60" s="53" t="n"/>
      <c r="JF60" s="53">
        <f>AP60</f>
        <v/>
      </c>
      <c r="JG60" s="53">
        <f>SUM(Z60:AK60)</f>
        <v/>
      </c>
      <c r="JH60" s="53">
        <f>SUM(AL60:AP60)</f>
        <v/>
      </c>
      <c r="JI60" s="53">
        <f>SUM(C60:AP60)</f>
        <v/>
      </c>
      <c r="JJ60" s="446" t="n"/>
      <c r="JM60" s="53" t="n"/>
      <c r="KG60" s="143">
        <f>B60</f>
        <v/>
      </c>
      <c r="KH60" s="240">
        <f>AR60</f>
        <v/>
      </c>
    </row>
    <row r="61" ht="16.2" customHeight="1">
      <c r="A61" s="19" t="inlineStr">
        <is>
          <t>DISTRATOS (-)</t>
        </is>
      </c>
      <c r="B61" s="139" t="n"/>
      <c r="C61" s="20" t="n"/>
      <c r="D61" s="22" t="n"/>
      <c r="E61" s="20" t="n"/>
      <c r="F61" s="20" t="n"/>
      <c r="G61" s="20" t="n"/>
      <c r="H61" s="20" t="n"/>
      <c r="I61" s="21" t="n"/>
      <c r="J61" s="175" t="n"/>
      <c r="K61" s="21" t="n"/>
      <c r="L61" s="108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00" t="n"/>
      <c r="AR61" s="241" t="n"/>
      <c r="AS61" s="20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99" t="n"/>
      <c r="BE61" s="22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99" t="n"/>
      <c r="BQ61" s="22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99" t="n"/>
      <c r="CC61" s="22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99" t="n"/>
      <c r="CO61" s="22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99" t="n"/>
      <c r="DA61" s="22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1" t="n"/>
      <c r="DK61" s="20" t="n"/>
      <c r="DL61" s="21" t="n"/>
      <c r="DM61" s="20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 t="n"/>
      <c r="EG61" s="21" t="n"/>
      <c r="EH61" s="21" t="n"/>
      <c r="EI61" s="21" t="n"/>
      <c r="EJ61" s="21" t="n"/>
      <c r="EK61" s="21" t="n"/>
      <c r="EL61" s="21" t="n"/>
      <c r="EM61" s="21" t="n"/>
      <c r="EN61" s="21" t="n"/>
      <c r="EO61" s="21" t="n"/>
      <c r="EP61" s="21" t="n"/>
      <c r="EQ61" s="21" t="n"/>
      <c r="ER61" s="21" t="n"/>
      <c r="ES61" s="21" t="n"/>
      <c r="ET61" s="21" t="n"/>
      <c r="EU61" s="21" t="n"/>
      <c r="EV61" s="21" t="n"/>
      <c r="EW61" s="21" t="n"/>
      <c r="EX61" s="21" t="n"/>
      <c r="EY61" s="21" t="n"/>
      <c r="EZ61" s="21" t="n"/>
      <c r="FA61" s="21" t="n"/>
      <c r="FB61" s="21" t="n"/>
      <c r="FC61" s="21" t="n"/>
      <c r="FD61" s="21" t="n"/>
      <c r="FE61" s="21" t="n"/>
      <c r="FF61" s="21" t="n"/>
      <c r="FG61" s="21" t="n"/>
      <c r="FH61" s="21" t="n"/>
      <c r="FI61" s="21" t="n"/>
      <c r="FJ61" s="21" t="n"/>
      <c r="FK61" s="21" t="n"/>
      <c r="FL61" s="21" t="n"/>
      <c r="FM61" s="21" t="n"/>
      <c r="FN61" s="21" t="n"/>
      <c r="FO61" s="21" t="n"/>
      <c r="FP61" s="21" t="n"/>
      <c r="FQ61" s="21" t="n"/>
      <c r="FR61" s="21" t="n"/>
      <c r="FS61" s="21" t="n"/>
      <c r="FT61" s="21" t="n"/>
      <c r="FU61" s="21" t="n"/>
      <c r="FV61" s="21" t="n"/>
      <c r="FW61" s="21" t="n"/>
      <c r="FX61" s="21" t="n"/>
      <c r="FY61" s="21" t="n"/>
      <c r="FZ61" s="21" t="n"/>
      <c r="GA61" s="21" t="n"/>
      <c r="GB61" s="21" t="n"/>
      <c r="GC61" s="21" t="n"/>
      <c r="GD61" s="21" t="n"/>
      <c r="GE61" s="21" t="n"/>
      <c r="GF61" s="21" t="n"/>
      <c r="GG61" s="21" t="n"/>
      <c r="GH61" s="21" t="n"/>
      <c r="GI61" s="21" t="n"/>
      <c r="GJ61" s="21" t="n"/>
      <c r="GK61" s="21" t="n"/>
      <c r="GL61" s="21" t="n"/>
      <c r="GM61" s="21" t="n"/>
      <c r="GN61" s="21" t="n"/>
      <c r="GO61" s="21" t="n"/>
      <c r="GP61" s="21" t="n"/>
      <c r="GQ61" s="21" t="n"/>
      <c r="GR61" s="21" t="n"/>
      <c r="GS61" s="21" t="n"/>
      <c r="GT61" s="21" t="n"/>
      <c r="GU61" s="21" t="n"/>
      <c r="GV61" s="21" t="n"/>
      <c r="GW61" s="21" t="n"/>
      <c r="GX61" s="21" t="n"/>
      <c r="GY61" s="21" t="n"/>
      <c r="GZ61" s="21" t="n"/>
      <c r="HA61" s="21" t="n"/>
      <c r="HB61" s="21" t="n"/>
      <c r="HC61" s="21" t="n"/>
      <c r="HD61" s="21" t="n"/>
      <c r="HE61" s="21" t="n"/>
      <c r="HF61" s="21" t="n"/>
      <c r="HG61" s="21" t="n"/>
      <c r="HH61" s="21" t="n"/>
      <c r="HI61" s="21" t="n"/>
      <c r="HJ61" s="21" t="n"/>
      <c r="HK61" s="21" t="n"/>
      <c r="HL61" s="21" t="n"/>
      <c r="HM61" s="21" t="n"/>
      <c r="HN61" s="21" t="n"/>
      <c r="HO61" s="21" t="n"/>
      <c r="HP61" s="21" t="n"/>
      <c r="HQ61" s="21" t="n"/>
      <c r="HR61" s="21" t="n"/>
      <c r="HS61" s="21" t="n"/>
      <c r="HT61" s="21" t="n"/>
      <c r="HU61" s="21" t="n"/>
      <c r="JF61" s="20">
        <f>AP61</f>
        <v/>
      </c>
      <c r="JG61" s="20">
        <f>SUM(Z61:AK61)</f>
        <v/>
      </c>
      <c r="JH61" s="20">
        <f>SUM(AL61:AP61)</f>
        <v/>
      </c>
      <c r="JI61" s="20">
        <f>SUM(C61:AP61)</f>
        <v/>
      </c>
      <c r="JJ61" s="446" t="n"/>
      <c r="JM61" s="21" t="n"/>
      <c r="KG61" s="139">
        <f>B61</f>
        <v/>
      </c>
      <c r="KH61" s="241">
        <f>AR61</f>
        <v/>
      </c>
    </row>
    <row r="62" ht="16.2" customHeight="1">
      <c r="A62" s="7" t="inlineStr">
        <is>
          <t>Devoluções</t>
        </is>
      </c>
      <c r="B62" s="136">
        <f>SUM(C62:AP62)</f>
        <v/>
      </c>
      <c r="C62" s="85" t="n"/>
      <c r="D62" s="87" t="n"/>
      <c r="E62" s="85" t="n"/>
      <c r="F62" s="85" t="n"/>
      <c r="G62" s="85" t="n"/>
      <c r="H62" s="85" t="n"/>
      <c r="I62" s="86" t="n"/>
      <c r="J62" s="228" t="n"/>
      <c r="K62" s="229" t="n"/>
      <c r="L62" s="122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>
        <v>-138044.5</v>
      </c>
      <c r="AE62" s="219" t="n">
        <v>0</v>
      </c>
      <c r="AF62" s="219" t="n">
        <v>0</v>
      </c>
      <c r="AG62" s="219" t="n">
        <v>0</v>
      </c>
      <c r="AH62" s="219" t="n">
        <v>0</v>
      </c>
      <c r="AI62" s="219" t="n">
        <v>0</v>
      </c>
      <c r="AJ62" s="219">
        <f>-59410.58-59410.58-59359.09</f>
        <v/>
      </c>
      <c r="AK62" s="219" t="n"/>
      <c r="AL62" s="219" t="n"/>
      <c r="AM62" s="219" t="n"/>
      <c r="AN62" s="219" t="n"/>
      <c r="AO62" s="219" t="n"/>
      <c r="AP62" s="219" t="n"/>
      <c r="AQ62" s="13" t="n"/>
      <c r="AR62" s="345">
        <f>SUM(AT62:HU62)</f>
        <v/>
      </c>
      <c r="AS62" s="13" t="n"/>
      <c r="AT62" s="85" t="n">
        <v>-91053.071</v>
      </c>
      <c r="AU62" s="85" t="n">
        <v>0</v>
      </c>
      <c r="AV62" s="85" t="n">
        <v>0</v>
      </c>
      <c r="AW62" s="85" t="n">
        <v>0</v>
      </c>
      <c r="AX62" s="85" t="n">
        <v>0</v>
      </c>
      <c r="AY62" s="85" t="n">
        <v>0</v>
      </c>
      <c r="AZ62" s="85" t="n">
        <v>0</v>
      </c>
      <c r="BA62" s="85" t="n">
        <v>0</v>
      </c>
      <c r="BB62" s="85" t="n">
        <v>0</v>
      </c>
      <c r="BC62" s="85" t="n">
        <v>0</v>
      </c>
      <c r="BD62" s="296" t="n">
        <v>0</v>
      </c>
      <c r="BE62" s="87" t="n">
        <v>0</v>
      </c>
      <c r="BF62" s="85" t="n">
        <v>0</v>
      </c>
      <c r="BG62" s="85" t="n">
        <v>0</v>
      </c>
      <c r="BH62" s="85" t="n">
        <v>0</v>
      </c>
      <c r="BI62" s="85" t="n">
        <v>0</v>
      </c>
      <c r="BJ62" s="85" t="n">
        <v>0</v>
      </c>
      <c r="BK62" s="85" t="n">
        <v>0</v>
      </c>
      <c r="BL62" s="85" t="n">
        <v>0</v>
      </c>
      <c r="BM62" s="85" t="n">
        <v>0</v>
      </c>
      <c r="BN62" s="85" t="n">
        <v>0</v>
      </c>
      <c r="BO62" s="85" t="n">
        <v>0</v>
      </c>
      <c r="BP62" s="296" t="n">
        <v>0</v>
      </c>
      <c r="BQ62" s="87" t="n">
        <v>0</v>
      </c>
      <c r="BR62" s="85" t="n">
        <v>0</v>
      </c>
      <c r="BS62" s="85" t="n">
        <v>0</v>
      </c>
      <c r="BT62" s="85" t="n">
        <v>0</v>
      </c>
      <c r="BU62" s="85" t="n">
        <v>0</v>
      </c>
      <c r="BV62" s="85" t="n">
        <v>0</v>
      </c>
      <c r="BW62" s="85" t="n">
        <v>0</v>
      </c>
      <c r="BX62" s="85" t="n">
        <v>0</v>
      </c>
      <c r="BY62" s="85" t="n">
        <v>0</v>
      </c>
      <c r="BZ62" s="85" t="n">
        <v>0</v>
      </c>
      <c r="CA62" s="85" t="n">
        <v>0</v>
      </c>
      <c r="CB62" s="296" t="n">
        <v>0</v>
      </c>
      <c r="CC62" s="87" t="n">
        <v>0</v>
      </c>
      <c r="CD62" s="85" t="n">
        <v>0</v>
      </c>
      <c r="CE62" s="85" t="n">
        <v>0</v>
      </c>
      <c r="CF62" s="85" t="n">
        <v>0</v>
      </c>
      <c r="CG62" s="85" t="n">
        <v>0</v>
      </c>
      <c r="CH62" s="85" t="n">
        <v>0</v>
      </c>
      <c r="CI62" s="85" t="n">
        <v>0</v>
      </c>
      <c r="CJ62" s="85" t="n">
        <v>0</v>
      </c>
      <c r="CK62" s="85" t="n">
        <v>0</v>
      </c>
      <c r="CL62" s="85" t="n">
        <v>0</v>
      </c>
      <c r="CM62" s="85" t="n">
        <v>0</v>
      </c>
      <c r="CN62" s="296" t="n">
        <v>0</v>
      </c>
      <c r="CO62" s="87" t="n">
        <v>0</v>
      </c>
      <c r="CP62" s="85" t="n">
        <v>0</v>
      </c>
      <c r="CQ62" s="85" t="n">
        <v>0</v>
      </c>
      <c r="CR62" s="85" t="n">
        <v>0</v>
      </c>
      <c r="CS62" s="85" t="n">
        <v>0</v>
      </c>
      <c r="CT62" s="85" t="n">
        <v>0</v>
      </c>
      <c r="CU62" s="85" t="n">
        <v>0</v>
      </c>
      <c r="CV62" s="85" t="n">
        <v>0</v>
      </c>
      <c r="CW62" s="85" t="n">
        <v>0</v>
      </c>
      <c r="CX62" s="85" t="n">
        <v>0</v>
      </c>
      <c r="CY62" s="85" t="n">
        <v>0</v>
      </c>
      <c r="CZ62" s="296" t="n">
        <v>0</v>
      </c>
      <c r="DA62" s="87" t="n">
        <v>0</v>
      </c>
      <c r="DB62" s="85" t="n">
        <v>0</v>
      </c>
      <c r="DC62" s="85" t="n">
        <v>0</v>
      </c>
      <c r="DD62" s="85" t="n">
        <v>0</v>
      </c>
      <c r="DE62" s="85" t="n">
        <v>0</v>
      </c>
      <c r="DF62" s="85" t="n">
        <v>0</v>
      </c>
      <c r="DG62" s="85" t="n">
        <v>0</v>
      </c>
      <c r="DH62" s="85" t="n">
        <v>0</v>
      </c>
      <c r="DI62" s="85" t="n">
        <v>0</v>
      </c>
      <c r="DJ62" s="86" t="n">
        <v>0</v>
      </c>
      <c r="DK62" s="85" t="n"/>
      <c r="DL62" s="86" t="n">
        <v>0</v>
      </c>
      <c r="DM62" s="85" t="n"/>
      <c r="DN62" s="86" t="n">
        <v>0</v>
      </c>
      <c r="DO62" s="86" t="n"/>
      <c r="DP62" s="86" t="n"/>
      <c r="DQ62" s="86" t="n"/>
      <c r="DR62" s="86" t="n"/>
      <c r="DS62" s="86" t="n"/>
      <c r="DT62" s="86" t="n"/>
      <c r="DU62" s="86" t="n"/>
      <c r="DV62" s="86" t="n"/>
      <c r="DW62" s="86" t="n"/>
      <c r="DX62" s="86" t="n"/>
      <c r="DY62" s="86" t="n"/>
      <c r="DZ62" s="86" t="n"/>
      <c r="EA62" s="86" t="n"/>
      <c r="EB62" s="86" t="n"/>
      <c r="EC62" s="86" t="n"/>
      <c r="ED62" s="86" t="n"/>
      <c r="EE62" s="86" t="n"/>
      <c r="EF62" s="86" t="n"/>
      <c r="EG62" s="86" t="n"/>
      <c r="EH62" s="86" t="n"/>
      <c r="EI62" s="86" t="n"/>
      <c r="EJ62" s="86" t="n"/>
      <c r="EK62" s="86" t="n"/>
      <c r="EL62" s="86" t="n"/>
      <c r="EM62" s="86" t="n"/>
      <c r="EN62" s="86" t="n"/>
      <c r="EO62" s="86" t="n"/>
      <c r="EP62" s="86" t="n"/>
      <c r="EQ62" s="86" t="n"/>
      <c r="ER62" s="86" t="n"/>
      <c r="ES62" s="86" t="n"/>
      <c r="ET62" s="86" t="n"/>
      <c r="EU62" s="86" t="n"/>
      <c r="EV62" s="86" t="n"/>
      <c r="EW62" s="86" t="n"/>
      <c r="EX62" s="86" t="n"/>
      <c r="EY62" s="86" t="n"/>
      <c r="EZ62" s="86" t="n"/>
      <c r="FA62" s="86" t="n"/>
      <c r="FB62" s="86" t="n"/>
      <c r="FC62" s="86" t="n"/>
      <c r="FD62" s="86" t="n"/>
      <c r="FE62" s="86" t="n"/>
      <c r="FF62" s="86" t="n"/>
      <c r="FG62" s="86" t="n"/>
      <c r="FH62" s="86" t="n"/>
      <c r="FI62" s="86" t="n"/>
      <c r="FJ62" s="86" t="n"/>
      <c r="FK62" s="86" t="n"/>
      <c r="FL62" s="86" t="n"/>
      <c r="FM62" s="86" t="n"/>
      <c r="FN62" s="86" t="n"/>
      <c r="FO62" s="86" t="n"/>
      <c r="FP62" s="86" t="n"/>
      <c r="FQ62" s="86" t="n"/>
      <c r="FR62" s="86" t="n"/>
      <c r="FS62" s="86" t="n"/>
      <c r="FT62" s="86" t="n"/>
      <c r="FU62" s="86" t="n"/>
      <c r="FV62" s="86" t="n"/>
      <c r="FW62" s="86" t="n"/>
      <c r="FX62" s="86" t="n"/>
      <c r="FY62" s="86" t="n"/>
      <c r="FZ62" s="86" t="n"/>
      <c r="GA62" s="86" t="n"/>
      <c r="GB62" s="86" t="n"/>
      <c r="GC62" s="86" t="n"/>
      <c r="GD62" s="86" t="n"/>
      <c r="GE62" s="86" t="n"/>
      <c r="GF62" s="86" t="n"/>
      <c r="GG62" s="86" t="n"/>
      <c r="GH62" s="86" t="n"/>
      <c r="GI62" s="86" t="n"/>
      <c r="GJ62" s="86" t="n"/>
      <c r="GK62" s="86" t="n"/>
      <c r="GL62" s="86" t="n"/>
      <c r="GM62" s="86" t="n"/>
      <c r="GN62" s="86" t="n"/>
      <c r="GO62" s="86" t="n"/>
      <c r="GP62" s="86" t="n"/>
      <c r="GQ62" s="86" t="n"/>
      <c r="GR62" s="86" t="n"/>
      <c r="GS62" s="86" t="n"/>
      <c r="GT62" s="86" t="n"/>
      <c r="GU62" s="86" t="n"/>
      <c r="GV62" s="86" t="n"/>
      <c r="GW62" s="86" t="n"/>
      <c r="GX62" s="86" t="n"/>
      <c r="GY62" s="86" t="n"/>
      <c r="GZ62" s="86" t="n"/>
      <c r="HA62" s="86" t="n"/>
      <c r="HB62" s="86" t="n"/>
      <c r="HC62" s="86" t="n"/>
      <c r="HD62" s="86" t="n"/>
      <c r="HE62" s="86" t="n"/>
      <c r="HF62" s="86" t="n"/>
      <c r="HG62" s="86" t="n"/>
      <c r="HH62" s="86" t="n"/>
      <c r="HI62" s="86" t="n"/>
      <c r="HJ62" s="86" t="n"/>
      <c r="HK62" s="86" t="n"/>
      <c r="HL62" s="86" t="n"/>
      <c r="HM62" s="86" t="n"/>
      <c r="HN62" s="86" t="n"/>
      <c r="HO62" s="86" t="n"/>
      <c r="HP62" s="86" t="n"/>
      <c r="HQ62" s="86" t="n"/>
      <c r="HR62" s="86" t="n"/>
      <c r="HS62" s="86" t="n"/>
      <c r="HT62" s="86" t="n"/>
      <c r="HU62" s="86" t="n"/>
      <c r="JF62" s="85">
        <f>AP62</f>
        <v/>
      </c>
      <c r="JG62" s="85">
        <f>SUM(Z62:AK62)</f>
        <v/>
      </c>
      <c r="JH62" s="85">
        <f>SUM(AL62:AP62)</f>
        <v/>
      </c>
      <c r="JI62" s="85">
        <f>SUM(C62:AP62)</f>
        <v/>
      </c>
      <c r="JJ62" s="446" t="n"/>
      <c r="JM62" s="86" t="n">
        <v>0</v>
      </c>
      <c r="KG62" s="136">
        <f>B62</f>
        <v/>
      </c>
      <c r="KH62" s="441">
        <f>AR62</f>
        <v/>
      </c>
    </row>
    <row r="63" ht="8.4" customHeight="1">
      <c r="A63" s="28" t="n"/>
      <c r="B63" s="146" t="n"/>
      <c r="C63" s="512" t="n"/>
      <c r="D63" s="512" t="n"/>
      <c r="E63" s="512" t="n"/>
      <c r="F63" s="512" t="n"/>
      <c r="G63" s="512" t="n"/>
      <c r="H63" s="512" t="n"/>
      <c r="I63" s="512" t="n"/>
      <c r="J63" s="513" t="n"/>
      <c r="K63" s="512" t="n"/>
      <c r="L63" s="512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514" t="n"/>
      <c r="AA63" s="514" t="n"/>
      <c r="AB63" s="514" t="n"/>
      <c r="AC63" s="514" t="n"/>
      <c r="AD63" s="514" t="n"/>
      <c r="AE63" s="514" t="n"/>
      <c r="AF63" s="514" t="n"/>
      <c r="AG63" s="514" t="n"/>
      <c r="AH63" s="514" t="n"/>
      <c r="AI63" s="514" t="n"/>
      <c r="AJ63" s="514" t="n"/>
      <c r="AK63" s="514" t="n"/>
      <c r="AL63" s="514" t="n"/>
      <c r="AM63" s="514" t="n"/>
      <c r="AN63" s="514" t="n"/>
      <c r="AO63" s="514" t="n"/>
      <c r="AP63" s="514" t="n"/>
      <c r="AQ63" s="512" t="n"/>
      <c r="AR63" s="533" t="n"/>
      <c r="AS63" s="512" t="n"/>
      <c r="AT63" s="512" t="n"/>
      <c r="AU63" s="512" t="n"/>
      <c r="AV63" s="512" t="n"/>
      <c r="AW63" s="512" t="n"/>
      <c r="AX63" s="512" t="n"/>
      <c r="AY63" s="512" t="n"/>
      <c r="AZ63" s="512" t="n"/>
      <c r="BA63" s="512" t="n"/>
      <c r="BB63" s="512" t="n"/>
      <c r="BC63" s="512" t="n"/>
      <c r="BD63" s="515" t="n"/>
      <c r="BE63" s="512" t="n"/>
      <c r="BF63" s="512" t="n"/>
      <c r="BG63" s="512" t="n"/>
      <c r="BH63" s="512" t="n"/>
      <c r="BI63" s="512" t="n"/>
      <c r="BJ63" s="512" t="n"/>
      <c r="BK63" s="512" t="n"/>
      <c r="BL63" s="512" t="n"/>
      <c r="BM63" s="512" t="n"/>
      <c r="BN63" s="512" t="n"/>
      <c r="BO63" s="512" t="n"/>
      <c r="BP63" s="515" t="n"/>
      <c r="BQ63" s="512" t="n"/>
      <c r="BR63" s="512" t="n"/>
      <c r="BS63" s="512" t="n"/>
      <c r="BT63" s="512" t="n"/>
      <c r="BU63" s="512" t="n"/>
      <c r="BV63" s="512" t="n"/>
      <c r="BW63" s="512" t="n"/>
      <c r="BX63" s="512" t="n"/>
      <c r="BY63" s="512" t="n"/>
      <c r="BZ63" s="512" t="n"/>
      <c r="CA63" s="512" t="n"/>
      <c r="CB63" s="515" t="n"/>
      <c r="CC63" s="512" t="n"/>
      <c r="CD63" s="512" t="n"/>
      <c r="CE63" s="512" t="n"/>
      <c r="CF63" s="512" t="n"/>
      <c r="CG63" s="512" t="n"/>
      <c r="CH63" s="512" t="n"/>
      <c r="CI63" s="512" t="n"/>
      <c r="CJ63" s="512" t="n"/>
      <c r="CK63" s="512" t="n"/>
      <c r="CL63" s="512" t="n"/>
      <c r="CM63" s="512" t="n"/>
      <c r="CN63" s="515" t="n"/>
      <c r="CO63" s="512" t="n"/>
      <c r="CP63" s="512" t="n"/>
      <c r="CQ63" s="512" t="n"/>
      <c r="CR63" s="512" t="n"/>
      <c r="CS63" s="512" t="n"/>
      <c r="CT63" s="512" t="n"/>
      <c r="CU63" s="512" t="n"/>
      <c r="CV63" s="512" t="n"/>
      <c r="CW63" s="512" t="n"/>
      <c r="CX63" s="512" t="n"/>
      <c r="CY63" s="512" t="n"/>
      <c r="CZ63" s="515" t="n"/>
      <c r="DA63" s="512" t="n"/>
      <c r="DB63" s="512" t="n"/>
      <c r="DC63" s="512" t="n"/>
      <c r="DD63" s="512" t="n"/>
      <c r="DE63" s="512" t="n"/>
      <c r="DF63" s="512" t="n"/>
      <c r="DG63" s="512" t="n"/>
      <c r="DH63" s="512" t="n"/>
      <c r="DI63" s="512" t="n"/>
      <c r="DJ63" s="512" t="n"/>
      <c r="DK63" s="512" t="n"/>
      <c r="DL63" s="512" t="n"/>
      <c r="DM63" s="512" t="n"/>
      <c r="DN63" s="512" t="n"/>
      <c r="DO63" s="512" t="n"/>
      <c r="DP63" s="512" t="n"/>
      <c r="DQ63" s="512" t="n"/>
      <c r="DR63" s="512" t="n"/>
      <c r="DS63" s="512" t="n"/>
      <c r="DT63" s="512" t="n"/>
      <c r="DU63" s="512" t="n"/>
      <c r="DV63" s="512" t="n"/>
      <c r="DW63" s="512" t="n"/>
      <c r="DX63" s="512" t="n"/>
      <c r="DY63" s="512" t="n"/>
      <c r="DZ63" s="512" t="n"/>
      <c r="EA63" s="512" t="n"/>
      <c r="EB63" s="512" t="n"/>
      <c r="EC63" s="512" t="n"/>
      <c r="ED63" s="512" t="n"/>
      <c r="EE63" s="512" t="n"/>
      <c r="EF63" s="512" t="n"/>
      <c r="EG63" s="512" t="n"/>
      <c r="EH63" s="512" t="n"/>
      <c r="EI63" s="512" t="n"/>
      <c r="EJ63" s="512" t="n"/>
      <c r="EK63" s="512" t="n"/>
      <c r="EL63" s="512" t="n"/>
      <c r="EM63" s="512" t="n"/>
      <c r="EN63" s="512" t="n"/>
      <c r="EO63" s="512" t="n"/>
      <c r="EP63" s="512" t="n"/>
      <c r="EQ63" s="512" t="n"/>
      <c r="ER63" s="512" t="n"/>
      <c r="ES63" s="512" t="n"/>
      <c r="ET63" s="512" t="n"/>
      <c r="EU63" s="512" t="n"/>
      <c r="EV63" s="512" t="n"/>
      <c r="EW63" s="512" t="n"/>
      <c r="EX63" s="512" t="n"/>
      <c r="EY63" s="512" t="n"/>
      <c r="EZ63" s="512" t="n"/>
      <c r="FA63" s="512" t="n"/>
      <c r="FB63" s="512" t="n"/>
      <c r="FC63" s="512" t="n"/>
      <c r="FD63" s="512" t="n"/>
      <c r="FE63" s="512" t="n"/>
      <c r="FF63" s="512" t="n"/>
      <c r="FG63" s="512" t="n"/>
      <c r="FH63" s="512" t="n"/>
      <c r="FI63" s="512" t="n"/>
      <c r="FJ63" s="512" t="n"/>
      <c r="FK63" s="512" t="n"/>
      <c r="FL63" s="512" t="n"/>
      <c r="FM63" s="512" t="n"/>
      <c r="FN63" s="512" t="n"/>
      <c r="FO63" s="512" t="n"/>
      <c r="FP63" s="512" t="n"/>
      <c r="FQ63" s="512" t="n"/>
      <c r="FR63" s="512" t="n"/>
      <c r="FS63" s="512" t="n"/>
      <c r="FT63" s="512" t="n"/>
      <c r="FU63" s="512" t="n"/>
      <c r="FV63" s="512" t="n"/>
      <c r="FW63" s="512" t="n"/>
      <c r="FX63" s="512" t="n"/>
      <c r="FY63" s="512" t="n"/>
      <c r="FZ63" s="512" t="n"/>
      <c r="GA63" s="512" t="n"/>
      <c r="GB63" s="512" t="n"/>
      <c r="GC63" s="512" t="n"/>
      <c r="GD63" s="512" t="n"/>
      <c r="GE63" s="512" t="n"/>
      <c r="GF63" s="512" t="n"/>
      <c r="GG63" s="512" t="n"/>
      <c r="GH63" s="512" t="n"/>
      <c r="GI63" s="512" t="n"/>
      <c r="GJ63" s="512" t="n"/>
      <c r="GK63" s="512" t="n"/>
      <c r="GL63" s="512" t="n"/>
      <c r="GM63" s="512" t="n"/>
      <c r="GN63" s="512" t="n"/>
      <c r="GO63" s="512" t="n"/>
      <c r="GP63" s="512" t="n"/>
      <c r="GQ63" s="512" t="n"/>
      <c r="GR63" s="512" t="n"/>
      <c r="GS63" s="512" t="n"/>
      <c r="GT63" s="512" t="n"/>
      <c r="GU63" s="512" t="n"/>
      <c r="GV63" s="512" t="n"/>
      <c r="GW63" s="512" t="n"/>
      <c r="GX63" s="512" t="n"/>
      <c r="GY63" s="512" t="n"/>
      <c r="GZ63" s="512" t="n"/>
      <c r="HA63" s="512" t="n"/>
      <c r="HB63" s="512" t="n"/>
      <c r="HC63" s="512" t="n"/>
      <c r="HD63" s="512" t="n"/>
      <c r="HE63" s="512" t="n"/>
      <c r="HF63" s="512" t="n"/>
      <c r="HG63" s="512" t="n"/>
      <c r="HH63" s="512" t="n"/>
      <c r="HI63" s="512" t="n"/>
      <c r="HJ63" s="512" t="n"/>
      <c r="HK63" s="512" t="n"/>
      <c r="HL63" s="512" t="n"/>
      <c r="HM63" s="512" t="n"/>
      <c r="HN63" s="512" t="n"/>
      <c r="HO63" s="512" t="n"/>
      <c r="HP63" s="512" t="n"/>
      <c r="HQ63" s="512" t="n"/>
      <c r="HR63" s="512" t="n"/>
      <c r="HS63" s="512" t="n"/>
      <c r="HT63" s="512" t="n"/>
      <c r="HU63" s="512" t="n"/>
      <c r="JF63" s="512">
        <f>AP63</f>
        <v/>
      </c>
      <c r="JG63" s="512">
        <f>SUM(Z63:AK63)</f>
        <v/>
      </c>
      <c r="JH63" s="512">
        <f>SUM(AL63:AP63)</f>
        <v/>
      </c>
      <c r="JI63" s="512">
        <f>SUM(C63:AP63)</f>
        <v/>
      </c>
      <c r="JJ63" s="446" t="n"/>
      <c r="JM63" s="512" t="n"/>
      <c r="KG63" s="146">
        <f>B63</f>
        <v/>
      </c>
      <c r="KH63" s="533">
        <f>AR63</f>
        <v/>
      </c>
    </row>
    <row r="64" ht="16.2" customHeight="1">
      <c r="A64" s="19" t="inlineStr">
        <is>
          <t>DISTRIBUIÇÕES (-)</t>
        </is>
      </c>
      <c r="B64" s="139" t="n"/>
      <c r="C64" s="20" t="n"/>
      <c r="D64" s="22" t="n"/>
      <c r="E64" s="20" t="n"/>
      <c r="F64" s="20" t="n"/>
      <c r="G64" s="20" t="n"/>
      <c r="H64" s="20" t="n"/>
      <c r="I64" s="21" t="n"/>
      <c r="J64" s="175" t="n"/>
      <c r="K64" s="21" t="n"/>
      <c r="L64" s="108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00" t="n"/>
      <c r="AR64" s="241" t="n"/>
      <c r="AS64" s="200" t="n"/>
      <c r="AT64" s="20" t="n"/>
      <c r="AU64" s="20" t="n"/>
      <c r="AV64" s="20" t="n"/>
      <c r="AW64" s="20" t="n"/>
      <c r="AX64" s="20" t="n"/>
      <c r="AY64" s="20" t="n"/>
      <c r="AZ64" s="20" t="n"/>
      <c r="BA64" s="20" t="n"/>
      <c r="BB64" s="20" t="n"/>
      <c r="BC64" s="20" t="n"/>
      <c r="BD64" s="299" t="n"/>
      <c r="BE64" s="22" t="n"/>
      <c r="BF64" s="20" t="n"/>
      <c r="BG64" s="20" t="n"/>
      <c r="BH64" s="444" t="n"/>
      <c r="BI64" s="444" t="n"/>
      <c r="BJ64" s="444" t="n"/>
      <c r="BK64" s="20" t="n"/>
      <c r="BL64" s="20" t="n"/>
      <c r="BM64" s="20" t="n"/>
      <c r="BN64" s="20" t="n"/>
      <c r="BO64" s="20" t="n"/>
      <c r="BP64" s="299" t="n"/>
      <c r="BQ64" s="22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99" t="n"/>
      <c r="CC64" s="22" t="n"/>
      <c r="CD64" s="20" t="n"/>
      <c r="CE64" s="20" t="n"/>
      <c r="CF64" s="20" t="n"/>
      <c r="CG64" s="20" t="n"/>
      <c r="CH64" s="20" t="n"/>
      <c r="CI64" s="20" t="n"/>
      <c r="CJ64" s="20" t="n"/>
      <c r="CK64" s="20" t="n"/>
      <c r="CL64" s="20" t="n"/>
      <c r="CM64" s="20" t="n"/>
      <c r="CN64" s="299" t="n"/>
      <c r="CO64" s="22" t="n"/>
      <c r="CP64" s="20" t="n"/>
      <c r="CQ64" s="20" t="n"/>
      <c r="CR64" s="20" t="n"/>
      <c r="CS64" s="20" t="n"/>
      <c r="CT64" s="20" t="n"/>
      <c r="CU64" s="20" t="n"/>
      <c r="CV64" s="20" t="n"/>
      <c r="CW64" s="20" t="n"/>
      <c r="CX64" s="20" t="n"/>
      <c r="CY64" s="20" t="n"/>
      <c r="CZ64" s="299" t="n"/>
      <c r="DA64" s="22" t="n"/>
      <c r="DB64" s="20" t="n"/>
      <c r="DC64" s="20" t="n"/>
      <c r="DD64" s="20" t="n"/>
      <c r="DE64" s="20" t="n"/>
      <c r="DF64" s="20" t="n"/>
      <c r="DG64" s="20" t="n"/>
      <c r="DH64" s="20" t="n"/>
      <c r="DI64" s="20" t="n"/>
      <c r="DJ64" s="21" t="n"/>
      <c r="DK64" s="20" t="n"/>
      <c r="DL64" s="21" t="n"/>
      <c r="DM64" s="20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 t="n"/>
      <c r="EG64" s="21" t="n"/>
      <c r="EH64" s="21" t="n"/>
      <c r="EI64" s="21" t="n"/>
      <c r="EJ64" s="21" t="n"/>
      <c r="EK64" s="21" t="n"/>
      <c r="EL64" s="21" t="n"/>
      <c r="EM64" s="21" t="n"/>
      <c r="EN64" s="21" t="n"/>
      <c r="EO64" s="21" t="n"/>
      <c r="EP64" s="21" t="n"/>
      <c r="EQ64" s="21" t="n"/>
      <c r="ER64" s="21" t="n"/>
      <c r="ES64" s="21" t="n"/>
      <c r="ET64" s="21" t="n"/>
      <c r="EU64" s="21" t="n"/>
      <c r="EV64" s="21" t="n"/>
      <c r="EW64" s="21" t="n"/>
      <c r="EX64" s="21" t="n"/>
      <c r="EY64" s="21" t="n"/>
      <c r="EZ64" s="21" t="n"/>
      <c r="FA64" s="21" t="n"/>
      <c r="FB64" s="21" t="n"/>
      <c r="FC64" s="21" t="n"/>
      <c r="FD64" s="21" t="n"/>
      <c r="FE64" s="21" t="n"/>
      <c r="FF64" s="21" t="n"/>
      <c r="FG64" s="21" t="n"/>
      <c r="FH64" s="21" t="n"/>
      <c r="FI64" s="21" t="n"/>
      <c r="FJ64" s="21" t="n"/>
      <c r="FK64" s="21" t="n"/>
      <c r="FL64" s="21" t="n"/>
      <c r="FM64" s="21" t="n"/>
      <c r="FN64" s="21" t="n"/>
      <c r="FO64" s="21" t="n"/>
      <c r="FP64" s="21" t="n"/>
      <c r="FQ64" s="21" t="n"/>
      <c r="FR64" s="21" t="n"/>
      <c r="FS64" s="21" t="n"/>
      <c r="FT64" s="21" t="n"/>
      <c r="FU64" s="21" t="n"/>
      <c r="FV64" s="21" t="n"/>
      <c r="FW64" s="21" t="n"/>
      <c r="FX64" s="21" t="n"/>
      <c r="FY64" s="21" t="n"/>
      <c r="FZ64" s="21" t="n"/>
      <c r="GA64" s="21" t="n"/>
      <c r="GB64" s="21" t="n"/>
      <c r="GC64" s="21" t="n"/>
      <c r="GD64" s="21" t="n"/>
      <c r="GE64" s="21" t="n"/>
      <c r="GF64" s="21" t="n"/>
      <c r="GG64" s="21" t="n"/>
      <c r="GH64" s="21" t="n"/>
      <c r="GI64" s="21" t="n"/>
      <c r="GJ64" s="21" t="n"/>
      <c r="GK64" s="21" t="n"/>
      <c r="GL64" s="21" t="n"/>
      <c r="GM64" s="21" t="n"/>
      <c r="GN64" s="21" t="n"/>
      <c r="GO64" s="21" t="n"/>
      <c r="GP64" s="21" t="n"/>
      <c r="GQ64" s="21" t="n"/>
      <c r="GR64" s="21" t="n"/>
      <c r="GS64" s="21" t="n"/>
      <c r="GT64" s="21" t="n"/>
      <c r="GU64" s="21" t="n"/>
      <c r="GV64" s="21" t="n"/>
      <c r="GW64" s="21" t="n"/>
      <c r="GX64" s="21" t="n"/>
      <c r="GY64" s="21" t="n"/>
      <c r="GZ64" s="21" t="n"/>
      <c r="HA64" s="21" t="n"/>
      <c r="HB64" s="21" t="n"/>
      <c r="HC64" s="21" t="n"/>
      <c r="HD64" s="21" t="n"/>
      <c r="HE64" s="21" t="n"/>
      <c r="HF64" s="21" t="n"/>
      <c r="HG64" s="21" t="n"/>
      <c r="HH64" s="21" t="n"/>
      <c r="HI64" s="21" t="n"/>
      <c r="HJ64" s="21" t="n"/>
      <c r="HK64" s="21" t="n"/>
      <c r="HL64" s="21" t="n"/>
      <c r="HM64" s="21" t="n"/>
      <c r="HN64" s="21" t="n"/>
      <c r="HO64" s="21" t="n"/>
      <c r="HP64" s="21" t="n"/>
      <c r="HQ64" s="21" t="n"/>
      <c r="HR64" s="21" t="n"/>
      <c r="HS64" s="21" t="n"/>
      <c r="HT64" s="21" t="n"/>
      <c r="HU64" s="21" t="n"/>
      <c r="JF64" s="20">
        <f>AP64</f>
        <v/>
      </c>
      <c r="JG64" s="20">
        <f>SUM(Z64:AK64)</f>
        <v/>
      </c>
      <c r="JH64" s="20">
        <f>SUM(AL64:AP64)</f>
        <v/>
      </c>
      <c r="JI64" s="20">
        <f>SUM(C64:AP64)</f>
        <v/>
      </c>
      <c r="JJ64" s="446" t="n"/>
      <c r="JM64" s="21" t="n"/>
      <c r="KG64" s="139">
        <f>B64</f>
        <v/>
      </c>
      <c r="KH64" s="241">
        <f>AR64</f>
        <v/>
      </c>
    </row>
    <row r="65" ht="16.2" customHeight="1">
      <c r="A65" s="7" t="inlineStr">
        <is>
          <t>Devolução de Aporte</t>
        </is>
      </c>
      <c r="B65" s="136">
        <f>SUM(C65:AP65)</f>
        <v/>
      </c>
      <c r="C65" s="85" t="n"/>
      <c r="D65" s="85" t="n"/>
      <c r="E65" s="85" t="n"/>
      <c r="F65" s="85" t="n"/>
      <c r="G65" s="85" t="n"/>
      <c r="H65" s="85" t="n"/>
      <c r="I65" s="86" t="n"/>
      <c r="J65" s="224" t="n"/>
      <c r="K65" s="110" t="n"/>
      <c r="L65" s="34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  <c r="AG65" s="159" t="n">
        <v>-4000000</v>
      </c>
      <c r="AH65" s="159" t="n">
        <v>0</v>
      </c>
      <c r="AI65" s="159" t="n">
        <v>0</v>
      </c>
      <c r="AJ65" s="159" t="n">
        <v>0</v>
      </c>
      <c r="AK65" s="159" t="n">
        <v>0</v>
      </c>
      <c r="AL65" s="159" t="n">
        <v>0</v>
      </c>
      <c r="AM65" s="159" t="n">
        <v>0</v>
      </c>
      <c r="AN65" s="159" t="n">
        <v>0</v>
      </c>
      <c r="AO65" s="159" t="n">
        <v>0</v>
      </c>
      <c r="AP65" s="159" t="n">
        <v>0</v>
      </c>
      <c r="AQ65" s="53" t="n"/>
      <c r="AR65" s="345">
        <f>SUM(AT65:HU65)</f>
        <v/>
      </c>
      <c r="AS65" s="53" t="n"/>
      <c r="AT65" s="87" t="n">
        <v>0</v>
      </c>
      <c r="AU65" s="87" t="n">
        <v>0</v>
      </c>
      <c r="AV65" s="87" t="n">
        <v>0</v>
      </c>
      <c r="AW65" s="87" t="n">
        <v>0</v>
      </c>
      <c r="AX65" s="87" t="n">
        <v>0</v>
      </c>
      <c r="AY65" s="87" t="n">
        <v>0</v>
      </c>
      <c r="AZ65" s="87" t="n">
        <v>0</v>
      </c>
      <c r="BA65" s="87" t="n">
        <v>-1754788.24</v>
      </c>
      <c r="BB65" s="87">
        <f>-2000000+450000</f>
        <v/>
      </c>
      <c r="BC65" s="87" t="n"/>
      <c r="BD65" s="87" t="n"/>
      <c r="BE65" s="87" t="n"/>
      <c r="BF65" s="87" t="n"/>
      <c r="BG65" s="87" t="n"/>
      <c r="BH65" s="87" t="n"/>
      <c r="BI65" s="87" t="n"/>
      <c r="BJ65" s="87" t="n"/>
      <c r="BK65" s="87" t="n"/>
      <c r="BL65" s="87" t="n"/>
      <c r="BM65" s="87" t="n"/>
      <c r="BN65" s="87" t="n">
        <v>0</v>
      </c>
      <c r="BO65" s="87" t="n">
        <v>0</v>
      </c>
      <c r="BP65" s="87" t="n">
        <v>0</v>
      </c>
      <c r="BQ65" s="87" t="n">
        <v>0</v>
      </c>
      <c r="BR65" s="87" t="n">
        <v>0</v>
      </c>
      <c r="BS65" s="87" t="n">
        <v>0</v>
      </c>
      <c r="BT65" s="87" t="n">
        <v>0</v>
      </c>
      <c r="BU65" s="87" t="n">
        <v>0</v>
      </c>
      <c r="BV65" s="87" t="n">
        <v>0</v>
      </c>
      <c r="BW65" s="87" t="n">
        <v>0</v>
      </c>
      <c r="BX65" s="87" t="n">
        <v>0</v>
      </c>
      <c r="BY65" s="87" t="n">
        <v>0</v>
      </c>
      <c r="BZ65" s="87" t="n">
        <v>0</v>
      </c>
      <c r="CA65" s="87" t="n">
        <v>0</v>
      </c>
      <c r="CB65" s="87" t="n">
        <v>0</v>
      </c>
      <c r="CC65" s="87" t="n">
        <v>0</v>
      </c>
      <c r="CD65" s="87" t="n">
        <v>0</v>
      </c>
      <c r="CE65" s="87" t="n">
        <v>0</v>
      </c>
      <c r="CF65" s="87" t="n">
        <v>0</v>
      </c>
      <c r="CG65" s="87" t="n">
        <v>0</v>
      </c>
      <c r="CH65" s="87" t="n">
        <v>0</v>
      </c>
      <c r="CI65" s="87" t="n">
        <v>0</v>
      </c>
      <c r="CJ65" s="87" t="n">
        <v>0</v>
      </c>
      <c r="CK65" s="87" t="n">
        <v>0</v>
      </c>
      <c r="CL65" s="87" t="n">
        <v>0</v>
      </c>
      <c r="CM65" s="87" t="n">
        <v>0</v>
      </c>
      <c r="CN65" s="87" t="n">
        <v>0</v>
      </c>
      <c r="CO65" s="87" t="n">
        <v>0</v>
      </c>
      <c r="CP65" s="87" t="n">
        <v>0</v>
      </c>
      <c r="CQ65" s="87" t="n">
        <v>0</v>
      </c>
      <c r="CR65" s="87" t="n">
        <v>0</v>
      </c>
      <c r="CS65" s="87" t="n">
        <v>0</v>
      </c>
      <c r="CT65" s="87" t="n">
        <v>0</v>
      </c>
      <c r="CU65" s="87" t="n">
        <v>0</v>
      </c>
      <c r="CV65" s="87" t="n">
        <v>0</v>
      </c>
      <c r="CW65" s="87" t="n">
        <v>0</v>
      </c>
      <c r="CX65" s="87" t="n">
        <v>0</v>
      </c>
      <c r="CY65" s="87" t="n">
        <v>0</v>
      </c>
      <c r="CZ65" s="87" t="n">
        <v>0</v>
      </c>
      <c r="DA65" s="87" t="n">
        <v>0</v>
      </c>
      <c r="DB65" s="87" t="n">
        <v>0</v>
      </c>
      <c r="DC65" s="87" t="n">
        <v>0</v>
      </c>
      <c r="DD65" s="87" t="n">
        <v>0</v>
      </c>
      <c r="DE65" s="87" t="n">
        <v>0</v>
      </c>
      <c r="DF65" s="87" t="n">
        <v>0</v>
      </c>
      <c r="DG65" s="87" t="n">
        <v>0</v>
      </c>
      <c r="DH65" s="87" t="n">
        <v>0</v>
      </c>
      <c r="DI65" s="87" t="n">
        <v>0</v>
      </c>
      <c r="DJ65" s="87" t="n">
        <v>0</v>
      </c>
      <c r="DK65" s="87" t="n">
        <v>0</v>
      </c>
      <c r="DL65" s="87" t="n">
        <v>0</v>
      </c>
      <c r="DM65" s="87" t="n">
        <v>0</v>
      </c>
      <c r="DN65" s="87" t="n">
        <v>0</v>
      </c>
      <c r="DO65" s="87" t="n">
        <v>0</v>
      </c>
      <c r="DP65" s="87" t="n">
        <v>0</v>
      </c>
      <c r="DQ65" s="87" t="n">
        <v>0</v>
      </c>
      <c r="DR65" s="87" t="n">
        <v>0</v>
      </c>
      <c r="DS65" s="87" t="n">
        <v>0</v>
      </c>
      <c r="DT65" s="87" t="n">
        <v>0</v>
      </c>
      <c r="DU65" s="87" t="n">
        <v>0</v>
      </c>
      <c r="DV65" s="87" t="n">
        <v>0</v>
      </c>
      <c r="DW65" s="87" t="n">
        <v>0</v>
      </c>
      <c r="DX65" s="87" t="n">
        <v>0</v>
      </c>
      <c r="DY65" s="87" t="n">
        <v>0</v>
      </c>
      <c r="DZ65" s="87" t="n">
        <v>0</v>
      </c>
      <c r="EA65" s="87" t="n">
        <v>0</v>
      </c>
      <c r="EB65" s="87" t="n">
        <v>0</v>
      </c>
      <c r="EC65" s="87" t="n">
        <v>0</v>
      </c>
      <c r="ED65" s="87" t="n">
        <v>0</v>
      </c>
      <c r="EE65" s="87" t="n">
        <v>0</v>
      </c>
      <c r="EF65" s="87" t="n">
        <v>0</v>
      </c>
      <c r="EG65" s="87" t="n">
        <v>0</v>
      </c>
      <c r="EH65" s="87" t="n">
        <v>0</v>
      </c>
      <c r="EI65" s="87" t="n">
        <v>0</v>
      </c>
      <c r="EJ65" s="87" t="n">
        <v>0</v>
      </c>
      <c r="EK65" s="87" t="n">
        <v>0</v>
      </c>
      <c r="EL65" s="87" t="n">
        <v>0</v>
      </c>
      <c r="EM65" s="87" t="n">
        <v>0</v>
      </c>
      <c r="EN65" s="87" t="n">
        <v>0</v>
      </c>
      <c r="EO65" s="87" t="n">
        <v>0</v>
      </c>
      <c r="EP65" s="87" t="n">
        <v>0</v>
      </c>
      <c r="EQ65" s="87" t="n">
        <v>0</v>
      </c>
      <c r="ER65" s="87" t="n">
        <v>0</v>
      </c>
      <c r="ES65" s="87" t="n">
        <v>0</v>
      </c>
      <c r="ET65" s="87" t="n">
        <v>0</v>
      </c>
      <c r="EU65" s="87" t="n">
        <v>0</v>
      </c>
      <c r="EV65" s="87" t="n">
        <v>0</v>
      </c>
      <c r="EW65" s="87" t="n">
        <v>0</v>
      </c>
      <c r="EX65" s="87" t="n">
        <v>0</v>
      </c>
      <c r="EY65" s="87" t="n">
        <v>0</v>
      </c>
      <c r="EZ65" s="87" t="n">
        <v>0</v>
      </c>
      <c r="FA65" s="87" t="n">
        <v>0</v>
      </c>
      <c r="FB65" s="87" t="n">
        <v>0</v>
      </c>
      <c r="FC65" s="87" t="n">
        <v>0</v>
      </c>
      <c r="FD65" s="87" t="n">
        <v>0</v>
      </c>
      <c r="FE65" s="87" t="n">
        <v>0</v>
      </c>
      <c r="FF65" s="87" t="n">
        <v>0</v>
      </c>
      <c r="FG65" s="87" t="n">
        <v>0</v>
      </c>
      <c r="FH65" s="87" t="n">
        <v>0</v>
      </c>
      <c r="FI65" s="87" t="n">
        <v>0</v>
      </c>
      <c r="FJ65" s="87" t="n">
        <v>0</v>
      </c>
      <c r="FK65" s="87" t="n">
        <v>0</v>
      </c>
      <c r="FL65" s="87" t="n">
        <v>0</v>
      </c>
      <c r="FM65" s="87" t="n">
        <v>0</v>
      </c>
      <c r="FN65" s="87" t="n">
        <v>0</v>
      </c>
      <c r="FO65" s="87" t="n">
        <v>0</v>
      </c>
      <c r="FP65" s="87" t="n">
        <v>0</v>
      </c>
      <c r="FQ65" s="87" t="n">
        <v>0</v>
      </c>
      <c r="FR65" s="87" t="n">
        <v>0</v>
      </c>
      <c r="FS65" s="87" t="n">
        <v>0</v>
      </c>
      <c r="FT65" s="87" t="n">
        <v>0</v>
      </c>
      <c r="FU65" s="87" t="n">
        <v>0</v>
      </c>
      <c r="FV65" s="87" t="n">
        <v>0</v>
      </c>
      <c r="FW65" s="87" t="n">
        <v>0</v>
      </c>
      <c r="FX65" s="87" t="n">
        <v>0</v>
      </c>
      <c r="FY65" s="87" t="n">
        <v>0</v>
      </c>
      <c r="FZ65" s="87" t="n">
        <v>0</v>
      </c>
      <c r="GA65" s="87" t="n">
        <v>0</v>
      </c>
      <c r="GB65" s="87" t="n">
        <v>0</v>
      </c>
      <c r="GC65" s="87" t="n">
        <v>0</v>
      </c>
      <c r="GD65" s="87" t="n">
        <v>0</v>
      </c>
      <c r="GE65" s="87" t="n">
        <v>0</v>
      </c>
      <c r="GF65" s="87" t="n">
        <v>0</v>
      </c>
      <c r="GG65" s="87" t="n">
        <v>0</v>
      </c>
      <c r="GH65" s="87" t="n">
        <v>0</v>
      </c>
      <c r="GI65" s="87" t="n">
        <v>0</v>
      </c>
      <c r="GJ65" s="87" t="n">
        <v>0</v>
      </c>
      <c r="GK65" s="87" t="n">
        <v>0</v>
      </c>
      <c r="GL65" s="87" t="n">
        <v>0</v>
      </c>
      <c r="GM65" s="87" t="n">
        <v>0</v>
      </c>
      <c r="GN65" s="87" t="n">
        <v>0</v>
      </c>
      <c r="GO65" s="87" t="n">
        <v>0</v>
      </c>
      <c r="GP65" s="87" t="n">
        <v>0</v>
      </c>
      <c r="GQ65" s="87" t="n">
        <v>0</v>
      </c>
      <c r="GR65" s="87" t="n">
        <v>0</v>
      </c>
      <c r="GS65" s="87" t="n">
        <v>0</v>
      </c>
      <c r="GT65" s="87" t="n">
        <v>0</v>
      </c>
      <c r="GU65" s="87" t="n">
        <v>0</v>
      </c>
      <c r="GV65" s="87" t="n">
        <v>0</v>
      </c>
      <c r="GW65" s="87" t="n">
        <v>0</v>
      </c>
      <c r="GX65" s="87" t="n">
        <v>0</v>
      </c>
      <c r="GY65" s="87" t="n">
        <v>0</v>
      </c>
      <c r="GZ65" s="87" t="n">
        <v>0</v>
      </c>
      <c r="HA65" s="87" t="n">
        <v>0</v>
      </c>
      <c r="HB65" s="87" t="n">
        <v>0</v>
      </c>
      <c r="HC65" s="87" t="n">
        <v>0</v>
      </c>
      <c r="HD65" s="87" t="n">
        <v>0</v>
      </c>
      <c r="HE65" s="87" t="n">
        <v>0</v>
      </c>
      <c r="HF65" s="87" t="n">
        <v>0</v>
      </c>
      <c r="HG65" s="87" t="n">
        <v>0</v>
      </c>
      <c r="HH65" s="87" t="n">
        <v>0</v>
      </c>
      <c r="HI65" s="87" t="n">
        <v>0</v>
      </c>
      <c r="HJ65" s="87" t="n">
        <v>0</v>
      </c>
      <c r="HK65" s="87" t="n">
        <v>0</v>
      </c>
      <c r="HL65" s="87" t="n">
        <v>0</v>
      </c>
      <c r="HM65" s="87" t="n">
        <v>0</v>
      </c>
      <c r="HN65" s="87" t="n">
        <v>0</v>
      </c>
      <c r="HO65" s="87" t="n">
        <v>0</v>
      </c>
      <c r="HP65" s="87" t="n">
        <v>0</v>
      </c>
      <c r="HQ65" s="87" t="n">
        <v>0</v>
      </c>
      <c r="HR65" s="87" t="n">
        <v>0</v>
      </c>
      <c r="HS65" s="87" t="n">
        <v>0</v>
      </c>
      <c r="HT65" s="87" t="n">
        <v>0</v>
      </c>
      <c r="HU65" s="87" t="n">
        <v>0</v>
      </c>
      <c r="JF65" s="87">
        <f>AP65</f>
        <v/>
      </c>
      <c r="JG65" s="87">
        <f>SUM(Z65:AK65)</f>
        <v/>
      </c>
      <c r="JH65" s="87">
        <f>SUM(AL65:AP65)</f>
        <v/>
      </c>
      <c r="JI65" s="87">
        <f>SUM(C65:AP65)</f>
        <v/>
      </c>
      <c r="JJ65" s="446" t="n"/>
      <c r="JM65" s="87" t="n">
        <v>0</v>
      </c>
      <c r="KG65" s="136">
        <f>B65</f>
        <v/>
      </c>
      <c r="KH65" s="345">
        <f>AR65</f>
        <v/>
      </c>
    </row>
    <row r="66" ht="12.75" customHeight="1">
      <c r="A66" s="23" t="inlineStr">
        <is>
          <t>Distribuição de Resultado</t>
        </is>
      </c>
      <c r="B66" s="136">
        <f>SUM(C66:AP66)</f>
        <v/>
      </c>
      <c r="C66" s="24" t="n"/>
      <c r="D66" s="33" t="n"/>
      <c r="E66" s="24" t="n"/>
      <c r="F66" s="24" t="n"/>
      <c r="G66" s="24" t="n"/>
      <c r="H66" s="24" t="n"/>
      <c r="I66" s="25" t="n"/>
      <c r="J66" s="209" t="n"/>
      <c r="K66" s="118" t="n"/>
      <c r="L66" s="122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>
        <v>0</v>
      </c>
      <c r="AG66" s="219" t="n">
        <v>0</v>
      </c>
      <c r="AH66" s="219" t="n">
        <v>0</v>
      </c>
      <c r="AI66" s="219" t="n">
        <v>0</v>
      </c>
      <c r="AJ66" s="219" t="n">
        <v>0</v>
      </c>
      <c r="AK66" s="219" t="n">
        <v>0</v>
      </c>
      <c r="AL66" s="219" t="n">
        <v>0</v>
      </c>
      <c r="AM66" s="219" t="n">
        <v>0</v>
      </c>
      <c r="AN66" s="219" t="n">
        <v>0</v>
      </c>
      <c r="AO66" s="219" t="n">
        <v>0</v>
      </c>
      <c r="AP66" s="219" t="n">
        <v>0</v>
      </c>
      <c r="AQ66" s="53" t="n"/>
      <c r="AR66" s="345">
        <f>SUM(AT66:HU66)</f>
        <v/>
      </c>
      <c r="AS66" s="53" t="n"/>
      <c r="AT66" s="26" t="n">
        <v>0</v>
      </c>
      <c r="AU66" s="26" t="n">
        <v>0</v>
      </c>
      <c r="AV66" s="26" t="n">
        <v>0</v>
      </c>
      <c r="AW66" s="26" t="n">
        <v>0</v>
      </c>
      <c r="AX66" s="26" t="n">
        <v>0</v>
      </c>
      <c r="AY66" s="26" t="n">
        <v>0</v>
      </c>
      <c r="AZ66" s="26" t="n">
        <v>0</v>
      </c>
      <c r="BA66" s="87" t="n"/>
      <c r="BB66" s="87" t="n">
        <v>-450000</v>
      </c>
      <c r="BC66" s="87" t="n">
        <v>-1200000</v>
      </c>
      <c r="BD66" s="87">
        <f>-1800000+800000-750000-50000</f>
        <v/>
      </c>
      <c r="BE66" s="87" t="n">
        <v>-1800000</v>
      </c>
      <c r="BF66" s="87">
        <f>-1800000+300000+100000</f>
        <v/>
      </c>
      <c r="BG66" s="87" t="n">
        <v>-2500000</v>
      </c>
      <c r="BH66" s="87">
        <f>-2500000+100000</f>
        <v/>
      </c>
      <c r="BI66" s="87">
        <f>-1800000+100000</f>
        <v/>
      </c>
      <c r="BJ66" s="87">
        <f>-1800000+50000</f>
        <v/>
      </c>
      <c r="BK66" s="87">
        <f>-1800000-200000</f>
        <v/>
      </c>
      <c r="BL66" s="87">
        <f>-1500000-500000-500000</f>
        <v/>
      </c>
      <c r="BM66" s="87">
        <f>-1500000-500000</f>
        <v/>
      </c>
      <c r="BN66" s="26">
        <f>-500000-300000</f>
        <v/>
      </c>
      <c r="BO66" s="26" t="n">
        <v>-500000</v>
      </c>
      <c r="BP66" s="26" t="n">
        <v>-500000</v>
      </c>
      <c r="BQ66" s="26">
        <f>-500000+150000</f>
        <v/>
      </c>
      <c r="BR66" s="26">
        <f>-2750000-50000+100000</f>
        <v/>
      </c>
      <c r="BS66" s="26">
        <f>-2750000-50000+20000</f>
        <v/>
      </c>
      <c r="BT66" s="26">
        <f>-2750000-50000-20000</f>
        <v/>
      </c>
      <c r="BU66" s="26">
        <f>-2750000-50000-50000</f>
        <v/>
      </c>
      <c r="BV66" s="26">
        <f>-2750000-50000-100000</f>
        <v/>
      </c>
      <c r="BW66" s="26">
        <f>-2750000-50000-50000-150000</f>
        <v/>
      </c>
      <c r="BX66" s="26">
        <f>-2750000-50000-100000</f>
        <v/>
      </c>
      <c r="BY66" s="26">
        <f>-2750000-50000-100000</f>
        <v/>
      </c>
      <c r="BZ66" s="26">
        <f>-3000000+100000</f>
        <v/>
      </c>
      <c r="CA66" s="26">
        <f>-3000000+100000-100000</f>
        <v/>
      </c>
      <c r="CB66" s="26">
        <f>-3000000-200000</f>
        <v/>
      </c>
      <c r="CC66" s="26">
        <f>-3000000+50000-350000</f>
        <v/>
      </c>
      <c r="CD66" s="26">
        <f>-3100000+150000-150000</f>
        <v/>
      </c>
      <c r="CE66" s="26">
        <f>-3100000+10000</f>
        <v/>
      </c>
      <c r="CF66" s="26">
        <f>-3100000-50000</f>
        <v/>
      </c>
      <c r="CG66" s="26">
        <f>-3100000+10000-10000</f>
        <v/>
      </c>
      <c r="CH66" s="26">
        <f>-3100000+40000-40000</f>
        <v/>
      </c>
      <c r="CI66" s="26">
        <f>-3000000-100000-50000</f>
        <v/>
      </c>
      <c r="CJ66" s="26">
        <f>-3000000-100000</f>
        <v/>
      </c>
      <c r="CK66" s="26">
        <f>-3200000+20000-20000</f>
        <v/>
      </c>
      <c r="CL66" s="26">
        <f>-3200000+70000-70000</f>
        <v/>
      </c>
      <c r="CM66" s="26">
        <f>-3200000+5000-45000</f>
        <v/>
      </c>
      <c r="CN66" s="26">
        <f>-3500000-120000</f>
        <v/>
      </c>
      <c r="CO66" s="26">
        <f>-3400000+70000-170000-200000</f>
        <v/>
      </c>
      <c r="CP66" s="26">
        <f>-3400000+70000</f>
        <v/>
      </c>
      <c r="CQ66" s="26">
        <f>-3400000-50000</f>
        <v/>
      </c>
      <c r="CR66" s="26">
        <f>-3400000-50000</f>
        <v/>
      </c>
      <c r="CS66" s="26">
        <f>-3400000-50000</f>
        <v/>
      </c>
      <c r="CT66" s="26">
        <f>-3400000-50000-10000</f>
        <v/>
      </c>
      <c r="CU66" s="26">
        <f>-3400000-50000-50000</f>
        <v/>
      </c>
      <c r="CV66" s="26">
        <f>-3400000-100000</f>
        <v/>
      </c>
      <c r="CW66" s="26">
        <f>-3400000-150000-50000</f>
        <v/>
      </c>
      <c r="CX66" s="26">
        <f>-3600000+20000</f>
        <v/>
      </c>
      <c r="CY66" s="26">
        <f>-3600000+5000-5000</f>
        <v/>
      </c>
      <c r="CZ66" s="26">
        <f>-4100000+110000+30000</f>
        <v/>
      </c>
      <c r="DA66" s="26">
        <f>-3700000+110000-310000</f>
        <v/>
      </c>
      <c r="DB66" s="26" t="n">
        <v>-3600000</v>
      </c>
      <c r="DC66" s="26">
        <f>-3800000+70000</f>
        <v/>
      </c>
      <c r="DD66" s="26">
        <f>-3700000+50000</f>
        <v/>
      </c>
      <c r="DE66" s="26">
        <f>-3700000+30000-30000</f>
        <v/>
      </c>
      <c r="DF66" s="26">
        <f>-3700000+10000-110000</f>
        <v/>
      </c>
      <c r="DG66" s="26">
        <f>-3700000-20000-30000</f>
        <v/>
      </c>
      <c r="DH66" s="26">
        <f>-3700000-50000-50000</f>
        <v/>
      </c>
      <c r="DI66" s="26">
        <f>-3900000+50000</f>
        <v/>
      </c>
      <c r="DJ66" s="26">
        <f>-3900000+20000</f>
        <v/>
      </c>
      <c r="DK66" s="26">
        <f>-3900000-50000</f>
        <v/>
      </c>
      <c r="DL66" s="26">
        <f>-4000000-350000+50000</f>
        <v/>
      </c>
      <c r="DM66" s="26">
        <f>-4000000+20000+50000-20000</f>
        <v/>
      </c>
      <c r="DN66" s="26">
        <f>-4000000+40000-40000</f>
        <v/>
      </c>
      <c r="DO66" s="26">
        <f>-4100000+20000-20000</f>
        <v/>
      </c>
      <c r="DP66" s="26">
        <f>-4100000+110000-10000</f>
        <v/>
      </c>
      <c r="DQ66" s="26">
        <f>-4100000+70000-70000</f>
        <v/>
      </c>
      <c r="DR66" s="26">
        <f>-4100000+20000-20000</f>
        <v/>
      </c>
      <c r="DS66" s="26">
        <f>-4100000-20000-30000</f>
        <v/>
      </c>
      <c r="DT66" s="26">
        <f>-4100000-50000</f>
        <v/>
      </c>
      <c r="DU66" s="26" t="n">
        <v>-3950000</v>
      </c>
      <c r="DV66" s="26" t="n">
        <v>-3500000</v>
      </c>
      <c r="DW66" s="26">
        <f>-3600000+100000+50000</f>
        <v/>
      </c>
      <c r="DX66" s="26">
        <f>-4000000+300000+50000+120000</f>
        <v/>
      </c>
      <c r="DY66" s="26">
        <f>-3300000+60000+20000+60000</f>
        <v/>
      </c>
      <c r="DZ66" s="26">
        <f>-3300000+100000+60000+60000</f>
        <v/>
      </c>
      <c r="EA66" s="26">
        <f>-3000000+50000-150000+40000</f>
        <v/>
      </c>
      <c r="EB66" s="26">
        <f>-3000000+50000+10000+80000</f>
        <v/>
      </c>
      <c r="EC66" s="26">
        <f>-2800000+50000</f>
        <v/>
      </c>
      <c r="ED66" s="26">
        <f>-2800000+60000+80000</f>
        <v/>
      </c>
      <c r="EE66" s="26">
        <f>-2750000+50000+50000+70000</f>
        <v/>
      </c>
      <c r="EF66" s="26">
        <f>-2550000+20000+70000</f>
        <v/>
      </c>
      <c r="EG66" s="26">
        <f>-2600000+100000+40000+400000</f>
        <v/>
      </c>
      <c r="EH66" s="26">
        <f>-2000000+15000+500000</f>
        <v/>
      </c>
      <c r="EI66" s="26">
        <f>-1350000-50000-100000+50000</f>
        <v/>
      </c>
      <c r="EJ66" s="26">
        <f>-1350000-50000+50000</f>
        <v/>
      </c>
      <c r="EK66" s="26">
        <f>-1350000+15000+60000</f>
        <v/>
      </c>
      <c r="EL66" s="26">
        <f>-1280000+30000+80000</f>
        <v/>
      </c>
      <c r="EM66" s="26">
        <f>-1200000+15000+70000</f>
        <v/>
      </c>
      <c r="EN66" s="26">
        <f>-1100000+60000</f>
        <v/>
      </c>
      <c r="EO66" s="26">
        <f>-1050000+70000</f>
        <v/>
      </c>
      <c r="EP66" s="26">
        <f>-1040000+30000+100000</f>
        <v/>
      </c>
      <c r="EQ66" s="26">
        <f>-900000+60000</f>
        <v/>
      </c>
      <c r="ER66" s="26">
        <f>-880000+10000+10000+90000</f>
        <v/>
      </c>
      <c r="ES66" s="26">
        <f>-700000-70000+60000</f>
        <v/>
      </c>
      <c r="ET66" s="26">
        <f>-700000+30000</f>
        <v/>
      </c>
      <c r="EU66" s="26">
        <f>-800000+100000+5000+20000+20000</f>
        <v/>
      </c>
      <c r="EV66" s="26">
        <f>-650000+10000</f>
        <v/>
      </c>
      <c r="EW66" s="26">
        <f>-650000+30000</f>
        <v/>
      </c>
      <c r="EX66" s="26">
        <f>-650000+10000+20000</f>
        <v/>
      </c>
      <c r="EY66" s="26">
        <f>-650000+30000+20000</f>
        <v/>
      </c>
      <c r="EZ66" s="26">
        <f>-600000+10000</f>
        <v/>
      </c>
      <c r="FA66" s="26">
        <f>-600000+50000</f>
        <v/>
      </c>
      <c r="FB66" s="26">
        <f>-600000+20000</f>
        <v/>
      </c>
      <c r="FC66" s="26">
        <f>-570000+5000+15000</f>
        <v/>
      </c>
      <c r="FD66" s="26">
        <f>-550000+10000+5000</f>
        <v/>
      </c>
      <c r="FE66" s="26">
        <f>-540000+20000-5000+5000</f>
        <v/>
      </c>
      <c r="FF66" s="26">
        <f>-540000+20000-5000+20000</f>
        <v/>
      </c>
      <c r="FG66" s="26">
        <f>-540000+20000-5000+20000</f>
        <v/>
      </c>
      <c r="FH66" s="26">
        <f>-500000-5000+15000</f>
        <v/>
      </c>
      <c r="FI66" s="26">
        <f>-500000-5000+20000</f>
        <v/>
      </c>
      <c r="FJ66" s="26">
        <f>-500000+10000+10000</f>
        <v/>
      </c>
      <c r="FK66" s="26">
        <f>-500000+10000+10000+10000</f>
        <v/>
      </c>
      <c r="FL66" s="26">
        <f>-500000+30000+5000</f>
        <v/>
      </c>
      <c r="FM66" s="26">
        <f>-450000-20000+20000</f>
        <v/>
      </c>
      <c r="FN66" s="26">
        <f>-450000-10000+10000+5000</f>
        <v/>
      </c>
      <c r="FO66" s="26">
        <f>-490000+20000+15000+10000+5000</f>
        <v/>
      </c>
      <c r="FP66" s="26">
        <f>-450000+10000+10000</f>
        <v/>
      </c>
      <c r="FQ66" s="26">
        <f>-450000+20000+10000</f>
        <v/>
      </c>
      <c r="FR66" s="26">
        <f>-440000+5000+5000+10000+10000</f>
        <v/>
      </c>
      <c r="FS66" s="26">
        <f>-400000-5000</f>
        <v/>
      </c>
      <c r="FT66" s="26">
        <f>-400000-15000+20000</f>
        <v/>
      </c>
      <c r="FU66" s="26">
        <f>-400000+5000</f>
        <v/>
      </c>
      <c r="FV66" s="26">
        <f>-400000+10000+10000</f>
        <v/>
      </c>
      <c r="FW66" s="26">
        <f>-400000+10000+10000+10000</f>
        <v/>
      </c>
      <c r="FX66" s="26">
        <f>-370000+5000</f>
        <v/>
      </c>
      <c r="FY66" s="26">
        <f>-370000+5000+10000</f>
        <v/>
      </c>
      <c r="FZ66" s="26">
        <f>-370000+5000+20000</f>
        <v/>
      </c>
      <c r="GA66" s="26">
        <f>-350000+5000</f>
        <v/>
      </c>
      <c r="GB66" s="26">
        <f>-350000+10000+10000</f>
        <v/>
      </c>
      <c r="GC66" s="26">
        <f>-360000+20000+5000+5000+10000</f>
        <v/>
      </c>
      <c r="GD66" s="26">
        <f>-330000+5000+10000</f>
        <v/>
      </c>
      <c r="GE66" s="26">
        <f>-300000-5000</f>
        <v/>
      </c>
      <c r="GF66" s="26">
        <f>-300000-10000+15000</f>
        <v/>
      </c>
      <c r="GG66" s="26">
        <f>-300000-5000+5000+10000</f>
        <v/>
      </c>
      <c r="GH66" s="26">
        <f>-300000+5000+5000+10000</f>
        <v/>
      </c>
      <c r="GI66" s="26">
        <f>-270000+10000-10000-5000</f>
        <v/>
      </c>
      <c r="GJ66" s="26">
        <f>-270000+10000-10000-5000+15000</f>
        <v/>
      </c>
      <c r="GK66" s="26">
        <f>-270000+10000-10000+5000+10000</f>
        <v/>
      </c>
      <c r="GL66" s="26">
        <f>-270000+10000+10000+5000</f>
        <v/>
      </c>
      <c r="GM66" s="26">
        <f>-260000+5000+5000+10000</f>
        <v/>
      </c>
      <c r="GN66" s="26">
        <f>-250000+5000+10000+10000</f>
        <v/>
      </c>
      <c r="GO66" s="26">
        <f>-250000+10000+10000+10000</f>
        <v/>
      </c>
      <c r="GP66" s="26">
        <f>-230000+1000+10000+5000</f>
        <v/>
      </c>
      <c r="GQ66" s="26">
        <f>-230000+10000+10000+10000</f>
        <v/>
      </c>
      <c r="GR66" s="26">
        <f>-220000+10000+10000+10000</f>
        <v/>
      </c>
      <c r="GS66" s="26">
        <f>-210000+10000+10000</f>
        <v/>
      </c>
      <c r="GT66" s="26">
        <f>-180000+5000-5000+5000</f>
        <v/>
      </c>
      <c r="GU66" s="26">
        <f>-180000+5000-5000+10000</f>
        <v/>
      </c>
      <c r="GV66" s="26">
        <f>-180000+5000+10000+10000</f>
        <v/>
      </c>
      <c r="GW66" s="26">
        <f>-180000+5000+20000</f>
        <v/>
      </c>
      <c r="GX66" s="26">
        <f>-135000-15000+10000</f>
        <v/>
      </c>
      <c r="GY66" s="26">
        <f>-135000+10000</f>
        <v/>
      </c>
      <c r="GZ66" s="26">
        <f>-135000+5000</f>
        <v/>
      </c>
      <c r="HA66" s="26">
        <f>-135000+5000+20000</f>
        <v/>
      </c>
      <c r="HB66" s="26">
        <f>-135000+20000+10000</f>
        <v/>
      </c>
      <c r="HC66" s="26">
        <f>-135000+30000+10000-5000</f>
        <v/>
      </c>
      <c r="HD66" s="26">
        <f>-135000+40000+5000</f>
        <v/>
      </c>
      <c r="HE66" s="26">
        <f>-111000+20000+15000</f>
        <v/>
      </c>
      <c r="HF66" s="26">
        <f>-80000+5000+5000</f>
        <v/>
      </c>
      <c r="HG66" s="26">
        <f>-70000+10000</f>
        <v/>
      </c>
      <c r="HH66" s="26">
        <f>-50000-5000+5000</f>
        <v/>
      </c>
      <c r="HI66" s="26">
        <f>-50000-5000+15000</f>
        <v/>
      </c>
      <c r="HJ66" s="26">
        <f>-50000+5000+10000</f>
        <v/>
      </c>
      <c r="HK66" s="26">
        <f>-49000+15000+10000-1000</f>
        <v/>
      </c>
      <c r="HL66" s="26">
        <f>-22000+8000</f>
        <v/>
      </c>
      <c r="HM66" s="26">
        <f>-14000+9000</f>
        <v/>
      </c>
      <c r="HN66" s="26" t="n"/>
      <c r="HO66" s="26" t="n"/>
      <c r="HP66" s="26" t="n"/>
      <c r="HQ66" s="26" t="n"/>
      <c r="HR66" s="26" t="n"/>
      <c r="HS66" s="26" t="n"/>
      <c r="HT66" s="26" t="n"/>
      <c r="HU66" s="26" t="n"/>
      <c r="JF66" s="26">
        <f>AP66</f>
        <v/>
      </c>
      <c r="JG66" s="26">
        <f>SUM(Z66:AK66)</f>
        <v/>
      </c>
      <c r="JH66" s="26">
        <f>SUM(AL66:AP66)</f>
        <v/>
      </c>
      <c r="JI66" s="26">
        <f>SUM(C66:AP66)</f>
        <v/>
      </c>
      <c r="JJ66" s="446" t="n"/>
      <c r="JM66" s="26" t="n">
        <v>0</v>
      </c>
      <c r="KG66" s="136">
        <f>B66</f>
        <v/>
      </c>
      <c r="KH66" s="345">
        <f>AR66</f>
        <v/>
      </c>
    </row>
    <row r="67" ht="16.2" customHeight="1">
      <c r="A67" s="12" t="inlineStr">
        <is>
          <t>Subtotal</t>
        </is>
      </c>
      <c r="B67" s="136">
        <f>SUM(C67:AP67)</f>
        <v/>
      </c>
      <c r="C67" s="30">
        <f>SUM(C65:C66)</f>
        <v/>
      </c>
      <c r="D67" s="30">
        <f>SUM(D65:D66)</f>
        <v/>
      </c>
      <c r="E67" s="30">
        <f>SUM(E65:E66)</f>
        <v/>
      </c>
      <c r="F67" s="30">
        <f>SUM(F65:F66)</f>
        <v/>
      </c>
      <c r="G67" s="30">
        <f>SUM(G65:G66)</f>
        <v/>
      </c>
      <c r="H67" s="30">
        <f>SUM(H65:H66)</f>
        <v/>
      </c>
      <c r="I67" s="31">
        <f>SUM(I65:I66)</f>
        <v/>
      </c>
      <c r="J67" s="187">
        <f>SUM(J65:J66)</f>
        <v/>
      </c>
      <c r="K67" s="31">
        <f>SUM(K65:K66)</f>
        <v/>
      </c>
      <c r="L67" s="30">
        <f>SUM(L65:L66)</f>
        <v/>
      </c>
      <c r="M67" s="30">
        <f>SUM(M65:M66)</f>
        <v/>
      </c>
      <c r="N67" s="30">
        <f>SUM(N65:N66)</f>
        <v/>
      </c>
      <c r="O67" s="30">
        <f>SUM(O65:O66)</f>
        <v/>
      </c>
      <c r="P67" s="30">
        <f>SUM(P65:P66)</f>
        <v/>
      </c>
      <c r="Q67" s="30">
        <f>SUM(Q65:Q66)</f>
        <v/>
      </c>
      <c r="R67" s="30">
        <f>SUM(R65:R66)</f>
        <v/>
      </c>
      <c r="S67" s="30">
        <f>SUM(S65:S66)</f>
        <v/>
      </c>
      <c r="T67" s="30">
        <f>SUM(T65:T66)</f>
        <v/>
      </c>
      <c r="U67" s="30">
        <f>SUM(U65:U66)</f>
        <v/>
      </c>
      <c r="V67" s="30">
        <f>SUM(V65:V66)</f>
        <v/>
      </c>
      <c r="W67" s="30">
        <f>SUM(W65:W66)</f>
        <v/>
      </c>
      <c r="X67" s="30">
        <f>SUM(X65:X66)</f>
        <v/>
      </c>
      <c r="Y67" s="30">
        <f>SUM(Y65:Y66)</f>
        <v/>
      </c>
      <c r="Z67" s="30">
        <f>SUM(Z65:Z66)</f>
        <v/>
      </c>
      <c r="AA67" s="30">
        <f>SUM(AA65:AA66)</f>
        <v/>
      </c>
      <c r="AB67" s="30">
        <f>SUM(AB65:AB66)</f>
        <v/>
      </c>
      <c r="AC67" s="30" t="n"/>
      <c r="AD67" s="30" t="n"/>
      <c r="AE67" s="30" t="n"/>
      <c r="AF67" s="30" t="n"/>
      <c r="AG67" s="30">
        <f>+AG65+AG66</f>
        <v/>
      </c>
      <c r="AH67" s="30">
        <f>+AH65+AH66</f>
        <v/>
      </c>
      <c r="AI67" s="30">
        <f>+AI65+AI66</f>
        <v/>
      </c>
      <c r="AJ67" s="30">
        <f>+AJ65+AJ66</f>
        <v/>
      </c>
      <c r="AK67" s="30">
        <f>+AK65+AK66</f>
        <v/>
      </c>
      <c r="AL67" s="30">
        <f>+AL65+AL66</f>
        <v/>
      </c>
      <c r="AM67" s="30">
        <f>+AM65+AM66</f>
        <v/>
      </c>
      <c r="AN67" s="30">
        <f>+AN65+AN66</f>
        <v/>
      </c>
      <c r="AO67" s="30">
        <f>+AO65+AO66</f>
        <v/>
      </c>
      <c r="AP67" s="30">
        <f>+AP65+AP66</f>
        <v/>
      </c>
      <c r="AQ67" s="13" t="n"/>
      <c r="AR67" s="188">
        <f>SUM(AT67:HU67)</f>
        <v/>
      </c>
      <c r="AS67" s="13" t="n"/>
      <c r="AT67" s="32">
        <f>SUM(AT65:AT66)</f>
        <v/>
      </c>
      <c r="AU67" s="32">
        <f>SUM(AU65:AU66)</f>
        <v/>
      </c>
      <c r="AV67" s="32">
        <f>SUM(AV65:AV66)</f>
        <v/>
      </c>
      <c r="AW67" s="32">
        <f>SUM(AW65:AW66)</f>
        <v/>
      </c>
      <c r="AX67" s="32">
        <f>SUM(AX65:AX66)</f>
        <v/>
      </c>
      <c r="AY67" s="32">
        <f>SUM(AY65:AY66)</f>
        <v/>
      </c>
      <c r="AZ67" s="32">
        <f>SUM(AZ65:AZ66)</f>
        <v/>
      </c>
      <c r="BA67" s="32">
        <f>SUM(BA65:BA66)</f>
        <v/>
      </c>
      <c r="BB67" s="32">
        <f>SUM(BB65:BB66)</f>
        <v/>
      </c>
      <c r="BC67" s="32">
        <f>SUM(BC65:BC66)</f>
        <v/>
      </c>
      <c r="BD67" s="32">
        <f>SUM(BD65:BD66)</f>
        <v/>
      </c>
      <c r="BE67" s="32">
        <f>SUM(BE65:BE66)</f>
        <v/>
      </c>
      <c r="BF67" s="32">
        <f>SUM(BF65:BF66)</f>
        <v/>
      </c>
      <c r="BG67" s="32">
        <f>SUM(BG65:BG66)</f>
        <v/>
      </c>
      <c r="BH67" s="445">
        <f>SUM(BH65:BH66)</f>
        <v/>
      </c>
      <c r="BI67" s="445">
        <f>SUM(BI65:BI66)</f>
        <v/>
      </c>
      <c r="BJ67" s="445">
        <f>SUM(BJ65:BJ66)</f>
        <v/>
      </c>
      <c r="BK67" s="32">
        <f>SUM(BK65:BK66)</f>
        <v/>
      </c>
      <c r="BL67" s="32">
        <f>SUM(BL65:BL66)</f>
        <v/>
      </c>
      <c r="BM67" s="32">
        <f>SUM(BM65:BM66)</f>
        <v/>
      </c>
      <c r="BN67" s="32">
        <f>SUM(BN65:BN66)</f>
        <v/>
      </c>
      <c r="BO67" s="32">
        <f>SUM(BO65:BO66)</f>
        <v/>
      </c>
      <c r="BP67" s="32">
        <f>SUM(BP65:BP66)</f>
        <v/>
      </c>
      <c r="BQ67" s="32">
        <f>SUM(BQ65:BQ66)</f>
        <v/>
      </c>
      <c r="BR67" s="32">
        <f>SUM(BR65:BR66)</f>
        <v/>
      </c>
      <c r="BS67" s="32">
        <f>SUM(BS65:BS66)</f>
        <v/>
      </c>
      <c r="BT67" s="32">
        <f>SUM(BT65:BT66)</f>
        <v/>
      </c>
      <c r="BU67" s="32">
        <f>SUM(BU65:BU66)</f>
        <v/>
      </c>
      <c r="BV67" s="32">
        <f>SUM(BV65:BV66)</f>
        <v/>
      </c>
      <c r="BW67" s="32">
        <f>SUM(BW65:BW66)</f>
        <v/>
      </c>
      <c r="BX67" s="32">
        <f>SUM(BX65:BX66)</f>
        <v/>
      </c>
      <c r="BY67" s="32">
        <f>SUM(BY65:BY66)</f>
        <v/>
      </c>
      <c r="BZ67" s="32">
        <f>SUM(BZ65:BZ66)</f>
        <v/>
      </c>
      <c r="CA67" s="32">
        <f>SUM(CA65:CA66)</f>
        <v/>
      </c>
      <c r="CB67" s="32">
        <f>SUM(CB65:CB66)</f>
        <v/>
      </c>
      <c r="CC67" s="32">
        <f>SUM(CC65:CC66)</f>
        <v/>
      </c>
      <c r="CD67" s="32">
        <f>SUM(CD65:CD66)</f>
        <v/>
      </c>
      <c r="CE67" s="32">
        <f>SUM(CE65:CE66)</f>
        <v/>
      </c>
      <c r="CF67" s="32">
        <f>SUM(CF65:CF66)</f>
        <v/>
      </c>
      <c r="CG67" s="32">
        <f>SUM(CG65:CG66)</f>
        <v/>
      </c>
      <c r="CH67" s="32">
        <f>SUM(CH65:CH66)</f>
        <v/>
      </c>
      <c r="CI67" s="32">
        <f>SUM(CI65:CI66)</f>
        <v/>
      </c>
      <c r="CJ67" s="32">
        <f>SUM(CJ65:CJ66)</f>
        <v/>
      </c>
      <c r="CK67" s="32">
        <f>SUM(CK65:CK66)</f>
        <v/>
      </c>
      <c r="CL67" s="32">
        <f>SUM(CL65:CL66)</f>
        <v/>
      </c>
      <c r="CM67" s="32">
        <f>SUM(CM65:CM66)</f>
        <v/>
      </c>
      <c r="CN67" s="32">
        <f>SUM(CN65:CN66)</f>
        <v/>
      </c>
      <c r="CO67" s="32">
        <f>SUM(CO65:CO66)</f>
        <v/>
      </c>
      <c r="CP67" s="32">
        <f>SUM(CP65:CP66)</f>
        <v/>
      </c>
      <c r="CQ67" s="32">
        <f>SUM(CQ65:CQ66)</f>
        <v/>
      </c>
      <c r="CR67" s="32">
        <f>SUM(CR65:CR66)</f>
        <v/>
      </c>
      <c r="CS67" s="32">
        <f>SUM(CS65:CS66)</f>
        <v/>
      </c>
      <c r="CT67" s="32">
        <f>SUM(CT65:CT66)</f>
        <v/>
      </c>
      <c r="CU67" s="32">
        <f>SUM(CU65:CU66)</f>
        <v/>
      </c>
      <c r="CV67" s="32">
        <f>SUM(CV65:CV66)</f>
        <v/>
      </c>
      <c r="CW67" s="32">
        <f>SUM(CW65:CW66)</f>
        <v/>
      </c>
      <c r="CX67" s="32">
        <f>SUM(CX65:CX66)</f>
        <v/>
      </c>
      <c r="CY67" s="32">
        <f>SUM(CY65:CY66)</f>
        <v/>
      </c>
      <c r="CZ67" s="32">
        <f>SUM(CZ65:CZ66)</f>
        <v/>
      </c>
      <c r="DA67" s="32">
        <f>SUM(DA65:DA66)</f>
        <v/>
      </c>
      <c r="DB67" s="32">
        <f>SUM(DB65:DB66)</f>
        <v/>
      </c>
      <c r="DC67" s="32">
        <f>SUM(DC65:DC66)</f>
        <v/>
      </c>
      <c r="DD67" s="32">
        <f>SUM(DD65:DD66)</f>
        <v/>
      </c>
      <c r="DE67" s="32">
        <f>SUM(DE65:DE66)</f>
        <v/>
      </c>
      <c r="DF67" s="32">
        <f>SUM(DF65:DF66)</f>
        <v/>
      </c>
      <c r="DG67" s="32">
        <f>SUM(DG65:DG66)</f>
        <v/>
      </c>
      <c r="DH67" s="32">
        <f>SUM(DH65:DH66)</f>
        <v/>
      </c>
      <c r="DI67" s="32">
        <f>SUM(DI65:DI66)</f>
        <v/>
      </c>
      <c r="DJ67" s="32">
        <f>SUM(DJ65:DJ66)</f>
        <v/>
      </c>
      <c r="DK67" s="32">
        <f>SUM(DK65:DK66)</f>
        <v/>
      </c>
      <c r="DL67" s="32">
        <f>SUM(DL65:DL66)</f>
        <v/>
      </c>
      <c r="DM67" s="32">
        <f>SUM(DM65:DM66)</f>
        <v/>
      </c>
      <c r="DN67" s="32">
        <f>SUM(DN65:DN66)</f>
        <v/>
      </c>
      <c r="DO67" s="32">
        <f>SUM(DO65:DO66)</f>
        <v/>
      </c>
      <c r="DP67" s="32">
        <f>SUM(DP65:DP66)</f>
        <v/>
      </c>
      <c r="DQ67" s="32">
        <f>SUM(DQ65:DQ66)</f>
        <v/>
      </c>
      <c r="DR67" s="32">
        <f>SUM(DR65:DR66)</f>
        <v/>
      </c>
      <c r="DS67" s="32">
        <f>SUM(DS65:DS66)</f>
        <v/>
      </c>
      <c r="DT67" s="32">
        <f>SUM(DT65:DT66)</f>
        <v/>
      </c>
      <c r="DU67" s="32">
        <f>SUM(DU65:DU66)</f>
        <v/>
      </c>
      <c r="DV67" s="32">
        <f>SUM(DV65:DV66)</f>
        <v/>
      </c>
      <c r="DW67" s="32">
        <f>SUM(DW65:DW66)</f>
        <v/>
      </c>
      <c r="DX67" s="32">
        <f>SUM(DX65:DX66)</f>
        <v/>
      </c>
      <c r="DY67" s="32">
        <f>SUM(DY65:DY66)</f>
        <v/>
      </c>
      <c r="DZ67" s="32">
        <f>SUM(DZ65:DZ66)</f>
        <v/>
      </c>
      <c r="EA67" s="32">
        <f>SUM(EA65:EA66)</f>
        <v/>
      </c>
      <c r="EB67" s="32">
        <f>SUM(EB65:EB66)</f>
        <v/>
      </c>
      <c r="EC67" s="32">
        <f>SUM(EC65:EC66)</f>
        <v/>
      </c>
      <c r="ED67" s="32">
        <f>SUM(ED65:ED66)</f>
        <v/>
      </c>
      <c r="EE67" s="32">
        <f>SUM(EE65:EE66)</f>
        <v/>
      </c>
      <c r="EF67" s="32">
        <f>SUM(EF65:EF66)</f>
        <v/>
      </c>
      <c r="EG67" s="32">
        <f>SUM(EG65:EG66)</f>
        <v/>
      </c>
      <c r="EH67" s="32">
        <f>SUM(EH65:EH66)</f>
        <v/>
      </c>
      <c r="EI67" s="32">
        <f>SUM(EI65:EI66)</f>
        <v/>
      </c>
      <c r="EJ67" s="32">
        <f>SUM(EJ65:EJ66)</f>
        <v/>
      </c>
      <c r="EK67" s="32">
        <f>SUM(EK65:EK66)</f>
        <v/>
      </c>
      <c r="EL67" s="32">
        <f>SUM(EL65:EL66)</f>
        <v/>
      </c>
      <c r="EM67" s="32">
        <f>SUM(EM65:EM66)</f>
        <v/>
      </c>
      <c r="EN67" s="32">
        <f>SUM(EN65:EN66)</f>
        <v/>
      </c>
      <c r="EO67" s="32">
        <f>SUM(EO65:EO66)</f>
        <v/>
      </c>
      <c r="EP67" s="32">
        <f>SUM(EP65:EP66)</f>
        <v/>
      </c>
      <c r="EQ67" s="32">
        <f>SUM(EQ65:EQ66)</f>
        <v/>
      </c>
      <c r="ER67" s="32">
        <f>SUM(ER65:ER66)</f>
        <v/>
      </c>
      <c r="ES67" s="32">
        <f>SUM(ES65:ES66)</f>
        <v/>
      </c>
      <c r="ET67" s="32">
        <f>SUM(ET65:ET66)</f>
        <v/>
      </c>
      <c r="EU67" s="32">
        <f>SUM(EU65:EU66)</f>
        <v/>
      </c>
      <c r="EV67" s="32">
        <f>SUM(EV65:EV66)</f>
        <v/>
      </c>
      <c r="EW67" s="32">
        <f>SUM(EW65:EW66)</f>
        <v/>
      </c>
      <c r="EX67" s="32">
        <f>SUM(EX65:EX66)</f>
        <v/>
      </c>
      <c r="EY67" s="32">
        <f>SUM(EY65:EY66)</f>
        <v/>
      </c>
      <c r="EZ67" s="32">
        <f>SUM(EZ65:EZ66)</f>
        <v/>
      </c>
      <c r="FA67" s="32">
        <f>SUM(FA65:FA66)</f>
        <v/>
      </c>
      <c r="FB67" s="32">
        <f>SUM(FB65:FB66)</f>
        <v/>
      </c>
      <c r="FC67" s="32">
        <f>SUM(FC65:FC66)</f>
        <v/>
      </c>
      <c r="FD67" s="32">
        <f>SUM(FD65:FD66)</f>
        <v/>
      </c>
      <c r="FE67" s="32">
        <f>SUM(FE65:FE66)</f>
        <v/>
      </c>
      <c r="FF67" s="32">
        <f>SUM(FF65:FF66)</f>
        <v/>
      </c>
      <c r="FG67" s="32">
        <f>SUM(FG65:FG66)</f>
        <v/>
      </c>
      <c r="FH67" s="32">
        <f>SUM(FH65:FH66)</f>
        <v/>
      </c>
      <c r="FI67" s="32">
        <f>SUM(FI65:FI66)</f>
        <v/>
      </c>
      <c r="FJ67" s="32">
        <f>SUM(FJ65:FJ66)</f>
        <v/>
      </c>
      <c r="FK67" s="32">
        <f>SUM(FK65:FK66)</f>
        <v/>
      </c>
      <c r="FL67" s="32">
        <f>SUM(FL65:FL66)</f>
        <v/>
      </c>
      <c r="FM67" s="32">
        <f>SUM(FM65:FM66)</f>
        <v/>
      </c>
      <c r="FN67" s="32">
        <f>SUM(FN65:FN66)</f>
        <v/>
      </c>
      <c r="FO67" s="32">
        <f>SUM(FO65:FO66)</f>
        <v/>
      </c>
      <c r="FP67" s="32">
        <f>SUM(FP65:FP66)</f>
        <v/>
      </c>
      <c r="FQ67" s="32">
        <f>SUM(FQ65:FQ66)</f>
        <v/>
      </c>
      <c r="FR67" s="32">
        <f>SUM(FR65:FR66)</f>
        <v/>
      </c>
      <c r="FS67" s="32">
        <f>SUM(FS65:FS66)</f>
        <v/>
      </c>
      <c r="FT67" s="32">
        <f>SUM(FT65:FT66)</f>
        <v/>
      </c>
      <c r="FU67" s="32">
        <f>SUM(FU65:FU66)</f>
        <v/>
      </c>
      <c r="FV67" s="32">
        <f>SUM(FV65:FV66)</f>
        <v/>
      </c>
      <c r="FW67" s="32">
        <f>SUM(FW65:FW66)</f>
        <v/>
      </c>
      <c r="FX67" s="32">
        <f>SUM(FX65:FX66)</f>
        <v/>
      </c>
      <c r="FY67" s="32">
        <f>SUM(FY65:FY66)</f>
        <v/>
      </c>
      <c r="FZ67" s="32">
        <f>SUM(FZ65:FZ66)</f>
        <v/>
      </c>
      <c r="GA67" s="32">
        <f>SUM(GA65:GA66)</f>
        <v/>
      </c>
      <c r="GB67" s="32">
        <f>SUM(GB65:GB66)</f>
        <v/>
      </c>
      <c r="GC67" s="32">
        <f>SUM(GC65:GC66)</f>
        <v/>
      </c>
      <c r="GD67" s="32">
        <f>SUM(GD65:GD66)</f>
        <v/>
      </c>
      <c r="GE67" s="32">
        <f>SUM(GE65:GE66)</f>
        <v/>
      </c>
      <c r="GF67" s="32">
        <f>SUM(GF65:GF66)</f>
        <v/>
      </c>
      <c r="GG67" s="32">
        <f>SUM(GG65:GG66)</f>
        <v/>
      </c>
      <c r="GH67" s="32">
        <f>SUM(GH65:GH66)</f>
        <v/>
      </c>
      <c r="GI67" s="32">
        <f>SUM(GI65:GI66)</f>
        <v/>
      </c>
      <c r="GJ67" s="32">
        <f>SUM(GJ65:GJ66)</f>
        <v/>
      </c>
      <c r="GK67" s="32">
        <f>SUM(GK65:GK66)</f>
        <v/>
      </c>
      <c r="GL67" s="32">
        <f>SUM(GL65:GL66)</f>
        <v/>
      </c>
      <c r="GM67" s="32">
        <f>SUM(GM65:GM66)</f>
        <v/>
      </c>
      <c r="GN67" s="32">
        <f>SUM(GN65:GN66)</f>
        <v/>
      </c>
      <c r="GO67" s="32">
        <f>SUM(GO65:GO66)</f>
        <v/>
      </c>
      <c r="GP67" s="32">
        <f>SUM(GP65:GP66)</f>
        <v/>
      </c>
      <c r="GQ67" s="32">
        <f>SUM(GQ65:GQ66)</f>
        <v/>
      </c>
      <c r="GR67" s="32">
        <f>SUM(GR65:GR66)</f>
        <v/>
      </c>
      <c r="GS67" s="32">
        <f>SUM(GS65:GS66)</f>
        <v/>
      </c>
      <c r="GT67" s="32">
        <f>SUM(GT65:GT66)</f>
        <v/>
      </c>
      <c r="GU67" s="32">
        <f>SUM(GU65:GU66)</f>
        <v/>
      </c>
      <c r="GV67" s="32">
        <f>SUM(GV65:GV66)</f>
        <v/>
      </c>
      <c r="GW67" s="32">
        <f>SUM(GW65:GW66)</f>
        <v/>
      </c>
      <c r="GX67" s="32">
        <f>SUM(GX65:GX66)</f>
        <v/>
      </c>
      <c r="GY67" s="32">
        <f>SUM(GY65:GY66)</f>
        <v/>
      </c>
      <c r="GZ67" s="32">
        <f>SUM(GZ65:GZ66)</f>
        <v/>
      </c>
      <c r="HA67" s="32">
        <f>SUM(HA65:HA66)</f>
        <v/>
      </c>
      <c r="HB67" s="32">
        <f>SUM(HB65:HB66)</f>
        <v/>
      </c>
      <c r="HC67" s="32">
        <f>SUM(HC65:HC66)</f>
        <v/>
      </c>
      <c r="HD67" s="32">
        <f>SUM(HD65:HD66)</f>
        <v/>
      </c>
      <c r="HE67" s="32">
        <f>SUM(HE65:HE66)</f>
        <v/>
      </c>
      <c r="HF67" s="32">
        <f>SUM(HF65:HF66)</f>
        <v/>
      </c>
      <c r="HG67" s="32">
        <f>SUM(HG65:HG66)</f>
        <v/>
      </c>
      <c r="HH67" s="32">
        <f>SUM(HH65:HH66)</f>
        <v/>
      </c>
      <c r="HI67" s="32">
        <f>SUM(HI65:HI66)</f>
        <v/>
      </c>
      <c r="HJ67" s="32">
        <f>SUM(HJ65:HJ66)</f>
        <v/>
      </c>
      <c r="HK67" s="32">
        <f>SUM(HK65:HK66)</f>
        <v/>
      </c>
      <c r="HL67" s="32">
        <f>SUM(HL65:HL66)</f>
        <v/>
      </c>
      <c r="HM67" s="32">
        <f>SUM(HM65:HM66)</f>
        <v/>
      </c>
      <c r="HN67" s="32">
        <f>SUM(HN65:HN66)</f>
        <v/>
      </c>
      <c r="HO67" s="32">
        <f>SUM(HO65:HO66)</f>
        <v/>
      </c>
      <c r="HP67" s="32">
        <f>SUM(HP65:HP66)</f>
        <v/>
      </c>
      <c r="HQ67" s="32">
        <f>SUM(HQ65:HQ66)</f>
        <v/>
      </c>
      <c r="HR67" s="32">
        <f>SUM(HR65:HR66)</f>
        <v/>
      </c>
      <c r="HS67" s="32">
        <f>SUM(HS65:HS66)</f>
        <v/>
      </c>
      <c r="HT67" s="32">
        <f>SUM(HT65:HT66)</f>
        <v/>
      </c>
      <c r="HU67" s="32">
        <f>SUM(HU65:HU66)</f>
        <v/>
      </c>
      <c r="JF67" s="32">
        <f>AP67</f>
        <v/>
      </c>
      <c r="JG67" s="32">
        <f>SUM(Z67:AK67)</f>
        <v/>
      </c>
      <c r="JH67" s="32">
        <f>SUM(AL67:AP67)</f>
        <v/>
      </c>
      <c r="JI67" s="32">
        <f>SUM(C67:AP67)</f>
        <v/>
      </c>
      <c r="JJ67" s="446" t="n"/>
      <c r="JM67" s="32" t="n">
        <v>0</v>
      </c>
      <c r="KG67" s="136">
        <f>B67</f>
        <v/>
      </c>
      <c r="KH67" s="188">
        <f>AR67</f>
        <v/>
      </c>
    </row>
    <row r="68" ht="16.2" customHeight="1">
      <c r="A68" s="28" t="n"/>
      <c r="B68" s="146" t="n"/>
      <c r="C68" s="512" t="n"/>
      <c r="D68" s="512" t="n"/>
      <c r="E68" s="512" t="n"/>
      <c r="F68" s="512" t="n"/>
      <c r="G68" s="512" t="n"/>
      <c r="H68" s="512" t="n"/>
      <c r="I68" s="512" t="n"/>
      <c r="J68" s="513" t="n"/>
      <c r="K68" s="512" t="n"/>
      <c r="L68" s="512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514" t="n"/>
      <c r="AA68" s="514" t="n"/>
      <c r="AB68" s="514" t="n"/>
      <c r="AC68" s="514" t="n"/>
      <c r="AD68" s="514" t="n"/>
      <c r="AE68" s="514" t="n"/>
      <c r="AF68" s="514" t="n"/>
      <c r="AG68" s="514" t="n"/>
      <c r="AH68" s="514" t="n"/>
      <c r="AI68" s="514" t="n"/>
      <c r="AJ68" s="514" t="n"/>
      <c r="AK68" s="514" t="n"/>
      <c r="AL68" s="514" t="n"/>
      <c r="AM68" s="514" t="n"/>
      <c r="AN68" s="514" t="n"/>
      <c r="AO68" s="514" t="n"/>
      <c r="AP68" s="514" t="n"/>
      <c r="AQ68" s="512" t="n"/>
      <c r="AR68" s="533" t="n"/>
      <c r="AS68" s="512" t="n"/>
      <c r="AT68" s="512" t="n"/>
      <c r="AU68" s="512" t="n"/>
      <c r="AV68" s="512" t="n"/>
      <c r="AW68" s="512" t="n"/>
      <c r="AX68" s="512" t="n"/>
      <c r="AY68" s="512" t="n"/>
      <c r="AZ68" s="512" t="n"/>
      <c r="BA68" s="512" t="n"/>
      <c r="BB68" s="512" t="n"/>
      <c r="BC68" s="512" t="n"/>
      <c r="BD68" s="515" t="n"/>
      <c r="BE68" s="512" t="n"/>
      <c r="BF68" s="512" t="n"/>
      <c r="BG68" s="512" t="n"/>
      <c r="BH68" s="512" t="n"/>
      <c r="BI68" s="512" t="n"/>
      <c r="BJ68" s="512" t="n"/>
      <c r="BK68" s="512" t="n"/>
      <c r="BL68" s="512" t="n"/>
      <c r="BM68" s="512" t="n"/>
      <c r="BN68" s="512" t="n"/>
      <c r="BO68" s="512" t="n"/>
      <c r="BP68" s="515" t="n"/>
      <c r="BQ68" s="512" t="n"/>
      <c r="BR68" s="512" t="n"/>
      <c r="BS68" s="512" t="n"/>
      <c r="BT68" s="512" t="n"/>
      <c r="BU68" s="512" t="n"/>
      <c r="BV68" s="512" t="n"/>
      <c r="BW68" s="512" t="n"/>
      <c r="BX68" s="512" t="n"/>
      <c r="BY68" s="512" t="n"/>
      <c r="BZ68" s="512" t="n"/>
      <c r="CA68" s="512" t="n"/>
      <c r="CB68" s="515" t="n"/>
      <c r="CC68" s="512" t="n"/>
      <c r="CD68" s="512" t="n"/>
      <c r="CE68" s="512" t="n"/>
      <c r="CF68" s="512" t="n"/>
      <c r="CG68" s="512" t="n"/>
      <c r="CH68" s="512" t="n"/>
      <c r="CI68" s="512" t="n"/>
      <c r="CJ68" s="512" t="n"/>
      <c r="CK68" s="512" t="n"/>
      <c r="CL68" s="512" t="n"/>
      <c r="CM68" s="512" t="n"/>
      <c r="CN68" s="515" t="n"/>
      <c r="CO68" s="512" t="n"/>
      <c r="CP68" s="512" t="n"/>
      <c r="CQ68" s="512" t="n"/>
      <c r="CR68" s="512" t="n"/>
      <c r="CS68" s="512" t="n"/>
      <c r="CT68" s="512" t="n"/>
      <c r="CU68" s="512" t="n"/>
      <c r="CV68" s="512" t="n"/>
      <c r="CW68" s="512" t="n"/>
      <c r="CX68" s="512" t="n"/>
      <c r="CY68" s="512" t="n"/>
      <c r="CZ68" s="515" t="n"/>
      <c r="DA68" s="512" t="n"/>
      <c r="DB68" s="512" t="n"/>
      <c r="DC68" s="512" t="n"/>
      <c r="DD68" s="512" t="n"/>
      <c r="DE68" s="512" t="n"/>
      <c r="DF68" s="512" t="n"/>
      <c r="DG68" s="512" t="n"/>
      <c r="DH68" s="512" t="n"/>
      <c r="DI68" s="512" t="n"/>
      <c r="DJ68" s="512" t="n"/>
      <c r="DK68" s="512" t="n"/>
      <c r="DL68" s="512" t="n"/>
      <c r="DM68" s="512" t="n"/>
      <c r="DN68" s="512" t="n"/>
      <c r="DO68" s="512" t="n"/>
      <c r="DP68" s="512" t="n"/>
      <c r="DQ68" s="512" t="n"/>
      <c r="DR68" s="512" t="n"/>
      <c r="DS68" s="512" t="n"/>
      <c r="DT68" s="512" t="n"/>
      <c r="DU68" s="512" t="n"/>
      <c r="DV68" s="512" t="n"/>
      <c r="DW68" s="512" t="n"/>
      <c r="DX68" s="512" t="n"/>
      <c r="DY68" s="512" t="n"/>
      <c r="DZ68" s="512" t="n"/>
      <c r="EA68" s="512" t="n"/>
      <c r="EB68" s="512" t="n"/>
      <c r="EC68" s="512" t="n"/>
      <c r="ED68" s="512" t="n"/>
      <c r="EE68" s="512" t="n"/>
      <c r="EF68" s="512" t="n"/>
      <c r="EG68" s="512" t="n"/>
      <c r="EH68" s="512" t="n"/>
      <c r="EI68" s="512" t="n"/>
      <c r="EJ68" s="512" t="n"/>
      <c r="EK68" s="512" t="n"/>
      <c r="EL68" s="512" t="n"/>
      <c r="EM68" s="512" t="n"/>
      <c r="EN68" s="512" t="n"/>
      <c r="EO68" s="512" t="n"/>
      <c r="EP68" s="512" t="n"/>
      <c r="EQ68" s="512" t="n"/>
      <c r="ER68" s="512" t="n"/>
      <c r="ES68" s="512" t="n"/>
      <c r="ET68" s="512" t="n"/>
      <c r="EU68" s="512" t="n"/>
      <c r="EV68" s="512" t="n"/>
      <c r="EW68" s="512" t="n"/>
      <c r="EX68" s="512" t="n"/>
      <c r="EY68" s="512" t="n"/>
      <c r="EZ68" s="512" t="n"/>
      <c r="FA68" s="512" t="n"/>
      <c r="FB68" s="512" t="n"/>
      <c r="FC68" s="512" t="n"/>
      <c r="FD68" s="512" t="n"/>
      <c r="FE68" s="512" t="n"/>
      <c r="FF68" s="512" t="n"/>
      <c r="FG68" s="512" t="n"/>
      <c r="FH68" s="512" t="n"/>
      <c r="FI68" s="512" t="n"/>
      <c r="FJ68" s="512" t="n"/>
      <c r="FK68" s="512" t="n"/>
      <c r="FL68" s="512" t="n"/>
      <c r="FM68" s="512" t="n"/>
      <c r="FN68" s="512" t="n"/>
      <c r="FO68" s="512" t="n"/>
      <c r="FP68" s="512" t="n"/>
      <c r="FQ68" s="512" t="n"/>
      <c r="FR68" s="512" t="n"/>
      <c r="FS68" s="512" t="n"/>
      <c r="FT68" s="512" t="n"/>
      <c r="FU68" s="512" t="n"/>
      <c r="FV68" s="512" t="n"/>
      <c r="FW68" s="512" t="n"/>
      <c r="FX68" s="512" t="n"/>
      <c r="FY68" s="512" t="n"/>
      <c r="FZ68" s="512" t="n"/>
      <c r="GA68" s="512" t="n"/>
      <c r="GB68" s="512" t="n"/>
      <c r="GC68" s="512" t="n"/>
      <c r="GD68" s="512" t="n"/>
      <c r="GE68" s="512" t="n"/>
      <c r="GF68" s="512" t="n"/>
      <c r="GG68" s="512" t="n"/>
      <c r="GH68" s="512" t="n"/>
      <c r="GI68" s="512" t="n"/>
      <c r="GJ68" s="512" t="n"/>
      <c r="GK68" s="512" t="n"/>
      <c r="GL68" s="512" t="n"/>
      <c r="GM68" s="512" t="n"/>
      <c r="GN68" s="512" t="n"/>
      <c r="GO68" s="512" t="n"/>
      <c r="GP68" s="512" t="n"/>
      <c r="GQ68" s="512" t="n"/>
      <c r="GR68" s="512" t="n"/>
      <c r="GS68" s="512" t="n"/>
      <c r="GT68" s="512" t="n"/>
      <c r="GU68" s="512" t="n"/>
      <c r="GV68" s="512" t="n"/>
      <c r="GW68" s="512" t="n"/>
      <c r="GX68" s="512" t="n"/>
      <c r="GY68" s="512" t="n"/>
      <c r="GZ68" s="512" t="n"/>
      <c r="HA68" s="512" t="n"/>
      <c r="HB68" s="512" t="n"/>
      <c r="HC68" s="512" t="n"/>
      <c r="HD68" s="512" t="n"/>
      <c r="HE68" s="512" t="n"/>
      <c r="HF68" s="512" t="n"/>
      <c r="HG68" s="512" t="n"/>
      <c r="HH68" s="512" t="n"/>
      <c r="HI68" s="512" t="n"/>
      <c r="HJ68" s="512" t="n"/>
      <c r="HK68" s="512" t="n"/>
      <c r="HL68" s="512" t="n"/>
      <c r="HM68" s="512" t="n"/>
      <c r="HN68" s="512" t="n"/>
      <c r="HO68" s="512" t="n"/>
      <c r="HP68" s="512" t="n"/>
      <c r="HQ68" s="512" t="n"/>
      <c r="HR68" s="512" t="n"/>
      <c r="HS68" s="512" t="n"/>
      <c r="HT68" s="512" t="n"/>
      <c r="HU68" s="512" t="n"/>
      <c r="JF68" s="512">
        <f>AP68</f>
        <v/>
      </c>
      <c r="JG68" s="512">
        <f>SUM(Z68:AK68)</f>
        <v/>
      </c>
      <c r="JH68" s="512">
        <f>SUM(AL68:AP68)</f>
        <v/>
      </c>
      <c r="JI68" s="512">
        <f>SUM(C68:AP68)</f>
        <v/>
      </c>
      <c r="JJ68" s="446" t="n"/>
      <c r="JM68" s="512" t="n"/>
      <c r="KG68" s="146">
        <f>B68</f>
        <v/>
      </c>
      <c r="KH68" s="533">
        <f>AR68</f>
        <v/>
      </c>
    </row>
    <row r="69" ht="16.2" customHeight="1">
      <c r="A69" s="101" t="inlineStr">
        <is>
          <t>DESPESAS OP+TERRENO+IMP+DISTR (-)</t>
        </is>
      </c>
      <c r="B69" s="136">
        <f>SUM(C69:AP69)</f>
        <v/>
      </c>
      <c r="C69" s="94">
        <f>C67+C56+C52+C59+C62</f>
        <v/>
      </c>
      <c r="D69" s="94">
        <f>D67+D56+D52+D59+D62</f>
        <v/>
      </c>
      <c r="E69" s="94">
        <f>E67+E56+E52+E59+E62</f>
        <v/>
      </c>
      <c r="F69" s="94">
        <f>F67+F56+F52+F59+F62</f>
        <v/>
      </c>
      <c r="G69" s="94">
        <f>G67+G56+G52+G59+G62</f>
        <v/>
      </c>
      <c r="H69" s="94">
        <f>H67+H56+H52+H59+H62</f>
        <v/>
      </c>
      <c r="I69" s="94">
        <f>I67+I56+I52+I59+I62</f>
        <v/>
      </c>
      <c r="J69" s="94">
        <f>J67+J56+J52+J59+J62</f>
        <v/>
      </c>
      <c r="K69" s="94">
        <f>K67+K56+K52+K59+K62</f>
        <v/>
      </c>
      <c r="L69" s="94">
        <f>L67+L56+L52+L59+L62</f>
        <v/>
      </c>
      <c r="M69" s="94">
        <f>M67+M56+M52+M59+M62</f>
        <v/>
      </c>
      <c r="N69" s="94">
        <f>N67+N56+N52+N59+N62</f>
        <v/>
      </c>
      <c r="O69" s="94">
        <f>O67+O56+O52+O59+O62</f>
        <v/>
      </c>
      <c r="P69" s="94">
        <f>P67+P56+P52+P59+P62</f>
        <v/>
      </c>
      <c r="Q69" s="94">
        <f>Q67+Q56+Q52+Q59+Q62</f>
        <v/>
      </c>
      <c r="R69" s="94">
        <f>R67+R56+R52+R59+R62</f>
        <v/>
      </c>
      <c r="S69" s="94">
        <f>S67+S56+S52+S59+S62</f>
        <v/>
      </c>
      <c r="T69" s="94">
        <f>T67+T56+T52+T59+T62</f>
        <v/>
      </c>
      <c r="U69" s="94">
        <f>U67+U56+U52+U59+U62</f>
        <v/>
      </c>
      <c r="V69" s="94">
        <f>V67+V56+V52+V59+V62</f>
        <v/>
      </c>
      <c r="W69" s="94">
        <f>W67+W56+W52+W59+W62</f>
        <v/>
      </c>
      <c r="X69" s="94">
        <f>X67+X56+X52+X59+X62</f>
        <v/>
      </c>
      <c r="Y69" s="94">
        <f>Y67+Y56+Y52+Y59+Y62</f>
        <v/>
      </c>
      <c r="Z69" s="94">
        <f>Z67+Z56+Z52+Z59+Z62</f>
        <v/>
      </c>
      <c r="AA69" s="94">
        <f>AA67+AA56+AA52+AA59+AA62</f>
        <v/>
      </c>
      <c r="AB69" s="94">
        <f>AB67+AB56+AB52+AB59+AB62</f>
        <v/>
      </c>
      <c r="AC69" s="94">
        <f>AC67+AC56+AC52+AC59+AC62</f>
        <v/>
      </c>
      <c r="AD69" s="94">
        <f>AD67+AD56+AD52+AD59+AD62</f>
        <v/>
      </c>
      <c r="AE69" s="94">
        <f>AE67+AE56+AE52+AE59+AE62</f>
        <v/>
      </c>
      <c r="AF69" s="94">
        <f>AF67+AF56+AF52+AF59+AF62</f>
        <v/>
      </c>
      <c r="AG69" s="94">
        <f>AG67+AG56+AG52+AG59+AG62</f>
        <v/>
      </c>
      <c r="AH69" s="94">
        <f>AH67+AH56+AH52+AH59+AH62</f>
        <v/>
      </c>
      <c r="AI69" s="94">
        <f>AI67+AI56+AI52+AI59+AI62</f>
        <v/>
      </c>
      <c r="AJ69" s="94">
        <f>AJ67+AJ56+AJ52+AJ59+AJ62</f>
        <v/>
      </c>
      <c r="AK69" s="94">
        <f>AK67+AK56+AK52+AK59+AK62</f>
        <v/>
      </c>
      <c r="AL69" s="94">
        <f>AL67+AL56+AL52+AL59+AL62</f>
        <v/>
      </c>
      <c r="AM69" s="94">
        <f>AM67+AM56+AM52+AM59+AM62</f>
        <v/>
      </c>
      <c r="AN69" s="94">
        <f>AN67+AN56+AN52+AN59+AN62</f>
        <v/>
      </c>
      <c r="AO69" s="94">
        <f>AO67+AO56+AO52+AO59+AO62</f>
        <v/>
      </c>
      <c r="AP69" s="94">
        <f>AP67+AP56+AP52+AP59+AP62</f>
        <v/>
      </c>
      <c r="AQ69" s="13" t="n"/>
      <c r="AR69" s="86">
        <f>SUM(AT69:HU69)</f>
        <v/>
      </c>
      <c r="AS69" s="13" t="n"/>
      <c r="AT69" s="94">
        <f>AT67+AT56+AT52+AT59+AT62</f>
        <v/>
      </c>
      <c r="AU69" s="94">
        <f>AU67+AU56+AU52+AU59+AU62</f>
        <v/>
      </c>
      <c r="AV69" s="94">
        <f>AV67+AV56+AV52+AV59+AV62</f>
        <v/>
      </c>
      <c r="AW69" s="94">
        <f>AW67+AW56+AW52+AW59+AW62</f>
        <v/>
      </c>
      <c r="AX69" s="94">
        <f>AX67+AX56+AX52+AX59+AX62</f>
        <v/>
      </c>
      <c r="AY69" s="94">
        <f>AY67+AY56+AY52+AY59+AY62</f>
        <v/>
      </c>
      <c r="AZ69" s="94">
        <f>AZ67+AZ56+AZ52+AZ59+AZ62</f>
        <v/>
      </c>
      <c r="BA69" s="94">
        <f>BA67+BA56+BA52+BA59+BA62</f>
        <v/>
      </c>
      <c r="BB69" s="94">
        <f>BB67+BB56+BB52+BB59+BB62</f>
        <v/>
      </c>
      <c r="BC69" s="94">
        <f>BC67+BC56+BC52+BC59+BC62</f>
        <v/>
      </c>
      <c r="BD69" s="94">
        <f>BD67+BD56+BD52+BD59+BD62</f>
        <v/>
      </c>
      <c r="BE69" s="94">
        <f>BE67+BE56+BE52+BE59+BE62</f>
        <v/>
      </c>
      <c r="BF69" s="94">
        <f>BF67+BF56+BF52+BF59+BF62</f>
        <v/>
      </c>
      <c r="BG69" s="94">
        <f>BG67+BG56+BG52+BG59+BG62</f>
        <v/>
      </c>
      <c r="BH69" s="94">
        <f>BH67+BH56+BH52+BH59+BH62</f>
        <v/>
      </c>
      <c r="BI69" s="94">
        <f>BI67+BI56+BI52+BI59+BI62</f>
        <v/>
      </c>
      <c r="BJ69" s="94">
        <f>BJ67+BJ56+BJ52+BJ59+BJ62</f>
        <v/>
      </c>
      <c r="BK69" s="94">
        <f>BK67+BK56+BK52+BK59+BK62</f>
        <v/>
      </c>
      <c r="BL69" s="94">
        <f>BL67+BL56+BL52+BL59+BL62</f>
        <v/>
      </c>
      <c r="BM69" s="94">
        <f>BM67+BM56+BM52+BM59+BM62</f>
        <v/>
      </c>
      <c r="BN69" s="94">
        <f>BN67+BN56+BN52+BN59+BN62</f>
        <v/>
      </c>
      <c r="BO69" s="94">
        <f>BO67+BO56+BO52+BO59+BO62</f>
        <v/>
      </c>
      <c r="BP69" s="94">
        <f>BP67+BP56+BP52+BP59+BP62</f>
        <v/>
      </c>
      <c r="BQ69" s="94">
        <f>BQ67+BQ56+BQ52+BQ59+BQ62</f>
        <v/>
      </c>
      <c r="BR69" s="94">
        <f>BR67+BR56+BR52+BR59+BR62</f>
        <v/>
      </c>
      <c r="BS69" s="94">
        <f>BS67+BS56+BS52+BS59+BS62</f>
        <v/>
      </c>
      <c r="BT69" s="94">
        <f>BT67+BT56+BT52+BT59+BT62</f>
        <v/>
      </c>
      <c r="BU69" s="94">
        <f>BU67+BU56+BU52+BU59+BU62</f>
        <v/>
      </c>
      <c r="BV69" s="94">
        <f>BV67+BV56+BV52+BV59+BV62</f>
        <v/>
      </c>
      <c r="BW69" s="94">
        <f>BW67+BW56+BW52+BW59+BW62</f>
        <v/>
      </c>
      <c r="BX69" s="94">
        <f>BX67+BX56+BX52+BX59+BX62</f>
        <v/>
      </c>
      <c r="BY69" s="94">
        <f>BY67+BY56+BY52+BY59+BY62</f>
        <v/>
      </c>
      <c r="BZ69" s="94">
        <f>BZ67+BZ56+BZ52+BZ59+BZ62</f>
        <v/>
      </c>
      <c r="CA69" s="94">
        <f>CA67+CA56+CA52+CA59+CA62</f>
        <v/>
      </c>
      <c r="CB69" s="94">
        <f>CB67+CB56+CB52+CB59+CB62</f>
        <v/>
      </c>
      <c r="CC69" s="94">
        <f>CC67+CC56+CC52+CC59+CC62</f>
        <v/>
      </c>
      <c r="CD69" s="94">
        <f>CD67+CD56+CD52+CD59+CD62</f>
        <v/>
      </c>
      <c r="CE69" s="94">
        <f>CE67+CE56+CE52+CE59+CE62</f>
        <v/>
      </c>
      <c r="CF69" s="94">
        <f>CF67+CF56+CF52+CF59+CF62</f>
        <v/>
      </c>
      <c r="CG69" s="94">
        <f>CG67+CG56+CG52+CG59+CG62</f>
        <v/>
      </c>
      <c r="CH69" s="94">
        <f>CH67+CH56+CH52+CH59+CH62</f>
        <v/>
      </c>
      <c r="CI69" s="94">
        <f>CI67+CI56+CI52+CI59+CI62</f>
        <v/>
      </c>
      <c r="CJ69" s="94">
        <f>CJ67+CJ56+CJ52+CJ59+CJ62</f>
        <v/>
      </c>
      <c r="CK69" s="94">
        <f>CK67+CK56+CK52+CK59+CK62</f>
        <v/>
      </c>
      <c r="CL69" s="94">
        <f>CL67+CL56+CL52+CL59+CL62</f>
        <v/>
      </c>
      <c r="CM69" s="94">
        <f>CM67+CM56+CM52+CM59+CM62</f>
        <v/>
      </c>
      <c r="CN69" s="94">
        <f>CN67+CN56+CN52+CN59+CN62</f>
        <v/>
      </c>
      <c r="CO69" s="94">
        <f>CO67+CO56+CO52+CO59+CO62</f>
        <v/>
      </c>
      <c r="CP69" s="94">
        <f>CP67+CP56+CP52+CP59+CP62</f>
        <v/>
      </c>
      <c r="CQ69" s="94">
        <f>CQ67+CQ56+CQ52+CQ59+CQ62</f>
        <v/>
      </c>
      <c r="CR69" s="94">
        <f>CR67+CR56+CR52+CR59+CR62</f>
        <v/>
      </c>
      <c r="CS69" s="94">
        <f>CS67+CS56+CS52+CS59+CS62</f>
        <v/>
      </c>
      <c r="CT69" s="94">
        <f>CT67+CT56+CT52+CT59+CT62</f>
        <v/>
      </c>
      <c r="CU69" s="94">
        <f>CU67+CU56+CU52+CU59+CU62</f>
        <v/>
      </c>
      <c r="CV69" s="94">
        <f>CV67+CV56+CV52+CV59+CV62</f>
        <v/>
      </c>
      <c r="CW69" s="94">
        <f>CW67+CW56+CW52+CW59+CW62</f>
        <v/>
      </c>
      <c r="CX69" s="94">
        <f>CX67+CX56+CX52+CX59+CX62</f>
        <v/>
      </c>
      <c r="CY69" s="94">
        <f>CY67+CY56+CY52+CY59+CY62</f>
        <v/>
      </c>
      <c r="CZ69" s="94">
        <f>CZ67+CZ56+CZ52+CZ59+CZ62</f>
        <v/>
      </c>
      <c r="DA69" s="94">
        <f>DA67+DA56+DA52+DA59+DA62</f>
        <v/>
      </c>
      <c r="DB69" s="94">
        <f>DB67+DB56+DB52+DB59+DB62</f>
        <v/>
      </c>
      <c r="DC69" s="94">
        <f>DC67+DC56+DC52+DC59+DC62</f>
        <v/>
      </c>
      <c r="DD69" s="94">
        <f>DD67+DD56+DD52+DD59+DD62</f>
        <v/>
      </c>
      <c r="DE69" s="94">
        <f>DE67+DE56+DE52+DE59+DE62</f>
        <v/>
      </c>
      <c r="DF69" s="94">
        <f>DF67+DF56+DF52+DF59+DF62</f>
        <v/>
      </c>
      <c r="DG69" s="94">
        <f>DG67+DG56+DG52+DG59+DG62</f>
        <v/>
      </c>
      <c r="DH69" s="94">
        <f>DH67+DH56+DH52+DH59+DH62</f>
        <v/>
      </c>
      <c r="DI69" s="94">
        <f>DI67+DI56+DI52+DI59+DI62</f>
        <v/>
      </c>
      <c r="DJ69" s="94">
        <f>DJ67+DJ56+DJ52+DJ59+DJ62</f>
        <v/>
      </c>
      <c r="DK69" s="94">
        <f>DK67+DK56+DK52+DK59+DK62</f>
        <v/>
      </c>
      <c r="DL69" s="94">
        <f>DL67+DL56+DL52+DL59+DL62</f>
        <v/>
      </c>
      <c r="DM69" s="94">
        <f>DM67+DM56+DM52+DM59+DM62</f>
        <v/>
      </c>
      <c r="DN69" s="94">
        <f>DN67+DN56+DN52+DN59+DN62</f>
        <v/>
      </c>
      <c r="DO69" s="94">
        <f>DO67+DO56+DO52+DO59+DO62</f>
        <v/>
      </c>
      <c r="DP69" s="94">
        <f>DP67+DP56+DP52+DP59+DP62</f>
        <v/>
      </c>
      <c r="DQ69" s="94">
        <f>DQ67+DQ56+DQ52+DQ59+DQ62</f>
        <v/>
      </c>
      <c r="DR69" s="94">
        <f>DR67+DR56+DR52+DR59+DR62</f>
        <v/>
      </c>
      <c r="DS69" s="94">
        <f>DS67+DS56+DS52+DS59+DS62</f>
        <v/>
      </c>
      <c r="DT69" s="94">
        <f>DT67+DT56+DT52+DT59+DT62</f>
        <v/>
      </c>
      <c r="DU69" s="94">
        <f>DU67+DU56+DU52+DU59+DU62</f>
        <v/>
      </c>
      <c r="DV69" s="94">
        <f>DV67+DV56+DV52+DV59+DV62</f>
        <v/>
      </c>
      <c r="DW69" s="94">
        <f>DW67+DW56+DW52+DW59+DW62</f>
        <v/>
      </c>
      <c r="DX69" s="94">
        <f>DX67+DX56+DX52+DX59+DX62</f>
        <v/>
      </c>
      <c r="DY69" s="94">
        <f>DY67+DY56+DY52+DY59+DY62</f>
        <v/>
      </c>
      <c r="DZ69" s="94">
        <f>DZ67+DZ56+DZ52+DZ59+DZ62</f>
        <v/>
      </c>
      <c r="EA69" s="94">
        <f>EA67+EA56+EA52+EA59+EA62</f>
        <v/>
      </c>
      <c r="EB69" s="94">
        <f>EB67+EB56+EB52+EB59+EB62</f>
        <v/>
      </c>
      <c r="EC69" s="94">
        <f>EC67+EC56+EC52+EC59+EC62</f>
        <v/>
      </c>
      <c r="ED69" s="94">
        <f>ED67+ED56+ED52+ED59+ED62</f>
        <v/>
      </c>
      <c r="EE69" s="94">
        <f>EE67+EE56+EE52+EE59+EE62</f>
        <v/>
      </c>
      <c r="EF69" s="94">
        <f>EF67+EF56+EF52+EF59+EF62</f>
        <v/>
      </c>
      <c r="EG69" s="94">
        <f>EG67+EG56+EG52+EG59+EG62</f>
        <v/>
      </c>
      <c r="EH69" s="94">
        <f>EH67+EH56+EH52+EH59+EH62</f>
        <v/>
      </c>
      <c r="EI69" s="94">
        <f>EI67+EI56+EI52+EI59+EI62</f>
        <v/>
      </c>
      <c r="EJ69" s="94">
        <f>EJ67+EJ56+EJ52+EJ59+EJ62</f>
        <v/>
      </c>
      <c r="EK69" s="94">
        <f>EK67+EK56+EK52+EK59+EK62</f>
        <v/>
      </c>
      <c r="EL69" s="94">
        <f>EL67+EL56+EL52+EL59+EL62</f>
        <v/>
      </c>
      <c r="EM69" s="94">
        <f>EM67+EM56+EM52+EM59+EM62</f>
        <v/>
      </c>
      <c r="EN69" s="94">
        <f>EN67+EN56+EN52+EN59+EN62</f>
        <v/>
      </c>
      <c r="EO69" s="94">
        <f>EO67+EO56+EO52+EO59+EO62</f>
        <v/>
      </c>
      <c r="EP69" s="94">
        <f>EP67+EP56+EP52+EP59+EP62</f>
        <v/>
      </c>
      <c r="EQ69" s="94">
        <f>EQ67+EQ56+EQ52+EQ59+EQ62</f>
        <v/>
      </c>
      <c r="ER69" s="94">
        <f>ER67+ER56+ER52+ER59+ER62</f>
        <v/>
      </c>
      <c r="ES69" s="94">
        <f>ES67+ES56+ES52+ES59+ES62</f>
        <v/>
      </c>
      <c r="ET69" s="94">
        <f>ET67+ET56+ET52+ET59+ET62</f>
        <v/>
      </c>
      <c r="EU69" s="94">
        <f>EU67+EU56+EU52+EU59+EU62</f>
        <v/>
      </c>
      <c r="EV69" s="94">
        <f>EV67+EV56+EV52+EV59+EV62</f>
        <v/>
      </c>
      <c r="EW69" s="94">
        <f>EW67+EW56+EW52+EW59+EW62</f>
        <v/>
      </c>
      <c r="EX69" s="94">
        <f>EX67+EX56+EX52+EX59+EX62</f>
        <v/>
      </c>
      <c r="EY69" s="94">
        <f>EY67+EY56+EY52+EY59+EY62</f>
        <v/>
      </c>
      <c r="EZ69" s="94">
        <f>EZ67+EZ56+EZ52+EZ59+EZ62</f>
        <v/>
      </c>
      <c r="FA69" s="94">
        <f>FA67+FA56+FA52+FA59+FA62</f>
        <v/>
      </c>
      <c r="FB69" s="94">
        <f>FB67+FB56+FB52+FB59+FB62</f>
        <v/>
      </c>
      <c r="FC69" s="94">
        <f>FC67+FC56+FC52+FC59+FC62</f>
        <v/>
      </c>
      <c r="FD69" s="94">
        <f>FD67+FD56+FD52+FD59+FD62</f>
        <v/>
      </c>
      <c r="FE69" s="94">
        <f>FE67+FE56+FE52+FE59+FE62</f>
        <v/>
      </c>
      <c r="FF69" s="94">
        <f>FF67+FF56+FF52+FF59+FF62</f>
        <v/>
      </c>
      <c r="FG69" s="94">
        <f>FG67+FG56+FG52+FG59+FG62</f>
        <v/>
      </c>
      <c r="FH69" s="94">
        <f>FH67+FH56+FH52+FH59+FH62</f>
        <v/>
      </c>
      <c r="FI69" s="94">
        <f>FI67+FI56+FI52+FI59+FI62</f>
        <v/>
      </c>
      <c r="FJ69" s="94">
        <f>FJ67+FJ56+FJ52+FJ59+FJ62</f>
        <v/>
      </c>
      <c r="FK69" s="94">
        <f>FK67+FK56+FK52+FK59+FK62</f>
        <v/>
      </c>
      <c r="FL69" s="94">
        <f>FL67+FL56+FL52+FL59+FL62</f>
        <v/>
      </c>
      <c r="FM69" s="94">
        <f>FM67+FM56+FM52+FM59+FM62</f>
        <v/>
      </c>
      <c r="FN69" s="94">
        <f>FN67+FN56+FN52+FN59+FN62</f>
        <v/>
      </c>
      <c r="FO69" s="94">
        <f>FO67+FO56+FO52+FO59+FO62</f>
        <v/>
      </c>
      <c r="FP69" s="94">
        <f>FP67+FP56+FP52+FP59+FP62</f>
        <v/>
      </c>
      <c r="FQ69" s="94">
        <f>FQ67+FQ56+FQ52+FQ59+FQ62</f>
        <v/>
      </c>
      <c r="FR69" s="94">
        <f>FR67+FR56+FR52+FR59+FR62</f>
        <v/>
      </c>
      <c r="FS69" s="94">
        <f>FS67+FS56+FS52+FS59+FS62</f>
        <v/>
      </c>
      <c r="FT69" s="94">
        <f>FT67+FT56+FT52+FT59+FT62</f>
        <v/>
      </c>
      <c r="FU69" s="94">
        <f>FU67+FU56+FU52+FU59+FU62</f>
        <v/>
      </c>
      <c r="FV69" s="94">
        <f>FV67+FV56+FV52+FV59+FV62</f>
        <v/>
      </c>
      <c r="FW69" s="94">
        <f>FW67+FW56+FW52+FW59+FW62</f>
        <v/>
      </c>
      <c r="FX69" s="94">
        <f>FX67+FX56+FX52+FX59+FX62</f>
        <v/>
      </c>
      <c r="FY69" s="94">
        <f>FY67+FY56+FY52+FY59+FY62</f>
        <v/>
      </c>
      <c r="FZ69" s="94">
        <f>FZ67+FZ56+FZ52+FZ59+FZ62</f>
        <v/>
      </c>
      <c r="GA69" s="94">
        <f>GA67+GA56+GA52+GA59+GA62</f>
        <v/>
      </c>
      <c r="GB69" s="94">
        <f>GB67+GB56+GB52+GB59+GB62</f>
        <v/>
      </c>
      <c r="GC69" s="94">
        <f>GC67+GC56+GC52+GC59+GC62</f>
        <v/>
      </c>
      <c r="GD69" s="94">
        <f>GD67+GD56+GD52+GD59+GD62</f>
        <v/>
      </c>
      <c r="GE69" s="94">
        <f>GE67+GE56+GE52+GE59+GE62</f>
        <v/>
      </c>
      <c r="GF69" s="94">
        <f>GF67+GF56+GF52+GF59+GF62</f>
        <v/>
      </c>
      <c r="GG69" s="94">
        <f>GG67+GG56+GG52+GG59+GG62</f>
        <v/>
      </c>
      <c r="GH69" s="94">
        <f>GH67+GH56+GH52+GH59+GH62</f>
        <v/>
      </c>
      <c r="GI69" s="94">
        <f>GI67+GI56+GI52+GI59+GI62</f>
        <v/>
      </c>
      <c r="GJ69" s="94">
        <f>GJ67+GJ56+GJ52+GJ59+GJ62</f>
        <v/>
      </c>
      <c r="GK69" s="94">
        <f>GK67+GK56+GK52+GK59+GK62</f>
        <v/>
      </c>
      <c r="GL69" s="94">
        <f>GL67+GL56+GL52+GL59+GL62</f>
        <v/>
      </c>
      <c r="GM69" s="94">
        <f>GM67+GM56+GM52+GM59+GM62</f>
        <v/>
      </c>
      <c r="GN69" s="94">
        <f>GN67+GN56+GN52+GN59+GN62</f>
        <v/>
      </c>
      <c r="GO69" s="94">
        <f>GO67+GO56+GO52+GO59+GO62</f>
        <v/>
      </c>
      <c r="GP69" s="94">
        <f>GP67+GP56+GP52+GP59+GP62</f>
        <v/>
      </c>
      <c r="GQ69" s="94">
        <f>GQ67+GQ56+GQ52+GQ59+GQ62</f>
        <v/>
      </c>
      <c r="GR69" s="94">
        <f>GR67+GR56+GR52+GR59+GR62</f>
        <v/>
      </c>
      <c r="GS69" s="94">
        <f>GS67+GS56+GS52+GS59+GS62</f>
        <v/>
      </c>
      <c r="GT69" s="94">
        <f>GT67+GT56+GT52+GT59+GT62</f>
        <v/>
      </c>
      <c r="GU69" s="94">
        <f>GU67+GU56+GU52+GU59+GU62</f>
        <v/>
      </c>
      <c r="GV69" s="94">
        <f>GV67+GV56+GV52+GV59+GV62</f>
        <v/>
      </c>
      <c r="GW69" s="94">
        <f>GW67+GW56+GW52+GW59+GW62</f>
        <v/>
      </c>
      <c r="GX69" s="94">
        <f>GX67+GX56+GX52+GX59+GX62</f>
        <v/>
      </c>
      <c r="GY69" s="94">
        <f>GY67+GY56+GY52+GY59+GY62</f>
        <v/>
      </c>
      <c r="GZ69" s="94">
        <f>GZ67+GZ56+GZ52+GZ59+GZ62</f>
        <v/>
      </c>
      <c r="HA69" s="94">
        <f>HA67+HA56+HA52+HA59+HA62</f>
        <v/>
      </c>
      <c r="HB69" s="94">
        <f>HB67+HB56+HB52+HB59+HB62</f>
        <v/>
      </c>
      <c r="HC69" s="94">
        <f>HC67+HC56+HC52+HC59+HC62</f>
        <v/>
      </c>
      <c r="HD69" s="94">
        <f>HD67+HD56+HD52+HD59+HD62</f>
        <v/>
      </c>
      <c r="HE69" s="94">
        <f>HE67+HE56+HE52+HE59+HE62</f>
        <v/>
      </c>
      <c r="HF69" s="94">
        <f>HF67+HF56+HF52+HF59+HF62</f>
        <v/>
      </c>
      <c r="HG69" s="94">
        <f>HG67+HG56+HG52+HG59+HG62</f>
        <v/>
      </c>
      <c r="HH69" s="94">
        <f>HH67+HH56+HH52+HH59+HH62</f>
        <v/>
      </c>
      <c r="HI69" s="94">
        <f>HI67+HI56+HI52+HI59+HI62</f>
        <v/>
      </c>
      <c r="HJ69" s="94">
        <f>HJ67+HJ56+HJ52+HJ59+HJ62</f>
        <v/>
      </c>
      <c r="HK69" s="94">
        <f>HK67+HK56+HK52+HK59+HK62</f>
        <v/>
      </c>
      <c r="HL69" s="94">
        <f>HL67+HL56+HL52+HL59+HL62</f>
        <v/>
      </c>
      <c r="HM69" s="94">
        <f>HM67+HM56+HM52+HM59+HM62</f>
        <v/>
      </c>
      <c r="HN69" s="94">
        <f>HN67+HN56+HN52+HN59+HN62</f>
        <v/>
      </c>
      <c r="HO69" s="94">
        <f>HO67+HO56+HO52+HO59+HO62</f>
        <v/>
      </c>
      <c r="HP69" s="94">
        <f>HP67+HP56+HP52+HP59+HP62</f>
        <v/>
      </c>
      <c r="HQ69" s="94">
        <f>HQ67+HQ56+HQ52+HQ59+HQ62</f>
        <v/>
      </c>
      <c r="HR69" s="94">
        <f>HR67+HR56+HR52+HR59+HR62</f>
        <v/>
      </c>
      <c r="HS69" s="94">
        <f>HS67+HS56+HS52+HS59+HS62</f>
        <v/>
      </c>
      <c r="HT69" s="94">
        <f>HT67+HT56+HT52+HT59+HT62</f>
        <v/>
      </c>
      <c r="HU69" s="94">
        <f>HU67+HU56+HU52+HU59+HU62</f>
        <v/>
      </c>
      <c r="JF69" s="94">
        <f>AP69</f>
        <v/>
      </c>
      <c r="JG69" s="94">
        <f>SUM(Z69:AK69)</f>
        <v/>
      </c>
      <c r="JH69" s="94">
        <f>SUM(AL69:AP69)</f>
        <v/>
      </c>
      <c r="JI69" s="94">
        <f>SUM(C69:AP69)</f>
        <v/>
      </c>
      <c r="JJ69" s="446" t="n"/>
      <c r="JM69" s="91" t="n">
        <v>-4437714.265510871</v>
      </c>
      <c r="KG69" s="136">
        <f>B69</f>
        <v/>
      </c>
      <c r="KH69" s="86">
        <f>AR69</f>
        <v/>
      </c>
    </row>
    <row r="70" ht="16.2" customHeight="1" thickBot="1">
      <c r="A70" s="102" t="inlineStr">
        <is>
          <t>TOTAL ACUMULADO</t>
        </is>
      </c>
      <c r="B70" s="147" t="n"/>
      <c r="C70" s="35" t="n">
        <v>0</v>
      </c>
      <c r="D70" s="37">
        <f>C70+D69</f>
        <v/>
      </c>
      <c r="E70" s="35">
        <f>D70+E69</f>
        <v/>
      </c>
      <c r="F70" s="35">
        <f>E70+F69</f>
        <v/>
      </c>
      <c r="G70" s="35">
        <f>F70+G69</f>
        <v/>
      </c>
      <c r="H70" s="35">
        <f>G70+H69</f>
        <v/>
      </c>
      <c r="I70" s="36">
        <f>H70+I69</f>
        <v/>
      </c>
      <c r="J70" s="190">
        <f>I70+J69</f>
        <v/>
      </c>
      <c r="K70" s="36">
        <f>J70+K69</f>
        <v/>
      </c>
      <c r="L70" s="111">
        <f>K70+L69</f>
        <v/>
      </c>
      <c r="M70" s="226">
        <f>L70+M69</f>
        <v/>
      </c>
      <c r="N70" s="226">
        <f>M70+N69</f>
        <v/>
      </c>
      <c r="O70" s="226">
        <f>N70+O69</f>
        <v/>
      </c>
      <c r="P70" s="226">
        <f>O70+P69</f>
        <v/>
      </c>
      <c r="Q70" s="226">
        <f>P70+Q69</f>
        <v/>
      </c>
      <c r="R70" s="226">
        <f>Q70+R69</f>
        <v/>
      </c>
      <c r="S70" s="226">
        <f>R70+S69</f>
        <v/>
      </c>
      <c r="T70" s="226">
        <f>S70+T69</f>
        <v/>
      </c>
      <c r="U70" s="226">
        <f>T70+U69</f>
        <v/>
      </c>
      <c r="V70" s="226">
        <f>U70+V69</f>
        <v/>
      </c>
      <c r="W70" s="226">
        <f>V70+W69</f>
        <v/>
      </c>
      <c r="X70" s="226">
        <f>W70+X69</f>
        <v/>
      </c>
      <c r="Y70" s="226">
        <f>X70+Y69</f>
        <v/>
      </c>
      <c r="Z70" s="226">
        <f>Y70+Z69</f>
        <v/>
      </c>
      <c r="AA70" s="226">
        <f>Z70+AA69</f>
        <v/>
      </c>
      <c r="AB70" s="226">
        <f>AA70+AB69</f>
        <v/>
      </c>
      <c r="AC70" s="226">
        <f>AB70+AC69</f>
        <v/>
      </c>
      <c r="AD70" s="226">
        <f>AC70+AD69</f>
        <v/>
      </c>
      <c r="AE70" s="226">
        <f>AD70+AE69</f>
        <v/>
      </c>
      <c r="AF70" s="226">
        <f>AE70+AF69</f>
        <v/>
      </c>
      <c r="AG70" s="226">
        <f>AF70+AG69</f>
        <v/>
      </c>
      <c r="AH70" s="226">
        <f>AG70+AH69</f>
        <v/>
      </c>
      <c r="AI70" s="226">
        <f>AH70+AI69</f>
        <v/>
      </c>
      <c r="AJ70" s="226">
        <f>AI70+AJ69</f>
        <v/>
      </c>
      <c r="AK70" s="226">
        <f>AJ70+AK69</f>
        <v/>
      </c>
      <c r="AL70" s="226">
        <f>AK70+AL69</f>
        <v/>
      </c>
      <c r="AM70" s="226">
        <f>AL70+AM69</f>
        <v/>
      </c>
      <c r="AN70" s="226">
        <f>AM70+AN69</f>
        <v/>
      </c>
      <c r="AO70" s="226">
        <f>AN70+AO69</f>
        <v/>
      </c>
      <c r="AP70" s="226">
        <f>AO70+AP69</f>
        <v/>
      </c>
      <c r="AQ70" s="201" t="n"/>
      <c r="AR70" s="247" t="n">
        <v>0</v>
      </c>
      <c r="AS70" s="201" t="n"/>
      <c r="AT70" s="35">
        <f>AP70+AT69</f>
        <v/>
      </c>
      <c r="AU70" s="35">
        <f>AT70+AU69</f>
        <v/>
      </c>
      <c r="AV70" s="35">
        <f>AU70+AV69</f>
        <v/>
      </c>
      <c r="AW70" s="35">
        <f>AV70+AW69</f>
        <v/>
      </c>
      <c r="AX70" s="35">
        <f>AW70+AX69</f>
        <v/>
      </c>
      <c r="AY70" s="35">
        <f>AX70+AY69</f>
        <v/>
      </c>
      <c r="AZ70" s="35">
        <f>AY70+AZ69</f>
        <v/>
      </c>
      <c r="BA70" s="35">
        <f>AZ70+BA69</f>
        <v/>
      </c>
      <c r="BB70" s="35">
        <f>BA70+BB69</f>
        <v/>
      </c>
      <c r="BC70" s="35">
        <f>BB70+BC69</f>
        <v/>
      </c>
      <c r="BD70" s="310">
        <f>BC70+BD69</f>
        <v/>
      </c>
      <c r="BE70" s="37">
        <f>BD70+BE69</f>
        <v/>
      </c>
      <c r="BF70" s="35">
        <f>BE70+BF69</f>
        <v/>
      </c>
      <c r="BG70" s="35">
        <f>BF70+BG69</f>
        <v/>
      </c>
      <c r="BH70" s="35">
        <f>BG70+BH69</f>
        <v/>
      </c>
      <c r="BI70" s="35">
        <f>BH70+BI69</f>
        <v/>
      </c>
      <c r="BJ70" s="35">
        <f>BI70+BJ69</f>
        <v/>
      </c>
      <c r="BK70" s="35">
        <f>BJ70+BK69</f>
        <v/>
      </c>
      <c r="BL70" s="35">
        <f>BK70+BL69</f>
        <v/>
      </c>
      <c r="BM70" s="35">
        <f>BL70+BM69</f>
        <v/>
      </c>
      <c r="BN70" s="35">
        <f>BM70+BN69</f>
        <v/>
      </c>
      <c r="BO70" s="35">
        <f>BN70+BO69</f>
        <v/>
      </c>
      <c r="BP70" s="310">
        <f>BO70+BP69</f>
        <v/>
      </c>
      <c r="BQ70" s="37">
        <f>BP70+BQ69</f>
        <v/>
      </c>
      <c r="BR70" s="35">
        <f>BQ70+BR69</f>
        <v/>
      </c>
      <c r="BS70" s="35">
        <f>BR70+BS69</f>
        <v/>
      </c>
      <c r="BT70" s="35">
        <f>BS70+BT69</f>
        <v/>
      </c>
      <c r="BU70" s="35">
        <f>BT70+BU69</f>
        <v/>
      </c>
      <c r="BV70" s="35">
        <f>BU70+BV69</f>
        <v/>
      </c>
      <c r="BW70" s="35">
        <f>BV70+BW69</f>
        <v/>
      </c>
      <c r="BX70" s="35">
        <f>BW70+BX69</f>
        <v/>
      </c>
      <c r="BY70" s="35">
        <f>BX70+BY69</f>
        <v/>
      </c>
      <c r="BZ70" s="35">
        <f>BY70+BZ69</f>
        <v/>
      </c>
      <c r="CA70" s="35">
        <f>BZ70+CA69</f>
        <v/>
      </c>
      <c r="CB70" s="310">
        <f>CA70+CB69</f>
        <v/>
      </c>
      <c r="CC70" s="37">
        <f>CB70+CC69</f>
        <v/>
      </c>
      <c r="CD70" s="35">
        <f>CC70+CD69</f>
        <v/>
      </c>
      <c r="CE70" s="35">
        <f>CD70+CE69</f>
        <v/>
      </c>
      <c r="CF70" s="35">
        <f>CE70+CF69</f>
        <v/>
      </c>
      <c r="CG70" s="35">
        <f>CF70+CG69</f>
        <v/>
      </c>
      <c r="CH70" s="35">
        <f>CG70+CH69</f>
        <v/>
      </c>
      <c r="CI70" s="35">
        <f>CH70+CI69</f>
        <v/>
      </c>
      <c r="CJ70" s="35">
        <f>CI70+CJ69</f>
        <v/>
      </c>
      <c r="CK70" s="35">
        <f>CJ70+CK69</f>
        <v/>
      </c>
      <c r="CL70" s="35">
        <f>CK70+CL69</f>
        <v/>
      </c>
      <c r="CM70" s="35">
        <f>CL70+CM69</f>
        <v/>
      </c>
      <c r="CN70" s="310">
        <f>CM70+CN69</f>
        <v/>
      </c>
      <c r="CO70" s="37">
        <f>CN70+CO69</f>
        <v/>
      </c>
      <c r="CP70" s="35">
        <f>CO70+CP69</f>
        <v/>
      </c>
      <c r="CQ70" s="35">
        <f>CP70+CQ69</f>
        <v/>
      </c>
      <c r="CR70" s="35">
        <f>CQ70+CR69</f>
        <v/>
      </c>
      <c r="CS70" s="35">
        <f>CR70+CS69</f>
        <v/>
      </c>
      <c r="CT70" s="35">
        <f>CS70+CT69</f>
        <v/>
      </c>
      <c r="CU70" s="35">
        <f>CT70+CU69</f>
        <v/>
      </c>
      <c r="CV70" s="35">
        <f>CU70+CV69</f>
        <v/>
      </c>
      <c r="CW70" s="35">
        <f>CV70+CW69</f>
        <v/>
      </c>
      <c r="CX70" s="35">
        <f>CW70+CX69</f>
        <v/>
      </c>
      <c r="CY70" s="35">
        <f>CX70+CY69</f>
        <v/>
      </c>
      <c r="CZ70" s="310">
        <f>CY70+CZ69</f>
        <v/>
      </c>
      <c r="DA70" s="37">
        <f>CZ70+DA69</f>
        <v/>
      </c>
      <c r="DB70" s="35">
        <f>DA70+DB69</f>
        <v/>
      </c>
      <c r="DC70" s="35">
        <f>DB70+DC69</f>
        <v/>
      </c>
      <c r="DD70" s="35">
        <f>DC70+DD69</f>
        <v/>
      </c>
      <c r="DE70" s="35">
        <f>DD70+DE69</f>
        <v/>
      </c>
      <c r="DF70" s="35">
        <f>DE70+DF69</f>
        <v/>
      </c>
      <c r="DG70" s="35">
        <f>DF70+DG69</f>
        <v/>
      </c>
      <c r="DH70" s="35">
        <f>DG70+DH69</f>
        <v/>
      </c>
      <c r="DI70" s="35">
        <f>DH70+DI69</f>
        <v/>
      </c>
      <c r="DJ70" s="36">
        <f>DI70+DJ69</f>
        <v/>
      </c>
      <c r="DK70" s="35">
        <f>DJ70+DK69</f>
        <v/>
      </c>
      <c r="DL70" s="36">
        <f>DK70+DL69</f>
        <v/>
      </c>
      <c r="DM70" s="35">
        <f>DL70+DM69</f>
        <v/>
      </c>
      <c r="DN70" s="36">
        <f>DM70+DN69</f>
        <v/>
      </c>
      <c r="DO70" s="36">
        <f>DN70+DO69</f>
        <v/>
      </c>
      <c r="DP70" s="36">
        <f>DO70+DP69</f>
        <v/>
      </c>
      <c r="DQ70" s="36">
        <f>DP70+DQ69</f>
        <v/>
      </c>
      <c r="DR70" s="36">
        <f>DQ70+DR69</f>
        <v/>
      </c>
      <c r="DS70" s="36">
        <f>DR70+DS69</f>
        <v/>
      </c>
      <c r="DT70" s="36">
        <f>DS70+DT69</f>
        <v/>
      </c>
      <c r="DU70" s="36">
        <f>DT70+DU69</f>
        <v/>
      </c>
      <c r="DV70" s="36">
        <f>DU70+DV69</f>
        <v/>
      </c>
      <c r="DW70" s="36">
        <f>DV70+DW69</f>
        <v/>
      </c>
      <c r="DX70" s="36">
        <f>DW70+DX69</f>
        <v/>
      </c>
      <c r="DY70" s="36">
        <f>DX70+DY69</f>
        <v/>
      </c>
      <c r="DZ70" s="36">
        <f>DY70+DZ69</f>
        <v/>
      </c>
      <c r="EA70" s="36">
        <f>DZ70+EA69</f>
        <v/>
      </c>
      <c r="EB70" s="36">
        <f>EA70+EB69</f>
        <v/>
      </c>
      <c r="EC70" s="36">
        <f>EB70+EC69</f>
        <v/>
      </c>
      <c r="ED70" s="36">
        <f>EC70+ED69</f>
        <v/>
      </c>
      <c r="EE70" s="36">
        <f>ED70+EE69</f>
        <v/>
      </c>
      <c r="EF70" s="36">
        <f>EE70+EF69</f>
        <v/>
      </c>
      <c r="EG70" s="36">
        <f>EF70+EG69</f>
        <v/>
      </c>
      <c r="EH70" s="36">
        <f>EG70+EH69</f>
        <v/>
      </c>
      <c r="EI70" s="36">
        <f>EH70+EI69</f>
        <v/>
      </c>
      <c r="EJ70" s="36">
        <f>EI70+EJ69</f>
        <v/>
      </c>
      <c r="EK70" s="36">
        <f>EJ70+EK69</f>
        <v/>
      </c>
      <c r="EL70" s="36">
        <f>EK70+EL69</f>
        <v/>
      </c>
      <c r="EM70" s="36">
        <f>EL70+EM69</f>
        <v/>
      </c>
      <c r="EN70" s="36">
        <f>EM70+EN69</f>
        <v/>
      </c>
      <c r="EO70" s="36">
        <f>EN70+EO69</f>
        <v/>
      </c>
      <c r="EP70" s="36">
        <f>EO70+EP69</f>
        <v/>
      </c>
      <c r="EQ70" s="36">
        <f>EP70+EQ69</f>
        <v/>
      </c>
      <c r="ER70" s="36">
        <f>EQ70+ER69</f>
        <v/>
      </c>
      <c r="ES70" s="36">
        <f>ER70+ES69</f>
        <v/>
      </c>
      <c r="ET70" s="36">
        <f>ES70+ET69</f>
        <v/>
      </c>
      <c r="EU70" s="36">
        <f>ET70+EU69</f>
        <v/>
      </c>
      <c r="EV70" s="36">
        <f>EU70+EV69</f>
        <v/>
      </c>
      <c r="EW70" s="36">
        <f>EV70+EW69</f>
        <v/>
      </c>
      <c r="EX70" s="36">
        <f>EW70+EX69</f>
        <v/>
      </c>
      <c r="EY70" s="36">
        <f>EX70+EY69</f>
        <v/>
      </c>
      <c r="EZ70" s="36">
        <f>EY70+EZ69</f>
        <v/>
      </c>
      <c r="FA70" s="36">
        <f>EZ70+FA69</f>
        <v/>
      </c>
      <c r="FB70" s="36">
        <f>FA70+FB69</f>
        <v/>
      </c>
      <c r="FC70" s="36">
        <f>FB70+FC69</f>
        <v/>
      </c>
      <c r="FD70" s="36">
        <f>FC70+FD69</f>
        <v/>
      </c>
      <c r="FE70" s="36">
        <f>FD70+FE69</f>
        <v/>
      </c>
      <c r="FF70" s="36">
        <f>FE70+FF69</f>
        <v/>
      </c>
      <c r="FG70" s="36">
        <f>FF70+FG69</f>
        <v/>
      </c>
      <c r="FH70" s="36">
        <f>FG70+FH69</f>
        <v/>
      </c>
      <c r="FI70" s="36">
        <f>FH70+FI69</f>
        <v/>
      </c>
      <c r="FJ70" s="36">
        <f>FI70+FJ69</f>
        <v/>
      </c>
      <c r="FK70" s="36">
        <f>FJ70+FK69</f>
        <v/>
      </c>
      <c r="FL70" s="36">
        <f>FK70+FL69</f>
        <v/>
      </c>
      <c r="FM70" s="36">
        <f>FL70+FM69</f>
        <v/>
      </c>
      <c r="FN70" s="36">
        <f>FM70+FN69</f>
        <v/>
      </c>
      <c r="FO70" s="36">
        <f>FN70+FO69</f>
        <v/>
      </c>
      <c r="FP70" s="36">
        <f>FO70+FP69</f>
        <v/>
      </c>
      <c r="FQ70" s="36">
        <f>FP70+FQ69</f>
        <v/>
      </c>
      <c r="FR70" s="36">
        <f>FQ70+FR69</f>
        <v/>
      </c>
      <c r="FS70" s="36">
        <f>FR70+FS69</f>
        <v/>
      </c>
      <c r="FT70" s="36">
        <f>FS70+FT69</f>
        <v/>
      </c>
      <c r="FU70" s="36">
        <f>FT70+FU69</f>
        <v/>
      </c>
      <c r="FV70" s="36">
        <f>FU70+FV69</f>
        <v/>
      </c>
      <c r="FW70" s="36">
        <f>FV70+FW69</f>
        <v/>
      </c>
      <c r="FX70" s="36">
        <f>FW70+FX69</f>
        <v/>
      </c>
      <c r="FY70" s="36">
        <f>FX70+FY69</f>
        <v/>
      </c>
      <c r="FZ70" s="36">
        <f>FY70+FZ69</f>
        <v/>
      </c>
      <c r="GA70" s="36">
        <f>FZ70+GA69</f>
        <v/>
      </c>
      <c r="GB70" s="36">
        <f>GA70+GB69</f>
        <v/>
      </c>
      <c r="GC70" s="36">
        <f>GB70+GC69</f>
        <v/>
      </c>
      <c r="GD70" s="36">
        <f>GC70+GD69</f>
        <v/>
      </c>
      <c r="GE70" s="36">
        <f>GD70+GE69</f>
        <v/>
      </c>
      <c r="GF70" s="36">
        <f>GE70+GF69</f>
        <v/>
      </c>
      <c r="GG70" s="36">
        <f>GF70+GG69</f>
        <v/>
      </c>
      <c r="GH70" s="36">
        <f>GG70+GH69</f>
        <v/>
      </c>
      <c r="GI70" s="36">
        <f>GH70+GI69</f>
        <v/>
      </c>
      <c r="GJ70" s="36">
        <f>GI70+GJ69</f>
        <v/>
      </c>
      <c r="GK70" s="36">
        <f>GJ70+GK69</f>
        <v/>
      </c>
      <c r="GL70" s="36">
        <f>GK70+GL69</f>
        <v/>
      </c>
      <c r="GM70" s="36">
        <f>GL70+GM69</f>
        <v/>
      </c>
      <c r="GN70" s="36">
        <f>GM70+GN69</f>
        <v/>
      </c>
      <c r="GO70" s="36">
        <f>GN70+GO69</f>
        <v/>
      </c>
      <c r="GP70" s="36">
        <f>GO70+GP69</f>
        <v/>
      </c>
      <c r="GQ70" s="36">
        <f>GP70+GQ69</f>
        <v/>
      </c>
      <c r="GR70" s="36">
        <f>GQ70+GR69</f>
        <v/>
      </c>
      <c r="GS70" s="36">
        <f>GR70+GS69</f>
        <v/>
      </c>
      <c r="GT70" s="36">
        <f>GS70+GT69</f>
        <v/>
      </c>
      <c r="GU70" s="36">
        <f>GT70+GU69</f>
        <v/>
      </c>
      <c r="GV70" s="36">
        <f>GU70+GV69</f>
        <v/>
      </c>
      <c r="GW70" s="36">
        <f>GV70+GW69</f>
        <v/>
      </c>
      <c r="GX70" s="36">
        <f>GW70+GX69</f>
        <v/>
      </c>
      <c r="GY70" s="36">
        <f>GX70+GY69</f>
        <v/>
      </c>
      <c r="GZ70" s="36">
        <f>GY70+GZ69</f>
        <v/>
      </c>
      <c r="HA70" s="36">
        <f>GZ70+HA69</f>
        <v/>
      </c>
      <c r="HB70" s="36">
        <f>HA70+HB69</f>
        <v/>
      </c>
      <c r="HC70" s="36">
        <f>HB70+HC69</f>
        <v/>
      </c>
      <c r="HD70" s="36">
        <f>HC70+HD69</f>
        <v/>
      </c>
      <c r="HE70" s="36">
        <f>HD70+HE69</f>
        <v/>
      </c>
      <c r="HF70" s="36">
        <f>HE70+HF69</f>
        <v/>
      </c>
      <c r="HG70" s="36">
        <f>HF70+HG69</f>
        <v/>
      </c>
      <c r="HH70" s="36">
        <f>HG70+HH69</f>
        <v/>
      </c>
      <c r="HI70" s="36">
        <f>HH70+HI69</f>
        <v/>
      </c>
      <c r="HJ70" s="36">
        <f>HI70+HJ69</f>
        <v/>
      </c>
      <c r="HK70" s="36">
        <f>HJ70+HK69</f>
        <v/>
      </c>
      <c r="HL70" s="36">
        <f>HK70+HL69</f>
        <v/>
      </c>
      <c r="HM70" s="36">
        <f>HL70+HM69</f>
        <v/>
      </c>
      <c r="HN70" s="36">
        <f>HM70+HN69</f>
        <v/>
      </c>
      <c r="HO70" s="36">
        <f>HN70+HO69</f>
        <v/>
      </c>
      <c r="HP70" s="36">
        <f>HO70+HP69</f>
        <v/>
      </c>
      <c r="HQ70" s="36">
        <f>HP70+HQ69</f>
        <v/>
      </c>
      <c r="HR70" s="36">
        <f>HQ70+HR69</f>
        <v/>
      </c>
      <c r="HS70" s="36">
        <f>HR70+HS69</f>
        <v/>
      </c>
      <c r="HT70" s="36">
        <f>HS70+HT69</f>
        <v/>
      </c>
      <c r="HU70" s="36">
        <f>HT70+HU69</f>
        <v/>
      </c>
      <c r="JF70" s="35">
        <f>AP70</f>
        <v/>
      </c>
      <c r="JG70" s="35">
        <f>SUM(Z70:AK70)</f>
        <v/>
      </c>
      <c r="JH70" s="35">
        <f>SUM(AL70:AP70)</f>
        <v/>
      </c>
      <c r="JI70" s="35">
        <f>SUM(C70:AP70)</f>
        <v/>
      </c>
      <c r="JJ70" s="446" t="n"/>
      <c r="JM70" s="35" t="n">
        <v>-45150578.75551087</v>
      </c>
      <c r="KG70" s="147">
        <f>B70</f>
        <v/>
      </c>
      <c r="KH70" s="247">
        <f>AR70</f>
        <v/>
      </c>
    </row>
    <row r="71" ht="6.6" customHeight="1" thickTop="1">
      <c r="A71" s="1" t="n"/>
      <c r="B71" s="128" t="n"/>
      <c r="C71" s="512" t="n"/>
      <c r="D71" s="512" t="n"/>
      <c r="E71" s="512" t="n"/>
      <c r="F71" s="512" t="n"/>
      <c r="G71" s="512" t="n"/>
      <c r="H71" s="512" t="n"/>
      <c r="I71" s="512" t="n"/>
      <c r="J71" s="513" t="n"/>
      <c r="K71" s="512" t="n"/>
      <c r="L71" s="512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514" t="n"/>
      <c r="AA71" s="514" t="n"/>
      <c r="AB71" s="514" t="n"/>
      <c r="AC71" s="514" t="n"/>
      <c r="AD71" s="514" t="n"/>
      <c r="AE71" s="514" t="n"/>
      <c r="AF71" s="514" t="n"/>
      <c r="AG71" s="514" t="n"/>
      <c r="AH71" s="514" t="n"/>
      <c r="AI71" s="514" t="n"/>
      <c r="AJ71" s="514" t="n"/>
      <c r="AK71" s="514" t="n"/>
      <c r="AL71" s="514" t="n"/>
      <c r="AM71" s="514" t="n"/>
      <c r="AN71" s="514" t="n"/>
      <c r="AO71" s="514" t="n"/>
      <c r="AP71" s="514" t="n"/>
      <c r="AQ71" s="512" t="n"/>
      <c r="AR71" s="533" t="n"/>
      <c r="AS71" s="512" t="n"/>
      <c r="AT71" s="512" t="n"/>
      <c r="AU71" s="512" t="n"/>
      <c r="AV71" s="512" t="n"/>
      <c r="AW71" s="512" t="n"/>
      <c r="AX71" s="512" t="n"/>
      <c r="AY71" s="512" t="n"/>
      <c r="AZ71" s="512" t="n"/>
      <c r="BA71" s="512" t="n"/>
      <c r="BB71" s="512" t="n"/>
      <c r="BC71" s="512" t="n"/>
      <c r="BD71" s="515" t="n"/>
      <c r="BE71" s="512" t="n"/>
      <c r="BF71" s="512" t="n"/>
      <c r="BG71" s="512" t="n"/>
      <c r="BH71" s="512" t="n"/>
      <c r="BI71" s="512" t="n"/>
      <c r="BJ71" s="512" t="n"/>
      <c r="BK71" s="512" t="n"/>
      <c r="BL71" s="512" t="n"/>
      <c r="BM71" s="512" t="n"/>
      <c r="BN71" s="512" t="n"/>
      <c r="BO71" s="512" t="n"/>
      <c r="BP71" s="515" t="n"/>
      <c r="BQ71" s="512" t="n"/>
      <c r="BR71" s="512" t="n"/>
      <c r="BS71" s="512" t="n"/>
      <c r="BT71" s="512" t="n"/>
      <c r="BU71" s="512" t="n"/>
      <c r="BV71" s="512" t="n"/>
      <c r="BW71" s="512" t="n"/>
      <c r="BX71" s="512" t="n"/>
      <c r="BY71" s="512" t="n"/>
      <c r="BZ71" s="512" t="n"/>
      <c r="CA71" s="512" t="n"/>
      <c r="CB71" s="515" t="n"/>
      <c r="CC71" s="512" t="n"/>
      <c r="CD71" s="512" t="n"/>
      <c r="CE71" s="512" t="n"/>
      <c r="CF71" s="512" t="n"/>
      <c r="CG71" s="512" t="n"/>
      <c r="CH71" s="512" t="n"/>
      <c r="CI71" s="512" t="n"/>
      <c r="CJ71" s="512" t="n"/>
      <c r="CK71" s="512" t="n"/>
      <c r="CL71" s="512" t="n"/>
      <c r="CM71" s="512" t="n"/>
      <c r="CN71" s="515" t="n"/>
      <c r="CO71" s="512" t="n"/>
      <c r="CP71" s="512" t="n"/>
      <c r="CQ71" s="512" t="n"/>
      <c r="CR71" s="512" t="n"/>
      <c r="CS71" s="512" t="n"/>
      <c r="CT71" s="512" t="n"/>
      <c r="CU71" s="512" t="n"/>
      <c r="CV71" s="512" t="n"/>
      <c r="CW71" s="512" t="n"/>
      <c r="CX71" s="512" t="n"/>
      <c r="CY71" s="512" t="n"/>
      <c r="CZ71" s="515" t="n"/>
      <c r="DA71" s="512" t="n"/>
      <c r="DB71" s="512" t="n"/>
      <c r="DC71" s="512" t="n"/>
      <c r="DD71" s="512" t="n"/>
      <c r="DE71" s="512" t="n"/>
      <c r="DF71" s="512" t="n"/>
      <c r="DG71" s="512" t="n"/>
      <c r="DH71" s="512" t="n"/>
      <c r="DI71" s="512" t="n"/>
      <c r="DJ71" s="512" t="n"/>
      <c r="DK71" s="512" t="n"/>
      <c r="DL71" s="512" t="n"/>
      <c r="DM71" s="512" t="n"/>
      <c r="DN71" s="512" t="n"/>
      <c r="DO71" s="512" t="n"/>
      <c r="DP71" s="512" t="n"/>
      <c r="DQ71" s="512" t="n"/>
      <c r="DR71" s="512" t="n"/>
      <c r="DS71" s="512" t="n"/>
      <c r="DT71" s="512" t="n"/>
      <c r="DU71" s="512" t="n"/>
      <c r="DV71" s="512" t="n"/>
      <c r="DW71" s="512" t="n"/>
      <c r="DX71" s="512" t="n"/>
      <c r="DY71" s="512" t="n"/>
      <c r="DZ71" s="512" t="n"/>
      <c r="EA71" s="512" t="n"/>
      <c r="EB71" s="512" t="n"/>
      <c r="EC71" s="512" t="n"/>
      <c r="ED71" s="512" t="n"/>
      <c r="EE71" s="512" t="n"/>
      <c r="EF71" s="512" t="n"/>
      <c r="EG71" s="512" t="n"/>
      <c r="EH71" s="512" t="n"/>
      <c r="EI71" s="512" t="n"/>
      <c r="EJ71" s="512" t="n"/>
      <c r="EK71" s="512" t="n"/>
      <c r="EL71" s="512" t="n"/>
      <c r="EM71" s="512" t="n"/>
      <c r="EN71" s="512" t="n"/>
      <c r="EO71" s="512" t="n"/>
      <c r="EP71" s="512" t="n"/>
      <c r="EQ71" s="512" t="n"/>
      <c r="ER71" s="512" t="n"/>
      <c r="ES71" s="512" t="n"/>
      <c r="ET71" s="512" t="n"/>
      <c r="EU71" s="512" t="n"/>
      <c r="EV71" s="512" t="n"/>
      <c r="EW71" s="512" t="n"/>
      <c r="EX71" s="512" t="n"/>
      <c r="EY71" s="512" t="n"/>
      <c r="EZ71" s="512" t="n"/>
      <c r="FA71" s="512" t="n"/>
      <c r="FB71" s="512" t="n"/>
      <c r="FC71" s="512" t="n"/>
      <c r="FD71" s="512" t="n"/>
      <c r="FE71" s="512" t="n"/>
      <c r="FF71" s="512" t="n"/>
      <c r="FG71" s="512" t="n"/>
      <c r="FH71" s="512" t="n"/>
      <c r="FI71" s="512" t="n"/>
      <c r="FJ71" s="512" t="n"/>
      <c r="FK71" s="512" t="n"/>
      <c r="FL71" s="512" t="n"/>
      <c r="FM71" s="512" t="n"/>
      <c r="FN71" s="512" t="n"/>
      <c r="FO71" s="512" t="n"/>
      <c r="FP71" s="512" t="n"/>
      <c r="FQ71" s="512" t="n"/>
      <c r="FR71" s="512" t="n"/>
      <c r="FS71" s="512" t="n"/>
      <c r="FT71" s="512" t="n"/>
      <c r="FU71" s="512" t="n"/>
      <c r="FV71" s="512" t="n"/>
      <c r="FW71" s="512" t="n"/>
      <c r="FX71" s="512" t="n"/>
      <c r="FY71" s="512" t="n"/>
      <c r="FZ71" s="512" t="n"/>
      <c r="GA71" s="512" t="n"/>
      <c r="GB71" s="512" t="n"/>
      <c r="GC71" s="512" t="n"/>
      <c r="GD71" s="512" t="n"/>
      <c r="GE71" s="512" t="n"/>
      <c r="GF71" s="512" t="n"/>
      <c r="GG71" s="512" t="n"/>
      <c r="GH71" s="512" t="n"/>
      <c r="GI71" s="512" t="n"/>
      <c r="GJ71" s="512" t="n"/>
      <c r="GK71" s="512" t="n"/>
      <c r="GL71" s="512" t="n"/>
      <c r="GM71" s="512" t="n"/>
      <c r="GN71" s="512" t="n"/>
      <c r="GO71" s="512" t="n"/>
      <c r="GP71" s="512" t="n"/>
      <c r="GQ71" s="512" t="n"/>
      <c r="GR71" s="512" t="n"/>
      <c r="GS71" s="512" t="n"/>
      <c r="GT71" s="512" t="n"/>
      <c r="GU71" s="512" t="n"/>
      <c r="GV71" s="512" t="n"/>
      <c r="GW71" s="512" t="n"/>
      <c r="GX71" s="512" t="n"/>
      <c r="GY71" s="512" t="n"/>
      <c r="GZ71" s="512" t="n"/>
      <c r="HA71" s="512" t="n"/>
      <c r="HB71" s="512" t="n"/>
      <c r="HC71" s="512" t="n"/>
      <c r="HD71" s="512" t="n"/>
      <c r="HE71" s="512" t="n"/>
      <c r="HF71" s="512" t="n"/>
      <c r="HG71" s="512" t="n"/>
      <c r="HH71" s="512" t="n"/>
      <c r="HI71" s="512" t="n"/>
      <c r="HJ71" s="512" t="n"/>
      <c r="HK71" s="512" t="n"/>
      <c r="HL71" s="512" t="n"/>
      <c r="HM71" s="512" t="n"/>
      <c r="HN71" s="512" t="n"/>
      <c r="HO71" s="512" t="n"/>
      <c r="HP71" s="512" t="n"/>
      <c r="HQ71" s="512" t="n"/>
      <c r="HR71" s="512" t="n"/>
      <c r="HS71" s="512" t="n"/>
      <c r="HT71" s="512" t="n"/>
      <c r="HU71" s="512" t="n"/>
      <c r="JF71" s="512">
        <f>AP71</f>
        <v/>
      </c>
      <c r="JG71" s="512">
        <f>SUM(Z71:AK71)</f>
        <v/>
      </c>
      <c r="JH71" s="512">
        <f>SUM(AL71:AP71)</f>
        <v/>
      </c>
      <c r="JI71" s="512">
        <f>SUM(C71:AP71)</f>
        <v/>
      </c>
      <c r="JJ71" s="446" t="n"/>
      <c r="JM71" s="512" t="n"/>
      <c r="KG71" s="128">
        <f>B71</f>
        <v/>
      </c>
      <c r="KH71" s="533">
        <f>AR71</f>
        <v/>
      </c>
    </row>
    <row r="72" ht="16.2" customHeight="1" thickBot="1">
      <c r="A72" s="124" t="inlineStr">
        <is>
          <t>SALDO DE CAIXA (MENSAL)</t>
        </is>
      </c>
      <c r="B72" s="534">
        <f>SUM(C72:AP72)</f>
        <v/>
      </c>
      <c r="C72" s="534">
        <f>C20+C69</f>
        <v/>
      </c>
      <c r="D72" s="534">
        <f>D20+D69</f>
        <v/>
      </c>
      <c r="E72" s="534">
        <f>E20+E69</f>
        <v/>
      </c>
      <c r="F72" s="534">
        <f>F20+F69</f>
        <v/>
      </c>
      <c r="G72" s="534">
        <f>G20+G69</f>
        <v/>
      </c>
      <c r="H72" s="534">
        <f>H20+H69</f>
        <v/>
      </c>
      <c r="I72" s="534">
        <f>I20+I69</f>
        <v/>
      </c>
      <c r="J72" s="534">
        <f>J20+J69</f>
        <v/>
      </c>
      <c r="K72" s="534">
        <f>K20+K69</f>
        <v/>
      </c>
      <c r="L72" s="534">
        <f>L20+L69</f>
        <v/>
      </c>
      <c r="M72" s="535">
        <f>M20+M69</f>
        <v/>
      </c>
      <c r="N72" s="535">
        <f>N20+N69</f>
        <v/>
      </c>
      <c r="O72" s="535">
        <f>O20+O69</f>
        <v/>
      </c>
      <c r="P72" s="535">
        <f>P20+P69</f>
        <v/>
      </c>
      <c r="Q72" s="535">
        <f>Q20+Q69</f>
        <v/>
      </c>
      <c r="R72" s="535">
        <f>R20+R69</f>
        <v/>
      </c>
      <c r="S72" s="535">
        <f>S20+S69</f>
        <v/>
      </c>
      <c r="T72" s="535">
        <f>T20+T69</f>
        <v/>
      </c>
      <c r="U72" s="535">
        <f>U20+U69</f>
        <v/>
      </c>
      <c r="V72" s="535">
        <f>V20+V69</f>
        <v/>
      </c>
      <c r="W72" s="535">
        <f>W20+W69</f>
        <v/>
      </c>
      <c r="X72" s="535">
        <f>X20+X69</f>
        <v/>
      </c>
      <c r="Y72" s="535">
        <f>Y20+Y69</f>
        <v/>
      </c>
      <c r="Z72" s="535">
        <f>Z20+Z69</f>
        <v/>
      </c>
      <c r="AA72" s="535">
        <f>AA20+AA69</f>
        <v/>
      </c>
      <c r="AB72" s="535">
        <f>AB20+AB69</f>
        <v/>
      </c>
      <c r="AC72" s="535">
        <f>AC20+AC69</f>
        <v/>
      </c>
      <c r="AD72" s="535">
        <f>AD20+AD69</f>
        <v/>
      </c>
      <c r="AE72" s="535">
        <f>AE20+AE69</f>
        <v/>
      </c>
      <c r="AF72" s="535">
        <f>AF20+AF69</f>
        <v/>
      </c>
      <c r="AG72" s="535">
        <f>AG20+AG69</f>
        <v/>
      </c>
      <c r="AH72" s="535">
        <f>AH20+AH69</f>
        <v/>
      </c>
      <c r="AI72" s="535">
        <f>AI20+AI69</f>
        <v/>
      </c>
      <c r="AJ72" s="535">
        <f>AJ20+AJ69</f>
        <v/>
      </c>
      <c r="AK72" s="535">
        <f>AK20+AK69</f>
        <v/>
      </c>
      <c r="AL72" s="535">
        <f>AL20+AL69</f>
        <v/>
      </c>
      <c r="AM72" s="535">
        <f>AM20+AM69</f>
        <v/>
      </c>
      <c r="AN72" s="535">
        <f>AN20+AN69</f>
        <v/>
      </c>
      <c r="AO72" s="535">
        <f>AO20+AO69</f>
        <v/>
      </c>
      <c r="AP72" s="535">
        <f>AP20+AP69</f>
        <v/>
      </c>
      <c r="AQ72" s="13" t="n"/>
      <c r="AR72" s="246" t="n">
        <v>0</v>
      </c>
      <c r="AS72" s="13" t="n"/>
      <c r="AT72" s="534">
        <f>AT20+AT69</f>
        <v/>
      </c>
      <c r="AU72" s="534">
        <f>AU20+AU69</f>
        <v/>
      </c>
      <c r="AV72" s="534">
        <f>AV20+AV69</f>
        <v/>
      </c>
      <c r="AW72" s="534">
        <f>AW20+AW69</f>
        <v/>
      </c>
      <c r="AX72" s="534">
        <f>AX20+AX69</f>
        <v/>
      </c>
      <c r="AY72" s="534">
        <f>AY20+AY69</f>
        <v/>
      </c>
      <c r="AZ72" s="534">
        <f>AZ20+AZ69</f>
        <v/>
      </c>
      <c r="BA72" s="534">
        <f>BA20+BA69</f>
        <v/>
      </c>
      <c r="BB72" s="534">
        <f>BB20+BB69</f>
        <v/>
      </c>
      <c r="BC72" s="534">
        <f>BC20+BC69</f>
        <v/>
      </c>
      <c r="BD72" s="536">
        <f>BD20+BD69</f>
        <v/>
      </c>
      <c r="BE72" s="534">
        <f>BE20+BE69</f>
        <v/>
      </c>
      <c r="BF72" s="534">
        <f>BF20+BF69</f>
        <v/>
      </c>
      <c r="BG72" s="534">
        <f>BG20+BG69</f>
        <v/>
      </c>
      <c r="BH72" s="534">
        <f>BH20+BH69</f>
        <v/>
      </c>
      <c r="BI72" s="534">
        <f>BI20+BI69</f>
        <v/>
      </c>
      <c r="BJ72" s="534">
        <f>BJ20+BJ69</f>
        <v/>
      </c>
      <c r="BK72" s="534">
        <f>BK20+BK69</f>
        <v/>
      </c>
      <c r="BL72" s="534">
        <f>BL20+BL69</f>
        <v/>
      </c>
      <c r="BM72" s="534">
        <f>BM20+BM69</f>
        <v/>
      </c>
      <c r="BN72" s="534">
        <f>BN20+BN69</f>
        <v/>
      </c>
      <c r="BO72" s="534">
        <f>BO20+BO69</f>
        <v/>
      </c>
      <c r="BP72" s="536">
        <f>BP20+BP69</f>
        <v/>
      </c>
      <c r="BQ72" s="534">
        <f>BQ20+BQ69</f>
        <v/>
      </c>
      <c r="BR72" s="534">
        <f>BR20+BR69</f>
        <v/>
      </c>
      <c r="BS72" s="534">
        <f>BS20+BS69</f>
        <v/>
      </c>
      <c r="BT72" s="534">
        <f>BT20+BT69</f>
        <v/>
      </c>
      <c r="BU72" s="534">
        <f>BU20+BU69</f>
        <v/>
      </c>
      <c r="BV72" s="534">
        <f>BV20+BV69</f>
        <v/>
      </c>
      <c r="BW72" s="534">
        <f>BW20+BW69</f>
        <v/>
      </c>
      <c r="BX72" s="534">
        <f>BX20+BX69</f>
        <v/>
      </c>
      <c r="BY72" s="534">
        <f>BY20+BY69</f>
        <v/>
      </c>
      <c r="BZ72" s="534">
        <f>BZ20+BZ69</f>
        <v/>
      </c>
      <c r="CA72" s="534">
        <f>CA20+CA69</f>
        <v/>
      </c>
      <c r="CB72" s="536">
        <f>CB20+CB69</f>
        <v/>
      </c>
      <c r="CC72" s="534">
        <f>CC20+CC69</f>
        <v/>
      </c>
      <c r="CD72" s="534">
        <f>CD20+CD69</f>
        <v/>
      </c>
      <c r="CE72" s="534">
        <f>CE20+CE69</f>
        <v/>
      </c>
      <c r="CF72" s="534">
        <f>CF20+CF69</f>
        <v/>
      </c>
      <c r="CG72" s="534">
        <f>CG20+CG69</f>
        <v/>
      </c>
      <c r="CH72" s="534">
        <f>CH20+CH69</f>
        <v/>
      </c>
      <c r="CI72" s="534">
        <f>CI20+CI69</f>
        <v/>
      </c>
      <c r="CJ72" s="534">
        <f>CJ20+CJ69</f>
        <v/>
      </c>
      <c r="CK72" s="534">
        <f>CK20+CK69</f>
        <v/>
      </c>
      <c r="CL72" s="534">
        <f>CL20+CL69</f>
        <v/>
      </c>
      <c r="CM72" s="534">
        <f>CM20+CM69</f>
        <v/>
      </c>
      <c r="CN72" s="536">
        <f>CN20+CN69</f>
        <v/>
      </c>
      <c r="CO72" s="534">
        <f>CO20+CO69</f>
        <v/>
      </c>
      <c r="CP72" s="534">
        <f>CP20+CP69</f>
        <v/>
      </c>
      <c r="CQ72" s="534">
        <f>CQ20+CQ69</f>
        <v/>
      </c>
      <c r="CR72" s="534">
        <f>CR20+CR69</f>
        <v/>
      </c>
      <c r="CS72" s="534">
        <f>CS20+CS69</f>
        <v/>
      </c>
      <c r="CT72" s="534">
        <f>CT20+CT69</f>
        <v/>
      </c>
      <c r="CU72" s="534">
        <f>CU20+CU69</f>
        <v/>
      </c>
      <c r="CV72" s="534">
        <f>CV20+CV69</f>
        <v/>
      </c>
      <c r="CW72" s="534">
        <f>CW20+CW69</f>
        <v/>
      </c>
      <c r="CX72" s="534">
        <f>CX20+CX69</f>
        <v/>
      </c>
      <c r="CY72" s="534">
        <f>CY20+CY69</f>
        <v/>
      </c>
      <c r="CZ72" s="536">
        <f>CZ20+CZ69</f>
        <v/>
      </c>
      <c r="DA72" s="534">
        <f>DA20+DA69</f>
        <v/>
      </c>
      <c r="DB72" s="534">
        <f>DB20+DB69</f>
        <v/>
      </c>
      <c r="DC72" s="534">
        <f>DC20+DC69</f>
        <v/>
      </c>
      <c r="DD72" s="534">
        <f>DD20+DD69</f>
        <v/>
      </c>
      <c r="DE72" s="534">
        <f>DE20+DE69</f>
        <v/>
      </c>
      <c r="DF72" s="534">
        <f>DF20+DF69</f>
        <v/>
      </c>
      <c r="DG72" s="534">
        <f>DG20+DG69</f>
        <v/>
      </c>
      <c r="DH72" s="534">
        <f>DH20+DH69</f>
        <v/>
      </c>
      <c r="DI72" s="534">
        <f>DI20+DI69</f>
        <v/>
      </c>
      <c r="DJ72" s="534">
        <f>DJ20+DJ69</f>
        <v/>
      </c>
      <c r="DK72" s="534">
        <f>DK20+DK69</f>
        <v/>
      </c>
      <c r="DL72" s="534">
        <f>DL20+DL69</f>
        <v/>
      </c>
      <c r="DM72" s="534">
        <f>DM20+DM69</f>
        <v/>
      </c>
      <c r="DN72" s="534">
        <f>DN20+DN69</f>
        <v/>
      </c>
      <c r="DO72" s="534">
        <f>DO20+DO69</f>
        <v/>
      </c>
      <c r="DP72" s="534">
        <f>DP20+DP69</f>
        <v/>
      </c>
      <c r="DQ72" s="534">
        <f>DQ20+DQ69</f>
        <v/>
      </c>
      <c r="DR72" s="534">
        <f>DR20+DR69</f>
        <v/>
      </c>
      <c r="DS72" s="534">
        <f>DS20+DS69</f>
        <v/>
      </c>
      <c r="DT72" s="534">
        <f>DT20+DT69</f>
        <v/>
      </c>
      <c r="DU72" s="534">
        <f>DU20+DU69</f>
        <v/>
      </c>
      <c r="DV72" s="534">
        <f>DV20+DV69</f>
        <v/>
      </c>
      <c r="DW72" s="534">
        <f>DW20+DW69</f>
        <v/>
      </c>
      <c r="DX72" s="534">
        <f>DX20+DX69</f>
        <v/>
      </c>
      <c r="DY72" s="534">
        <f>DY20+DY69</f>
        <v/>
      </c>
      <c r="DZ72" s="534">
        <f>DZ20+DZ69</f>
        <v/>
      </c>
      <c r="EA72" s="534">
        <f>EA20+EA69</f>
        <v/>
      </c>
      <c r="EB72" s="534">
        <f>EB20+EB69</f>
        <v/>
      </c>
      <c r="EC72" s="534">
        <f>EC20+EC69</f>
        <v/>
      </c>
      <c r="ED72" s="534">
        <f>ED20+ED69</f>
        <v/>
      </c>
      <c r="EE72" s="534">
        <f>EE20+EE69</f>
        <v/>
      </c>
      <c r="EF72" s="534">
        <f>EF20+EF69</f>
        <v/>
      </c>
      <c r="EG72" s="534">
        <f>EG20+EG69</f>
        <v/>
      </c>
      <c r="EH72" s="534">
        <f>EH20+EH69</f>
        <v/>
      </c>
      <c r="EI72" s="534">
        <f>EI20+EI69</f>
        <v/>
      </c>
      <c r="EJ72" s="534">
        <f>EJ20+EJ69</f>
        <v/>
      </c>
      <c r="EK72" s="534">
        <f>EK20+EK69</f>
        <v/>
      </c>
      <c r="EL72" s="534">
        <f>EL20+EL69</f>
        <v/>
      </c>
      <c r="EM72" s="534">
        <f>EM20+EM69</f>
        <v/>
      </c>
      <c r="EN72" s="534">
        <f>EN20+EN69</f>
        <v/>
      </c>
      <c r="EO72" s="534">
        <f>EO20+EO69</f>
        <v/>
      </c>
      <c r="EP72" s="534">
        <f>EP20+EP69</f>
        <v/>
      </c>
      <c r="EQ72" s="534">
        <f>EQ20+EQ69</f>
        <v/>
      </c>
      <c r="ER72" s="534">
        <f>ER20+ER69</f>
        <v/>
      </c>
      <c r="ES72" s="534">
        <f>ES20+ES69</f>
        <v/>
      </c>
      <c r="ET72" s="534">
        <f>ET20+ET69</f>
        <v/>
      </c>
      <c r="EU72" s="534">
        <f>EU20+EU69</f>
        <v/>
      </c>
      <c r="EV72" s="534">
        <f>EV20+EV69</f>
        <v/>
      </c>
      <c r="EW72" s="534">
        <f>EW20+EW69</f>
        <v/>
      </c>
      <c r="EX72" s="534">
        <f>EX20+EX69</f>
        <v/>
      </c>
      <c r="EY72" s="534">
        <f>EY20+EY69</f>
        <v/>
      </c>
      <c r="EZ72" s="534">
        <f>EZ20+EZ69</f>
        <v/>
      </c>
      <c r="FA72" s="534">
        <f>FA20+FA69</f>
        <v/>
      </c>
      <c r="FB72" s="534">
        <f>FB20+FB69</f>
        <v/>
      </c>
      <c r="FC72" s="534">
        <f>FC20+FC69</f>
        <v/>
      </c>
      <c r="FD72" s="534">
        <f>FD20+FD69</f>
        <v/>
      </c>
      <c r="FE72" s="534">
        <f>FE20+FE69</f>
        <v/>
      </c>
      <c r="FF72" s="534">
        <f>FF20+FF69</f>
        <v/>
      </c>
      <c r="FG72" s="534">
        <f>FG20+FG69</f>
        <v/>
      </c>
      <c r="FH72" s="534">
        <f>FH20+FH69</f>
        <v/>
      </c>
      <c r="FI72" s="534">
        <f>FI20+FI69</f>
        <v/>
      </c>
      <c r="FJ72" s="534">
        <f>FJ20+FJ69</f>
        <v/>
      </c>
      <c r="FK72" s="534">
        <f>FK20+FK69</f>
        <v/>
      </c>
      <c r="FL72" s="534">
        <f>FL20+FL69</f>
        <v/>
      </c>
      <c r="FM72" s="534">
        <f>FM20+FM69</f>
        <v/>
      </c>
      <c r="FN72" s="534">
        <f>FN20+FN69</f>
        <v/>
      </c>
      <c r="FO72" s="534">
        <f>FO20+FO69</f>
        <v/>
      </c>
      <c r="FP72" s="534">
        <f>FP20+FP69</f>
        <v/>
      </c>
      <c r="FQ72" s="534">
        <f>FQ20+FQ69</f>
        <v/>
      </c>
      <c r="FR72" s="534">
        <f>FR20+FR69</f>
        <v/>
      </c>
      <c r="FS72" s="534">
        <f>FS20+FS69</f>
        <v/>
      </c>
      <c r="FT72" s="534">
        <f>FT20+FT69</f>
        <v/>
      </c>
      <c r="FU72" s="534">
        <f>FU20+FU69</f>
        <v/>
      </c>
      <c r="FV72" s="534">
        <f>FV20+FV69</f>
        <v/>
      </c>
      <c r="FW72" s="534">
        <f>FW20+FW69</f>
        <v/>
      </c>
      <c r="FX72" s="534">
        <f>FX20+FX69</f>
        <v/>
      </c>
      <c r="FY72" s="534">
        <f>FY20+FY69</f>
        <v/>
      </c>
      <c r="FZ72" s="534">
        <f>FZ20+FZ69</f>
        <v/>
      </c>
      <c r="GA72" s="534">
        <f>GA20+GA69</f>
        <v/>
      </c>
      <c r="GB72" s="534">
        <f>GB20+GB69</f>
        <v/>
      </c>
      <c r="GC72" s="534">
        <f>GC20+GC69</f>
        <v/>
      </c>
      <c r="GD72" s="534">
        <f>GD20+GD69</f>
        <v/>
      </c>
      <c r="GE72" s="534">
        <f>GE20+GE69</f>
        <v/>
      </c>
      <c r="GF72" s="534">
        <f>GF20+GF69</f>
        <v/>
      </c>
      <c r="GG72" s="534">
        <f>GG20+GG69</f>
        <v/>
      </c>
      <c r="GH72" s="534">
        <f>GH20+GH69</f>
        <v/>
      </c>
      <c r="GI72" s="534">
        <f>GI20+GI69</f>
        <v/>
      </c>
      <c r="GJ72" s="534">
        <f>GJ20+GJ69</f>
        <v/>
      </c>
      <c r="GK72" s="534">
        <f>GK20+GK69</f>
        <v/>
      </c>
      <c r="GL72" s="534">
        <f>GL20+GL69</f>
        <v/>
      </c>
      <c r="GM72" s="534">
        <f>GM20+GM69</f>
        <v/>
      </c>
      <c r="GN72" s="534">
        <f>GN20+GN69</f>
        <v/>
      </c>
      <c r="GO72" s="534">
        <f>GO20+GO69</f>
        <v/>
      </c>
      <c r="GP72" s="534">
        <f>GP20+GP69</f>
        <v/>
      </c>
      <c r="GQ72" s="534">
        <f>GQ20+GQ69</f>
        <v/>
      </c>
      <c r="GR72" s="534">
        <f>GR20+GR69</f>
        <v/>
      </c>
      <c r="GS72" s="534">
        <f>GS20+GS69</f>
        <v/>
      </c>
      <c r="GT72" s="534">
        <f>GT20+GT69</f>
        <v/>
      </c>
      <c r="GU72" s="534">
        <f>GU20+GU69</f>
        <v/>
      </c>
      <c r="GV72" s="534">
        <f>GV20+GV69</f>
        <v/>
      </c>
      <c r="GW72" s="534">
        <f>GW20+GW69</f>
        <v/>
      </c>
      <c r="GX72" s="534">
        <f>GX20+GX69</f>
        <v/>
      </c>
      <c r="GY72" s="534">
        <f>GY20+GY69</f>
        <v/>
      </c>
      <c r="GZ72" s="534">
        <f>GZ20+GZ69</f>
        <v/>
      </c>
      <c r="HA72" s="534">
        <f>HA20+HA69</f>
        <v/>
      </c>
      <c r="HB72" s="534">
        <f>HB20+HB69</f>
        <v/>
      </c>
      <c r="HC72" s="534">
        <f>HC20+HC69</f>
        <v/>
      </c>
      <c r="HD72" s="534">
        <f>HD20+HD69</f>
        <v/>
      </c>
      <c r="HE72" s="534">
        <f>HE20+HE69</f>
        <v/>
      </c>
      <c r="HF72" s="534">
        <f>HF20+HF69</f>
        <v/>
      </c>
      <c r="HG72" s="534">
        <f>HG20+HG69</f>
        <v/>
      </c>
      <c r="HH72" s="534">
        <f>HH20+HH69</f>
        <v/>
      </c>
      <c r="HI72" s="534">
        <f>HI20+HI69</f>
        <v/>
      </c>
      <c r="HJ72" s="534">
        <f>HJ20+HJ69</f>
        <v/>
      </c>
      <c r="HK72" s="534">
        <f>HK20+HK69</f>
        <v/>
      </c>
      <c r="HL72" s="534">
        <f>HL20+HL69</f>
        <v/>
      </c>
      <c r="HM72" s="534">
        <f>HM20+HM69</f>
        <v/>
      </c>
      <c r="HN72" s="534">
        <f>HN20+HN69</f>
        <v/>
      </c>
      <c r="HO72" s="534">
        <f>HO20+HO69</f>
        <v/>
      </c>
      <c r="HP72" s="534">
        <f>HP20+HP69</f>
        <v/>
      </c>
      <c r="HQ72" s="534">
        <f>HQ20+HQ69</f>
        <v/>
      </c>
      <c r="HR72" s="534">
        <f>HR20+HR69</f>
        <v/>
      </c>
      <c r="HS72" s="534">
        <f>HS20+HS69</f>
        <v/>
      </c>
      <c r="HT72" s="534">
        <f>HT20+HT69</f>
        <v/>
      </c>
      <c r="HU72" s="534">
        <f>HU20+HU69</f>
        <v/>
      </c>
      <c r="JF72" s="534">
        <f>AP72</f>
        <v/>
      </c>
      <c r="JG72" s="534">
        <f>SUM(Z72:AK72)</f>
        <v/>
      </c>
      <c r="JH72" s="534">
        <f>SUM(AL72:AP72)</f>
        <v/>
      </c>
      <c r="JI72" s="534">
        <f>SUM(C72:AP72)</f>
        <v/>
      </c>
      <c r="JJ72" s="446" t="n"/>
      <c r="JM72" s="534" t="n">
        <v>-2297202.657010871</v>
      </c>
      <c r="KG72" s="534">
        <f>B72</f>
        <v/>
      </c>
      <c r="KH72" s="246">
        <f>AR72</f>
        <v/>
      </c>
    </row>
    <row r="73" ht="16.2" customHeight="1" thickBot="1" thickTop="1">
      <c r="A73" s="125" t="inlineStr">
        <is>
          <t>SALDO ACUMULADO (REAL)</t>
        </is>
      </c>
      <c r="B73" s="149" t="n"/>
      <c r="C73" s="543">
        <f>B73+C72</f>
        <v/>
      </c>
      <c r="D73" s="543">
        <f>C73+D72</f>
        <v/>
      </c>
      <c r="E73" s="543">
        <f>D73+E72</f>
        <v/>
      </c>
      <c r="F73" s="543">
        <f>E73+F72</f>
        <v/>
      </c>
      <c r="G73" s="543">
        <f>F73+G72</f>
        <v/>
      </c>
      <c r="H73" s="543">
        <f>G73+H72</f>
        <v/>
      </c>
      <c r="I73" s="543">
        <f>H73+I72</f>
        <v/>
      </c>
      <c r="J73" s="543">
        <f>I73+J72</f>
        <v/>
      </c>
      <c r="K73" s="543">
        <f>J73+K72</f>
        <v/>
      </c>
      <c r="L73" s="543">
        <f>K73+L72</f>
        <v/>
      </c>
      <c r="M73" s="543">
        <f>L73+M72</f>
        <v/>
      </c>
      <c r="N73" s="543">
        <f>M73+N72</f>
        <v/>
      </c>
      <c r="O73" s="543">
        <f>N73+O72</f>
        <v/>
      </c>
      <c r="P73" s="543">
        <f>O73+P72</f>
        <v/>
      </c>
      <c r="Q73" s="543">
        <f>P73+Q72</f>
        <v/>
      </c>
      <c r="R73" s="543">
        <f>Q73+R72</f>
        <v/>
      </c>
      <c r="S73" s="543">
        <f>R73+S72</f>
        <v/>
      </c>
      <c r="T73" s="543">
        <f>S73+T72</f>
        <v/>
      </c>
      <c r="U73" s="543">
        <f>T73+U72</f>
        <v/>
      </c>
      <c r="V73" s="543">
        <f>U73+V72</f>
        <v/>
      </c>
      <c r="W73" s="543">
        <f>V73+W72</f>
        <v/>
      </c>
      <c r="X73" s="543">
        <f>W73+X72</f>
        <v/>
      </c>
      <c r="Y73" s="543">
        <f>X73+Y72</f>
        <v/>
      </c>
      <c r="Z73" s="543">
        <f>Y73+Z72</f>
        <v/>
      </c>
      <c r="AA73" s="543">
        <f>Z73+AA72</f>
        <v/>
      </c>
      <c r="AB73" s="543">
        <f>AA73+AB72</f>
        <v/>
      </c>
      <c r="AC73" s="543">
        <f>AB73+AC72</f>
        <v/>
      </c>
      <c r="AD73" s="543">
        <f>AC73+AD72</f>
        <v/>
      </c>
      <c r="AE73" s="543">
        <f>AD73+AE72</f>
        <v/>
      </c>
      <c r="AF73" s="543">
        <f>AE73+AF72</f>
        <v/>
      </c>
      <c r="AG73" s="543">
        <f>AF73+AG72</f>
        <v/>
      </c>
      <c r="AH73" s="543">
        <f>AG73+AH72</f>
        <v/>
      </c>
      <c r="AI73" s="543">
        <f>AH73+AI72</f>
        <v/>
      </c>
      <c r="AJ73" s="543">
        <f>AI73+AJ72</f>
        <v/>
      </c>
      <c r="AK73" s="543">
        <f>AJ73+AK72</f>
        <v/>
      </c>
      <c r="AL73" s="543">
        <f>AK73+AL72</f>
        <v/>
      </c>
      <c r="AM73" s="543">
        <f>AL73+AM72</f>
        <v/>
      </c>
      <c r="AN73" s="543">
        <f>AM73+AN72</f>
        <v/>
      </c>
      <c r="AO73" s="543">
        <f>AN73+AO72</f>
        <v/>
      </c>
      <c r="AP73" s="543">
        <f>AO73+AP72</f>
        <v/>
      </c>
      <c r="AQ73" s="544" t="n"/>
      <c r="AR73" s="545" t="n"/>
      <c r="AS73" s="544" t="n"/>
      <c r="AT73" s="546">
        <f>AP73+AT72</f>
        <v/>
      </c>
      <c r="AU73" s="546">
        <f>AT73+AU72</f>
        <v/>
      </c>
      <c r="AV73" s="546">
        <f>AU73+AV72</f>
        <v/>
      </c>
      <c r="AW73" s="546">
        <f>AV73+AW72</f>
        <v/>
      </c>
      <c r="AX73" s="546">
        <f>AW73+AX72</f>
        <v/>
      </c>
      <c r="AY73" s="546">
        <f>AX73+AY72</f>
        <v/>
      </c>
      <c r="AZ73" s="546">
        <f>AY73+AZ72</f>
        <v/>
      </c>
      <c r="BA73" s="546">
        <f>AZ73+BA72</f>
        <v/>
      </c>
      <c r="BB73" s="546">
        <f>BA73+BB72</f>
        <v/>
      </c>
      <c r="BC73" s="546">
        <f>BB73+BC72</f>
        <v/>
      </c>
      <c r="BD73" s="546">
        <f>BC73+BD72</f>
        <v/>
      </c>
      <c r="BE73" s="546">
        <f>BD73+BE72</f>
        <v/>
      </c>
      <c r="BF73" s="546">
        <f>BE73+BF72</f>
        <v/>
      </c>
      <c r="BG73" s="546">
        <f>BF73+BG72</f>
        <v/>
      </c>
      <c r="BH73" s="546">
        <f>BG73+BH72</f>
        <v/>
      </c>
      <c r="BI73" s="546">
        <f>BH73+BI72</f>
        <v/>
      </c>
      <c r="BJ73" s="546">
        <f>BI73+BJ72</f>
        <v/>
      </c>
      <c r="BK73" s="546">
        <f>BJ73+BK72</f>
        <v/>
      </c>
      <c r="BL73" s="546">
        <f>BK73+BL72</f>
        <v/>
      </c>
      <c r="BM73" s="546">
        <f>BL73+BM72</f>
        <v/>
      </c>
      <c r="BN73" s="546">
        <f>BM73+BN72</f>
        <v/>
      </c>
      <c r="BO73" s="546">
        <f>BN73+BO72</f>
        <v/>
      </c>
      <c r="BP73" s="546">
        <f>BO73+BP72</f>
        <v/>
      </c>
      <c r="BQ73" s="546">
        <f>BP73+BQ72</f>
        <v/>
      </c>
      <c r="BR73" s="546">
        <f>BQ73+BR72</f>
        <v/>
      </c>
      <c r="BS73" s="546">
        <f>BR73+BS72</f>
        <v/>
      </c>
      <c r="BT73" s="546">
        <f>BS73+BT72</f>
        <v/>
      </c>
      <c r="BU73" s="546">
        <f>BT73+BU72</f>
        <v/>
      </c>
      <c r="BV73" s="546">
        <f>BU73+BV72</f>
        <v/>
      </c>
      <c r="BW73" s="546">
        <f>BV73+BW72</f>
        <v/>
      </c>
      <c r="BX73" s="546">
        <f>BW73+BX72</f>
        <v/>
      </c>
      <c r="BY73" s="546">
        <f>BX73+BY72</f>
        <v/>
      </c>
      <c r="BZ73" s="546">
        <f>BY73+BZ72</f>
        <v/>
      </c>
      <c r="CA73" s="546">
        <f>BZ73+CA72</f>
        <v/>
      </c>
      <c r="CB73" s="546">
        <f>CA73+CB72</f>
        <v/>
      </c>
      <c r="CC73" s="546">
        <f>CB73+CC72</f>
        <v/>
      </c>
      <c r="CD73" s="546">
        <f>CC73+CD72</f>
        <v/>
      </c>
      <c r="CE73" s="546">
        <f>CD73+CE72</f>
        <v/>
      </c>
      <c r="CF73" s="546">
        <f>CE73+CF72</f>
        <v/>
      </c>
      <c r="CG73" s="546">
        <f>CF73+CG72</f>
        <v/>
      </c>
      <c r="CH73" s="546">
        <f>CG73+CH72</f>
        <v/>
      </c>
      <c r="CI73" s="546">
        <f>CH73+CI72</f>
        <v/>
      </c>
      <c r="CJ73" s="546">
        <f>CI73+CJ72</f>
        <v/>
      </c>
      <c r="CK73" s="546">
        <f>CJ73+CK72</f>
        <v/>
      </c>
      <c r="CL73" s="546">
        <f>CK73+CL72</f>
        <v/>
      </c>
      <c r="CM73" s="546">
        <f>CL73+CM72</f>
        <v/>
      </c>
      <c r="CN73" s="546">
        <f>CM73+CN72</f>
        <v/>
      </c>
      <c r="CO73" s="546">
        <f>CN73+CO72</f>
        <v/>
      </c>
      <c r="CP73" s="546">
        <f>CO73+CP72</f>
        <v/>
      </c>
      <c r="CQ73" s="546">
        <f>CP73+CQ72</f>
        <v/>
      </c>
      <c r="CR73" s="546">
        <f>CQ73+CR72</f>
        <v/>
      </c>
      <c r="CS73" s="546">
        <f>CR73+CS72</f>
        <v/>
      </c>
      <c r="CT73" s="546">
        <f>CS73+CT72</f>
        <v/>
      </c>
      <c r="CU73" s="546">
        <f>CT73+CU72</f>
        <v/>
      </c>
      <c r="CV73" s="546">
        <f>CU73+CV72</f>
        <v/>
      </c>
      <c r="CW73" s="546">
        <f>CV73+CW72</f>
        <v/>
      </c>
      <c r="CX73" s="546">
        <f>CW73+CX72</f>
        <v/>
      </c>
      <c r="CY73" s="546">
        <f>CX73+CY72</f>
        <v/>
      </c>
      <c r="CZ73" s="546">
        <f>CY73+CZ72</f>
        <v/>
      </c>
      <c r="DA73" s="546">
        <f>CZ73+DA72</f>
        <v/>
      </c>
      <c r="DB73" s="546">
        <f>DA73+DB72</f>
        <v/>
      </c>
      <c r="DC73" s="546">
        <f>DB73+DC72</f>
        <v/>
      </c>
      <c r="DD73" s="546">
        <f>DC73+DD72</f>
        <v/>
      </c>
      <c r="DE73" s="546">
        <f>DD73+DE72</f>
        <v/>
      </c>
      <c r="DF73" s="546">
        <f>DE73+DF72</f>
        <v/>
      </c>
      <c r="DG73" s="546">
        <f>DF73+DG72</f>
        <v/>
      </c>
      <c r="DH73" s="546">
        <f>DG73+DH72</f>
        <v/>
      </c>
      <c r="DI73" s="546">
        <f>DH73+DI72</f>
        <v/>
      </c>
      <c r="DJ73" s="546">
        <f>DI73+DJ72</f>
        <v/>
      </c>
      <c r="DK73" s="546">
        <f>DJ73+DK72</f>
        <v/>
      </c>
      <c r="DL73" s="546">
        <f>DK73+DL72</f>
        <v/>
      </c>
      <c r="DM73" s="546">
        <f>DL73+DM72</f>
        <v/>
      </c>
      <c r="DN73" s="546">
        <f>DM73+DN72</f>
        <v/>
      </c>
      <c r="DO73" s="546">
        <f>DN73+DO72</f>
        <v/>
      </c>
      <c r="DP73" s="546">
        <f>DO73+DP72</f>
        <v/>
      </c>
      <c r="DQ73" s="546">
        <f>DP73+DQ72</f>
        <v/>
      </c>
      <c r="DR73" s="546">
        <f>DQ73+DR72</f>
        <v/>
      </c>
      <c r="DS73" s="546">
        <f>DR73+DS72</f>
        <v/>
      </c>
      <c r="DT73" s="546">
        <f>DS73+DT72</f>
        <v/>
      </c>
      <c r="DU73" s="546">
        <f>DT73+DU72</f>
        <v/>
      </c>
      <c r="DV73" s="546">
        <f>DU73+DV72</f>
        <v/>
      </c>
      <c r="DW73" s="546">
        <f>DV73+DW72</f>
        <v/>
      </c>
      <c r="DX73" s="546">
        <f>DW73+DX72</f>
        <v/>
      </c>
      <c r="DY73" s="546">
        <f>DX73+DY72</f>
        <v/>
      </c>
      <c r="DZ73" s="546">
        <f>DY73+DZ72</f>
        <v/>
      </c>
      <c r="EA73" s="546">
        <f>DZ73+EA72</f>
        <v/>
      </c>
      <c r="EB73" s="546">
        <f>EA73+EB72</f>
        <v/>
      </c>
      <c r="EC73" s="546">
        <f>EB73+EC72</f>
        <v/>
      </c>
      <c r="ED73" s="546">
        <f>EC73+ED72</f>
        <v/>
      </c>
      <c r="EE73" s="546">
        <f>ED73+EE72</f>
        <v/>
      </c>
      <c r="EF73" s="546">
        <f>EE73+EF72</f>
        <v/>
      </c>
      <c r="EG73" s="546">
        <f>EF73+EG72</f>
        <v/>
      </c>
      <c r="EH73" s="546">
        <f>EG73+EH72</f>
        <v/>
      </c>
      <c r="EI73" s="546">
        <f>EH73+EI72</f>
        <v/>
      </c>
      <c r="EJ73" s="546">
        <f>EI73+EJ72</f>
        <v/>
      </c>
      <c r="EK73" s="546">
        <f>EJ73+EK72</f>
        <v/>
      </c>
      <c r="EL73" s="546">
        <f>EK73+EL72</f>
        <v/>
      </c>
      <c r="EM73" s="546">
        <f>EL73+EM72</f>
        <v/>
      </c>
      <c r="EN73" s="546">
        <f>EM73+EN72</f>
        <v/>
      </c>
      <c r="EO73" s="546">
        <f>EN73+EO72</f>
        <v/>
      </c>
      <c r="EP73" s="546">
        <f>EO73+EP72</f>
        <v/>
      </c>
      <c r="EQ73" s="546">
        <f>EP73+EQ72</f>
        <v/>
      </c>
      <c r="ER73" s="546">
        <f>EQ73+ER72</f>
        <v/>
      </c>
      <c r="ES73" s="546">
        <f>ER73+ES72</f>
        <v/>
      </c>
      <c r="ET73" s="546">
        <f>ES73+ET72</f>
        <v/>
      </c>
      <c r="EU73" s="546">
        <f>ET73+EU72</f>
        <v/>
      </c>
      <c r="EV73" s="546">
        <f>EU73+EV72</f>
        <v/>
      </c>
      <c r="EW73" s="546">
        <f>EV73+EW72</f>
        <v/>
      </c>
      <c r="EX73" s="546">
        <f>EW73+EX72</f>
        <v/>
      </c>
      <c r="EY73" s="546">
        <f>EX73+EY72</f>
        <v/>
      </c>
      <c r="EZ73" s="546">
        <f>EY73+EZ72</f>
        <v/>
      </c>
      <c r="FA73" s="546">
        <f>EZ73+FA72</f>
        <v/>
      </c>
      <c r="FB73" s="546">
        <f>FA73+FB72</f>
        <v/>
      </c>
      <c r="FC73" s="546">
        <f>FB73+FC72</f>
        <v/>
      </c>
      <c r="FD73" s="546">
        <f>FC73+FD72</f>
        <v/>
      </c>
      <c r="FE73" s="546">
        <f>FD73+FE72</f>
        <v/>
      </c>
      <c r="FF73" s="546">
        <f>FE73+FF72</f>
        <v/>
      </c>
      <c r="FG73" s="546">
        <f>FF73+FG72</f>
        <v/>
      </c>
      <c r="FH73" s="546">
        <f>FG73+FH72</f>
        <v/>
      </c>
      <c r="FI73" s="546">
        <f>FH73+FI72</f>
        <v/>
      </c>
      <c r="FJ73" s="546">
        <f>FI73+FJ72</f>
        <v/>
      </c>
      <c r="FK73" s="546">
        <f>FJ73+FK72</f>
        <v/>
      </c>
      <c r="FL73" s="546">
        <f>FK73+FL72</f>
        <v/>
      </c>
      <c r="FM73" s="546">
        <f>FL73+FM72</f>
        <v/>
      </c>
      <c r="FN73" s="546">
        <f>FM73+FN72</f>
        <v/>
      </c>
      <c r="FO73" s="546">
        <f>FN73+FO72</f>
        <v/>
      </c>
      <c r="FP73" s="546">
        <f>FO73+FP72</f>
        <v/>
      </c>
      <c r="FQ73" s="546">
        <f>FP73+FQ72</f>
        <v/>
      </c>
      <c r="FR73" s="546">
        <f>FQ73+FR72</f>
        <v/>
      </c>
      <c r="FS73" s="546">
        <f>FR73+FS72</f>
        <v/>
      </c>
      <c r="FT73" s="546">
        <f>FS73+FT72</f>
        <v/>
      </c>
      <c r="FU73" s="546">
        <f>FT73+FU72</f>
        <v/>
      </c>
      <c r="FV73" s="546">
        <f>FU73+FV72</f>
        <v/>
      </c>
      <c r="FW73" s="546">
        <f>FV73+FW72</f>
        <v/>
      </c>
      <c r="FX73" s="546">
        <f>FW73+FX72</f>
        <v/>
      </c>
      <c r="FY73" s="546">
        <f>FX73+FY72</f>
        <v/>
      </c>
      <c r="FZ73" s="546">
        <f>FY73+FZ72</f>
        <v/>
      </c>
      <c r="GA73" s="546">
        <f>FZ73+GA72</f>
        <v/>
      </c>
      <c r="GB73" s="546">
        <f>GA73+GB72</f>
        <v/>
      </c>
      <c r="GC73" s="546">
        <f>GB73+GC72</f>
        <v/>
      </c>
      <c r="GD73" s="546">
        <f>GC73+GD72</f>
        <v/>
      </c>
      <c r="GE73" s="546">
        <f>GD73+GE72</f>
        <v/>
      </c>
      <c r="GF73" s="546">
        <f>GE73+GF72</f>
        <v/>
      </c>
      <c r="GG73" s="546">
        <f>GF73+GG72</f>
        <v/>
      </c>
      <c r="GH73" s="546">
        <f>GG73+GH72</f>
        <v/>
      </c>
      <c r="GI73" s="546">
        <f>GH73+GI72</f>
        <v/>
      </c>
      <c r="GJ73" s="546">
        <f>GI73+GJ72</f>
        <v/>
      </c>
      <c r="GK73" s="546">
        <f>GJ73+GK72</f>
        <v/>
      </c>
      <c r="GL73" s="546">
        <f>GK73+GL72</f>
        <v/>
      </c>
      <c r="GM73" s="546">
        <f>GL73+GM72</f>
        <v/>
      </c>
      <c r="GN73" s="546">
        <f>GM73+GN72</f>
        <v/>
      </c>
      <c r="GO73" s="546">
        <f>GN73+GO72</f>
        <v/>
      </c>
      <c r="GP73" s="546">
        <f>GO73+GP72</f>
        <v/>
      </c>
      <c r="GQ73" s="546">
        <f>GP73+GQ72</f>
        <v/>
      </c>
      <c r="GR73" s="546">
        <f>GQ73+GR72</f>
        <v/>
      </c>
      <c r="GS73" s="546">
        <f>GR73+GS72</f>
        <v/>
      </c>
      <c r="GT73" s="546">
        <f>GS73+GT72</f>
        <v/>
      </c>
      <c r="GU73" s="546">
        <f>GT73+GU72</f>
        <v/>
      </c>
      <c r="GV73" s="546">
        <f>GU73+GV72</f>
        <v/>
      </c>
      <c r="GW73" s="546">
        <f>GV73+GW72</f>
        <v/>
      </c>
      <c r="GX73" s="546">
        <f>GW73+GX72</f>
        <v/>
      </c>
      <c r="GY73" s="546">
        <f>GX73+GY72</f>
        <v/>
      </c>
      <c r="GZ73" s="546">
        <f>GY73+GZ72</f>
        <v/>
      </c>
      <c r="HA73" s="546">
        <f>GZ73+HA72</f>
        <v/>
      </c>
      <c r="HB73" s="546">
        <f>HA73+HB72</f>
        <v/>
      </c>
      <c r="HC73" s="546">
        <f>HB73+HC72</f>
        <v/>
      </c>
      <c r="HD73" s="546">
        <f>HC73+HD72</f>
        <v/>
      </c>
      <c r="HE73" s="546">
        <f>HD73+HE72</f>
        <v/>
      </c>
      <c r="HF73" s="546">
        <f>HE73+HF72</f>
        <v/>
      </c>
      <c r="HG73" s="546">
        <f>HF73+HG72</f>
        <v/>
      </c>
      <c r="HH73" s="546">
        <f>HG73+HH72</f>
        <v/>
      </c>
      <c r="HI73" s="546">
        <f>HH73+HI72</f>
        <v/>
      </c>
      <c r="HJ73" s="546">
        <f>HI73+HJ72</f>
        <v/>
      </c>
      <c r="HK73" s="546">
        <f>HJ73+HK72</f>
        <v/>
      </c>
      <c r="HL73" s="546">
        <f>HK73+HL72</f>
        <v/>
      </c>
      <c r="HM73" s="546">
        <f>HL73+HM72</f>
        <v/>
      </c>
      <c r="HN73" s="546">
        <f>HM73+HN72</f>
        <v/>
      </c>
      <c r="HO73" s="546">
        <f>HN73+HO72</f>
        <v/>
      </c>
      <c r="HP73" s="546">
        <f>HO73+HP72</f>
        <v/>
      </c>
      <c r="HQ73" s="546">
        <f>HP73+HQ72</f>
        <v/>
      </c>
      <c r="HR73" s="546">
        <f>HQ73+HR72</f>
        <v/>
      </c>
      <c r="HS73" s="546">
        <f>HR73+HS72</f>
        <v/>
      </c>
      <c r="HT73" s="546">
        <f>HS73+HT72</f>
        <v/>
      </c>
      <c r="HU73" s="546">
        <f>HT73+HU72</f>
        <v/>
      </c>
      <c r="JF73" s="546">
        <f>AP73</f>
        <v/>
      </c>
      <c r="JG73" s="546">
        <f>SUM(Z73:AK73)</f>
        <v/>
      </c>
      <c r="JH73" s="546">
        <f>SUM(AL73:AP73)</f>
        <v/>
      </c>
      <c r="JI73" s="546">
        <f>SUM(C73:AP73)</f>
        <v/>
      </c>
      <c r="JJ73" s="446" t="n"/>
      <c r="JM73" s="546" t="n">
        <v>10274046.19298913</v>
      </c>
      <c r="KG73" s="149">
        <f>B73</f>
        <v/>
      </c>
      <c r="KH73" s="545">
        <f>AR73</f>
        <v/>
      </c>
    </row>
    <row r="74" ht="16.2" customHeight="1" thickBot="1" thickTop="1">
      <c r="A74" s="1" t="n"/>
      <c r="B74" s="128" t="n"/>
      <c r="C74" s="549" t="n"/>
      <c r="D74" s="549" t="n"/>
      <c r="E74" s="550" t="n"/>
      <c r="F74" s="550" t="n"/>
      <c r="G74" s="550" t="n"/>
      <c r="H74" s="550" t="n"/>
      <c r="I74" s="550" t="n"/>
      <c r="J74" s="551" t="n"/>
      <c r="K74" s="549" t="n"/>
      <c r="L74" s="549" t="n"/>
      <c r="M74" s="552" t="n"/>
      <c r="N74" s="552" t="n"/>
      <c r="O74" s="552" t="n"/>
      <c r="P74" s="552" t="n"/>
      <c r="Q74" s="552" t="n"/>
      <c r="R74" s="552" t="n"/>
      <c r="S74" s="552" t="n"/>
      <c r="T74" s="552" t="n"/>
      <c r="U74" s="552" t="n"/>
      <c r="V74" s="552" t="n"/>
      <c r="W74" s="552" t="n"/>
      <c r="X74" s="552" t="n"/>
      <c r="Y74" s="552" t="n"/>
      <c r="Z74" s="549" t="n"/>
      <c r="AA74" s="549" t="n"/>
      <c r="AB74" s="549" t="n"/>
      <c r="AC74" s="549" t="n"/>
      <c r="AD74" s="549" t="n"/>
      <c r="AE74" s="549" t="n"/>
      <c r="AF74" s="549" t="n"/>
      <c r="AG74" s="549" t="n"/>
      <c r="AH74" s="549" t="n"/>
      <c r="AI74" s="549" t="n"/>
      <c r="AJ74" s="549" t="n"/>
      <c r="AK74" s="549" t="n"/>
      <c r="AL74" s="549" t="n"/>
      <c r="AM74" s="549" t="n"/>
      <c r="AN74" s="549" t="n"/>
      <c r="AO74" s="549" t="n"/>
      <c r="AP74" s="549" t="n"/>
      <c r="AQ74" s="549" t="n"/>
      <c r="AR74" s="553" t="n"/>
      <c r="AS74" s="549" t="n"/>
      <c r="AT74" s="549" t="n"/>
      <c r="AU74" s="549" t="n"/>
      <c r="AV74" s="549" t="n"/>
      <c r="AW74" s="549" t="n"/>
      <c r="AX74" s="549" t="n"/>
      <c r="AY74" s="549" t="n"/>
      <c r="AZ74" s="549" t="n"/>
      <c r="BA74" s="549" t="n"/>
      <c r="BB74" s="549" t="n"/>
      <c r="BC74" s="549" t="n"/>
      <c r="BD74" s="554" t="n"/>
      <c r="BE74" s="549" t="n"/>
      <c r="BF74" s="549" t="n"/>
      <c r="BG74" s="549" t="n"/>
      <c r="BH74" s="549" t="n"/>
      <c r="BI74" s="549" t="n"/>
      <c r="BJ74" s="549" t="n"/>
      <c r="BK74" s="549" t="n"/>
      <c r="BL74" s="549" t="n"/>
      <c r="BM74" s="549" t="n"/>
      <c r="BN74" s="549" t="n"/>
      <c r="BO74" s="549" t="n"/>
      <c r="BP74" s="555" t="n"/>
      <c r="BQ74" s="556" t="n"/>
      <c r="BR74" s="549" t="n"/>
      <c r="BS74" s="549" t="n"/>
      <c r="BT74" s="549" t="n"/>
      <c r="BU74" s="549" t="n"/>
      <c r="BV74" s="549" t="n"/>
      <c r="BW74" s="549" t="n"/>
      <c r="BX74" s="549" t="n"/>
      <c r="BY74" s="549" t="n"/>
      <c r="BZ74" s="549" t="n"/>
      <c r="CA74" s="549" t="n"/>
      <c r="CB74" s="555" t="n"/>
      <c r="CC74" s="556" t="n"/>
      <c r="CD74" s="549" t="n"/>
      <c r="CE74" s="549" t="n"/>
      <c r="CF74" s="549" t="n"/>
      <c r="CG74" s="549" t="n"/>
      <c r="CH74" s="549" t="n"/>
      <c r="CI74" s="549" t="n"/>
      <c r="CJ74" s="549" t="n"/>
      <c r="CK74" s="549" t="n"/>
      <c r="CL74" s="549" t="n"/>
      <c r="CM74" s="549" t="n"/>
      <c r="CN74" s="555" t="n"/>
      <c r="CO74" s="556" t="n"/>
      <c r="CP74" s="549" t="n"/>
      <c r="CQ74" s="549" t="n"/>
      <c r="CR74" s="549" t="n"/>
      <c r="CS74" s="549" t="n"/>
      <c r="CT74" s="549" t="n"/>
      <c r="CU74" s="549" t="n"/>
      <c r="CV74" s="549" t="n"/>
      <c r="CW74" s="549" t="n"/>
      <c r="CX74" s="549" t="n"/>
      <c r="CY74" s="549" t="n"/>
      <c r="CZ74" s="555" t="n"/>
      <c r="DA74" s="549" t="n"/>
      <c r="DB74" s="549" t="n"/>
      <c r="DC74" s="549" t="n"/>
      <c r="DD74" s="549" t="n"/>
      <c r="DE74" s="549" t="n"/>
      <c r="DF74" s="549" t="n"/>
      <c r="DG74" s="549" t="n"/>
      <c r="DH74" s="549" t="n"/>
      <c r="DI74" s="549" t="n"/>
      <c r="DJ74" s="549" t="n"/>
      <c r="DK74" s="549" t="n"/>
      <c r="DL74" s="549" t="n"/>
      <c r="DM74" s="549" t="n"/>
      <c r="DN74" s="549" t="n"/>
      <c r="DO74" s="549" t="n"/>
      <c r="DP74" s="549" t="n"/>
      <c r="DQ74" s="549" t="n"/>
      <c r="DR74" s="549" t="n"/>
      <c r="DS74" s="549" t="n"/>
      <c r="DT74" s="549" t="n"/>
      <c r="DU74" s="549" t="n"/>
      <c r="DV74" s="549" t="n"/>
      <c r="DW74" s="549" t="n"/>
      <c r="DX74" s="549" t="n"/>
      <c r="DY74" s="549" t="n"/>
      <c r="DZ74" s="549" t="n"/>
      <c r="EA74" s="549" t="n"/>
      <c r="EB74" s="549" t="n"/>
      <c r="EC74" s="549" t="n"/>
      <c r="ED74" s="549" t="n"/>
      <c r="EE74" s="549" t="n"/>
      <c r="EF74" s="549" t="n"/>
      <c r="EG74" s="549" t="n"/>
      <c r="EH74" s="549" t="n"/>
      <c r="EI74" s="549" t="n"/>
      <c r="EJ74" s="549" t="n"/>
      <c r="EK74" s="549" t="n"/>
      <c r="EL74" s="549" t="n"/>
      <c r="EM74" s="549" t="n"/>
      <c r="EN74" s="549" t="n"/>
      <c r="EO74" s="549" t="n"/>
      <c r="EP74" s="549" t="n"/>
      <c r="EQ74" s="549" t="n"/>
      <c r="ER74" s="549" t="n"/>
      <c r="ES74" s="549" t="n"/>
      <c r="ET74" s="549" t="n"/>
      <c r="EU74" s="549" t="n"/>
      <c r="EV74" s="549" t="n"/>
      <c r="EW74" s="549" t="n"/>
      <c r="EX74" s="549" t="n"/>
      <c r="EY74" s="549" t="n"/>
      <c r="EZ74" s="549" t="n"/>
      <c r="FA74" s="549" t="n"/>
      <c r="FB74" s="549" t="n"/>
      <c r="FC74" s="549" t="n"/>
      <c r="FD74" s="549" t="n"/>
      <c r="FE74" s="549" t="n"/>
      <c r="FF74" s="549" t="n"/>
      <c r="FG74" s="549" t="n"/>
      <c r="FH74" s="549" t="n"/>
      <c r="FI74" s="549" t="n"/>
      <c r="FJ74" s="549" t="n"/>
      <c r="FK74" s="549" t="n"/>
      <c r="FL74" s="549" t="n"/>
      <c r="FM74" s="549" t="n"/>
      <c r="FN74" s="549" t="n"/>
      <c r="FO74" s="549" t="n"/>
      <c r="FP74" s="549" t="n"/>
      <c r="FQ74" s="549" t="n"/>
      <c r="FR74" s="549" t="n"/>
      <c r="FS74" s="549" t="n"/>
      <c r="FT74" s="549" t="n"/>
      <c r="FU74" s="549" t="n"/>
      <c r="FV74" s="549" t="n"/>
      <c r="FW74" s="549" t="n"/>
      <c r="FX74" s="549" t="n"/>
      <c r="FY74" s="549" t="n"/>
      <c r="FZ74" s="549" t="n"/>
      <c r="GA74" s="549" t="n"/>
      <c r="GB74" s="549" t="n"/>
      <c r="GC74" s="549" t="n"/>
      <c r="GD74" s="549" t="n"/>
      <c r="GE74" s="549" t="n"/>
      <c r="GF74" s="549" t="n"/>
      <c r="GG74" s="549" t="n"/>
      <c r="GH74" s="549" t="n"/>
      <c r="GI74" s="549" t="n"/>
      <c r="GJ74" s="549" t="n"/>
      <c r="GK74" s="549" t="n"/>
      <c r="GL74" s="549" t="n"/>
      <c r="GM74" s="549" t="n"/>
      <c r="GN74" s="549" t="n"/>
      <c r="GO74" s="549" t="n"/>
      <c r="GP74" s="549" t="n"/>
      <c r="GQ74" s="549" t="n"/>
      <c r="GR74" s="549" t="n"/>
      <c r="GS74" s="549" t="n"/>
      <c r="GT74" s="549" t="n"/>
      <c r="GU74" s="549" t="n"/>
      <c r="GV74" s="549" t="n"/>
      <c r="GW74" s="549" t="n"/>
      <c r="GX74" s="549" t="n"/>
      <c r="GY74" s="549" t="n"/>
      <c r="GZ74" s="549" t="n"/>
      <c r="HA74" s="549" t="n"/>
      <c r="HB74" s="549" t="n"/>
      <c r="HC74" s="549" t="n"/>
      <c r="HD74" s="549" t="n"/>
      <c r="HE74" s="549" t="n"/>
      <c r="HF74" s="549" t="n"/>
      <c r="HG74" s="549" t="n"/>
      <c r="HH74" s="549" t="n"/>
      <c r="HI74" s="549" t="n"/>
      <c r="HJ74" s="549" t="n"/>
      <c r="HK74" s="549" t="n"/>
      <c r="HL74" s="549" t="n"/>
      <c r="HM74" s="549" t="n"/>
      <c r="HN74" s="549" t="n"/>
      <c r="HO74" s="549" t="n"/>
      <c r="HP74" s="549" t="n"/>
      <c r="HQ74" s="549" t="n"/>
      <c r="HR74" s="549" t="n"/>
      <c r="HS74" s="549" t="n"/>
      <c r="HT74" s="549" t="n"/>
      <c r="HU74" s="549" t="n"/>
      <c r="JF74" s="549">
        <f>AP74</f>
        <v/>
      </c>
      <c r="JG74" s="549">
        <f>SUM(Z74:AK74)</f>
        <v/>
      </c>
      <c r="JH74" s="549">
        <f>SUM(AL74:AP74)</f>
        <v/>
      </c>
      <c r="JI74" s="549">
        <f>SUM(C74:AP74)</f>
        <v/>
      </c>
      <c r="JJ74" s="446" t="n"/>
      <c r="JM74" s="549" t="n"/>
      <c r="KG74" s="128">
        <f>B74</f>
        <v/>
      </c>
      <c r="KH74" s="553">
        <f>AR74</f>
        <v/>
      </c>
    </row>
    <row r="75" ht="16.2" customHeight="1" thickBot="1" thickTop="1">
      <c r="A75" s="126" t="inlineStr">
        <is>
          <t>SALDO DE CAIXA (MENSAL) C/ PROJEÇÃO</t>
        </is>
      </c>
      <c r="B75" s="557">
        <f>SUM(C75:AP75)</f>
        <v/>
      </c>
      <c r="C75" s="557">
        <f>C20+C69+C12</f>
        <v/>
      </c>
      <c r="D75" s="557">
        <f>D20+D69+D12</f>
        <v/>
      </c>
      <c r="E75" s="557">
        <f>E20+E69+E12</f>
        <v/>
      </c>
      <c r="F75" s="557">
        <f>F20+F69+F12</f>
        <v/>
      </c>
      <c r="G75" s="557">
        <f>G20+G69+G12</f>
        <v/>
      </c>
      <c r="H75" s="557">
        <f>H20+H69+H12</f>
        <v/>
      </c>
      <c r="I75" s="557">
        <f>I20+I69+I12</f>
        <v/>
      </c>
      <c r="J75" s="557">
        <f>J20+J69+J12</f>
        <v/>
      </c>
      <c r="K75" s="557">
        <f>K20+K69+K12</f>
        <v/>
      </c>
      <c r="L75" s="557">
        <f>L20+L69+L12</f>
        <v/>
      </c>
      <c r="M75" s="557">
        <f>M20+M69+M12</f>
        <v/>
      </c>
      <c r="N75" s="557">
        <f>N20+N69+N12</f>
        <v/>
      </c>
      <c r="O75" s="557">
        <f>O20+O69+O12</f>
        <v/>
      </c>
      <c r="P75" s="557">
        <f>P20+P69+P12</f>
        <v/>
      </c>
      <c r="Q75" s="557">
        <f>Q20+Q69+Q12</f>
        <v/>
      </c>
      <c r="R75" s="557">
        <f>R20+R69+R12</f>
        <v/>
      </c>
      <c r="S75" s="557">
        <f>S20+S69+S12</f>
        <v/>
      </c>
      <c r="T75" s="557">
        <f>T20+T69+T12</f>
        <v/>
      </c>
      <c r="U75" s="557">
        <f>U20+U69+U12</f>
        <v/>
      </c>
      <c r="V75" s="557">
        <f>V20+V69+V12</f>
        <v/>
      </c>
      <c r="W75" s="557">
        <f>W20+W69+W12</f>
        <v/>
      </c>
      <c r="X75" s="557">
        <f>X20+X69+X12</f>
        <v/>
      </c>
      <c r="Y75" s="557">
        <f>Y20+Y69+Y12</f>
        <v/>
      </c>
      <c r="Z75" s="557">
        <f>Z20+Z69+Z12</f>
        <v/>
      </c>
      <c r="AA75" s="557">
        <f>AA20+AA69+AA12</f>
        <v/>
      </c>
      <c r="AB75" s="557">
        <f>AB20+AB69+AB12</f>
        <v/>
      </c>
      <c r="AC75" s="557">
        <f>AC20+AC69+AC12</f>
        <v/>
      </c>
      <c r="AD75" s="557">
        <f>AD20+AD69+AD12</f>
        <v/>
      </c>
      <c r="AE75" s="557">
        <f>AE20+AE69+AE12</f>
        <v/>
      </c>
      <c r="AF75" s="557">
        <f>AF20+AF69+AF12</f>
        <v/>
      </c>
      <c r="AG75" s="557">
        <f>AG20+AG69+AG12</f>
        <v/>
      </c>
      <c r="AH75" s="557">
        <f>AH20+AH69+AH12</f>
        <v/>
      </c>
      <c r="AI75" s="557">
        <f>AI20+AI69+AI12</f>
        <v/>
      </c>
      <c r="AJ75" s="557">
        <f>AJ20+AJ69+AJ12</f>
        <v/>
      </c>
      <c r="AK75" s="557">
        <f>AK20+AK69+AK12</f>
        <v/>
      </c>
      <c r="AL75" s="557">
        <f>AL20+AL69+AL12</f>
        <v/>
      </c>
      <c r="AM75" s="557">
        <f>AM20+AM69+AM12</f>
        <v/>
      </c>
      <c r="AN75" s="557">
        <f>AN20+AN69+AN12</f>
        <v/>
      </c>
      <c r="AO75" s="557">
        <f>AO20+AO69+AO12</f>
        <v/>
      </c>
      <c r="AP75" s="557">
        <f>AP20+AP69+AP12</f>
        <v/>
      </c>
      <c r="AQ75" s="13" t="n"/>
      <c r="AR75" s="558" t="n"/>
      <c r="AS75" s="13" t="n"/>
      <c r="AT75" s="560">
        <f>AT20+AT69+AT12</f>
        <v/>
      </c>
      <c r="AU75" s="560">
        <f>AU20+AU69+AU12</f>
        <v/>
      </c>
      <c r="AV75" s="560">
        <f>AV20+AV69+AV12</f>
        <v/>
      </c>
      <c r="AW75" s="560">
        <f>AW20+AW69+AW12</f>
        <v/>
      </c>
      <c r="AX75" s="560">
        <f>AX20+AX69+AX12</f>
        <v/>
      </c>
      <c r="AY75" s="560">
        <f>AY20+AY69+AY12</f>
        <v/>
      </c>
      <c r="AZ75" s="560">
        <f>AZ20+AZ69+AZ12</f>
        <v/>
      </c>
      <c r="BA75" s="560">
        <f>BA20+BA69+BA12</f>
        <v/>
      </c>
      <c r="BB75" s="560">
        <f>BB20+BB69+BB12</f>
        <v/>
      </c>
      <c r="BC75" s="560">
        <f>BC20+BC69+BC12</f>
        <v/>
      </c>
      <c r="BD75" s="560">
        <f>BD20+BD69+BD12</f>
        <v/>
      </c>
      <c r="BE75" s="560">
        <f>BE20+BE69+BE12</f>
        <v/>
      </c>
      <c r="BF75" s="560">
        <f>BF20+BF69+BF12</f>
        <v/>
      </c>
      <c r="BG75" s="560">
        <f>BG20+BG69+BG12</f>
        <v/>
      </c>
      <c r="BH75" s="560">
        <f>BH20+BH69+BH12</f>
        <v/>
      </c>
      <c r="BI75" s="560">
        <f>BI20+BI69+BI12</f>
        <v/>
      </c>
      <c r="BJ75" s="560">
        <f>BJ20+BJ69+BJ12</f>
        <v/>
      </c>
      <c r="BK75" s="560">
        <f>BK20+BK69+BK12</f>
        <v/>
      </c>
      <c r="BL75" s="560">
        <f>BL20+BL69+BL12</f>
        <v/>
      </c>
      <c r="BM75" s="560">
        <f>BM20+BM69+BM12</f>
        <v/>
      </c>
      <c r="BN75" s="560">
        <f>BN20+BN69+BN12</f>
        <v/>
      </c>
      <c r="BO75" s="560">
        <f>BO20+BO69+BO12</f>
        <v/>
      </c>
      <c r="BP75" s="560">
        <f>BP20+BP69+BP12</f>
        <v/>
      </c>
      <c r="BQ75" s="560">
        <f>BQ20+BQ69+BQ12</f>
        <v/>
      </c>
      <c r="BR75" s="560">
        <f>BR20+BR69+BR12</f>
        <v/>
      </c>
      <c r="BS75" s="560">
        <f>BS20+BS69+BS12</f>
        <v/>
      </c>
      <c r="BT75" s="560">
        <f>BT20+BT69+BT12</f>
        <v/>
      </c>
      <c r="BU75" s="560">
        <f>BU20+BU69+BU12</f>
        <v/>
      </c>
      <c r="BV75" s="560">
        <f>BV20+BV69+BV12</f>
        <v/>
      </c>
      <c r="BW75" s="560">
        <f>BW20+BW69+BW12</f>
        <v/>
      </c>
      <c r="BX75" s="560">
        <f>BX20+BX69+BX12</f>
        <v/>
      </c>
      <c r="BY75" s="560">
        <f>BY20+BY69+BY12</f>
        <v/>
      </c>
      <c r="BZ75" s="560">
        <f>BZ20+BZ69+BZ12</f>
        <v/>
      </c>
      <c r="CA75" s="560">
        <f>CA20+CA69+CA12</f>
        <v/>
      </c>
      <c r="CB75" s="560">
        <f>CB20+CB69+CB12</f>
        <v/>
      </c>
      <c r="CC75" s="560">
        <f>CC20+CC69+CC12</f>
        <v/>
      </c>
      <c r="CD75" s="560">
        <f>CD20+CD69+CD12</f>
        <v/>
      </c>
      <c r="CE75" s="560">
        <f>CE20+CE69+CE12</f>
        <v/>
      </c>
      <c r="CF75" s="560">
        <f>CF20+CF69+CF12</f>
        <v/>
      </c>
      <c r="CG75" s="560">
        <f>CG20+CG69+CG12</f>
        <v/>
      </c>
      <c r="CH75" s="560">
        <f>CH20+CH69+CH12</f>
        <v/>
      </c>
      <c r="CI75" s="560">
        <f>CI20+CI69+CI12</f>
        <v/>
      </c>
      <c r="CJ75" s="560">
        <f>CJ20+CJ69+CJ12</f>
        <v/>
      </c>
      <c r="CK75" s="560">
        <f>CK20+CK69+CK12</f>
        <v/>
      </c>
      <c r="CL75" s="560">
        <f>CL20+CL69+CL12</f>
        <v/>
      </c>
      <c r="CM75" s="560">
        <f>CM20+CM69+CM12</f>
        <v/>
      </c>
      <c r="CN75" s="560">
        <f>CN20+CN69+CN12</f>
        <v/>
      </c>
      <c r="CO75" s="560">
        <f>CO20+CO69+CO12</f>
        <v/>
      </c>
      <c r="CP75" s="560">
        <f>CP20+CP69+CP12</f>
        <v/>
      </c>
      <c r="CQ75" s="560">
        <f>CQ20+CQ69+CQ12</f>
        <v/>
      </c>
      <c r="CR75" s="560">
        <f>CR20+CR69+CR12</f>
        <v/>
      </c>
      <c r="CS75" s="560">
        <f>CS20+CS69+CS12</f>
        <v/>
      </c>
      <c r="CT75" s="560">
        <f>CT20+CT69+CT12</f>
        <v/>
      </c>
      <c r="CU75" s="560">
        <f>CU20+CU69+CU12</f>
        <v/>
      </c>
      <c r="CV75" s="560">
        <f>CV20+CV69+CV12</f>
        <v/>
      </c>
      <c r="CW75" s="560">
        <f>CW20+CW69+CW12</f>
        <v/>
      </c>
      <c r="CX75" s="560">
        <f>CX20+CX69+CX12</f>
        <v/>
      </c>
      <c r="CY75" s="560">
        <f>CY20+CY69+CY12</f>
        <v/>
      </c>
      <c r="CZ75" s="560">
        <f>CZ20+CZ69+CZ12</f>
        <v/>
      </c>
      <c r="DA75" s="560">
        <f>DA20+DA69+DA12</f>
        <v/>
      </c>
      <c r="DB75" s="560">
        <f>DB20+DB69+DB12</f>
        <v/>
      </c>
      <c r="DC75" s="560">
        <f>DC20+DC69+DC12</f>
        <v/>
      </c>
      <c r="DD75" s="560">
        <f>DD20+DD69+DD12</f>
        <v/>
      </c>
      <c r="DE75" s="560">
        <f>DE20+DE69+DE12</f>
        <v/>
      </c>
      <c r="DF75" s="560">
        <f>DF20+DF69+DF12</f>
        <v/>
      </c>
      <c r="DG75" s="560">
        <f>DG20+DG69+DG12</f>
        <v/>
      </c>
      <c r="DH75" s="560">
        <f>DH20+DH69+DH12</f>
        <v/>
      </c>
      <c r="DI75" s="560">
        <f>DI20+DI69+DI12</f>
        <v/>
      </c>
      <c r="DJ75" s="560">
        <f>DJ20+DJ69+DJ12</f>
        <v/>
      </c>
      <c r="DK75" s="560">
        <f>DK20+DK69+DK12</f>
        <v/>
      </c>
      <c r="DL75" s="560">
        <f>DL20+DL69+DL12</f>
        <v/>
      </c>
      <c r="DM75" s="560">
        <f>DM20+DM69+DM12</f>
        <v/>
      </c>
      <c r="DN75" s="560">
        <f>DN20+DN69+DN12</f>
        <v/>
      </c>
      <c r="DO75" s="560">
        <f>DO20+DO69+DO12</f>
        <v/>
      </c>
      <c r="DP75" s="560">
        <f>DP20+DP69+DP12</f>
        <v/>
      </c>
      <c r="DQ75" s="560">
        <f>DQ20+DQ69+DQ12</f>
        <v/>
      </c>
      <c r="DR75" s="560">
        <f>DR20+DR69+DR12</f>
        <v/>
      </c>
      <c r="DS75" s="560">
        <f>DS20+DS69+DS12</f>
        <v/>
      </c>
      <c r="DT75" s="560">
        <f>DT20+DT69+DT12</f>
        <v/>
      </c>
      <c r="DU75" s="560">
        <f>DU20+DU69+DU12</f>
        <v/>
      </c>
      <c r="DV75" s="560">
        <f>DV20+DV69+DV12</f>
        <v/>
      </c>
      <c r="DW75" s="560">
        <f>DW20+DW69+DW12</f>
        <v/>
      </c>
      <c r="DX75" s="560">
        <f>DX20+DX69+DX12</f>
        <v/>
      </c>
      <c r="DY75" s="560">
        <f>DY20+DY69+DY12</f>
        <v/>
      </c>
      <c r="DZ75" s="560">
        <f>DZ20+DZ69+DZ12</f>
        <v/>
      </c>
      <c r="EA75" s="560">
        <f>EA20+EA69+EA12</f>
        <v/>
      </c>
      <c r="EB75" s="560">
        <f>EB20+EB69+EB12</f>
        <v/>
      </c>
      <c r="EC75" s="560">
        <f>EC20+EC69+EC12</f>
        <v/>
      </c>
      <c r="ED75" s="560">
        <f>ED20+ED69+ED12</f>
        <v/>
      </c>
      <c r="EE75" s="560">
        <f>EE20+EE69+EE12</f>
        <v/>
      </c>
      <c r="EF75" s="560">
        <f>EF20+EF69+EF12</f>
        <v/>
      </c>
      <c r="EG75" s="560">
        <f>EG20+EG69+EG12</f>
        <v/>
      </c>
      <c r="EH75" s="560">
        <f>EH20+EH69+EH12</f>
        <v/>
      </c>
      <c r="EI75" s="560">
        <f>EI20+EI69+EI12</f>
        <v/>
      </c>
      <c r="EJ75" s="560">
        <f>EJ20+EJ69+EJ12</f>
        <v/>
      </c>
      <c r="EK75" s="560">
        <f>EK20+EK69+EK12</f>
        <v/>
      </c>
      <c r="EL75" s="560">
        <f>EL20+EL69+EL12</f>
        <v/>
      </c>
      <c r="EM75" s="560">
        <f>EM20+EM69+EM12</f>
        <v/>
      </c>
      <c r="EN75" s="560">
        <f>EN20+EN69+EN12</f>
        <v/>
      </c>
      <c r="EO75" s="560">
        <f>EO20+EO69+EO12</f>
        <v/>
      </c>
      <c r="EP75" s="560">
        <f>EP20+EP69+EP12</f>
        <v/>
      </c>
      <c r="EQ75" s="560">
        <f>EQ20+EQ69+EQ12</f>
        <v/>
      </c>
      <c r="ER75" s="560">
        <f>ER20+ER69+ER12</f>
        <v/>
      </c>
      <c r="ES75" s="560">
        <f>ES20+ES69+ES12</f>
        <v/>
      </c>
      <c r="ET75" s="560">
        <f>ET20+ET69+ET12</f>
        <v/>
      </c>
      <c r="EU75" s="560">
        <f>EU20+EU69+EU12</f>
        <v/>
      </c>
      <c r="EV75" s="560">
        <f>EV20+EV69+EV12</f>
        <v/>
      </c>
      <c r="EW75" s="560">
        <f>EW20+EW69+EW12</f>
        <v/>
      </c>
      <c r="EX75" s="560">
        <f>EX20+EX69+EX12</f>
        <v/>
      </c>
      <c r="EY75" s="560">
        <f>EY20+EY69+EY12</f>
        <v/>
      </c>
      <c r="EZ75" s="560">
        <f>EZ20+EZ69+EZ12</f>
        <v/>
      </c>
      <c r="FA75" s="560">
        <f>FA20+FA69+FA12</f>
        <v/>
      </c>
      <c r="FB75" s="560">
        <f>FB20+FB69+FB12</f>
        <v/>
      </c>
      <c r="FC75" s="560">
        <f>FC20+FC69+FC12</f>
        <v/>
      </c>
      <c r="FD75" s="560">
        <f>FD20+FD69+FD12</f>
        <v/>
      </c>
      <c r="FE75" s="560">
        <f>FE20+FE69+FE12</f>
        <v/>
      </c>
      <c r="FF75" s="560">
        <f>FF20+FF69+FF12</f>
        <v/>
      </c>
      <c r="FG75" s="560">
        <f>FG20+FG69+FG12</f>
        <v/>
      </c>
      <c r="FH75" s="560">
        <f>FH20+FH69+FH12</f>
        <v/>
      </c>
      <c r="FI75" s="560">
        <f>FI20+FI69+FI12</f>
        <v/>
      </c>
      <c r="FJ75" s="560">
        <f>FJ20+FJ69+FJ12</f>
        <v/>
      </c>
      <c r="FK75" s="560">
        <f>FK20+FK69+FK12</f>
        <v/>
      </c>
      <c r="FL75" s="560">
        <f>FL20+FL69+FL12</f>
        <v/>
      </c>
      <c r="FM75" s="560">
        <f>FM20+FM69+FM12</f>
        <v/>
      </c>
      <c r="FN75" s="560">
        <f>FN20+FN69+FN12</f>
        <v/>
      </c>
      <c r="FO75" s="560">
        <f>FO20+FO69+FO12</f>
        <v/>
      </c>
      <c r="FP75" s="560">
        <f>FP20+FP69+FP12</f>
        <v/>
      </c>
      <c r="FQ75" s="560">
        <f>FQ20+FQ69+FQ12</f>
        <v/>
      </c>
      <c r="FR75" s="560">
        <f>FR20+FR69+FR12</f>
        <v/>
      </c>
      <c r="FS75" s="560">
        <f>FS20+FS69+FS12</f>
        <v/>
      </c>
      <c r="FT75" s="560">
        <f>FT20+FT69+FT12</f>
        <v/>
      </c>
      <c r="FU75" s="560">
        <f>FU20+FU69+FU12</f>
        <v/>
      </c>
      <c r="FV75" s="560">
        <f>FV20+FV69+FV12</f>
        <v/>
      </c>
      <c r="FW75" s="560">
        <f>FW20+FW69+FW12</f>
        <v/>
      </c>
      <c r="FX75" s="560">
        <f>FX20+FX69+FX12</f>
        <v/>
      </c>
      <c r="FY75" s="560">
        <f>FY20+FY69+FY12</f>
        <v/>
      </c>
      <c r="FZ75" s="560">
        <f>FZ20+FZ69+FZ12</f>
        <v/>
      </c>
      <c r="GA75" s="560">
        <f>GA20+GA69+GA12</f>
        <v/>
      </c>
      <c r="GB75" s="560">
        <f>GB20+GB69+GB12</f>
        <v/>
      </c>
      <c r="GC75" s="560">
        <f>GC20+GC69+GC12</f>
        <v/>
      </c>
      <c r="GD75" s="560">
        <f>GD20+GD69+GD12</f>
        <v/>
      </c>
      <c r="GE75" s="560">
        <f>GE20+GE69+GE12</f>
        <v/>
      </c>
      <c r="GF75" s="560">
        <f>GF20+GF69+GF12</f>
        <v/>
      </c>
      <c r="GG75" s="560">
        <f>GG20+GG69+GG12</f>
        <v/>
      </c>
      <c r="GH75" s="560">
        <f>GH20+GH69+GH12</f>
        <v/>
      </c>
      <c r="GI75" s="560">
        <f>GI20+GI69+GI12</f>
        <v/>
      </c>
      <c r="GJ75" s="560">
        <f>GJ20+GJ69+GJ12</f>
        <v/>
      </c>
      <c r="GK75" s="560">
        <f>GK20+GK69+GK12</f>
        <v/>
      </c>
      <c r="GL75" s="560">
        <f>GL20+GL69+GL12</f>
        <v/>
      </c>
      <c r="GM75" s="560">
        <f>GM20+GM69+GM12</f>
        <v/>
      </c>
      <c r="GN75" s="560">
        <f>GN20+GN69+GN12</f>
        <v/>
      </c>
      <c r="GO75" s="560">
        <f>GO20+GO69+GO12</f>
        <v/>
      </c>
      <c r="GP75" s="560">
        <f>GP20+GP69+GP12</f>
        <v/>
      </c>
      <c r="GQ75" s="560">
        <f>GQ20+GQ69+GQ12</f>
        <v/>
      </c>
      <c r="GR75" s="560">
        <f>GR20+GR69+GR12</f>
        <v/>
      </c>
      <c r="GS75" s="560">
        <f>GS20+GS69+GS12</f>
        <v/>
      </c>
      <c r="GT75" s="560">
        <f>GT20+GT69+GT12</f>
        <v/>
      </c>
      <c r="GU75" s="560">
        <f>GU20+GU69+GU12</f>
        <v/>
      </c>
      <c r="GV75" s="560">
        <f>GV20+GV69+GV12</f>
        <v/>
      </c>
      <c r="GW75" s="560">
        <f>GW20+GW69+GW12</f>
        <v/>
      </c>
      <c r="GX75" s="560">
        <f>GX20+GX69+GX12</f>
        <v/>
      </c>
      <c r="GY75" s="560">
        <f>GY20+GY69+GY12</f>
        <v/>
      </c>
      <c r="GZ75" s="560">
        <f>GZ20+GZ69+GZ12</f>
        <v/>
      </c>
      <c r="HA75" s="560">
        <f>HA20+HA69+HA12</f>
        <v/>
      </c>
      <c r="HB75" s="560">
        <f>HB20+HB69+HB12</f>
        <v/>
      </c>
      <c r="HC75" s="560">
        <f>HC20+HC69+HC12</f>
        <v/>
      </c>
      <c r="HD75" s="560">
        <f>HD20+HD69+HD12</f>
        <v/>
      </c>
      <c r="HE75" s="560">
        <f>HE20+HE69+HE12</f>
        <v/>
      </c>
      <c r="HF75" s="560">
        <f>HF20+HF69+HF12</f>
        <v/>
      </c>
      <c r="HG75" s="560">
        <f>HG20+HG69+HG12</f>
        <v/>
      </c>
      <c r="HH75" s="560">
        <f>HH20+HH69+HH12</f>
        <v/>
      </c>
      <c r="HI75" s="560">
        <f>HI20+HI69+HI12</f>
        <v/>
      </c>
      <c r="HJ75" s="560">
        <f>HJ20+HJ69+HJ12</f>
        <v/>
      </c>
      <c r="HK75" s="560">
        <f>HK20+HK69+HK12</f>
        <v/>
      </c>
      <c r="HL75" s="560">
        <f>HL20+HL69+HL12</f>
        <v/>
      </c>
      <c r="HM75" s="560">
        <f>HM20+HM69+HM12</f>
        <v/>
      </c>
      <c r="HN75" s="560">
        <f>HN20+HN69+HN12</f>
        <v/>
      </c>
      <c r="HO75" s="560">
        <f>HO20+HO69+HO12</f>
        <v/>
      </c>
      <c r="HP75" s="560">
        <f>HP20+HP69+HP12</f>
        <v/>
      </c>
      <c r="HQ75" s="560">
        <f>HQ20+HQ69+HQ12</f>
        <v/>
      </c>
      <c r="HR75" s="560">
        <f>HR20+HR69+HR12</f>
        <v/>
      </c>
      <c r="HS75" s="560">
        <f>HS20+HS69+HS12</f>
        <v/>
      </c>
      <c r="HT75" s="560">
        <f>HT20+HT69+HT12</f>
        <v/>
      </c>
      <c r="HU75" s="560">
        <f>HU20+HU69+HU12</f>
        <v/>
      </c>
      <c r="JF75" s="559">
        <f>AP75</f>
        <v/>
      </c>
      <c r="JG75" s="559">
        <f>SUM(Z75:AK75)</f>
        <v/>
      </c>
      <c r="JH75" s="559">
        <f>SUM(AL75:AP75)</f>
        <v/>
      </c>
      <c r="JI75" s="559">
        <f>SUM(C75:AP75)</f>
        <v/>
      </c>
      <c r="JJ75" s="446" t="n"/>
      <c r="JM75" s="560" t="n">
        <v>-1744189.481680871</v>
      </c>
      <c r="KG75" s="557">
        <f>B75</f>
        <v/>
      </c>
      <c r="KH75" s="558">
        <f>AR75</f>
        <v/>
      </c>
    </row>
    <row r="76" ht="16.2" customHeight="1" thickBot="1" thickTop="1">
      <c r="A76" s="127" t="inlineStr">
        <is>
          <t>SALDO ACUMULADO C/ PROJEÇÕES</t>
        </is>
      </c>
      <c r="B76" s="151" t="n"/>
      <c r="C76" s="561">
        <f>B76+C75</f>
        <v/>
      </c>
      <c r="D76" s="561">
        <f>C76+D75</f>
        <v/>
      </c>
      <c r="E76" s="562">
        <f>D76+E75</f>
        <v/>
      </c>
      <c r="F76" s="562">
        <f>E76+F75</f>
        <v/>
      </c>
      <c r="G76" s="562">
        <f>F76+G75</f>
        <v/>
      </c>
      <c r="H76" s="562">
        <f>G76+H75</f>
        <v/>
      </c>
      <c r="I76" s="563">
        <f>H76+I75</f>
        <v/>
      </c>
      <c r="J76" s="564">
        <f>I76+J75</f>
        <v/>
      </c>
      <c r="K76" s="565">
        <f>J76+K75</f>
        <v/>
      </c>
      <c r="L76" s="565">
        <f>K76+L75</f>
        <v/>
      </c>
      <c r="M76" s="566">
        <f>L76+M75</f>
        <v/>
      </c>
      <c r="N76" s="566">
        <f>M76+N75</f>
        <v/>
      </c>
      <c r="O76" s="566">
        <f>N76+O75</f>
        <v/>
      </c>
      <c r="P76" s="566">
        <f>O76+P75</f>
        <v/>
      </c>
      <c r="Q76" s="566">
        <f>P76+Q75</f>
        <v/>
      </c>
      <c r="R76" s="566">
        <f>Q76+R75</f>
        <v/>
      </c>
      <c r="S76" s="566">
        <f>R76+S75</f>
        <v/>
      </c>
      <c r="T76" s="566">
        <f>S76+T75</f>
        <v/>
      </c>
      <c r="U76" s="566">
        <f>T76+U75</f>
        <v/>
      </c>
      <c r="V76" s="566">
        <f>U76+V75</f>
        <v/>
      </c>
      <c r="W76" s="566">
        <f>V76+W75</f>
        <v/>
      </c>
      <c r="X76" s="566">
        <f>W76+X75</f>
        <v/>
      </c>
      <c r="Y76" s="566">
        <f>X76+Y75</f>
        <v/>
      </c>
      <c r="Z76" s="566">
        <f>Y76+Z75</f>
        <v/>
      </c>
      <c r="AA76" s="566">
        <f>Z76+AA75</f>
        <v/>
      </c>
      <c r="AB76" s="566">
        <f>AA76+AB75</f>
        <v/>
      </c>
      <c r="AC76" s="566">
        <f>AB76+AC75</f>
        <v/>
      </c>
      <c r="AD76" s="566">
        <f>AC76+AD75</f>
        <v/>
      </c>
      <c r="AE76" s="566">
        <f>AD76+AE75</f>
        <v/>
      </c>
      <c r="AF76" s="566">
        <f>AE76+AF75</f>
        <v/>
      </c>
      <c r="AG76" s="566">
        <f>AF76+AG75</f>
        <v/>
      </c>
      <c r="AH76" s="566">
        <f>AG76+AH75</f>
        <v/>
      </c>
      <c r="AI76" s="566">
        <f>AH76+AI75</f>
        <v/>
      </c>
      <c r="AJ76" s="566">
        <f>AI76+AJ75</f>
        <v/>
      </c>
      <c r="AK76" s="566">
        <f>AJ76+AK75</f>
        <v/>
      </c>
      <c r="AL76" s="566">
        <f>AK76+AL75</f>
        <v/>
      </c>
      <c r="AM76" s="566">
        <f>AL76+AM75</f>
        <v/>
      </c>
      <c r="AN76" s="566">
        <f>AM76+AN75</f>
        <v/>
      </c>
      <c r="AO76" s="566">
        <f>AN76+AO75</f>
        <v/>
      </c>
      <c r="AP76" s="566">
        <f>AO76+AP75</f>
        <v/>
      </c>
      <c r="AQ76" s="13" t="n"/>
      <c r="AR76" s="567" t="n"/>
      <c r="AS76" s="13" t="n"/>
      <c r="AT76" s="565">
        <f>AP76+AT75</f>
        <v/>
      </c>
      <c r="AU76" s="565">
        <f>AT76+AU75</f>
        <v/>
      </c>
      <c r="AV76" s="565">
        <f>AU76+AV75</f>
        <v/>
      </c>
      <c r="AW76" s="565">
        <f>AV76+AW75</f>
        <v/>
      </c>
      <c r="AX76" s="565">
        <f>AW76+AX75</f>
        <v/>
      </c>
      <c r="AY76" s="565">
        <f>AX76+AY75</f>
        <v/>
      </c>
      <c r="AZ76" s="565">
        <f>AY76+AZ75</f>
        <v/>
      </c>
      <c r="BA76" s="565">
        <f>AZ76+BA75</f>
        <v/>
      </c>
      <c r="BB76" s="565">
        <f>BA76+BB75</f>
        <v/>
      </c>
      <c r="BC76" s="565">
        <f>BB76+BC75</f>
        <v/>
      </c>
      <c r="BD76" s="565">
        <f>BC76+BD75</f>
        <v/>
      </c>
      <c r="BE76" s="565">
        <f>BD76+BE75</f>
        <v/>
      </c>
      <c r="BF76" s="565">
        <f>BE76+BF75</f>
        <v/>
      </c>
      <c r="BG76" s="565">
        <f>BF76+BG75</f>
        <v/>
      </c>
      <c r="BH76" s="565">
        <f>BG76+BH75</f>
        <v/>
      </c>
      <c r="BI76" s="565">
        <f>BH76+BI75</f>
        <v/>
      </c>
      <c r="BJ76" s="565">
        <f>BI76+BJ75</f>
        <v/>
      </c>
      <c r="BK76" s="565">
        <f>BJ76+BK75</f>
        <v/>
      </c>
      <c r="BL76" s="565">
        <f>BK76+BL75</f>
        <v/>
      </c>
      <c r="BM76" s="565">
        <f>BL76+BM75</f>
        <v/>
      </c>
      <c r="BN76" s="565">
        <f>BM76+BN75</f>
        <v/>
      </c>
      <c r="BO76" s="565">
        <f>BN76+BO75</f>
        <v/>
      </c>
      <c r="BP76" s="565">
        <f>BO76+BP75</f>
        <v/>
      </c>
      <c r="BQ76" s="565">
        <f>BP76+BQ75</f>
        <v/>
      </c>
      <c r="BR76" s="565">
        <f>BQ76+BR75</f>
        <v/>
      </c>
      <c r="BS76" s="565">
        <f>BR76+BS75</f>
        <v/>
      </c>
      <c r="BT76" s="565">
        <f>BS76+BT75</f>
        <v/>
      </c>
      <c r="BU76" s="565">
        <f>BT76+BU75</f>
        <v/>
      </c>
      <c r="BV76" s="565">
        <f>BU76+BV75</f>
        <v/>
      </c>
      <c r="BW76" s="565">
        <f>BV76+BW75</f>
        <v/>
      </c>
      <c r="BX76" s="565">
        <f>BW76+BX75</f>
        <v/>
      </c>
      <c r="BY76" s="565">
        <f>BX76+BY75</f>
        <v/>
      </c>
      <c r="BZ76" s="565">
        <f>BY76+BZ75</f>
        <v/>
      </c>
      <c r="CA76" s="565">
        <f>BZ76+CA75</f>
        <v/>
      </c>
      <c r="CB76" s="565">
        <f>CA76+CB75</f>
        <v/>
      </c>
      <c r="CC76" s="565">
        <f>CB76+CC75</f>
        <v/>
      </c>
      <c r="CD76" s="565">
        <f>CC76+CD75</f>
        <v/>
      </c>
      <c r="CE76" s="565">
        <f>CD76+CE75</f>
        <v/>
      </c>
      <c r="CF76" s="565">
        <f>CE76+CF75</f>
        <v/>
      </c>
      <c r="CG76" s="565">
        <f>CF76+CG75</f>
        <v/>
      </c>
      <c r="CH76" s="565">
        <f>CG76+CH75</f>
        <v/>
      </c>
      <c r="CI76" s="565">
        <f>CH76+CI75</f>
        <v/>
      </c>
      <c r="CJ76" s="565">
        <f>CI76+CJ75</f>
        <v/>
      </c>
      <c r="CK76" s="565">
        <f>CJ76+CK75</f>
        <v/>
      </c>
      <c r="CL76" s="565">
        <f>CK76+CL75</f>
        <v/>
      </c>
      <c r="CM76" s="565">
        <f>CL76+CM75</f>
        <v/>
      </c>
      <c r="CN76" s="565">
        <f>CM76+CN75</f>
        <v/>
      </c>
      <c r="CO76" s="565">
        <f>CN76+CO75</f>
        <v/>
      </c>
      <c r="CP76" s="565">
        <f>CO76+CP75</f>
        <v/>
      </c>
      <c r="CQ76" s="565">
        <f>CP76+CQ75</f>
        <v/>
      </c>
      <c r="CR76" s="565">
        <f>CQ76+CR75</f>
        <v/>
      </c>
      <c r="CS76" s="565">
        <f>CR76+CS75</f>
        <v/>
      </c>
      <c r="CT76" s="565">
        <f>CS76+CT75</f>
        <v/>
      </c>
      <c r="CU76" s="565">
        <f>CT76+CU75</f>
        <v/>
      </c>
      <c r="CV76" s="565">
        <f>CU76+CV75</f>
        <v/>
      </c>
      <c r="CW76" s="565">
        <f>CV76+CW75</f>
        <v/>
      </c>
      <c r="CX76" s="565">
        <f>CW76+CX75</f>
        <v/>
      </c>
      <c r="CY76" s="565">
        <f>CX76+CY75</f>
        <v/>
      </c>
      <c r="CZ76" s="565">
        <f>CY76+CZ75</f>
        <v/>
      </c>
      <c r="DA76" s="565">
        <f>CZ76+DA75</f>
        <v/>
      </c>
      <c r="DB76" s="565">
        <f>DA76+DB75</f>
        <v/>
      </c>
      <c r="DC76" s="565">
        <f>DB76+DC75</f>
        <v/>
      </c>
      <c r="DD76" s="565">
        <f>DC76+DD75</f>
        <v/>
      </c>
      <c r="DE76" s="565">
        <f>DD76+DE75</f>
        <v/>
      </c>
      <c r="DF76" s="565">
        <f>DE76+DF75</f>
        <v/>
      </c>
      <c r="DG76" s="565">
        <f>DF76+DG75</f>
        <v/>
      </c>
      <c r="DH76" s="565">
        <f>DG76+DH75</f>
        <v/>
      </c>
      <c r="DI76" s="565">
        <f>DH76+DI75</f>
        <v/>
      </c>
      <c r="DJ76" s="565">
        <f>DI76+DJ75</f>
        <v/>
      </c>
      <c r="DK76" s="565">
        <f>DJ76+DK75</f>
        <v/>
      </c>
      <c r="DL76" s="565">
        <f>DK76+DL75</f>
        <v/>
      </c>
      <c r="DM76" s="565">
        <f>DL76+DM75</f>
        <v/>
      </c>
      <c r="DN76" s="565">
        <f>DM76+DN75</f>
        <v/>
      </c>
      <c r="DO76" s="565">
        <f>DN76+DO75</f>
        <v/>
      </c>
      <c r="DP76" s="565">
        <f>DO76+DP75</f>
        <v/>
      </c>
      <c r="DQ76" s="565">
        <f>DP76+DQ75</f>
        <v/>
      </c>
      <c r="DR76" s="565">
        <f>DQ76+DR75</f>
        <v/>
      </c>
      <c r="DS76" s="565">
        <f>DR76+DS75</f>
        <v/>
      </c>
      <c r="DT76" s="565">
        <f>DS76+DT75</f>
        <v/>
      </c>
      <c r="DU76" s="565">
        <f>DT76+DU75</f>
        <v/>
      </c>
      <c r="DV76" s="565">
        <f>DU76+DV75</f>
        <v/>
      </c>
      <c r="DW76" s="565">
        <f>DV76+DW75</f>
        <v/>
      </c>
      <c r="DX76" s="565">
        <f>DW76+DX75</f>
        <v/>
      </c>
      <c r="DY76" s="565">
        <f>DX76+DY75</f>
        <v/>
      </c>
      <c r="DZ76" s="565">
        <f>DY76+DZ75</f>
        <v/>
      </c>
      <c r="EA76" s="565">
        <f>DZ76+EA75</f>
        <v/>
      </c>
      <c r="EB76" s="565">
        <f>EA76+EB75</f>
        <v/>
      </c>
      <c r="EC76" s="565">
        <f>EB76+EC75</f>
        <v/>
      </c>
      <c r="ED76" s="565">
        <f>EC76+ED75</f>
        <v/>
      </c>
      <c r="EE76" s="565">
        <f>ED76+EE75</f>
        <v/>
      </c>
      <c r="EF76" s="565">
        <f>EE76+EF75</f>
        <v/>
      </c>
      <c r="EG76" s="565">
        <f>EF76+EG75</f>
        <v/>
      </c>
      <c r="EH76" s="565">
        <f>EG76+EH75</f>
        <v/>
      </c>
      <c r="EI76" s="565">
        <f>EH76+EI75</f>
        <v/>
      </c>
      <c r="EJ76" s="565">
        <f>EI76+EJ75</f>
        <v/>
      </c>
      <c r="EK76" s="565">
        <f>EJ76+EK75</f>
        <v/>
      </c>
      <c r="EL76" s="565">
        <f>EK76+EL75</f>
        <v/>
      </c>
      <c r="EM76" s="565">
        <f>EL76+EM75</f>
        <v/>
      </c>
      <c r="EN76" s="565">
        <f>EM76+EN75</f>
        <v/>
      </c>
      <c r="EO76" s="565">
        <f>EN76+EO75</f>
        <v/>
      </c>
      <c r="EP76" s="565">
        <f>EO76+EP75</f>
        <v/>
      </c>
      <c r="EQ76" s="565">
        <f>EP76+EQ75</f>
        <v/>
      </c>
      <c r="ER76" s="565">
        <f>EQ76+ER75</f>
        <v/>
      </c>
      <c r="ES76" s="565">
        <f>ER76+ES75</f>
        <v/>
      </c>
      <c r="ET76" s="565">
        <f>ES76+ET75</f>
        <v/>
      </c>
      <c r="EU76" s="565">
        <f>ET76+EU75</f>
        <v/>
      </c>
      <c r="EV76" s="565">
        <f>EU76+EV75</f>
        <v/>
      </c>
      <c r="EW76" s="565">
        <f>EV76+EW75</f>
        <v/>
      </c>
      <c r="EX76" s="565">
        <f>EW76+EX75</f>
        <v/>
      </c>
      <c r="EY76" s="565">
        <f>EX76+EY75</f>
        <v/>
      </c>
      <c r="EZ76" s="565">
        <f>EY76+EZ75</f>
        <v/>
      </c>
      <c r="FA76" s="565">
        <f>EZ76+FA75</f>
        <v/>
      </c>
      <c r="FB76" s="565">
        <f>FA76+FB75</f>
        <v/>
      </c>
      <c r="FC76" s="565">
        <f>FB76+FC75</f>
        <v/>
      </c>
      <c r="FD76" s="565">
        <f>FC76+FD75</f>
        <v/>
      </c>
      <c r="FE76" s="565">
        <f>FD76+FE75</f>
        <v/>
      </c>
      <c r="FF76" s="565">
        <f>FE76+FF75</f>
        <v/>
      </c>
      <c r="FG76" s="565">
        <f>FF76+FG75</f>
        <v/>
      </c>
      <c r="FH76" s="565">
        <f>FG76+FH75</f>
        <v/>
      </c>
      <c r="FI76" s="565">
        <f>FH76+FI75</f>
        <v/>
      </c>
      <c r="FJ76" s="565">
        <f>FI76+FJ75</f>
        <v/>
      </c>
      <c r="FK76" s="565">
        <f>FJ76+FK75</f>
        <v/>
      </c>
      <c r="FL76" s="565">
        <f>FK76+FL75</f>
        <v/>
      </c>
      <c r="FM76" s="565">
        <f>FL76+FM75</f>
        <v/>
      </c>
      <c r="FN76" s="565">
        <f>FM76+FN75</f>
        <v/>
      </c>
      <c r="FO76" s="565">
        <f>FN76+FO75</f>
        <v/>
      </c>
      <c r="FP76" s="565">
        <f>FO76+FP75</f>
        <v/>
      </c>
      <c r="FQ76" s="565">
        <f>FP76+FQ75</f>
        <v/>
      </c>
      <c r="FR76" s="565">
        <f>FQ76+FR75</f>
        <v/>
      </c>
      <c r="FS76" s="565">
        <f>FR76+FS75</f>
        <v/>
      </c>
      <c r="FT76" s="565">
        <f>FS76+FT75</f>
        <v/>
      </c>
      <c r="FU76" s="565">
        <f>FT76+FU75</f>
        <v/>
      </c>
      <c r="FV76" s="565">
        <f>FU76+FV75</f>
        <v/>
      </c>
      <c r="FW76" s="565">
        <f>FV76+FW75</f>
        <v/>
      </c>
      <c r="FX76" s="565">
        <f>FW76+FX75</f>
        <v/>
      </c>
      <c r="FY76" s="565">
        <f>FX76+FY75</f>
        <v/>
      </c>
      <c r="FZ76" s="565">
        <f>FY76+FZ75</f>
        <v/>
      </c>
      <c r="GA76" s="565">
        <f>FZ76+GA75</f>
        <v/>
      </c>
      <c r="GB76" s="565">
        <f>GA76+GB75</f>
        <v/>
      </c>
      <c r="GC76" s="565">
        <f>GB76+GC75</f>
        <v/>
      </c>
      <c r="GD76" s="565">
        <f>GC76+GD75</f>
        <v/>
      </c>
      <c r="GE76" s="565">
        <f>GD76+GE75</f>
        <v/>
      </c>
      <c r="GF76" s="565">
        <f>GE76+GF75</f>
        <v/>
      </c>
      <c r="GG76" s="565">
        <f>GF76+GG75</f>
        <v/>
      </c>
      <c r="GH76" s="565">
        <f>GG76+GH75</f>
        <v/>
      </c>
      <c r="GI76" s="565">
        <f>GH76+GI75</f>
        <v/>
      </c>
      <c r="GJ76" s="565">
        <f>GI76+GJ75</f>
        <v/>
      </c>
      <c r="GK76" s="565">
        <f>GJ76+GK75</f>
        <v/>
      </c>
      <c r="GL76" s="565">
        <f>GK76+GL75</f>
        <v/>
      </c>
      <c r="GM76" s="565">
        <f>GL76+GM75</f>
        <v/>
      </c>
      <c r="GN76" s="565">
        <f>GM76+GN75</f>
        <v/>
      </c>
      <c r="GO76" s="565">
        <f>GN76+GO75</f>
        <v/>
      </c>
      <c r="GP76" s="565">
        <f>GO76+GP75</f>
        <v/>
      </c>
      <c r="GQ76" s="565">
        <f>GP76+GQ75</f>
        <v/>
      </c>
      <c r="GR76" s="565">
        <f>GQ76+GR75</f>
        <v/>
      </c>
      <c r="GS76" s="565">
        <f>GR76+GS75</f>
        <v/>
      </c>
      <c r="GT76" s="565">
        <f>GS76+GT75</f>
        <v/>
      </c>
      <c r="GU76" s="565">
        <f>GT76+GU75</f>
        <v/>
      </c>
      <c r="GV76" s="565">
        <f>GU76+GV75</f>
        <v/>
      </c>
      <c r="GW76" s="565">
        <f>GV76+GW75</f>
        <v/>
      </c>
      <c r="GX76" s="565">
        <f>GW76+GX75</f>
        <v/>
      </c>
      <c r="GY76" s="565">
        <f>GX76+GY75</f>
        <v/>
      </c>
      <c r="GZ76" s="565">
        <f>GY76+GZ75</f>
        <v/>
      </c>
      <c r="HA76" s="565">
        <f>GZ76+HA75</f>
        <v/>
      </c>
      <c r="HB76" s="565">
        <f>HA76+HB75</f>
        <v/>
      </c>
      <c r="HC76" s="565">
        <f>HB76+HC75</f>
        <v/>
      </c>
      <c r="HD76" s="565">
        <f>HC76+HD75</f>
        <v/>
      </c>
      <c r="HE76" s="565">
        <f>HD76+HE75</f>
        <v/>
      </c>
      <c r="HF76" s="565">
        <f>HE76+HF75</f>
        <v/>
      </c>
      <c r="HG76" s="565">
        <f>HF76+HG75</f>
        <v/>
      </c>
      <c r="HH76" s="565">
        <f>HG76+HH75</f>
        <v/>
      </c>
      <c r="HI76" s="565">
        <f>HH76+HI75</f>
        <v/>
      </c>
      <c r="HJ76" s="565">
        <f>HI76+HJ75</f>
        <v/>
      </c>
      <c r="HK76" s="565">
        <f>HJ76+HK75</f>
        <v/>
      </c>
      <c r="HL76" s="565">
        <f>HK76+HL75</f>
        <v/>
      </c>
      <c r="HM76" s="565">
        <f>HL76+HM75</f>
        <v/>
      </c>
      <c r="HN76" s="565">
        <f>HM76+HN75</f>
        <v/>
      </c>
      <c r="HO76" s="565">
        <f>HN76+HO75</f>
        <v/>
      </c>
      <c r="HP76" s="565">
        <f>HO76+HP75</f>
        <v/>
      </c>
      <c r="HQ76" s="565">
        <f>HP76+HQ75</f>
        <v/>
      </c>
      <c r="HR76" s="565">
        <f>HQ76+HR75</f>
        <v/>
      </c>
      <c r="HS76" s="565">
        <f>HR76+HS75</f>
        <v/>
      </c>
      <c r="HT76" s="565">
        <f>HS76+HT75</f>
        <v/>
      </c>
      <c r="HU76" s="565">
        <f>HT76+HU75</f>
        <v/>
      </c>
      <c r="JF76" s="565">
        <f>AP76</f>
        <v/>
      </c>
      <c r="JG76" s="565">
        <f>SUM(Z76:AK76)</f>
        <v/>
      </c>
      <c r="JH76" s="565">
        <f>SUM(AL76:AP76)</f>
        <v/>
      </c>
      <c r="JI76" s="565">
        <f>SUM(C76:AP76)</f>
        <v/>
      </c>
      <c r="JJ76" s="446" t="n"/>
      <c r="JM76" s="565" t="n">
        <v>10827059.36831913</v>
      </c>
      <c r="KG76" s="151">
        <f>B76</f>
        <v/>
      </c>
      <c r="KH76" s="567">
        <f>AR76</f>
        <v/>
      </c>
    </row>
    <row r="77" ht="16.2" customHeight="1">
      <c r="A77" s="1" t="n"/>
      <c r="B77" s="1" t="n"/>
      <c r="C77" s="1" t="inlineStr">
        <is>
          <t> </t>
        </is>
      </c>
      <c r="D77" s="1" t="n"/>
      <c r="E77" s="1" t="n"/>
      <c r="F77" s="1" t="n"/>
      <c r="G77" s="1" t="n"/>
      <c r="H77" s="1" t="n"/>
      <c r="I77" s="1" t="n"/>
      <c r="J77" s="476" t="n"/>
      <c r="K77" s="476" t="n"/>
      <c r="L77" s="476" t="n"/>
      <c r="M77" s="476" t="n"/>
      <c r="N77" s="476" t="n"/>
      <c r="O77" s="476" t="n"/>
      <c r="P77" s="476" t="n"/>
      <c r="Q77" s="476" t="n"/>
      <c r="R77" s="476" t="n"/>
      <c r="S77" s="476" t="n"/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289" t="n"/>
      <c r="BE77" s="318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289" t="n"/>
      <c r="BQ77" s="315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28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283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289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JM77" s="1" t="n"/>
      <c r="KG77" s="1" t="n"/>
      <c r="KH77" s="1" t="n"/>
    </row>
    <row r="78">
      <c r="AD78" s="578" t="n"/>
      <c r="AE78" s="578" t="n"/>
      <c r="AF78" s="578" t="n"/>
      <c r="AG78" s="578" t="n"/>
      <c r="AH78" s="578" t="n"/>
      <c r="AI78" s="578" t="n"/>
      <c r="AJ78" s="578" t="n"/>
      <c r="AK78" s="578" t="n"/>
      <c r="AL78" s="578" t="n"/>
      <c r="AM78" s="579" t="n"/>
      <c r="AN78" s="578" t="n"/>
      <c r="AO78" s="578" t="n"/>
      <c r="AP78" s="578" t="n"/>
      <c r="AR78" s="580" t="n"/>
      <c r="AT78" s="374">
        <f>AT5</f>
        <v/>
      </c>
      <c r="AU78" s="374">
        <f>AU5</f>
        <v/>
      </c>
      <c r="AV78" s="374">
        <f>AV5</f>
        <v/>
      </c>
      <c r="AW78" s="374">
        <f>AW5</f>
        <v/>
      </c>
      <c r="AX78" s="374">
        <f>AX5</f>
        <v/>
      </c>
      <c r="AY78" s="374">
        <f>AY5</f>
        <v/>
      </c>
      <c r="AZ78" s="374">
        <f>AZ5</f>
        <v/>
      </c>
      <c r="BA78" s="374">
        <f>BA5</f>
        <v/>
      </c>
      <c r="BB78" s="374">
        <f>BB5</f>
        <v/>
      </c>
      <c r="BC78" s="374">
        <f>BC5</f>
        <v/>
      </c>
      <c r="BD78" s="374">
        <f>BD5</f>
        <v/>
      </c>
      <c r="BE78" s="374">
        <f>BE5</f>
        <v/>
      </c>
      <c r="BF78" s="374">
        <f>BF5</f>
        <v/>
      </c>
      <c r="BG78" s="374">
        <f>BG5</f>
        <v/>
      </c>
      <c r="BH78" s="374">
        <f>BH5</f>
        <v/>
      </c>
      <c r="BI78" s="374">
        <f>BI5</f>
        <v/>
      </c>
      <c r="BJ78" s="374">
        <f>BJ5</f>
        <v/>
      </c>
      <c r="BK78" s="374">
        <f>BK5</f>
        <v/>
      </c>
      <c r="BL78" s="374">
        <f>BL5</f>
        <v/>
      </c>
      <c r="BM78" s="374">
        <f>BM5</f>
        <v/>
      </c>
      <c r="BN78" s="374">
        <f>BN5</f>
        <v/>
      </c>
      <c r="BO78" s="374">
        <f>BO5</f>
        <v/>
      </c>
      <c r="BP78" s="374">
        <f>BP5</f>
        <v/>
      </c>
      <c r="BQ78" s="374">
        <f>BQ5</f>
        <v/>
      </c>
      <c r="BR78" s="374">
        <f>BR5</f>
        <v/>
      </c>
      <c r="BS78" s="374">
        <f>BS5</f>
        <v/>
      </c>
      <c r="BT78" s="374">
        <f>BT5</f>
        <v/>
      </c>
      <c r="BU78" s="374">
        <f>BU5</f>
        <v/>
      </c>
      <c r="BV78" s="374">
        <f>BV5</f>
        <v/>
      </c>
      <c r="BW78" s="374">
        <f>BW5</f>
        <v/>
      </c>
      <c r="BX78" s="374">
        <f>BX5</f>
        <v/>
      </c>
      <c r="BY78" s="374">
        <f>BY5</f>
        <v/>
      </c>
      <c r="BZ78" s="374">
        <f>BZ5</f>
        <v/>
      </c>
      <c r="CA78" s="374">
        <f>CA5</f>
        <v/>
      </c>
      <c r="CB78" s="374">
        <f>CB5</f>
        <v/>
      </c>
      <c r="CC78" s="374">
        <f>CC5</f>
        <v/>
      </c>
      <c r="CD78" s="374">
        <f>CD5</f>
        <v/>
      </c>
      <c r="CE78" s="374">
        <f>CE5</f>
        <v/>
      </c>
      <c r="CF78" s="374">
        <f>CF5</f>
        <v/>
      </c>
      <c r="CG78" s="374">
        <f>CG5</f>
        <v/>
      </c>
      <c r="CH78" s="374">
        <f>CH5</f>
        <v/>
      </c>
      <c r="CI78" s="374">
        <f>CI5</f>
        <v/>
      </c>
      <c r="CJ78" s="374">
        <f>CJ5</f>
        <v/>
      </c>
      <c r="CK78" s="374">
        <f>CK5</f>
        <v/>
      </c>
      <c r="CL78" s="374">
        <f>CL5</f>
        <v/>
      </c>
      <c r="CM78" s="374">
        <f>CM5</f>
        <v/>
      </c>
      <c r="CN78" s="374">
        <f>CN5</f>
        <v/>
      </c>
      <c r="CO78" s="374">
        <f>CO5</f>
        <v/>
      </c>
      <c r="CP78" s="374">
        <f>CP5</f>
        <v/>
      </c>
      <c r="CQ78" s="374">
        <f>CQ5</f>
        <v/>
      </c>
      <c r="CR78" s="374">
        <f>CR5</f>
        <v/>
      </c>
      <c r="CS78" s="374">
        <f>CS5</f>
        <v/>
      </c>
      <c r="CT78" s="374">
        <f>CT5</f>
        <v/>
      </c>
      <c r="CU78" s="374">
        <f>CU5</f>
        <v/>
      </c>
      <c r="CV78" s="374">
        <f>CV5</f>
        <v/>
      </c>
      <c r="CW78" s="374">
        <f>CW5</f>
        <v/>
      </c>
      <c r="CX78" s="374">
        <f>CX5</f>
        <v/>
      </c>
      <c r="CY78" s="374">
        <f>CY5</f>
        <v/>
      </c>
      <c r="CZ78" s="374">
        <f>CZ5</f>
        <v/>
      </c>
      <c r="DA78" s="374">
        <f>DA5</f>
        <v/>
      </c>
      <c r="DB78" s="374">
        <f>DB5</f>
        <v/>
      </c>
      <c r="DC78" s="374">
        <f>DC5</f>
        <v/>
      </c>
      <c r="DD78" s="374">
        <f>DD5</f>
        <v/>
      </c>
      <c r="DE78" s="374">
        <f>DE5</f>
        <v/>
      </c>
      <c r="DF78" s="374">
        <f>DF5</f>
        <v/>
      </c>
      <c r="DG78" s="374">
        <f>DG5</f>
        <v/>
      </c>
      <c r="DH78" s="374">
        <f>DH5</f>
        <v/>
      </c>
      <c r="DI78" s="374">
        <f>DI5</f>
        <v/>
      </c>
      <c r="DJ78" s="374">
        <f>DJ5</f>
        <v/>
      </c>
      <c r="DK78" s="374">
        <f>DK5</f>
        <v/>
      </c>
      <c r="DL78" s="374">
        <f>DL5</f>
        <v/>
      </c>
      <c r="DM78" s="374">
        <f>DM5</f>
        <v/>
      </c>
      <c r="DN78" s="374">
        <f>DN5</f>
        <v/>
      </c>
      <c r="DO78" s="374">
        <f>DO5</f>
        <v/>
      </c>
      <c r="DP78" s="374">
        <f>DP5</f>
        <v/>
      </c>
      <c r="DQ78" s="374">
        <f>DQ5</f>
        <v/>
      </c>
      <c r="DR78" s="374">
        <f>DR5</f>
        <v/>
      </c>
      <c r="DS78" s="374">
        <f>DS5</f>
        <v/>
      </c>
      <c r="DT78" s="374">
        <f>DT5</f>
        <v/>
      </c>
      <c r="DU78" s="374">
        <f>DU5</f>
        <v/>
      </c>
      <c r="DV78" s="374">
        <f>DV5</f>
        <v/>
      </c>
      <c r="DW78" s="374">
        <f>DW5</f>
        <v/>
      </c>
      <c r="DX78" s="374">
        <f>DX5</f>
        <v/>
      </c>
      <c r="DY78" s="374">
        <f>DY5</f>
        <v/>
      </c>
      <c r="DZ78" s="374">
        <f>DZ5</f>
        <v/>
      </c>
      <c r="EA78" s="374">
        <f>EA5</f>
        <v/>
      </c>
      <c r="EB78" s="374">
        <f>EB5</f>
        <v/>
      </c>
      <c r="EC78" s="374">
        <f>EC5</f>
        <v/>
      </c>
      <c r="ED78" s="374">
        <f>ED5</f>
        <v/>
      </c>
      <c r="EE78" s="374">
        <f>EE5</f>
        <v/>
      </c>
      <c r="EF78" s="374">
        <f>EF5</f>
        <v/>
      </c>
      <c r="EG78" s="374">
        <f>EG5</f>
        <v/>
      </c>
      <c r="EH78" s="374">
        <f>EH5</f>
        <v/>
      </c>
      <c r="EI78" s="374">
        <f>EI5</f>
        <v/>
      </c>
      <c r="EJ78" s="374">
        <f>EJ5</f>
        <v/>
      </c>
      <c r="EK78" s="374">
        <f>EK5</f>
        <v/>
      </c>
      <c r="EL78" s="374">
        <f>EL5</f>
        <v/>
      </c>
      <c r="EM78" s="374">
        <f>EM5</f>
        <v/>
      </c>
      <c r="EN78" s="374">
        <f>EN5</f>
        <v/>
      </c>
      <c r="EO78" s="374">
        <f>EO5</f>
        <v/>
      </c>
      <c r="EP78" s="374">
        <f>EP5</f>
        <v/>
      </c>
      <c r="EQ78" s="374">
        <f>EQ5</f>
        <v/>
      </c>
      <c r="ER78" s="374">
        <f>ER5</f>
        <v/>
      </c>
      <c r="ES78" s="374">
        <f>ES5</f>
        <v/>
      </c>
      <c r="ET78" s="374">
        <f>ET5</f>
        <v/>
      </c>
      <c r="EU78" s="374">
        <f>EU5</f>
        <v/>
      </c>
      <c r="EV78" s="374">
        <f>EV5</f>
        <v/>
      </c>
      <c r="EW78" s="374">
        <f>EW5</f>
        <v/>
      </c>
      <c r="EX78" s="374">
        <f>EX5</f>
        <v/>
      </c>
      <c r="EY78" s="374">
        <f>EY5</f>
        <v/>
      </c>
      <c r="EZ78" s="374">
        <f>EZ5</f>
        <v/>
      </c>
      <c r="FA78" s="374">
        <f>FA5</f>
        <v/>
      </c>
      <c r="FB78" s="374">
        <f>FB5</f>
        <v/>
      </c>
      <c r="FC78" s="374">
        <f>FC5</f>
        <v/>
      </c>
      <c r="FD78" s="374">
        <f>FD5</f>
        <v/>
      </c>
      <c r="FE78" s="374">
        <f>FE5</f>
        <v/>
      </c>
      <c r="FF78" s="374">
        <f>FF5</f>
        <v/>
      </c>
      <c r="FG78" s="374">
        <f>FG5</f>
        <v/>
      </c>
      <c r="FH78" s="374">
        <f>FH5</f>
        <v/>
      </c>
      <c r="FI78" s="374">
        <f>FI5</f>
        <v/>
      </c>
      <c r="FJ78" s="374">
        <f>FJ5</f>
        <v/>
      </c>
      <c r="FK78" s="374">
        <f>FK5</f>
        <v/>
      </c>
      <c r="FL78" s="374">
        <f>FL5</f>
        <v/>
      </c>
      <c r="FM78" s="374">
        <f>FM5</f>
        <v/>
      </c>
      <c r="FN78" s="374">
        <f>FN5</f>
        <v/>
      </c>
      <c r="FO78" s="374">
        <f>FO5</f>
        <v/>
      </c>
      <c r="FP78" s="374">
        <f>FP5</f>
        <v/>
      </c>
      <c r="FQ78" s="374">
        <f>FQ5</f>
        <v/>
      </c>
      <c r="FR78" s="374">
        <f>FR5</f>
        <v/>
      </c>
      <c r="FS78" s="374">
        <f>FS5</f>
        <v/>
      </c>
      <c r="FT78" s="374">
        <f>FT5</f>
        <v/>
      </c>
      <c r="FU78" s="374">
        <f>FU5</f>
        <v/>
      </c>
      <c r="FV78" s="374">
        <f>FV5</f>
        <v/>
      </c>
      <c r="FW78" s="374">
        <f>FW5</f>
        <v/>
      </c>
      <c r="FX78" s="374">
        <f>FX5</f>
        <v/>
      </c>
      <c r="FY78" s="374">
        <f>FY5</f>
        <v/>
      </c>
      <c r="FZ78" s="374">
        <f>FZ5</f>
        <v/>
      </c>
      <c r="GA78" s="374">
        <f>GA5</f>
        <v/>
      </c>
      <c r="GB78" s="374">
        <f>GB5</f>
        <v/>
      </c>
      <c r="GC78" s="374">
        <f>GC5</f>
        <v/>
      </c>
      <c r="GD78" s="374">
        <f>GD5</f>
        <v/>
      </c>
      <c r="GE78" s="374">
        <f>GE5</f>
        <v/>
      </c>
      <c r="GF78" s="374">
        <f>GF5</f>
        <v/>
      </c>
      <c r="GG78" s="374">
        <f>GG5</f>
        <v/>
      </c>
      <c r="GH78" s="374">
        <f>GH5</f>
        <v/>
      </c>
      <c r="GI78" s="374">
        <f>GI5</f>
        <v/>
      </c>
      <c r="GJ78" s="374">
        <f>GJ5</f>
        <v/>
      </c>
      <c r="GK78" s="374">
        <f>GK5</f>
        <v/>
      </c>
      <c r="GL78" s="374">
        <f>GL5</f>
        <v/>
      </c>
      <c r="GM78" s="374">
        <f>GM5</f>
        <v/>
      </c>
      <c r="GN78" s="374">
        <f>GN5</f>
        <v/>
      </c>
      <c r="GO78" s="374">
        <f>GO5</f>
        <v/>
      </c>
      <c r="GP78" s="374">
        <f>GP5</f>
        <v/>
      </c>
      <c r="GQ78" s="374">
        <f>GQ5</f>
        <v/>
      </c>
      <c r="GR78" s="374">
        <f>GR5</f>
        <v/>
      </c>
      <c r="GS78" s="374">
        <f>GS5</f>
        <v/>
      </c>
      <c r="GT78" s="374">
        <f>GT5</f>
        <v/>
      </c>
      <c r="GU78" s="374">
        <f>GU5</f>
        <v/>
      </c>
      <c r="GV78" s="374">
        <f>GV5</f>
        <v/>
      </c>
      <c r="GW78" s="374">
        <f>GW5</f>
        <v/>
      </c>
      <c r="GX78" s="374">
        <f>GX5</f>
        <v/>
      </c>
      <c r="GY78" s="374">
        <f>GY5</f>
        <v/>
      </c>
      <c r="GZ78" s="374">
        <f>GZ5</f>
        <v/>
      </c>
      <c r="HA78" s="374">
        <f>HA5</f>
        <v/>
      </c>
      <c r="HB78" s="374">
        <f>HB5</f>
        <v/>
      </c>
      <c r="HC78" s="374">
        <f>HC5</f>
        <v/>
      </c>
      <c r="HD78" s="374">
        <f>HD5</f>
        <v/>
      </c>
      <c r="HE78" s="374">
        <f>HE5</f>
        <v/>
      </c>
      <c r="HF78" s="374">
        <f>HF5</f>
        <v/>
      </c>
      <c r="HG78" s="374">
        <f>HG5</f>
        <v/>
      </c>
      <c r="HH78" s="374">
        <f>HH5</f>
        <v/>
      </c>
      <c r="HI78" s="374">
        <f>HI5</f>
        <v/>
      </c>
      <c r="HJ78" s="374">
        <f>HJ5</f>
        <v/>
      </c>
      <c r="HK78" s="374">
        <f>HK5</f>
        <v/>
      </c>
      <c r="HL78" s="374">
        <f>HL5</f>
        <v/>
      </c>
      <c r="HM78" s="374">
        <f>HM5</f>
        <v/>
      </c>
      <c r="HN78" s="374">
        <f>HN5</f>
        <v/>
      </c>
      <c r="HO78" s="374">
        <f>HO5</f>
        <v/>
      </c>
      <c r="HP78" s="374">
        <f>HP5</f>
        <v/>
      </c>
      <c r="HQ78" s="374">
        <f>HQ5</f>
        <v/>
      </c>
      <c r="HR78" s="374">
        <f>HR5</f>
        <v/>
      </c>
      <c r="HS78" s="374">
        <f>HS5</f>
        <v/>
      </c>
      <c r="HT78" s="374">
        <f>HT5</f>
        <v/>
      </c>
      <c r="HU78" s="374">
        <f>HU5</f>
        <v/>
      </c>
      <c r="KH78" s="580" t="n"/>
    </row>
    <row r="79" ht="12" customHeight="1">
      <c r="AE79" s="372" t="n">
        <v>8913488.700000003</v>
      </c>
      <c r="AF79" s="372" t="n">
        <v>9444535.850000007</v>
      </c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BF79" s="373" t="inlineStr">
        <is>
          <t>PREVISÃO DE</t>
        </is>
      </c>
      <c r="BR79" s="413" t="inlineStr">
        <is>
          <t>1º ano pós obra</t>
        </is>
      </c>
      <c r="CD79" s="413" t="inlineStr">
        <is>
          <t>2º ano pós obra</t>
        </is>
      </c>
      <c r="CP79" s="413" t="inlineStr">
        <is>
          <t>3º ano pós obra</t>
        </is>
      </c>
      <c r="DB79" s="413" t="inlineStr">
        <is>
          <t>4º ano pós obra</t>
        </is>
      </c>
      <c r="DN79" s="413" t="inlineStr">
        <is>
          <t>5º ano pós obra</t>
        </is>
      </c>
      <c r="DZ79" s="413" t="inlineStr">
        <is>
          <t>6º ano pós obra</t>
        </is>
      </c>
      <c r="EL79" s="413" t="inlineStr">
        <is>
          <t>7º ano pós obra</t>
        </is>
      </c>
      <c r="EX79" s="413" t="inlineStr">
        <is>
          <t>8º ano pós obra</t>
        </is>
      </c>
      <c r="FJ79" s="413" t="inlineStr">
        <is>
          <t>9º ano pós obra</t>
        </is>
      </c>
      <c r="FV79" s="413" t="inlineStr">
        <is>
          <t>10º ano pós obra</t>
        </is>
      </c>
      <c r="GH79" s="413" t="inlineStr">
        <is>
          <t>11º ano pós obra</t>
        </is>
      </c>
      <c r="GT79" s="413" t="inlineStr">
        <is>
          <t>12º ano pós obra</t>
        </is>
      </c>
      <c r="HF79" s="413" t="inlineStr">
        <is>
          <t>13º ano pós obra</t>
        </is>
      </c>
      <c r="HR79" s="413" t="inlineStr">
        <is>
          <t>14º ano pós obra</t>
        </is>
      </c>
      <c r="HS79" s="374" t="n"/>
      <c r="HT79" s="374" t="n"/>
      <c r="HU79" s="374" t="n"/>
    </row>
    <row r="80">
      <c r="AC80" s="576" t="n"/>
      <c r="AD80" s="576" t="n"/>
      <c r="AE80" s="576" t="n"/>
      <c r="AF80" s="576" t="n"/>
      <c r="AG80" s="576" t="n"/>
      <c r="AH80" s="576" t="n"/>
      <c r="AI80" s="576" t="n"/>
      <c r="AJ80" s="576" t="n"/>
      <c r="AK80" s="576" t="n"/>
      <c r="AL80" s="576" t="n"/>
      <c r="AM80" s="576" t="n"/>
      <c r="AN80" s="576" t="n"/>
      <c r="AO80" s="576" t="n"/>
      <c r="AP80" s="576" t="n"/>
      <c r="BF80" s="373" t="inlineStr">
        <is>
          <t>ENTREGA DA OBRA</t>
        </is>
      </c>
      <c r="BR80" s="414" t="inlineStr">
        <is>
          <t>Fundo R$ 1 MM</t>
        </is>
      </c>
      <c r="CD80" s="414" t="inlineStr">
        <is>
          <t>Fundo R$ 500k</t>
        </is>
      </c>
      <c r="CP80" s="414" t="inlineStr">
        <is>
          <t>Fundo R$ 250k</t>
        </is>
      </c>
      <c r="DB80" s="414" t="inlineStr">
        <is>
          <t>Fundo R$ 250k</t>
        </is>
      </c>
      <c r="DN80" s="414" t="inlineStr">
        <is>
          <t>Fundo R$ 250k</t>
        </is>
      </c>
      <c r="DZ80" s="414" t="inlineStr">
        <is>
          <t>Fundo R$ 250k</t>
        </is>
      </c>
      <c r="EL80" s="414" t="inlineStr">
        <is>
          <t>Fundo R$ 250k</t>
        </is>
      </c>
      <c r="EX80" s="414" t="inlineStr">
        <is>
          <t>Fundo R$ 250k</t>
        </is>
      </c>
      <c r="FJ80" s="414" t="inlineStr">
        <is>
          <t>Fundo R$ 250k</t>
        </is>
      </c>
      <c r="FV80" s="414" t="inlineStr">
        <is>
          <t>Fundo R$ 250k</t>
        </is>
      </c>
      <c r="GH80" s="414" t="inlineStr">
        <is>
          <t>Fundo R$ 250k</t>
        </is>
      </c>
      <c r="GT80" s="414" t="inlineStr">
        <is>
          <t>Fundo R$ 250k</t>
        </is>
      </c>
      <c r="HF80" s="414" t="inlineStr">
        <is>
          <t>Fundo R$ 250k</t>
        </is>
      </c>
      <c r="HR80" s="414" t="inlineStr">
        <is>
          <t>Fundo R$ 250k</t>
        </is>
      </c>
    </row>
    <row r="81">
      <c r="AE81" s="576">
        <f>+AE79-AE76</f>
        <v/>
      </c>
      <c r="AF81" s="576">
        <f>+AF79-AF76</f>
        <v/>
      </c>
      <c r="AG81" s="576">
        <f>3013129.63-AG76</f>
        <v/>
      </c>
      <c r="AH81" s="576">
        <f>3775046.22-AH76</f>
        <v/>
      </c>
      <c r="AI81" s="576">
        <f>4232168.49-AI76</f>
        <v/>
      </c>
      <c r="AJ81" s="576">
        <f>3223191.08-AJ76</f>
        <v/>
      </c>
      <c r="AK81" s="576">
        <f>3338944.48-AK76</f>
        <v/>
      </c>
      <c r="AL81" s="576">
        <f>4310244.13-AL76</f>
        <v/>
      </c>
      <c r="AM81" s="576">
        <f>6156434.67-AM76-612.82</f>
        <v/>
      </c>
      <c r="AN81" s="576">
        <f>11961744.61-AN76</f>
        <v/>
      </c>
      <c r="AO81" s="576">
        <f>12571248.85-AO76</f>
        <v/>
      </c>
      <c r="AP81" s="576">
        <f>11787274.2-AP76</f>
        <v/>
      </c>
      <c r="BR81" s="581">
        <f>+BR76-1000000</f>
        <v/>
      </c>
      <c r="CD81" s="581">
        <f>+CD76-500000</f>
        <v/>
      </c>
      <c r="CP81" s="581">
        <f>+CP76-250000</f>
        <v/>
      </c>
      <c r="DB81" s="581">
        <f>+DB76-250000</f>
        <v/>
      </c>
      <c r="DN81" s="581">
        <f>+DN76-250000</f>
        <v/>
      </c>
      <c r="DZ81" s="581">
        <f>+DZ76-250000</f>
        <v/>
      </c>
      <c r="EL81" s="581">
        <f>+EL76-250000</f>
        <v/>
      </c>
      <c r="EX81" s="581">
        <f>+EX76-250000</f>
        <v/>
      </c>
      <c r="FJ81" s="581">
        <f>+FJ76-250000</f>
        <v/>
      </c>
      <c r="FV81" s="581">
        <f>+FV76-250000</f>
        <v/>
      </c>
      <c r="GH81" s="581">
        <f>+GH76-250000</f>
        <v/>
      </c>
      <c r="GT81" s="581">
        <f>+GT76-250000</f>
        <v/>
      </c>
      <c r="HF81" s="581">
        <f>+HF76-250000</f>
        <v/>
      </c>
      <c r="HR81" s="581">
        <f>+HR76-250000</f>
        <v/>
      </c>
    </row>
    <row r="82">
      <c r="AM82" s="576">
        <f>6156434.67-6155821.85</f>
        <v/>
      </c>
      <c r="AN82" s="576" t="n"/>
      <c r="AO82" s="576" t="n"/>
      <c r="AP82" s="576" t="n"/>
    </row>
    <row r="83">
      <c r="AK83" s="576" t="n"/>
      <c r="AL83" s="576" t="n"/>
      <c r="AM83" s="576" t="n"/>
      <c r="AN83" s="576" t="n"/>
      <c r="AO83" s="576" t="n"/>
      <c r="AP83" s="576" t="n"/>
    </row>
    <row r="84">
      <c r="BJ84" s="582">
        <f>BJ66/$AR$66</f>
        <v/>
      </c>
      <c r="BK84" s="582">
        <f>BK66/$AR$66</f>
        <v/>
      </c>
      <c r="BL84" s="582">
        <f>BL66/$AR$66</f>
        <v/>
      </c>
      <c r="BM84" s="582">
        <f>BM66/$AR$66</f>
        <v/>
      </c>
      <c r="BN84" s="582">
        <f>BN66/$AR$66</f>
        <v/>
      </c>
      <c r="BO84" s="582">
        <f>BO66/$AR$66</f>
        <v/>
      </c>
      <c r="BP84" s="582">
        <f>BP66/$AR$66</f>
        <v/>
      </c>
      <c r="BQ84" s="582">
        <f>BQ66/$AR$66</f>
        <v/>
      </c>
      <c r="BR84" s="582">
        <f>BR66/$AR$66</f>
        <v/>
      </c>
      <c r="BS84" s="582">
        <f>BS66/$AR$66</f>
        <v/>
      </c>
      <c r="BT84" s="582">
        <f>BT66/$AR$66</f>
        <v/>
      </c>
      <c r="BU84" s="582">
        <f>BU66/$AR$66</f>
        <v/>
      </c>
      <c r="BV84" s="582">
        <f>BV66/$AR$66</f>
        <v/>
      </c>
      <c r="BW84" s="582">
        <f>BW66/$AR$66</f>
        <v/>
      </c>
      <c r="BX84" s="582">
        <f>BX66/$AR$66</f>
        <v/>
      </c>
      <c r="BY84" s="582">
        <f>BY66/$AR$66</f>
        <v/>
      </c>
      <c r="BZ84" s="582">
        <f>BZ66/$AR$66</f>
        <v/>
      </c>
      <c r="CA84" s="582">
        <f>CA66/$AR$66</f>
        <v/>
      </c>
      <c r="CB84" s="582">
        <f>CB66/$AR$66</f>
        <v/>
      </c>
      <c r="CC84" s="582">
        <f>CC66/$AR$66</f>
        <v/>
      </c>
      <c r="CD84" s="582">
        <f>CD66/$AR$66</f>
        <v/>
      </c>
      <c r="CE84" s="582">
        <f>CE66/$AR$66</f>
        <v/>
      </c>
      <c r="CF84" s="582">
        <f>CF66/$AR$66</f>
        <v/>
      </c>
      <c r="CG84" s="582">
        <f>CG66/$AR$66</f>
        <v/>
      </c>
      <c r="CH84" s="582">
        <f>CH66/$AR$66</f>
        <v/>
      </c>
      <c r="CI84" s="582">
        <f>CI66/$AR$66</f>
        <v/>
      </c>
      <c r="CJ84" s="582">
        <f>CJ66/$AR$66</f>
        <v/>
      </c>
      <c r="CK84" s="582">
        <f>CK66/$AR$66</f>
        <v/>
      </c>
      <c r="CL84" s="582">
        <f>CL66/$AR$66</f>
        <v/>
      </c>
      <c r="CM84" s="582">
        <f>CM66/$AR$66</f>
        <v/>
      </c>
      <c r="CN84" s="582">
        <f>CN66/$AR$66</f>
        <v/>
      </c>
      <c r="CO84" s="582">
        <f>CO66/$AR$66</f>
        <v/>
      </c>
      <c r="CP84" s="582">
        <f>CP66/$AR$66</f>
        <v/>
      </c>
      <c r="CQ84" s="582">
        <f>CQ66/$AR$66</f>
        <v/>
      </c>
      <c r="CR84" s="582">
        <f>CR66/$AR$66</f>
        <v/>
      </c>
      <c r="CS84" s="582">
        <f>CS66/$AR$66</f>
        <v/>
      </c>
      <c r="CT84" s="582">
        <f>CT66/$AR$66</f>
        <v/>
      </c>
      <c r="CU84" s="582">
        <f>CU66/$AR$66</f>
        <v/>
      </c>
      <c r="CV84" s="582">
        <f>CV66/$AR$66</f>
        <v/>
      </c>
      <c r="CW84" s="582">
        <f>CW66/$AR$66</f>
        <v/>
      </c>
      <c r="CX84" s="582">
        <f>CX66/$AR$66</f>
        <v/>
      </c>
      <c r="CY84" s="582">
        <f>CY66/$AR$66</f>
        <v/>
      </c>
      <c r="CZ84" s="582">
        <f>CZ66/$AR$66</f>
        <v/>
      </c>
      <c r="DA84" s="582">
        <f>DA66/$AR$66</f>
        <v/>
      </c>
      <c r="DB84" s="582">
        <f>DB66/$AR$66</f>
        <v/>
      </c>
      <c r="DC84" s="582">
        <f>DC66/$AR$66</f>
        <v/>
      </c>
      <c r="DD84" s="582">
        <f>DD66/$AR$66</f>
        <v/>
      </c>
      <c r="DE84" s="582">
        <f>DE66/$AR$66</f>
        <v/>
      </c>
      <c r="DF84" s="582">
        <f>DF66/$AR$66</f>
        <v/>
      </c>
      <c r="DG84" s="582">
        <f>DG66/$AR$66</f>
        <v/>
      </c>
      <c r="DH84" s="582">
        <f>DH66/$AR$66</f>
        <v/>
      </c>
      <c r="DI84" s="582">
        <f>DI66/$AR$66</f>
        <v/>
      </c>
      <c r="DJ84" s="582">
        <f>DJ66/$AR$66</f>
        <v/>
      </c>
      <c r="DK84" s="582">
        <f>DK66/$AR$66</f>
        <v/>
      </c>
      <c r="DL84" s="582">
        <f>DL66/$AR$66</f>
        <v/>
      </c>
      <c r="DM84" s="582">
        <f>DM66/$AR$66</f>
        <v/>
      </c>
      <c r="DN84" s="582">
        <f>DN66/$AR$66</f>
        <v/>
      </c>
      <c r="DO84" s="582">
        <f>DO66/$AR$66</f>
        <v/>
      </c>
      <c r="DP84" s="582">
        <f>DP66/$AR$66</f>
        <v/>
      </c>
      <c r="DQ84" s="582">
        <f>DQ66/$AR$66</f>
        <v/>
      </c>
      <c r="DR84" s="582">
        <f>DR66/$AR$66</f>
        <v/>
      </c>
      <c r="DS84" s="582">
        <f>DS66/$AR$66</f>
        <v/>
      </c>
      <c r="DT84" s="582">
        <f>DT66/$AR$66</f>
        <v/>
      </c>
      <c r="DU84" s="582">
        <f>DU66/$AR$66</f>
        <v/>
      </c>
      <c r="DV84" s="582">
        <f>DV66/$AR$66</f>
        <v/>
      </c>
      <c r="DW84" s="582">
        <f>DW66/$AR$66</f>
        <v/>
      </c>
      <c r="DX84" s="582">
        <f>DX66/$AR$66</f>
        <v/>
      </c>
      <c r="DY84" s="582">
        <f>DY66/$AR$66</f>
        <v/>
      </c>
      <c r="DZ84" s="582">
        <f>DZ66/$AR$66</f>
        <v/>
      </c>
      <c r="EA84" s="582">
        <f>EA66/$AR$66</f>
        <v/>
      </c>
      <c r="EB84" s="582">
        <f>EB66/$AR$66</f>
        <v/>
      </c>
      <c r="EC84" s="582">
        <f>EC66/$AR$66</f>
        <v/>
      </c>
      <c r="ED84" s="582">
        <f>ED66/$AR$66</f>
        <v/>
      </c>
      <c r="EE84" s="582">
        <f>EE66/$AR$66</f>
        <v/>
      </c>
      <c r="EF84" s="582">
        <f>EF66/$AR$66</f>
        <v/>
      </c>
      <c r="EG84" s="582">
        <f>EG66/$AR$66</f>
        <v/>
      </c>
      <c r="EH84" s="582">
        <f>EH66/$AR$66</f>
        <v/>
      </c>
      <c r="EI84" s="582">
        <f>EI66/$AR$66</f>
        <v/>
      </c>
      <c r="EJ84" s="582">
        <f>EJ66/$AR$66</f>
        <v/>
      </c>
      <c r="EK84" s="582">
        <f>EK66/$AR$66</f>
        <v/>
      </c>
      <c r="EL84" s="582">
        <f>EL66/$AR$66</f>
        <v/>
      </c>
      <c r="EM84" s="582">
        <f>EM66/$AR$66</f>
        <v/>
      </c>
      <c r="EN84" s="582">
        <f>EN66/$AR$66</f>
        <v/>
      </c>
      <c r="EO84" s="582">
        <f>EO66/$AR$66</f>
        <v/>
      </c>
      <c r="EP84" s="582">
        <f>EP66/$AR$66</f>
        <v/>
      </c>
      <c r="EQ84" s="582">
        <f>EQ66/$AR$66</f>
        <v/>
      </c>
      <c r="ER84" s="582">
        <f>ER66/$AR$66</f>
        <v/>
      </c>
      <c r="ES84" s="582">
        <f>ES66/$AR$66</f>
        <v/>
      </c>
      <c r="ET84" s="582">
        <f>ET66/$AR$66</f>
        <v/>
      </c>
      <c r="EU84" s="582">
        <f>EU66/$AR$66</f>
        <v/>
      </c>
      <c r="EV84" s="582">
        <f>EV66/$AR$66</f>
        <v/>
      </c>
      <c r="EW84" s="582">
        <f>EW66/$AR$66</f>
        <v/>
      </c>
      <c r="EX84" s="582">
        <f>EX66/$AR$66</f>
        <v/>
      </c>
      <c r="EY84" s="582">
        <f>EY66/$AR$66</f>
        <v/>
      </c>
      <c r="EZ84" s="582">
        <f>EZ66/$AR$66</f>
        <v/>
      </c>
      <c r="FA84" s="582">
        <f>FA66/$AR$66</f>
        <v/>
      </c>
      <c r="FB84" s="582">
        <f>FB66/$AR$66</f>
        <v/>
      </c>
      <c r="FC84" s="582">
        <f>FC66/$AR$66</f>
        <v/>
      </c>
      <c r="FD84" s="582">
        <f>FD66/$AR$66</f>
        <v/>
      </c>
      <c r="FE84" s="582">
        <f>FE66/$AR$66</f>
        <v/>
      </c>
      <c r="FF84" s="582">
        <f>FF66/$AR$66</f>
        <v/>
      </c>
      <c r="FG84" s="582">
        <f>FG66/$AR$66</f>
        <v/>
      </c>
      <c r="FH84" s="582">
        <f>FH66/$AR$66</f>
        <v/>
      </c>
      <c r="FI84" s="582">
        <f>FI66/$AR$66</f>
        <v/>
      </c>
      <c r="FJ84" s="582">
        <f>FJ66/$AR$66</f>
        <v/>
      </c>
      <c r="FK84" s="582">
        <f>FK66/$AR$66</f>
        <v/>
      </c>
      <c r="FL84" s="582">
        <f>FL66/$AR$66</f>
        <v/>
      </c>
      <c r="FM84" s="582">
        <f>FM66/$AR$66</f>
        <v/>
      </c>
      <c r="FN84" s="582">
        <f>FN66/$AR$66</f>
        <v/>
      </c>
      <c r="FO84" s="582">
        <f>FO66/$AR$66</f>
        <v/>
      </c>
      <c r="FP84" s="582">
        <f>FP66/$AR$66</f>
        <v/>
      </c>
      <c r="FQ84" s="582">
        <f>FQ66/$AR$66</f>
        <v/>
      </c>
      <c r="FR84" s="582">
        <f>FR66/$AR$66</f>
        <v/>
      </c>
      <c r="FS84" s="582">
        <f>FS66/$AR$66</f>
        <v/>
      </c>
      <c r="FT84" s="582">
        <f>FT66/$AR$66</f>
        <v/>
      </c>
      <c r="FU84" s="582">
        <f>FU66/$AR$66</f>
        <v/>
      </c>
      <c r="FV84" s="582">
        <f>FV66/$AR$66</f>
        <v/>
      </c>
      <c r="FW84" s="582">
        <f>FW66/$AR$66</f>
        <v/>
      </c>
      <c r="FX84" s="582">
        <f>FX66/$AR$66</f>
        <v/>
      </c>
      <c r="FY84" s="582">
        <f>FY66/$AR$66</f>
        <v/>
      </c>
      <c r="FZ84" s="582">
        <f>FZ66/$AR$66</f>
        <v/>
      </c>
      <c r="GA84" s="582">
        <f>GA66/$AR$66</f>
        <v/>
      </c>
      <c r="GB84" s="582">
        <f>GB66/$AR$66</f>
        <v/>
      </c>
      <c r="GC84" s="582">
        <f>GC66/$AR$66</f>
        <v/>
      </c>
      <c r="GD84" s="582">
        <f>GD66/$AR$66</f>
        <v/>
      </c>
      <c r="GE84" s="582">
        <f>GE66/$AR$66</f>
        <v/>
      </c>
      <c r="GF84" s="582">
        <f>GF66/$AR$66</f>
        <v/>
      </c>
      <c r="GG84" s="582">
        <f>GG66/$AR$66</f>
        <v/>
      </c>
      <c r="GH84" s="582">
        <f>GH66/$AR$66</f>
        <v/>
      </c>
      <c r="GI84" s="582">
        <f>GI66/$AR$66</f>
        <v/>
      </c>
      <c r="GJ84" s="582">
        <f>GJ66/$AR$66</f>
        <v/>
      </c>
      <c r="GK84" s="582">
        <f>GK66/$AR$66</f>
        <v/>
      </c>
      <c r="GL84" s="582">
        <f>GL66/$AR$66</f>
        <v/>
      </c>
      <c r="GM84" s="582">
        <f>GM66/$AR$66</f>
        <v/>
      </c>
      <c r="GN84" s="582">
        <f>GN66/$AR$66</f>
        <v/>
      </c>
      <c r="GO84" s="582">
        <f>GO66/$AR$66</f>
        <v/>
      </c>
      <c r="GP84" s="582">
        <f>GP66/$AR$66</f>
        <v/>
      </c>
      <c r="GQ84" s="582">
        <f>GQ66/$AR$66</f>
        <v/>
      </c>
      <c r="GR84" s="582">
        <f>GR66/$AR$66</f>
        <v/>
      </c>
      <c r="GS84" s="582">
        <f>GS66/$AR$66</f>
        <v/>
      </c>
      <c r="GT84" s="582">
        <f>GT66/$AR$66</f>
        <v/>
      </c>
      <c r="GU84" s="582">
        <f>GU66/$AR$66</f>
        <v/>
      </c>
      <c r="GV84" s="582">
        <f>GV66/$AR$66</f>
        <v/>
      </c>
      <c r="GW84" s="582">
        <f>GW66/$AR$66</f>
        <v/>
      </c>
      <c r="GX84" s="582">
        <f>GX66/$AR$66</f>
        <v/>
      </c>
      <c r="GY84" s="582">
        <f>GY66/$AR$66</f>
        <v/>
      </c>
      <c r="GZ84" s="582">
        <f>GZ66/$AR$66</f>
        <v/>
      </c>
      <c r="HA84" s="582">
        <f>HA66/$AR$66</f>
        <v/>
      </c>
      <c r="HB84" s="582">
        <f>HB66/$AR$66</f>
        <v/>
      </c>
      <c r="HC84" s="582">
        <f>HC66/$AR$66</f>
        <v/>
      </c>
      <c r="HD84" s="582">
        <f>HD66/$AR$66</f>
        <v/>
      </c>
      <c r="HE84" s="582">
        <f>HE66/$AR$66</f>
        <v/>
      </c>
      <c r="HF84" s="582">
        <f>HF66/$AR$66</f>
        <v/>
      </c>
      <c r="HG84" s="582">
        <f>HG66/$AR$66</f>
        <v/>
      </c>
      <c r="HH84" s="582">
        <f>HH66/$AR$66</f>
        <v/>
      </c>
      <c r="HI84" s="582">
        <f>HI66/$AR$66</f>
        <v/>
      </c>
      <c r="HJ84" s="582">
        <f>HJ66/$AR$66</f>
        <v/>
      </c>
      <c r="HK84" s="582">
        <f>HK66/$AR$66</f>
        <v/>
      </c>
      <c r="HL84" s="582">
        <f>HL66/$AR$66</f>
        <v/>
      </c>
      <c r="HM84" s="582">
        <f>HM66/$AR$66</f>
        <v/>
      </c>
      <c r="HN84" s="582">
        <f>HN66/$AR$66</f>
        <v/>
      </c>
      <c r="HO84" s="582">
        <f>HO66/$AR$66</f>
        <v/>
      </c>
      <c r="HP84" s="582">
        <f>HP66/$AR$66</f>
        <v/>
      </c>
      <c r="HQ84" s="582">
        <f>HQ66/$AR$66</f>
        <v/>
      </c>
      <c r="HR84" s="582">
        <f>HR66/$AR$66</f>
        <v/>
      </c>
      <c r="HS84" s="582">
        <f>HS66/$AR$66</f>
        <v/>
      </c>
      <c r="HT84" s="582">
        <f>HT66/$AR$66</f>
        <v/>
      </c>
    </row>
    <row r="85">
      <c r="AG85" s="583" t="n"/>
      <c r="AH85" s="583" t="n"/>
      <c r="AI85" s="583" t="n"/>
      <c r="AJ85" s="583" t="n"/>
      <c r="AK85" s="583" t="n"/>
      <c r="AL85" s="583" t="n"/>
      <c r="AM85" s="583" t="n"/>
      <c r="AN85" s="583" t="n"/>
      <c r="AO85" s="583" t="n"/>
      <c r="AP85" s="583" t="n"/>
      <c r="BA85" s="252" t="n">
        <v>2250</v>
      </c>
      <c r="BE85" s="446" t="n"/>
    </row>
    <row r="86">
      <c r="BA86" s="252" t="n">
        <v>1500</v>
      </c>
    </row>
    <row r="87">
      <c r="BA87" s="252" t="n">
        <v>900</v>
      </c>
    </row>
    <row r="88">
      <c r="HU88" s="252" t="inlineStr">
        <is>
          <t>Saldo médio final pós obra</t>
        </is>
      </c>
    </row>
    <row r="89">
      <c r="HU89" s="576">
        <f>AVERAGE(BI76:HU76)</f>
        <v/>
      </c>
    </row>
    <row r="111">
      <c r="AL111" s="584" t="n"/>
      <c r="AM111" s="584" t="n"/>
      <c r="AN111" s="584" t="n"/>
      <c r="AO111" s="584" t="n"/>
      <c r="AP111" s="584" t="n"/>
    </row>
    <row r="112">
      <c r="AL112" s="584" t="n"/>
      <c r="AM112" s="584" t="n"/>
      <c r="AN112" s="584" t="n"/>
      <c r="AO112" s="584" t="n"/>
      <c r="AP112" s="584" t="n"/>
    </row>
    <row r="123">
      <c r="AM123" s="585" t="n"/>
      <c r="AN123" s="585" t="n"/>
      <c r="AO123" s="585" t="n"/>
      <c r="AP123" s="585" t="n"/>
    </row>
  </sheetData>
  <mergeCells count="5">
    <mergeCell ref="M4:W4"/>
    <mergeCell ref="KH1:KH3"/>
    <mergeCell ref="B4:B5"/>
    <mergeCell ref="AR1:AR3"/>
    <mergeCell ref="KG4:KG5"/>
  </mergeCells>
  <conditionalFormatting sqref="B72:J72">
    <cfRule type="top10" rank="1" priority="646" dxfId="8" bottom="1"/>
  </conditionalFormatting>
  <conditionalFormatting sqref="B75:AB75 C73 C75:C76 J75:AP77 AT75:HU76 AT77:BD77">
    <cfRule type="cellIs" priority="171" operator="lessThan" dxfId="0">
      <formula>0</formula>
    </cfRule>
  </conditionalFormatting>
  <conditionalFormatting sqref="C8:L9 C12:AP12 C15:AP15 C72:HU76 AQ25:AQ28 AQ29:HU31 AQ36:AS37 AQ38:AQ40 AQ41:AS42 AQ43:AQ44 AQ45:AS46 AQ47 AQ48:AS49 AQ50:AQ51 AQ52:AS55 AQ56 AQ57:AS58 AQ59 AQ60:AS61 AQ62 AQ63:AS64 AQ65:AQ66 AS25:HU28 AS38:AS40 AS43:AS44 AS47 AS50:AS51 AS59 AS62 AS65:AS66 AT12:HU12 AT15:HU15 AT18:HU18 AT36:HU69">
    <cfRule type="cellIs" priority="138" operator="lessThan" dxfId="12">
      <formula>0</formula>
    </cfRule>
  </conditionalFormatting>
  <conditionalFormatting sqref="C18:AP18">
    <cfRule type="cellIs" priority="3" operator="lessThan" dxfId="12">
      <formula>0</formula>
    </cfRule>
  </conditionalFormatting>
  <conditionalFormatting sqref="C25:AP34">
    <cfRule type="cellIs" priority="4" operator="lessThan" dxfId="12">
      <formula>0</formula>
    </cfRule>
  </conditionalFormatting>
  <conditionalFormatting sqref="C36:AP69">
    <cfRule type="cellIs" priority="2" operator="lessThan" dxfId="12">
      <formula>0</formula>
    </cfRule>
  </conditionalFormatting>
  <conditionalFormatting sqref="C70:HU70">
    <cfRule type="cellIs" priority="65" operator="lessThan" dxfId="43">
      <formula>0</formula>
    </cfRule>
    <cfRule type="cellIs" priority="66" operator="lessThan">
      <formula>0</formula>
    </cfRule>
  </conditionalFormatting>
  <conditionalFormatting sqref="C73:HU73">
    <cfRule type="cellIs" priority="187" operator="lessThan" dxfId="8">
      <formula>0</formula>
    </cfRule>
  </conditionalFormatting>
  <conditionalFormatting sqref="E76:HU76">
    <cfRule type="cellIs" priority="64" operator="lessThan" dxfId="40">
      <formula>0</formula>
    </cfRule>
  </conditionalFormatting>
  <conditionalFormatting sqref="J72">
    <cfRule type="top10" rank="1" priority="142" dxfId="8" bottom="1"/>
  </conditionalFormatting>
  <conditionalFormatting sqref="J8:AP8">
    <cfRule type="cellIs" priority="144" operator="lessThan" dxfId="12">
      <formula>0</formula>
    </cfRule>
  </conditionalFormatting>
  <conditionalFormatting sqref="AQ32:AQ35 AS35">
    <cfRule type="cellIs" priority="123" operator="lessThan" dxfId="12">
      <formula>0</formula>
    </cfRule>
  </conditionalFormatting>
  <conditionalFormatting sqref="AQ16:AS16">
    <cfRule type="cellIs" priority="186" operator="lessThan" dxfId="12">
      <formula>0</formula>
    </cfRule>
  </conditionalFormatting>
  <conditionalFormatting sqref="B75 AQ67:AS69">
    <cfRule type="cellIs" priority="57" operator="lessThan" dxfId="12">
      <formula>0</formula>
    </cfRule>
  </conditionalFormatting>
  <conditionalFormatting sqref="AQ72:AS72 AQ75:AS76">
    <cfRule type="cellIs" priority="191" operator="lessThan" dxfId="12">
      <formula>0</formula>
    </cfRule>
  </conditionalFormatting>
  <conditionalFormatting sqref="AQ73:AS73">
    <cfRule type="cellIs" priority="195" operator="lessThan" dxfId="0">
      <formula>0</formula>
    </cfRule>
  </conditionalFormatting>
  <conditionalFormatting sqref="AR75:AR76">
    <cfRule type="cellIs" priority="137" operator="lessThan" dxfId="0">
      <formula>0</formula>
    </cfRule>
  </conditionalFormatting>
  <conditionalFormatting sqref="B72 AS56">
    <cfRule type="cellIs" priority="58" operator="lessThan" dxfId="12">
      <formula>0</formula>
    </cfRule>
  </conditionalFormatting>
  <conditionalFormatting sqref="AS32:HU34">
    <cfRule type="cellIs" priority="5" operator="lessThan" dxfId="12">
      <formula>0</formula>
    </cfRule>
  </conditionalFormatting>
  <conditionalFormatting sqref="AT8:HU9">
    <cfRule type="cellIs" priority="1" operator="lessThan" dxfId="12">
      <formula>0</formula>
    </cfRule>
  </conditionalFormatting>
  <conditionalFormatting sqref="J72:AP72 AT72:HU72">
    <cfRule type="top10" rank="1" priority="1092" dxfId="8" bottom="1"/>
  </conditionalFormatting>
  <conditionalFormatting sqref="BD2">
    <cfRule type="cellIs" priority="110" operator="lessThan" dxfId="0">
      <formula>0</formula>
    </cfRule>
  </conditionalFormatting>
  <conditionalFormatting sqref="BF77:DK77">
    <cfRule type="cellIs" priority="130" operator="lessThan" dxfId="0">
      <formula>0</formula>
    </cfRule>
  </conditionalFormatting>
  <conditionalFormatting sqref="BP2">
    <cfRule type="cellIs" priority="109" operator="lessThan" dxfId="0">
      <formula>0</formula>
    </cfRule>
  </conditionalFormatting>
  <conditionalFormatting sqref="CB2">
    <cfRule type="cellIs" priority="108" operator="lessThan" dxfId="0">
      <formula>0</formula>
    </cfRule>
  </conditionalFormatting>
  <conditionalFormatting sqref="CN2">
    <cfRule type="cellIs" priority="107" operator="lessThan" dxfId="0">
      <formula>0</formula>
    </cfRule>
  </conditionalFormatting>
  <conditionalFormatting sqref="JF8:JI9 JF12:JI12 JF15:JI15 JF18:JI18 JF25:JI34 JF36:JI69 JF72:JI76">
    <cfRule type="cellIs" priority="47" operator="lessThan" dxfId="12">
      <formula>0</formula>
    </cfRule>
  </conditionalFormatting>
  <conditionalFormatting sqref="JF70:JI70">
    <cfRule type="cellIs" priority="51" operator="lessThan" dxfId="43">
      <formula>0</formula>
    </cfRule>
    <cfRule type="cellIs" priority="52" operator="lessThan">
      <formula>0</formula>
    </cfRule>
  </conditionalFormatting>
  <conditionalFormatting sqref="JF72:JI72">
    <cfRule type="top10" rank="1" priority="53" dxfId="8" bottom="1"/>
  </conditionalFormatting>
  <conditionalFormatting sqref="JF73:JI73">
    <cfRule type="cellIs" priority="49" operator="lessThan" dxfId="8">
      <formula>0</formula>
    </cfRule>
  </conditionalFormatting>
  <conditionalFormatting sqref="JF75:JI76">
    <cfRule type="cellIs" priority="48" operator="lessThan" dxfId="0">
      <formula>0</formula>
    </cfRule>
  </conditionalFormatting>
  <conditionalFormatting sqref="JF76:JI76">
    <cfRule type="cellIs" priority="50" operator="lessThan" dxfId="40">
      <formula>0</formula>
    </cfRule>
  </conditionalFormatting>
  <conditionalFormatting sqref="JM8:JM9 JM18 JM36:JM69 JM72:JM76">
    <cfRule type="cellIs" priority="13" operator="lessThan" dxfId="12">
      <formula>0</formula>
    </cfRule>
  </conditionalFormatting>
  <conditionalFormatting sqref="JM12">
    <cfRule type="cellIs" priority="7" operator="lessThan" dxfId="12">
      <formula>0</formula>
    </cfRule>
  </conditionalFormatting>
  <conditionalFormatting sqref="JM15">
    <cfRule type="cellIs" priority="8" operator="lessThan" dxfId="12">
      <formula>0</formula>
    </cfRule>
  </conditionalFormatting>
  <conditionalFormatting sqref="JM25:JM34">
    <cfRule type="cellIs" priority="9" operator="lessThan" dxfId="12">
      <formula>0</formula>
    </cfRule>
  </conditionalFormatting>
  <conditionalFormatting sqref="JM70">
    <cfRule type="cellIs" priority="11" operator="lessThan" dxfId="43">
      <formula>0</formula>
    </cfRule>
    <cfRule type="cellIs" priority="12" operator="lessThan">
      <formula>0</formula>
    </cfRule>
  </conditionalFormatting>
  <conditionalFormatting sqref="JM72">
    <cfRule type="top10" rank="1" priority="16" dxfId="8" bottom="1"/>
  </conditionalFormatting>
  <conditionalFormatting sqref="JM73">
    <cfRule type="cellIs" priority="15" operator="lessThan" dxfId="8">
      <formula>0</formula>
    </cfRule>
  </conditionalFormatting>
  <conditionalFormatting sqref="JM75:JM77">
    <cfRule type="cellIs" priority="14" operator="lessThan" dxfId="0">
      <formula>0</formula>
    </cfRule>
  </conditionalFormatting>
  <conditionalFormatting sqref="JM76">
    <cfRule type="cellIs" priority="10" operator="lessThan" dxfId="40">
      <formula>0</formula>
    </cfRule>
  </conditionalFormatting>
  <conditionalFormatting sqref="JS33">
    <cfRule type="cellIs" priority="28" operator="lessThan" dxfId="12">
      <formula>0</formula>
    </cfRule>
  </conditionalFormatting>
  <conditionalFormatting sqref="JS8:JZ9 JS12:JZ12 JS15:JZ15 JS18:JZ18">
    <cfRule type="cellIs" priority="46" operator="lessThan" dxfId="12">
      <formula>0</formula>
    </cfRule>
  </conditionalFormatting>
  <conditionalFormatting sqref="KG72">
    <cfRule type="top10" rank="1" priority="44" dxfId="8" bottom="1"/>
  </conditionalFormatting>
  <conditionalFormatting sqref="KG75">
    <cfRule type="cellIs" priority="41" operator="lessThan" dxfId="12">
      <formula>0</formula>
    </cfRule>
    <cfRule type="cellIs" priority="43" operator="lessThan" dxfId="0">
      <formula>0</formula>
    </cfRule>
  </conditionalFormatting>
  <conditionalFormatting sqref="KG72:KH72">
    <cfRule type="cellIs" priority="39" operator="lessThan" dxfId="12">
      <formula>0</formula>
    </cfRule>
  </conditionalFormatting>
  <conditionalFormatting sqref="KH16">
    <cfRule type="cellIs" priority="37" operator="lessThan" dxfId="12">
      <formula>0</formula>
    </cfRule>
  </conditionalFormatting>
  <conditionalFormatting sqref="KH29:KH31 KH36:KH37 KH41:KH42 KH45:KH46 KH48:KH49 KH52:KH55 KH57:KH58 KH60:KH61 KH63:KH64 KH67:KH69">
    <cfRule type="cellIs" priority="36" operator="lessThan" dxfId="12">
      <formula>0</formula>
    </cfRule>
  </conditionalFormatting>
  <conditionalFormatting sqref="KH70">
    <cfRule type="cellIs" priority="33" operator="lessThan" dxfId="43">
      <formula>0</formula>
    </cfRule>
    <cfRule type="cellIs" priority="34" operator="lessThan">
      <formula>0</formula>
    </cfRule>
  </conditionalFormatting>
  <conditionalFormatting sqref="KH72:KH76">
    <cfRule type="cellIs" priority="31" operator="lessThan" dxfId="12">
      <formula>0</formula>
    </cfRule>
  </conditionalFormatting>
  <conditionalFormatting sqref="KH73">
    <cfRule type="cellIs" priority="38" operator="lessThan" dxfId="8">
      <formula>0</formula>
    </cfRule>
    <cfRule type="cellIs" priority="40" operator="lessThan" dxfId="0">
      <formula>0</formula>
    </cfRule>
  </conditionalFormatting>
  <conditionalFormatting sqref="KH75:KH76">
    <cfRule type="cellIs" priority="35" operator="lessThan" dxfId="0">
      <formula>0</formula>
    </cfRule>
  </conditionalFormatting>
  <conditionalFormatting sqref="KH76">
    <cfRule type="cellIs" priority="32" operator="lessThan" dxfId="40">
      <formula>0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J123"/>
  <sheetViews>
    <sheetView showGridLines="0" topLeftCell="A56" zoomScale="86" zoomScaleNormal="86" workbookViewId="0">
      <pane xSplit="1" topLeftCell="AX1" activePane="topRight" state="frozen"/>
      <selection activeCell="A6" sqref="A6"/>
      <selection pane="topRight" activeCell="A88" sqref="A88"/>
    </sheetView>
  </sheetViews>
  <sheetFormatPr baseColWidth="8" defaultColWidth="8.88671875" defaultRowHeight="10.2"/>
  <cols>
    <col width="39.44140625" bestFit="1" customWidth="1" style="252" min="1" max="1"/>
    <col width="13" customWidth="1" style="252" min="2" max="2"/>
    <col outlineLevel="1" width="10.5546875" customWidth="1" style="252" min="3" max="3"/>
    <col outlineLevel="1" width="10" customWidth="1" style="252" min="4" max="4"/>
    <col width="10.21875" customWidth="1" style="252" min="5" max="5"/>
    <col width="10" customWidth="1" style="252" min="6" max="6"/>
    <col width="10.44140625" customWidth="1" style="252" min="7" max="11"/>
    <col width="10.6640625" customWidth="1" style="252" min="12" max="13"/>
    <col width="10.44140625" customWidth="1" style="252" min="14" max="15"/>
    <col width="10.6640625" customWidth="1" style="252" min="16" max="16"/>
    <col width="10.44140625" customWidth="1" style="252" min="17" max="17"/>
    <col width="10.6640625" customWidth="1" style="252" min="18" max="19"/>
    <col width="10.44140625" customWidth="1" style="252" min="20" max="20"/>
    <col width="10.6640625" customWidth="1" style="252" min="21" max="23"/>
    <col width="11.88671875" customWidth="1" style="252" min="24" max="24"/>
    <col width="12.21875" customWidth="1" style="252" min="25" max="26"/>
    <col width="11.88671875" customWidth="1" style="252" min="27" max="27"/>
    <col width="12.21875" customWidth="1" style="252" min="28" max="28"/>
    <col width="11.88671875" customWidth="1" style="252" min="29" max="42"/>
    <col width="2" customWidth="1" style="252" min="43" max="43"/>
    <col width="14.88671875" customWidth="1" style="252" min="44" max="44"/>
    <col width="2" customWidth="1" style="252" min="45" max="45"/>
    <col width="16.109375" bestFit="1" customWidth="1" style="252" min="46" max="153"/>
    <col width="15.6640625" bestFit="1" customWidth="1" style="252" min="154" max="154"/>
    <col width="14.44140625" bestFit="1" customWidth="1" style="252" min="155" max="218"/>
    <col width="14.21875" bestFit="1" customWidth="1" style="252" min="219" max="220"/>
    <col width="15.77734375" bestFit="1" customWidth="1" style="252" min="221" max="221"/>
    <col width="15.5546875" bestFit="1" customWidth="1" style="252" min="222" max="222"/>
    <col width="15.77734375" bestFit="1" customWidth="1" style="252" min="223" max="224"/>
    <col width="14.21875" bestFit="1" customWidth="1" style="252" min="225" max="228"/>
    <col width="13.44140625" bestFit="1" customWidth="1" style="252" min="229" max="229"/>
    <col width="8.88671875" customWidth="1" style="252" min="230" max="265"/>
    <col width="13.44140625" customWidth="1" style="252" min="266" max="269"/>
    <col width="8.88671875" customWidth="1" style="252" min="270" max="272"/>
    <col width="14.44140625" bestFit="1" customWidth="1" style="252" min="273" max="273"/>
    <col width="8.88671875" customWidth="1" style="252" min="274" max="277"/>
    <col width="38.77734375" bestFit="1" customWidth="1" style="252" min="278" max="278"/>
    <col width="12.77734375" bestFit="1" customWidth="1" style="252" min="279" max="279"/>
    <col width="11.6640625" bestFit="1" customWidth="1" style="252" min="280" max="280"/>
    <col width="12.77734375" bestFit="1" customWidth="1" style="252" min="281" max="281"/>
    <col width="13" bestFit="1" customWidth="1" style="252" min="282" max="282"/>
    <col width="13" customWidth="1" style="252" min="283" max="285"/>
    <col width="13.88671875" bestFit="1" customWidth="1" style="252" min="286" max="286"/>
    <col width="8.88671875" customWidth="1" style="252" min="287" max="292"/>
    <col width="13" customWidth="1" style="252" min="293" max="293"/>
    <col width="14.88671875" customWidth="1" style="252" min="294" max="294"/>
    <col width="8.88671875" customWidth="1" style="252" min="295" max="295"/>
    <col width="10.109375" bestFit="1" customWidth="1" style="252" min="296" max="296"/>
    <col width="8.88671875" customWidth="1" style="252" min="297" max="16384"/>
  </cols>
  <sheetData>
    <row r="1" ht="18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506" t="inlineStr">
        <is>
          <t>Total | Previsão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E1" s="1" t="n"/>
      <c r="BF1" s="373" t="inlineStr">
        <is>
          <t>PREVISÃO DE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EC1" s="343" t="inlineStr">
        <is>
          <t>FIM DAS VENDAS</t>
        </is>
      </c>
      <c r="JF1" s="438" t="inlineStr">
        <is>
          <t>Realizado</t>
        </is>
      </c>
      <c r="JG1" s="439" t="n"/>
      <c r="JH1" s="439" t="n"/>
      <c r="JI1" s="440" t="n"/>
      <c r="JM1" s="1" t="inlineStr">
        <is>
          <t>Previsão de Maio feita no fechamento de Abril/26</t>
        </is>
      </c>
      <c r="KG1" s="1" t="n"/>
      <c r="KH1" s="506" t="inlineStr">
        <is>
          <t>Total | Previsão</t>
        </is>
      </c>
    </row>
    <row r="2" ht="18" customHeight="1">
      <c r="A2" s="2" t="inlineStr">
        <is>
          <t>Ville de Provence</t>
        </is>
      </c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4">
        <f>+AB8+AB9+AC8+AC9+AD8+AD9+AE8+AE9+AF8+AF9+AD62</f>
        <v/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507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321" t="n"/>
      <c r="BE2" s="1" t="n"/>
      <c r="BF2" s="373" t="inlineStr">
        <is>
          <t>ENTREGA DA OBRA</t>
        </is>
      </c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32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32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283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32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EC2" s="343" t="n"/>
      <c r="JF2" s="437" t="inlineStr">
        <is>
          <t>No mês</t>
        </is>
      </c>
      <c r="JG2" s="437" t="inlineStr">
        <is>
          <t>Ano 2025</t>
        </is>
      </c>
      <c r="JH2" s="437" t="inlineStr">
        <is>
          <t>Ano 2026</t>
        </is>
      </c>
      <c r="JI2" s="437" t="inlineStr">
        <is>
          <t>Acumulado</t>
        </is>
      </c>
      <c r="JM2" s="1" t="n"/>
      <c r="JS2" s="437" t="inlineStr">
        <is>
          <t>YTD</t>
        </is>
      </c>
      <c r="JT2" s="456" t="inlineStr">
        <is>
          <t>Prev. 2025</t>
        </is>
      </c>
      <c r="JU2" s="437" t="n">
        <v>2026</v>
      </c>
      <c r="JV2" s="437" t="n">
        <v>2027</v>
      </c>
      <c r="JW2" s="437" t="n">
        <v>2028</v>
      </c>
      <c r="JX2" s="437" t="n">
        <v>2029</v>
      </c>
      <c r="JY2" s="437" t="n">
        <v>2030</v>
      </c>
      <c r="JZ2" s="437" t="inlineStr">
        <is>
          <t>Demais</t>
        </is>
      </c>
      <c r="KG2" s="2" t="n"/>
      <c r="KH2" s="507" t="n"/>
    </row>
    <row r="3" ht="10.8" customHeight="1" thickBot="1">
      <c r="A3" s="2" t="n"/>
      <c r="B3" s="2" t="n"/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1" t="n">
        <v>11</v>
      </c>
      <c r="N3" s="51" t="n">
        <v>12</v>
      </c>
      <c r="O3" s="51" t="n">
        <v>13</v>
      </c>
      <c r="P3" s="51" t="n">
        <v>14</v>
      </c>
      <c r="Q3" s="51" t="n">
        <v>15</v>
      </c>
      <c r="R3" s="51" t="n">
        <v>16</v>
      </c>
      <c r="S3" s="51" t="n">
        <v>17</v>
      </c>
      <c r="T3" s="51" t="n">
        <v>18</v>
      </c>
      <c r="U3" s="51" t="n">
        <v>19</v>
      </c>
      <c r="V3" s="51" t="n">
        <v>20</v>
      </c>
      <c r="W3" s="51" t="n">
        <v>21</v>
      </c>
      <c r="X3" s="51" t="n">
        <v>22</v>
      </c>
      <c r="Y3" s="51" t="n">
        <v>23</v>
      </c>
      <c r="Z3" s="51" t="n">
        <v>24</v>
      </c>
      <c r="AA3" s="51" t="n">
        <v>25</v>
      </c>
      <c r="AB3" s="51" t="n">
        <v>26</v>
      </c>
      <c r="AC3" s="51" t="n">
        <v>27</v>
      </c>
      <c r="AD3" s="51" t="n">
        <v>28</v>
      </c>
      <c r="AE3" s="51" t="n">
        <v>29</v>
      </c>
      <c r="AF3" s="51" t="n">
        <v>30</v>
      </c>
      <c r="AG3" s="51" t="n">
        <v>31</v>
      </c>
      <c r="AH3" s="51" t="n">
        <v>32</v>
      </c>
      <c r="AI3" s="51" t="n">
        <v>33</v>
      </c>
      <c r="AJ3" s="51" t="n">
        <v>34</v>
      </c>
      <c r="AK3" s="51" t="n">
        <v>35</v>
      </c>
      <c r="AL3" s="51" t="n">
        <v>36</v>
      </c>
      <c r="AM3" s="51" t="n">
        <v>37</v>
      </c>
      <c r="AN3" s="51" t="n">
        <v>38</v>
      </c>
      <c r="AO3" s="51" t="n">
        <v>39</v>
      </c>
      <c r="AP3" s="51" t="n">
        <v>40</v>
      </c>
      <c r="AQ3" s="51" t="n"/>
      <c r="AR3" s="508" t="n"/>
      <c r="AS3" s="51" t="n"/>
      <c r="AT3" s="51" t="n">
        <v>41</v>
      </c>
      <c r="AU3" s="51" t="n">
        <v>42</v>
      </c>
      <c r="AV3" s="51" t="n">
        <v>43</v>
      </c>
      <c r="AW3" s="51" t="n">
        <v>44</v>
      </c>
      <c r="AX3" s="51" t="n">
        <v>45</v>
      </c>
      <c r="AY3" s="51" t="n">
        <v>46</v>
      </c>
      <c r="AZ3" s="51" t="n">
        <v>47</v>
      </c>
      <c r="BA3" s="51" t="n">
        <v>48</v>
      </c>
      <c r="BB3" s="51" t="n">
        <v>49</v>
      </c>
      <c r="BC3" s="51" t="n">
        <v>50</v>
      </c>
      <c r="BD3" s="51" t="n">
        <v>51</v>
      </c>
      <c r="BE3" s="51" t="n">
        <v>52</v>
      </c>
      <c r="BF3" s="51" t="n">
        <v>53</v>
      </c>
      <c r="BG3" s="51" t="n">
        <v>54</v>
      </c>
      <c r="BH3" s="51" t="n">
        <v>55</v>
      </c>
      <c r="BI3" s="51" t="n">
        <v>56</v>
      </c>
      <c r="BJ3" s="51" t="n">
        <v>57</v>
      </c>
      <c r="BK3" s="51" t="n">
        <v>58</v>
      </c>
      <c r="BL3" s="51" t="n">
        <v>59</v>
      </c>
      <c r="BM3" s="51" t="n">
        <v>60</v>
      </c>
      <c r="BN3" s="51" t="n">
        <v>61</v>
      </c>
      <c r="BO3" s="51" t="n">
        <v>62</v>
      </c>
      <c r="BP3" s="51" t="n">
        <v>63</v>
      </c>
      <c r="BQ3" s="51" t="n">
        <v>64</v>
      </c>
      <c r="BR3" s="51" t="n">
        <v>65</v>
      </c>
      <c r="BS3" s="51" t="n">
        <v>66</v>
      </c>
      <c r="BT3" s="51" t="n">
        <v>67</v>
      </c>
      <c r="BU3" s="51" t="n">
        <v>68</v>
      </c>
      <c r="BV3" s="51" t="n">
        <v>69</v>
      </c>
      <c r="BW3" s="51" t="n">
        <v>70</v>
      </c>
      <c r="BX3" s="51" t="n">
        <v>71</v>
      </c>
      <c r="BY3" s="51" t="n">
        <v>72</v>
      </c>
      <c r="BZ3" s="51" t="n">
        <v>73</v>
      </c>
      <c r="CA3" s="51" t="n">
        <v>74</v>
      </c>
      <c r="CB3" s="51" t="n">
        <v>75</v>
      </c>
      <c r="CC3" s="51" t="n">
        <v>76</v>
      </c>
      <c r="CD3" s="51" t="n">
        <v>77</v>
      </c>
      <c r="CE3" s="51" t="n">
        <v>78</v>
      </c>
      <c r="CF3" s="51" t="n">
        <v>79</v>
      </c>
      <c r="CG3" s="51" t="n">
        <v>80</v>
      </c>
      <c r="CH3" s="51" t="n">
        <v>81</v>
      </c>
      <c r="CI3" s="51" t="n">
        <v>82</v>
      </c>
      <c r="CJ3" s="51" t="n">
        <v>83</v>
      </c>
      <c r="CK3" s="51" t="n">
        <v>84</v>
      </c>
      <c r="CL3" s="51" t="n">
        <v>85</v>
      </c>
      <c r="CM3" s="51" t="n">
        <v>86</v>
      </c>
      <c r="CN3" s="51" t="n">
        <v>87</v>
      </c>
      <c r="CO3" s="51" t="n">
        <v>88</v>
      </c>
      <c r="CP3" s="51" t="n">
        <v>89</v>
      </c>
      <c r="CQ3" s="51" t="n">
        <v>90</v>
      </c>
      <c r="CR3" s="51" t="n">
        <v>91</v>
      </c>
      <c r="CS3" s="51" t="n">
        <v>92</v>
      </c>
      <c r="CT3" s="51" t="n">
        <v>93</v>
      </c>
      <c r="CU3" s="51" t="n">
        <v>94</v>
      </c>
      <c r="CV3" s="51" t="n">
        <v>95</v>
      </c>
      <c r="CW3" s="51" t="n">
        <v>96</v>
      </c>
      <c r="CX3" s="51" t="n">
        <v>97</v>
      </c>
      <c r="CY3" s="51" t="n">
        <v>98</v>
      </c>
      <c r="CZ3" s="51" t="n">
        <v>99</v>
      </c>
      <c r="DA3" s="51" t="n">
        <v>100</v>
      </c>
      <c r="DB3" s="51" t="n">
        <v>101</v>
      </c>
      <c r="DC3" s="51" t="n">
        <v>102</v>
      </c>
      <c r="DD3" s="51" t="n">
        <v>103</v>
      </c>
      <c r="DE3" s="51" t="n">
        <v>104</v>
      </c>
      <c r="DF3" s="51" t="n">
        <v>105</v>
      </c>
      <c r="DG3" s="51" t="n">
        <v>106</v>
      </c>
      <c r="DH3" s="51" t="n">
        <v>107</v>
      </c>
      <c r="DI3" s="51" t="n">
        <v>108</v>
      </c>
      <c r="DJ3" s="51" t="n">
        <v>109</v>
      </c>
      <c r="DK3" s="51" t="n">
        <v>110</v>
      </c>
      <c r="DL3" s="51" t="n">
        <v>111</v>
      </c>
      <c r="DM3" s="51" t="n">
        <v>112</v>
      </c>
      <c r="DN3" s="51" t="n">
        <v>113</v>
      </c>
      <c r="DO3" s="51" t="n">
        <v>114</v>
      </c>
      <c r="DP3" s="51" t="n">
        <v>115</v>
      </c>
      <c r="DQ3" s="51" t="n">
        <v>116</v>
      </c>
      <c r="DR3" s="51" t="n">
        <v>117</v>
      </c>
      <c r="DS3" s="51" t="n">
        <v>118</v>
      </c>
      <c r="DT3" s="51" t="n">
        <v>119</v>
      </c>
      <c r="DU3" s="51" t="n">
        <v>120</v>
      </c>
      <c r="DV3" s="51" t="n">
        <v>121</v>
      </c>
      <c r="DW3" s="51" t="n">
        <v>122</v>
      </c>
      <c r="DX3" s="51" t="n">
        <v>123</v>
      </c>
      <c r="DY3" s="51" t="n">
        <v>124</v>
      </c>
      <c r="DZ3" s="51" t="n">
        <v>125</v>
      </c>
      <c r="EA3" s="51" t="n">
        <v>126</v>
      </c>
      <c r="EB3" s="51" t="n">
        <v>127</v>
      </c>
      <c r="EC3" s="344" t="n">
        <v>128</v>
      </c>
      <c r="ED3" s="51" t="n">
        <v>129</v>
      </c>
      <c r="EE3" s="51" t="n">
        <v>130</v>
      </c>
      <c r="EF3" s="51" t="n">
        <v>131</v>
      </c>
      <c r="EG3" s="51" t="n">
        <v>132</v>
      </c>
      <c r="EH3" s="51" t="n">
        <v>133</v>
      </c>
      <c r="EI3" s="51" t="n">
        <v>134</v>
      </c>
      <c r="EJ3" s="51" t="n">
        <v>135</v>
      </c>
      <c r="EK3" s="51" t="n">
        <v>136</v>
      </c>
      <c r="EL3" s="51" t="n">
        <v>137</v>
      </c>
      <c r="EM3" s="51" t="n">
        <v>138</v>
      </c>
      <c r="EN3" s="51" t="n">
        <v>139</v>
      </c>
      <c r="EO3" s="51" t="n">
        <v>140</v>
      </c>
      <c r="EP3" s="51" t="n">
        <v>141</v>
      </c>
      <c r="EQ3" s="51" t="n">
        <v>142</v>
      </c>
      <c r="ER3" s="51" t="n">
        <v>143</v>
      </c>
      <c r="ES3" s="51" t="n">
        <v>144</v>
      </c>
      <c r="ET3" s="51" t="n">
        <v>145</v>
      </c>
      <c r="EU3" s="51" t="n">
        <v>146</v>
      </c>
      <c r="EV3" s="51" t="n">
        <v>147</v>
      </c>
      <c r="EW3" s="51" t="n">
        <v>148</v>
      </c>
      <c r="EX3" s="51" t="n">
        <v>149</v>
      </c>
      <c r="EY3" s="51" t="n">
        <v>150</v>
      </c>
      <c r="EZ3" s="51" t="n">
        <v>151</v>
      </c>
      <c r="FA3" s="51" t="n">
        <v>152</v>
      </c>
      <c r="FB3" s="51" t="n">
        <v>153</v>
      </c>
      <c r="FC3" s="51" t="n">
        <v>154</v>
      </c>
      <c r="FD3" s="51" t="n">
        <v>155</v>
      </c>
      <c r="FE3" s="51" t="n">
        <v>156</v>
      </c>
      <c r="FF3" s="51" t="n">
        <v>157</v>
      </c>
      <c r="FG3" s="51" t="n">
        <v>158</v>
      </c>
      <c r="FH3" s="51" t="n">
        <v>159</v>
      </c>
      <c r="FI3" s="51" t="n">
        <v>160</v>
      </c>
      <c r="FJ3" s="51" t="n">
        <v>161</v>
      </c>
      <c r="FK3" s="51" t="n">
        <v>162</v>
      </c>
      <c r="FL3" s="51" t="n">
        <v>163</v>
      </c>
      <c r="FM3" s="51" t="n">
        <v>164</v>
      </c>
      <c r="FN3" s="51" t="n">
        <v>165</v>
      </c>
      <c r="FO3" s="51" t="n">
        <v>166</v>
      </c>
      <c r="FP3" s="51" t="n">
        <v>167</v>
      </c>
      <c r="FQ3" s="51" t="n">
        <v>168</v>
      </c>
      <c r="FR3" s="51" t="n">
        <v>169</v>
      </c>
      <c r="FS3" s="51" t="n">
        <v>170</v>
      </c>
      <c r="FT3" s="51" t="n">
        <v>171</v>
      </c>
      <c r="FU3" s="51" t="n">
        <v>172</v>
      </c>
      <c r="FV3" s="51" t="n">
        <v>173</v>
      </c>
      <c r="FW3" s="51" t="n">
        <v>174</v>
      </c>
      <c r="FX3" s="51" t="n">
        <v>175</v>
      </c>
      <c r="FY3" s="51" t="n">
        <v>176</v>
      </c>
      <c r="FZ3" s="51" t="n">
        <v>177</v>
      </c>
      <c r="GA3" s="51" t="n">
        <v>178</v>
      </c>
      <c r="GB3" s="51" t="n">
        <v>179</v>
      </c>
      <c r="GC3" s="51" t="n">
        <v>180</v>
      </c>
      <c r="GD3" s="51" t="n">
        <v>181</v>
      </c>
      <c r="GE3" s="51" t="n">
        <v>182</v>
      </c>
      <c r="GF3" s="51" t="n">
        <v>183</v>
      </c>
      <c r="GG3" s="51" t="n">
        <v>184</v>
      </c>
      <c r="GH3" s="51" t="n">
        <v>185</v>
      </c>
      <c r="GI3" s="51" t="n">
        <v>186</v>
      </c>
      <c r="GJ3" s="51" t="n">
        <v>187</v>
      </c>
      <c r="GK3" s="51" t="n">
        <v>188</v>
      </c>
      <c r="GL3" s="51" t="n">
        <v>189</v>
      </c>
      <c r="GM3" s="51" t="n">
        <v>190</v>
      </c>
      <c r="GN3" s="51" t="n">
        <v>191</v>
      </c>
      <c r="GO3" s="51" t="n">
        <v>192</v>
      </c>
      <c r="GP3" s="51" t="n">
        <v>193</v>
      </c>
      <c r="GQ3" s="51" t="n">
        <v>194</v>
      </c>
      <c r="GR3" s="51" t="n">
        <v>195</v>
      </c>
      <c r="GS3" s="51" t="n">
        <v>196</v>
      </c>
      <c r="GT3" s="51" t="n">
        <v>197</v>
      </c>
      <c r="GU3" s="51" t="n">
        <v>198</v>
      </c>
      <c r="GV3" s="51" t="n">
        <v>199</v>
      </c>
      <c r="GW3" s="51" t="n">
        <v>200</v>
      </c>
      <c r="GX3" s="51" t="n">
        <v>201</v>
      </c>
      <c r="GY3" s="51" t="n">
        <v>202</v>
      </c>
      <c r="GZ3" s="51" t="n">
        <v>203</v>
      </c>
      <c r="HA3" s="51" t="n">
        <v>204</v>
      </c>
      <c r="HB3" s="51" t="n">
        <v>205</v>
      </c>
      <c r="HC3" s="51" t="n">
        <v>206</v>
      </c>
      <c r="HD3" s="51" t="n">
        <v>207</v>
      </c>
      <c r="HE3" s="51" t="n">
        <v>208</v>
      </c>
      <c r="HF3" s="51" t="n">
        <v>209</v>
      </c>
      <c r="HG3" s="51" t="n">
        <v>210</v>
      </c>
      <c r="HH3" s="51" t="n">
        <v>211</v>
      </c>
      <c r="HI3" s="51" t="n">
        <v>212</v>
      </c>
      <c r="HJ3" s="51" t="n">
        <v>213</v>
      </c>
      <c r="HK3" s="51" t="n">
        <v>214</v>
      </c>
      <c r="HL3" s="51" t="n">
        <v>215</v>
      </c>
      <c r="HM3" s="51" t="n">
        <v>216</v>
      </c>
      <c r="HN3" s="51" t="n">
        <v>217</v>
      </c>
      <c r="HO3" s="51" t="n">
        <v>218</v>
      </c>
      <c r="HP3" s="51" t="n">
        <v>219</v>
      </c>
      <c r="HQ3" s="51" t="n">
        <v>220</v>
      </c>
      <c r="HR3" s="51" t="n">
        <v>221</v>
      </c>
      <c r="HS3" s="51" t="n">
        <v>222</v>
      </c>
      <c r="HT3" s="51" t="n">
        <v>223</v>
      </c>
      <c r="HU3" s="51" t="n">
        <v>224</v>
      </c>
      <c r="JM3" s="51" t="n">
        <v>40</v>
      </c>
      <c r="JT3" s="457" t="n"/>
      <c r="KG3" s="2" t="n"/>
      <c r="KH3" s="508" t="n"/>
    </row>
    <row r="4" ht="15" customHeight="1" thickBot="1">
      <c r="A4" s="3" t="inlineStr">
        <is>
          <t xml:space="preserve">Fluxo de Caixa </t>
        </is>
      </c>
      <c r="B4" s="509" t="inlineStr">
        <is>
          <t>REALIZADO</t>
        </is>
      </c>
      <c r="C4" s="4" t="n"/>
      <c r="D4" s="107" t="n"/>
      <c r="E4" s="107" t="n"/>
      <c r="F4" s="107" t="n"/>
      <c r="G4" s="107" t="n"/>
      <c r="H4" s="107" t="n"/>
      <c r="I4" s="107" t="n"/>
      <c r="J4" s="253" t="n"/>
      <c r="K4" s="254" t="n"/>
      <c r="L4" s="258" t="n"/>
      <c r="M4" s="501" t="inlineStr">
        <is>
          <t>REALIZADO</t>
        </is>
      </c>
      <c r="X4" s="502" t="n"/>
      <c r="Y4" s="502" t="n"/>
      <c r="Z4" s="502" t="n"/>
      <c r="AA4" s="502" t="n"/>
      <c r="AB4" s="502" t="n"/>
      <c r="AC4" s="502" t="n"/>
      <c r="AD4" s="502" t="n"/>
      <c r="AE4" s="502" t="n"/>
      <c r="AF4" s="502" t="n"/>
      <c r="AG4" s="502" t="n"/>
      <c r="AH4" s="502" t="n"/>
      <c r="AI4" s="502" t="n"/>
      <c r="AJ4" s="502" t="n"/>
      <c r="AK4" s="502" t="n"/>
      <c r="AL4" s="502" t="n"/>
      <c r="AM4" s="502" t="n"/>
      <c r="AN4" s="502" t="n"/>
      <c r="AO4" s="502" t="n"/>
      <c r="AP4" s="502" t="n"/>
      <c r="AQ4" s="51" t="n"/>
      <c r="AR4" s="230" t="n"/>
      <c r="AS4" s="5" t="n"/>
      <c r="AT4" s="152" t="n"/>
      <c r="AU4" s="152" t="n"/>
      <c r="AV4" s="152" t="n"/>
      <c r="AW4" s="152" t="n"/>
      <c r="AX4" s="152" t="n"/>
      <c r="AY4" s="152" t="n"/>
      <c r="AZ4" s="152" t="n"/>
      <c r="BA4" s="152" t="n"/>
      <c r="BB4" s="152" t="n"/>
      <c r="BC4" s="152" t="n"/>
      <c r="BD4" s="285" t="n"/>
      <c r="BE4" s="152" t="n"/>
      <c r="BF4" s="152" t="n"/>
      <c r="BG4" s="152" t="n"/>
      <c r="BH4" s="152" t="n"/>
      <c r="BI4" s="152" t="n"/>
      <c r="BJ4" s="152" t="n"/>
      <c r="BK4" s="152" t="n"/>
      <c r="BL4" s="152" t="n"/>
      <c r="BM4" s="152" t="n"/>
      <c r="BN4" s="152" t="n"/>
      <c r="BO4" s="152" t="n"/>
      <c r="BP4" s="285" t="n"/>
      <c r="BQ4" s="152" t="n"/>
      <c r="BR4" s="152" t="n"/>
      <c r="BS4" s="152" t="n"/>
      <c r="BT4" s="152" t="n"/>
      <c r="BU4" s="152" t="n"/>
      <c r="BV4" s="152" t="n"/>
      <c r="BW4" s="152" t="n"/>
      <c r="BX4" s="152" t="n"/>
      <c r="BY4" s="152" t="n"/>
      <c r="BZ4" s="152" t="n"/>
      <c r="CA4" s="152" t="n"/>
      <c r="CB4" s="285" t="n"/>
      <c r="CC4" s="152" t="n"/>
      <c r="CD4" s="152" t="n"/>
      <c r="CE4" s="152" t="n"/>
      <c r="CF4" s="152" t="n"/>
      <c r="CG4" s="152" t="n"/>
      <c r="CH4" s="152" t="n"/>
      <c r="CI4" s="152" t="n"/>
      <c r="CJ4" s="152" t="n"/>
      <c r="CK4" s="152" t="n"/>
      <c r="CL4" s="152" t="n"/>
      <c r="CM4" s="152" t="n"/>
      <c r="CN4" s="285" t="n"/>
      <c r="CO4" s="152" t="n"/>
      <c r="CP4" s="152" t="n"/>
      <c r="CQ4" s="152" t="n"/>
      <c r="CR4" s="152" t="n"/>
      <c r="CS4" s="152" t="n"/>
      <c r="CT4" s="152" t="n"/>
      <c r="CU4" s="152" t="n"/>
      <c r="CV4" s="152" t="n"/>
      <c r="CW4" s="152" t="n"/>
      <c r="CX4" s="152" t="n"/>
      <c r="CY4" s="152" t="n"/>
      <c r="CZ4" s="285" t="n"/>
      <c r="DA4" s="152" t="n"/>
      <c r="DB4" s="152" t="n"/>
      <c r="DC4" s="152" t="n"/>
      <c r="DD4" s="152" t="n"/>
      <c r="DE4" s="152" t="n"/>
      <c r="DF4" s="152" t="n"/>
      <c r="DG4" s="152" t="n"/>
      <c r="DH4" s="152" t="n"/>
      <c r="DI4" s="152" t="n"/>
      <c r="DJ4" s="152" t="n"/>
      <c r="DK4" s="152" t="n"/>
      <c r="DL4" s="152" t="n"/>
      <c r="DM4" s="152" t="n"/>
      <c r="DN4" s="152" t="n"/>
      <c r="DO4" s="152" t="n"/>
      <c r="DP4" s="152" t="n"/>
      <c r="DQ4" s="152" t="n"/>
      <c r="DR4" s="152" t="n"/>
      <c r="DS4" s="152" t="n"/>
      <c r="DT4" s="152" t="n"/>
      <c r="DU4" s="152" t="n"/>
      <c r="DV4" s="152" t="n"/>
      <c r="DW4" s="152" t="n"/>
      <c r="DX4" s="152" t="n"/>
      <c r="DY4" s="152" t="n"/>
      <c r="DZ4" s="152" t="n"/>
      <c r="EA4" s="152" t="n"/>
      <c r="EB4" s="152" t="n"/>
      <c r="EC4" s="152" t="n"/>
      <c r="ED4" s="152" t="n"/>
      <c r="EE4" s="152" t="n"/>
      <c r="EF4" s="152" t="n"/>
      <c r="EG4" s="152" t="n"/>
      <c r="EH4" s="152" t="n"/>
      <c r="EI4" s="152" t="n"/>
      <c r="EJ4" s="152" t="n"/>
      <c r="EK4" s="152" t="n"/>
      <c r="EL4" s="152" t="n"/>
      <c r="EM4" s="152" t="n"/>
      <c r="EN4" s="152" t="n"/>
      <c r="EO4" s="152" t="n"/>
      <c r="EP4" s="152" t="n"/>
      <c r="EQ4" s="152" t="n"/>
      <c r="ER4" s="152" t="n"/>
      <c r="ES4" s="152" t="n"/>
      <c r="ET4" s="152" t="n"/>
      <c r="EU4" s="152" t="n"/>
      <c r="EV4" s="152" t="n"/>
      <c r="EW4" s="152" t="n"/>
      <c r="EX4" s="152" t="n"/>
      <c r="EY4" s="152" t="n"/>
      <c r="EZ4" s="152" t="n"/>
      <c r="FA4" s="152" t="n"/>
      <c r="FB4" s="152" t="n"/>
      <c r="FC4" s="152" t="n"/>
      <c r="FD4" s="152" t="n"/>
      <c r="FE4" s="152" t="n"/>
      <c r="FF4" s="152" t="n"/>
      <c r="FG4" s="152" t="n"/>
      <c r="FH4" s="152" t="n"/>
      <c r="FI4" s="152" t="n"/>
      <c r="FJ4" s="152" t="n"/>
      <c r="FK4" s="152" t="n"/>
      <c r="FL4" s="152" t="n"/>
      <c r="FM4" s="152" t="n"/>
      <c r="FN4" s="152" t="n"/>
      <c r="FO4" s="152" t="n"/>
      <c r="FP4" s="152" t="n"/>
      <c r="FQ4" s="152" t="n"/>
      <c r="FR4" s="152" t="n"/>
      <c r="FS4" s="152" t="n"/>
      <c r="FT4" s="152" t="n"/>
      <c r="FU4" s="152" t="n"/>
      <c r="FV4" s="152" t="n"/>
      <c r="FW4" s="152" t="n"/>
      <c r="FX4" s="152" t="n"/>
      <c r="FY4" s="152" t="n"/>
      <c r="FZ4" s="152" t="n"/>
      <c r="GA4" s="152" t="n"/>
      <c r="GB4" s="152" t="n"/>
      <c r="GC4" s="152" t="n"/>
      <c r="GD4" s="152" t="n"/>
      <c r="GE4" s="152" t="n"/>
      <c r="GF4" s="152" t="n"/>
      <c r="GG4" s="152" t="n"/>
      <c r="GH4" s="152" t="n"/>
      <c r="GI4" s="152" t="n"/>
      <c r="GJ4" s="152" t="n"/>
      <c r="GK4" s="152" t="n"/>
      <c r="GL4" s="152" t="n"/>
      <c r="GM4" s="152" t="n"/>
      <c r="GN4" s="152" t="n"/>
      <c r="GO4" s="152" t="n"/>
      <c r="GP4" s="152" t="n"/>
      <c r="GQ4" s="152" t="n"/>
      <c r="GR4" s="152" t="n"/>
      <c r="GS4" s="152" t="n"/>
      <c r="GT4" s="152" t="n"/>
      <c r="GU4" s="152" t="n"/>
      <c r="GV4" s="152" t="n"/>
      <c r="GW4" s="152" t="n"/>
      <c r="GX4" s="152" t="n"/>
      <c r="GY4" s="152" t="n"/>
      <c r="GZ4" s="152" t="n"/>
      <c r="HA4" s="152" t="n"/>
      <c r="HB4" s="152" t="n"/>
      <c r="HC4" s="152" t="n"/>
      <c r="HD4" s="152" t="n"/>
      <c r="HE4" s="152" t="n"/>
      <c r="HF4" s="152" t="n"/>
      <c r="HG4" s="152" t="n"/>
      <c r="HH4" s="152" t="n"/>
      <c r="HI4" s="152" t="n"/>
      <c r="HJ4" s="152" t="n"/>
      <c r="HK4" s="152" t="n"/>
      <c r="HL4" s="152" t="n"/>
      <c r="HM4" s="152" t="n"/>
      <c r="HN4" s="152" t="n"/>
      <c r="HO4" s="152" t="n"/>
      <c r="HP4" s="152" t="n"/>
      <c r="HQ4" s="152" t="n"/>
      <c r="HR4" s="152" t="n"/>
      <c r="HS4" s="152" t="n"/>
      <c r="HT4" s="152" t="n"/>
      <c r="HU4" s="152" t="n"/>
      <c r="JM4" s="152" t="n"/>
      <c r="JT4" s="457" t="n"/>
      <c r="KG4" s="509" t="inlineStr">
        <is>
          <t>REALIZADO</t>
        </is>
      </c>
      <c r="KH4" s="230" t="n"/>
    </row>
    <row r="5" ht="10.8" customHeight="1" thickTop="1">
      <c r="A5" s="1" t="n"/>
      <c r="B5" s="510" t="n"/>
      <c r="C5" s="6" t="n">
        <v>44958</v>
      </c>
      <c r="D5" s="6" t="n">
        <v>44986</v>
      </c>
      <c r="E5" s="6" t="n">
        <v>45017</v>
      </c>
      <c r="F5" s="6" t="n">
        <v>45047</v>
      </c>
      <c r="G5" s="6" t="n">
        <v>45078</v>
      </c>
      <c r="H5" s="6" t="n">
        <v>45108</v>
      </c>
      <c r="I5" s="6" t="n">
        <v>45139</v>
      </c>
      <c r="J5" s="206" t="n">
        <v>45170</v>
      </c>
      <c r="K5" s="6" t="n">
        <v>45200</v>
      </c>
      <c r="L5" s="6" t="n">
        <v>45231</v>
      </c>
      <c r="M5" s="207" t="n">
        <v>45261</v>
      </c>
      <c r="N5" s="207" t="n">
        <v>45292</v>
      </c>
      <c r="O5" s="207" t="n">
        <v>45323</v>
      </c>
      <c r="P5" s="207" t="n">
        <v>45352</v>
      </c>
      <c r="Q5" s="207" t="n">
        <v>45383</v>
      </c>
      <c r="R5" s="207" t="n">
        <v>45413</v>
      </c>
      <c r="S5" s="207" t="n">
        <v>45444</v>
      </c>
      <c r="T5" s="207" t="n">
        <v>45474</v>
      </c>
      <c r="U5" s="207" t="n">
        <v>45505</v>
      </c>
      <c r="V5" s="207" t="n">
        <v>45536</v>
      </c>
      <c r="W5" s="207" t="n">
        <v>45566</v>
      </c>
      <c r="X5" s="207" t="n">
        <v>45597</v>
      </c>
      <c r="Y5" s="207" t="n">
        <v>45627</v>
      </c>
      <c r="Z5" s="207" t="n">
        <v>45658</v>
      </c>
      <c r="AA5" s="207" t="n">
        <v>45689</v>
      </c>
      <c r="AB5" s="207" t="n">
        <v>45717</v>
      </c>
      <c r="AC5" s="207" t="n">
        <v>45748</v>
      </c>
      <c r="AD5" s="207" t="n">
        <v>45778</v>
      </c>
      <c r="AE5" s="207" t="n">
        <v>45809</v>
      </c>
      <c r="AF5" s="207" t="n">
        <v>45839</v>
      </c>
      <c r="AG5" s="207" t="n">
        <v>45870</v>
      </c>
      <c r="AH5" s="207" t="n">
        <v>45901</v>
      </c>
      <c r="AI5" s="207" t="n">
        <v>45931</v>
      </c>
      <c r="AJ5" s="207" t="n">
        <v>45962</v>
      </c>
      <c r="AK5" s="207" t="n">
        <v>45992</v>
      </c>
      <c r="AL5" s="207" t="n">
        <v>46023</v>
      </c>
      <c r="AM5" s="207" t="n">
        <v>46054</v>
      </c>
      <c r="AN5" s="207" t="n">
        <v>46082</v>
      </c>
      <c r="AO5" s="207" t="n">
        <v>46113</v>
      </c>
      <c r="AP5" s="207" t="n">
        <v>46143</v>
      </c>
      <c r="AQ5" s="199" t="n"/>
      <c r="AR5" s="231" t="inlineStr">
        <is>
          <t>Total | Previsão</t>
        </is>
      </c>
      <c r="AS5" s="199" t="n"/>
      <c r="AT5" s="270" t="n">
        <v>46174</v>
      </c>
      <c r="AU5" s="270" t="n">
        <v>46204</v>
      </c>
      <c r="AV5" s="270" t="n">
        <v>46235</v>
      </c>
      <c r="AW5" s="270" t="n">
        <v>46266</v>
      </c>
      <c r="AX5" s="270" t="n">
        <v>46296</v>
      </c>
      <c r="AY5" s="270" t="n">
        <v>46327</v>
      </c>
      <c r="AZ5" s="270" t="n">
        <v>46357</v>
      </c>
      <c r="BA5" s="270" t="n">
        <v>46388</v>
      </c>
      <c r="BB5" s="270" t="n">
        <v>46419</v>
      </c>
      <c r="BC5" s="270" t="n">
        <v>46447</v>
      </c>
      <c r="BD5" s="270" t="n">
        <v>46478</v>
      </c>
      <c r="BE5" s="270" t="n">
        <v>46508</v>
      </c>
      <c r="BF5" s="270" t="n">
        <v>46539</v>
      </c>
      <c r="BG5" s="270" t="n">
        <v>46569</v>
      </c>
      <c r="BH5" s="270" t="n">
        <v>46600</v>
      </c>
      <c r="BI5" s="270" t="n">
        <v>46631</v>
      </c>
      <c r="BJ5" s="270" t="n">
        <v>46661</v>
      </c>
      <c r="BK5" s="270" t="n">
        <v>46692</v>
      </c>
      <c r="BL5" s="270" t="n">
        <v>46722</v>
      </c>
      <c r="BM5" s="270" t="n">
        <v>46753</v>
      </c>
      <c r="BN5" s="270" t="n">
        <v>46784</v>
      </c>
      <c r="BO5" s="270" t="n">
        <v>46813</v>
      </c>
      <c r="BP5" s="270" t="n">
        <v>46844</v>
      </c>
      <c r="BQ5" s="270" t="n">
        <v>46874</v>
      </c>
      <c r="BR5" s="270" t="n">
        <v>46905</v>
      </c>
      <c r="BS5" s="270" t="n">
        <v>46935</v>
      </c>
      <c r="BT5" s="270" t="n">
        <v>46966</v>
      </c>
      <c r="BU5" s="270" t="n">
        <v>46997</v>
      </c>
      <c r="BV5" s="270" t="n">
        <v>47027</v>
      </c>
      <c r="BW5" s="270" t="n">
        <v>47058</v>
      </c>
      <c r="BX5" s="270" t="n">
        <v>47088</v>
      </c>
      <c r="BY5" s="270" t="n">
        <v>47119</v>
      </c>
      <c r="BZ5" s="270" t="n">
        <v>47150</v>
      </c>
      <c r="CA5" s="270" t="n">
        <v>47178</v>
      </c>
      <c r="CB5" s="270" t="n">
        <v>47209</v>
      </c>
      <c r="CC5" s="270" t="n">
        <v>47239</v>
      </c>
      <c r="CD5" s="270" t="n">
        <v>47270</v>
      </c>
      <c r="CE5" s="270" t="n">
        <v>47300</v>
      </c>
      <c r="CF5" s="270" t="n">
        <v>47331</v>
      </c>
      <c r="CG5" s="270" t="n">
        <v>47362</v>
      </c>
      <c r="CH5" s="270" t="n">
        <v>47392</v>
      </c>
      <c r="CI5" s="270" t="n">
        <v>47423</v>
      </c>
      <c r="CJ5" s="270" t="n">
        <v>47453</v>
      </c>
      <c r="CK5" s="270" t="n">
        <v>47484</v>
      </c>
      <c r="CL5" s="270" t="n">
        <v>47515</v>
      </c>
      <c r="CM5" s="270" t="n">
        <v>47543</v>
      </c>
      <c r="CN5" s="270" t="n">
        <v>47574</v>
      </c>
      <c r="CO5" s="270" t="n">
        <v>47604</v>
      </c>
      <c r="CP5" s="270" t="n">
        <v>47635</v>
      </c>
      <c r="CQ5" s="270" t="n">
        <v>47665</v>
      </c>
      <c r="CR5" s="270" t="n">
        <v>47696</v>
      </c>
      <c r="CS5" s="270" t="n">
        <v>47727</v>
      </c>
      <c r="CT5" s="270" t="n">
        <v>47757</v>
      </c>
      <c r="CU5" s="270" t="n">
        <v>47788</v>
      </c>
      <c r="CV5" s="270" t="n">
        <v>47818</v>
      </c>
      <c r="CW5" s="270" t="n">
        <v>47849</v>
      </c>
      <c r="CX5" s="270" t="n">
        <v>47880</v>
      </c>
      <c r="CY5" s="270" t="n">
        <v>47908</v>
      </c>
      <c r="CZ5" s="270" t="n">
        <v>47939</v>
      </c>
      <c r="DA5" s="270" t="n">
        <v>47969</v>
      </c>
      <c r="DB5" s="270" t="n">
        <v>48000</v>
      </c>
      <c r="DC5" s="270" t="n">
        <v>48030</v>
      </c>
      <c r="DD5" s="270" t="n">
        <v>48061</v>
      </c>
      <c r="DE5" s="270" t="n">
        <v>48092</v>
      </c>
      <c r="DF5" s="270" t="n">
        <v>48122</v>
      </c>
      <c r="DG5" s="270" t="n">
        <v>48153</v>
      </c>
      <c r="DH5" s="270" t="n">
        <v>48183</v>
      </c>
      <c r="DI5" s="270" t="n">
        <v>48214</v>
      </c>
      <c r="DJ5" s="270" t="n">
        <v>48245</v>
      </c>
      <c r="DK5" s="270" t="n">
        <v>48274</v>
      </c>
      <c r="DL5" s="270" t="n">
        <v>48305</v>
      </c>
      <c r="DM5" s="270" t="n">
        <v>48335</v>
      </c>
      <c r="DN5" s="270" t="n">
        <v>48366</v>
      </c>
      <c r="DO5" s="270" t="n">
        <v>48396</v>
      </c>
      <c r="DP5" s="270" t="n">
        <v>48427</v>
      </c>
      <c r="DQ5" s="270" t="n">
        <v>48458</v>
      </c>
      <c r="DR5" s="270" t="n">
        <v>48488</v>
      </c>
      <c r="DS5" s="270" t="n">
        <v>48519</v>
      </c>
      <c r="DT5" s="270" t="n">
        <v>48549</v>
      </c>
      <c r="DU5" s="270" t="n">
        <v>48580</v>
      </c>
      <c r="DV5" s="270" t="n">
        <v>48611</v>
      </c>
      <c r="DW5" s="270" t="n">
        <v>48639</v>
      </c>
      <c r="DX5" s="270" t="n">
        <v>48670</v>
      </c>
      <c r="DY5" s="270" t="n">
        <v>48700</v>
      </c>
      <c r="DZ5" s="270" t="n">
        <v>48731</v>
      </c>
      <c r="EA5" s="270" t="n">
        <v>48761</v>
      </c>
      <c r="EB5" s="270" t="n">
        <v>48792</v>
      </c>
      <c r="EC5" s="270" t="n">
        <v>48823</v>
      </c>
      <c r="ED5" s="270" t="n">
        <v>48853</v>
      </c>
      <c r="EE5" s="270" t="n">
        <v>48884</v>
      </c>
      <c r="EF5" s="270" t="n">
        <v>48914</v>
      </c>
      <c r="EG5" s="270" t="n">
        <v>48945</v>
      </c>
      <c r="EH5" s="270" t="n">
        <v>48976</v>
      </c>
      <c r="EI5" s="270" t="n">
        <v>49004</v>
      </c>
      <c r="EJ5" s="270" t="n">
        <v>49035</v>
      </c>
      <c r="EK5" s="270" t="n">
        <v>49065</v>
      </c>
      <c r="EL5" s="270" t="n">
        <v>49096</v>
      </c>
      <c r="EM5" s="270" t="n">
        <v>49126</v>
      </c>
      <c r="EN5" s="270" t="n">
        <v>49157</v>
      </c>
      <c r="EO5" s="270" t="n">
        <v>49188</v>
      </c>
      <c r="EP5" s="270" t="n">
        <v>49218</v>
      </c>
      <c r="EQ5" s="270" t="n">
        <v>49249</v>
      </c>
      <c r="ER5" s="270" t="n">
        <v>49279</v>
      </c>
      <c r="ES5" s="270" t="n">
        <v>49310</v>
      </c>
      <c r="ET5" s="270" t="n">
        <v>49341</v>
      </c>
      <c r="EU5" s="270" t="n">
        <v>49369</v>
      </c>
      <c r="EV5" s="270" t="n">
        <v>49400</v>
      </c>
      <c r="EW5" s="270" t="n">
        <v>49430</v>
      </c>
      <c r="EX5" s="270" t="n">
        <v>49461</v>
      </c>
      <c r="EY5" s="270" t="n">
        <v>49491</v>
      </c>
      <c r="EZ5" s="270" t="n">
        <v>49522</v>
      </c>
      <c r="FA5" s="270" t="n">
        <v>49553</v>
      </c>
      <c r="FB5" s="270" t="n">
        <v>49583</v>
      </c>
      <c r="FC5" s="270" t="n">
        <v>49614</v>
      </c>
      <c r="FD5" s="270" t="n">
        <v>49644</v>
      </c>
      <c r="FE5" s="270" t="n">
        <v>49675</v>
      </c>
      <c r="FF5" s="270" t="n">
        <v>49706</v>
      </c>
      <c r="FG5" s="270" t="n">
        <v>49735</v>
      </c>
      <c r="FH5" s="270" t="n">
        <v>49766</v>
      </c>
      <c r="FI5" s="270" t="n">
        <v>49796</v>
      </c>
      <c r="FJ5" s="270" t="n">
        <v>49827</v>
      </c>
      <c r="FK5" s="270" t="n">
        <v>49857</v>
      </c>
      <c r="FL5" s="270" t="n">
        <v>49888</v>
      </c>
      <c r="FM5" s="270" t="n">
        <v>49919</v>
      </c>
      <c r="FN5" s="270" t="n">
        <v>49949</v>
      </c>
      <c r="FO5" s="270" t="n">
        <v>49980</v>
      </c>
      <c r="FP5" s="270" t="n">
        <v>50010</v>
      </c>
      <c r="FQ5" s="270" t="n">
        <v>50041</v>
      </c>
      <c r="FR5" s="270" t="n">
        <v>50072</v>
      </c>
      <c r="FS5" s="270" t="n">
        <v>50100</v>
      </c>
      <c r="FT5" s="270" t="n">
        <v>50131</v>
      </c>
      <c r="FU5" s="270" t="n">
        <v>50161</v>
      </c>
      <c r="FV5" s="270" t="n">
        <v>50192</v>
      </c>
      <c r="FW5" s="270" t="n">
        <v>50222</v>
      </c>
      <c r="FX5" s="270" t="n">
        <v>50253</v>
      </c>
      <c r="FY5" s="270" t="n">
        <v>50284</v>
      </c>
      <c r="FZ5" s="270" t="n">
        <v>50314</v>
      </c>
      <c r="GA5" s="270" t="n">
        <v>50345</v>
      </c>
      <c r="GB5" s="270" t="n">
        <v>50375</v>
      </c>
      <c r="GC5" s="270" t="n">
        <v>50406</v>
      </c>
      <c r="GD5" s="270" t="n">
        <v>50437</v>
      </c>
      <c r="GE5" s="270" t="n">
        <v>50465</v>
      </c>
      <c r="GF5" s="270" t="n">
        <v>50496</v>
      </c>
      <c r="GG5" s="270" t="n">
        <v>50526</v>
      </c>
      <c r="GH5" s="270" t="n">
        <v>50557</v>
      </c>
      <c r="GI5" s="270" t="n">
        <v>50587</v>
      </c>
      <c r="GJ5" s="270" t="n">
        <v>50618</v>
      </c>
      <c r="GK5" s="270" t="n">
        <v>50649</v>
      </c>
      <c r="GL5" s="270" t="n">
        <v>50679</v>
      </c>
      <c r="GM5" s="270" t="n">
        <v>50710</v>
      </c>
      <c r="GN5" s="270" t="n">
        <v>50740</v>
      </c>
      <c r="GO5" s="270" t="n">
        <v>50771</v>
      </c>
      <c r="GP5" s="270" t="n">
        <v>50802</v>
      </c>
      <c r="GQ5" s="270" t="n">
        <v>50830</v>
      </c>
      <c r="GR5" s="270" t="n">
        <v>50861</v>
      </c>
      <c r="GS5" s="270" t="n">
        <v>50891</v>
      </c>
      <c r="GT5" s="270" t="n">
        <v>50922</v>
      </c>
      <c r="GU5" s="270" t="n">
        <v>50952</v>
      </c>
      <c r="GV5" s="270" t="n">
        <v>50983</v>
      </c>
      <c r="GW5" s="270" t="n">
        <v>51014</v>
      </c>
      <c r="GX5" s="270" t="n">
        <v>51044</v>
      </c>
      <c r="GY5" s="270" t="n">
        <v>51075</v>
      </c>
      <c r="GZ5" s="270" t="n">
        <v>51105</v>
      </c>
      <c r="HA5" s="270" t="n">
        <v>51136</v>
      </c>
      <c r="HB5" s="270" t="n">
        <v>51167</v>
      </c>
      <c r="HC5" s="270" t="n">
        <v>51196</v>
      </c>
      <c r="HD5" s="270" t="n">
        <v>51227</v>
      </c>
      <c r="HE5" s="270" t="n">
        <v>51257</v>
      </c>
      <c r="HF5" s="270" t="n">
        <v>51288</v>
      </c>
      <c r="HG5" s="270" t="n">
        <v>51318</v>
      </c>
      <c r="HH5" s="270" t="n">
        <v>51349</v>
      </c>
      <c r="HI5" s="270" t="n">
        <v>51380</v>
      </c>
      <c r="HJ5" s="270" t="n">
        <v>51410</v>
      </c>
      <c r="HK5" s="270" t="n">
        <v>51441</v>
      </c>
      <c r="HL5" s="270" t="n">
        <v>51471</v>
      </c>
      <c r="HM5" s="270" t="n">
        <v>51502</v>
      </c>
      <c r="HN5" s="270" t="n">
        <v>51533</v>
      </c>
      <c r="HO5" s="270" t="n">
        <v>51561</v>
      </c>
      <c r="HP5" s="270" t="n">
        <v>51592</v>
      </c>
      <c r="HQ5" s="270" t="n">
        <v>51622</v>
      </c>
      <c r="HR5" s="270" t="n">
        <v>51653</v>
      </c>
      <c r="HS5" s="270" t="n">
        <v>51683</v>
      </c>
      <c r="HT5" s="270" t="n">
        <v>51714</v>
      </c>
      <c r="HU5" s="270" t="n">
        <v>51745</v>
      </c>
      <c r="JM5" s="270" t="n">
        <v>46143</v>
      </c>
      <c r="JT5" s="457" t="n"/>
      <c r="KG5" s="510" t="n"/>
      <c r="KH5" s="231" t="inlineStr">
        <is>
          <t>Total | Previsão</t>
        </is>
      </c>
    </row>
    <row r="6">
      <c r="A6" s="1" t="n"/>
      <c r="B6" s="128" t="n"/>
      <c r="C6" s="66" t="n"/>
      <c r="D6" s="66" t="n"/>
      <c r="E6" s="66" t="n"/>
      <c r="F6" s="66" t="n"/>
      <c r="G6" s="66" t="n"/>
      <c r="H6" s="66" t="n"/>
      <c r="I6" s="66" t="n"/>
      <c r="J6" s="153" t="n"/>
      <c r="K6" s="66" t="n"/>
      <c r="L6" s="66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n"/>
      <c r="AL6" s="154" t="n"/>
      <c r="AM6" s="154" t="n"/>
      <c r="AN6" s="154" t="n"/>
      <c r="AO6" s="154" t="n"/>
      <c r="AP6" s="154" t="n"/>
      <c r="AQ6" s="1" t="n"/>
      <c r="AR6" s="232" t="n"/>
      <c r="AS6" s="1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286" t="n"/>
      <c r="BE6" s="66" t="n"/>
      <c r="BF6" s="66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28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286" t="n"/>
      <c r="CC6" s="66" t="n"/>
      <c r="CD6" s="66" t="n"/>
      <c r="CE6" s="66" t="n"/>
      <c r="CF6" s="66" t="n"/>
      <c r="CG6" s="66" t="n"/>
      <c r="CH6" s="66" t="n"/>
      <c r="CI6" s="66" t="n"/>
      <c r="CJ6" s="66" t="n"/>
      <c r="CK6" s="66" t="n"/>
      <c r="CL6" s="66" t="n"/>
      <c r="CM6" s="66" t="n"/>
      <c r="CN6" s="286" t="n"/>
      <c r="CO6" s="66" t="n"/>
      <c r="CP6" s="66" t="n"/>
      <c r="CQ6" s="66" t="n"/>
      <c r="CR6" s="66" t="n"/>
      <c r="CS6" s="66" t="n"/>
      <c r="CT6" s="66" t="n"/>
      <c r="CU6" s="66" t="n"/>
      <c r="CV6" s="66" t="n"/>
      <c r="CW6" s="66" t="n"/>
      <c r="CX6" s="66" t="n"/>
      <c r="CY6" s="66" t="n"/>
      <c r="CZ6" s="286" t="n"/>
      <c r="DA6" s="66" t="n"/>
      <c r="DB6" s="66" t="n"/>
      <c r="DC6" s="66" t="n"/>
      <c r="DD6" s="66" t="n"/>
      <c r="DE6" s="66" t="n"/>
      <c r="DF6" s="66" t="n"/>
      <c r="DG6" s="66" t="n"/>
      <c r="DH6" s="66" t="n"/>
      <c r="DI6" s="66" t="n"/>
      <c r="DJ6" s="66" t="n"/>
      <c r="DK6" s="66" t="n"/>
      <c r="DL6" s="66" t="n"/>
      <c r="DM6" s="66" t="n"/>
      <c r="DN6" s="66" t="n"/>
      <c r="DO6" s="66" t="n"/>
      <c r="DP6" s="66" t="n"/>
      <c r="DQ6" s="66" t="n"/>
      <c r="DR6" s="66" t="n"/>
      <c r="DS6" s="66" t="n"/>
      <c r="DT6" s="66" t="n"/>
      <c r="DU6" s="66" t="n"/>
      <c r="DV6" s="66" t="n"/>
      <c r="DW6" s="66" t="n"/>
      <c r="DX6" s="66" t="n"/>
      <c r="DY6" s="66" t="n"/>
      <c r="DZ6" s="66" t="n"/>
      <c r="EA6" s="66" t="n"/>
      <c r="EB6" s="66" t="n"/>
      <c r="EC6" s="66" t="n"/>
      <c r="ED6" s="66" t="n"/>
      <c r="EE6" s="66" t="n"/>
      <c r="EF6" s="66" t="n"/>
      <c r="EG6" s="66" t="n"/>
      <c r="EH6" s="66" t="n"/>
      <c r="EI6" s="66" t="n"/>
      <c r="EJ6" s="66" t="n"/>
      <c r="EK6" s="66" t="n"/>
      <c r="EL6" s="66" t="n"/>
      <c r="EM6" s="66" t="n"/>
      <c r="EN6" s="66" t="n"/>
      <c r="EO6" s="66" t="n"/>
      <c r="EP6" s="66" t="n"/>
      <c r="EQ6" s="66" t="n"/>
      <c r="ER6" s="66" t="n"/>
      <c r="ES6" s="66" t="n"/>
      <c r="ET6" s="66" t="n"/>
      <c r="EU6" s="66" t="n"/>
      <c r="EV6" s="66" t="n"/>
      <c r="EW6" s="66" t="n"/>
      <c r="EX6" s="66" t="n"/>
      <c r="EY6" s="66" t="n"/>
      <c r="EZ6" s="66" t="n"/>
      <c r="FA6" s="66" t="n"/>
      <c r="FB6" s="66" t="n"/>
      <c r="FC6" s="66" t="n"/>
      <c r="FD6" s="66" t="n"/>
      <c r="FE6" s="66" t="n"/>
      <c r="FF6" s="66" t="n"/>
      <c r="FG6" s="66" t="n"/>
      <c r="FH6" s="66" t="n"/>
      <c r="FI6" s="66" t="n"/>
      <c r="FJ6" s="66" t="n"/>
      <c r="FK6" s="66" t="n"/>
      <c r="FL6" s="66" t="n"/>
      <c r="FM6" s="66" t="n"/>
      <c r="FN6" s="66" t="n"/>
      <c r="FO6" s="66" t="n"/>
      <c r="FP6" s="66" t="n"/>
      <c r="FQ6" s="66" t="n"/>
      <c r="FR6" s="66" t="n"/>
      <c r="FS6" s="66" t="n"/>
      <c r="FT6" s="66" t="n"/>
      <c r="FU6" s="66" t="n"/>
      <c r="FV6" s="66" t="n"/>
      <c r="FW6" s="66" t="n"/>
      <c r="FX6" s="66" t="n"/>
      <c r="FY6" s="66" t="n"/>
      <c r="FZ6" s="66" t="n"/>
      <c r="GA6" s="66" t="n"/>
      <c r="GB6" s="66" t="n"/>
      <c r="GC6" s="66" t="n"/>
      <c r="GD6" s="66" t="n"/>
      <c r="GE6" s="66" t="n"/>
      <c r="GF6" s="66" t="n"/>
      <c r="GG6" s="66" t="n"/>
      <c r="GH6" s="66" t="n"/>
      <c r="GI6" s="66" t="n"/>
      <c r="GJ6" s="66" t="n"/>
      <c r="GK6" s="66" t="n"/>
      <c r="GL6" s="66" t="n"/>
      <c r="GM6" s="66" t="n"/>
      <c r="GN6" s="66" t="n"/>
      <c r="GO6" s="66" t="n"/>
      <c r="GP6" s="66" t="n"/>
      <c r="GQ6" s="66" t="n"/>
      <c r="GR6" s="66" t="n"/>
      <c r="GS6" s="66" t="n"/>
      <c r="GT6" s="66" t="n"/>
      <c r="GU6" s="66" t="n"/>
      <c r="GV6" s="66" t="n"/>
      <c r="GW6" s="66" t="n"/>
      <c r="GX6" s="66" t="n"/>
      <c r="GY6" s="66" t="n"/>
      <c r="GZ6" s="66" t="n"/>
      <c r="HA6" s="66" t="n"/>
      <c r="HB6" s="66" t="n"/>
      <c r="HC6" s="66" t="n"/>
      <c r="HD6" s="66" t="n"/>
      <c r="HE6" s="66" t="n"/>
      <c r="HF6" s="66" t="n"/>
      <c r="HG6" s="66" t="n"/>
      <c r="HH6" s="66" t="n"/>
      <c r="HI6" s="66" t="n"/>
      <c r="HJ6" s="66" t="n"/>
      <c r="HK6" s="66" t="n"/>
      <c r="HL6" s="66" t="n"/>
      <c r="HM6" s="66" t="n"/>
      <c r="HN6" s="66" t="n"/>
      <c r="HO6" s="66" t="n"/>
      <c r="HP6" s="66" t="n"/>
      <c r="HQ6" s="66" t="n"/>
      <c r="HR6" s="66" t="n"/>
      <c r="HS6" s="66" t="n"/>
      <c r="HT6" s="66" t="n"/>
      <c r="HU6" s="66" t="n"/>
      <c r="JM6" s="66" t="n"/>
      <c r="JT6" s="457" t="n"/>
      <c r="KG6" s="128" t="n"/>
      <c r="KH6" s="232" t="n"/>
    </row>
    <row r="7" ht="16.2" customFormat="1" customHeight="1" s="259">
      <c r="A7" s="65" t="inlineStr">
        <is>
          <t>RECEITAS</t>
        </is>
      </c>
      <c r="B7" s="129" t="n"/>
      <c r="C7" s="70" t="n"/>
      <c r="D7" s="70" t="n"/>
      <c r="E7" s="70" t="n"/>
      <c r="F7" s="70" t="n"/>
      <c r="G7" s="70" t="n"/>
      <c r="H7" s="70" t="n"/>
      <c r="I7" s="70" t="n"/>
      <c r="J7" s="155" t="n"/>
      <c r="K7" s="70" t="n"/>
      <c r="L7" s="70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208" t="n"/>
      <c r="AI7" s="208" t="n"/>
      <c r="AJ7" s="208" t="n"/>
      <c r="AK7" s="208" t="n"/>
      <c r="AL7" s="208" t="n"/>
      <c r="AM7" s="208" t="n"/>
      <c r="AN7" s="208" t="n"/>
      <c r="AO7" s="208" t="n"/>
      <c r="AP7" s="208" t="n"/>
      <c r="AQ7" s="198" t="n"/>
      <c r="AR7" s="233" t="n"/>
      <c r="AS7" s="198" t="n"/>
      <c r="AT7" s="70" t="n"/>
      <c r="AU7" s="70" t="n"/>
      <c r="AV7" s="70" t="n"/>
      <c r="AW7" s="70" t="n"/>
      <c r="AX7" s="70" t="n"/>
      <c r="AY7" s="70" t="n"/>
      <c r="AZ7" s="70" t="n"/>
      <c r="BA7" s="70" t="n"/>
      <c r="BB7" s="70" t="n"/>
      <c r="BC7" s="70" t="n"/>
      <c r="BD7" s="287" t="n"/>
      <c r="BE7" s="70" t="n"/>
      <c r="BF7" s="70" t="n"/>
      <c r="BG7" s="70" t="n"/>
      <c r="BH7" s="70" t="n"/>
      <c r="BI7" s="70" t="n"/>
      <c r="BJ7" s="70" t="n"/>
      <c r="BK7" s="70" t="n"/>
      <c r="BL7" s="70" t="n"/>
      <c r="BM7" s="70" t="n"/>
      <c r="BN7" s="70" t="n"/>
      <c r="BO7" s="70" t="n"/>
      <c r="BP7" s="287" t="n"/>
      <c r="BQ7" s="70" t="n"/>
      <c r="BR7" s="70" t="n"/>
      <c r="BS7" s="70" t="n"/>
      <c r="BT7" s="70" t="n"/>
      <c r="BU7" s="70" t="n"/>
      <c r="BV7" s="70" t="n"/>
      <c r="BW7" s="70" t="n"/>
      <c r="BX7" s="70" t="n"/>
      <c r="BY7" s="70" t="n"/>
      <c r="BZ7" s="70" t="n"/>
      <c r="CA7" s="70" t="n"/>
      <c r="CB7" s="287" t="n"/>
      <c r="CC7" s="70" t="n"/>
      <c r="CD7" s="70" t="n"/>
      <c r="CE7" s="70" t="n"/>
      <c r="CF7" s="70" t="n"/>
      <c r="CG7" s="70" t="n"/>
      <c r="CH7" s="70" t="n"/>
      <c r="CI7" s="70" t="n"/>
      <c r="CJ7" s="70" t="n"/>
      <c r="CK7" s="70" t="n"/>
      <c r="CL7" s="70" t="n"/>
      <c r="CM7" s="70" t="n"/>
      <c r="CN7" s="287" t="n"/>
      <c r="CO7" s="70" t="n"/>
      <c r="CP7" s="70" t="n"/>
      <c r="CQ7" s="70" t="n"/>
      <c r="CR7" s="70" t="n"/>
      <c r="CS7" s="70" t="n"/>
      <c r="CT7" s="70" t="n"/>
      <c r="CU7" s="70" t="n"/>
      <c r="CV7" s="70" t="n"/>
      <c r="CW7" s="70" t="n"/>
      <c r="CX7" s="70" t="n"/>
      <c r="CY7" s="70" t="n"/>
      <c r="CZ7" s="287" t="n"/>
      <c r="DA7" s="70" t="n"/>
      <c r="DB7" s="70" t="n"/>
      <c r="DC7" s="70" t="n"/>
      <c r="DD7" s="70" t="n"/>
      <c r="DE7" s="70" t="n"/>
      <c r="DF7" s="70" t="n"/>
      <c r="DG7" s="70" t="n"/>
      <c r="DH7" s="70" t="n"/>
      <c r="DI7" s="70" t="n"/>
      <c r="DJ7" s="70" t="n"/>
      <c r="DK7" s="70" t="n"/>
      <c r="DL7" s="70" t="n"/>
      <c r="DM7" s="70" t="n"/>
      <c r="DN7" s="70" t="n"/>
      <c r="DO7" s="70" t="n"/>
      <c r="DP7" s="70" t="n"/>
      <c r="DQ7" s="70" t="n"/>
      <c r="DR7" s="70" t="n"/>
      <c r="DS7" s="70" t="n"/>
      <c r="DT7" s="70" t="n"/>
      <c r="DU7" s="70" t="n"/>
      <c r="DV7" s="70" t="n"/>
      <c r="DW7" s="70" t="n"/>
      <c r="DX7" s="70" t="n"/>
      <c r="DY7" s="70" t="n"/>
      <c r="DZ7" s="70" t="n"/>
      <c r="EA7" s="70" t="n"/>
      <c r="EB7" s="70" t="n"/>
      <c r="EC7" s="70" t="n"/>
      <c r="ED7" s="70" t="n"/>
      <c r="EE7" s="70" t="n"/>
      <c r="EF7" s="70" t="n"/>
      <c r="EG7" s="70" t="n"/>
      <c r="EH7" s="70" t="n"/>
      <c r="EI7" s="70" t="n"/>
      <c r="EJ7" s="70" t="n"/>
      <c r="EK7" s="70" t="n"/>
      <c r="EL7" s="70" t="n"/>
      <c r="EM7" s="70" t="n"/>
      <c r="EN7" s="70" t="n"/>
      <c r="EO7" s="70" t="n"/>
      <c r="EP7" s="70" t="n"/>
      <c r="EQ7" s="70" t="n"/>
      <c r="ER7" s="70" t="n"/>
      <c r="ES7" s="70" t="n"/>
      <c r="ET7" s="70" t="n"/>
      <c r="EU7" s="70" t="n"/>
      <c r="EV7" s="70" t="n"/>
      <c r="EW7" s="70" t="n"/>
      <c r="EX7" s="70" t="n"/>
      <c r="EY7" s="70" t="n"/>
      <c r="EZ7" s="70" t="n"/>
      <c r="FA7" s="70" t="n"/>
      <c r="FB7" s="70" t="n"/>
      <c r="FC7" s="70" t="n"/>
      <c r="FD7" s="70" t="n"/>
      <c r="FE7" s="70" t="n"/>
      <c r="FF7" s="70" t="n"/>
      <c r="FG7" s="70" t="n"/>
      <c r="FH7" s="70" t="n"/>
      <c r="FI7" s="70" t="n"/>
      <c r="FJ7" s="70" t="n"/>
      <c r="FK7" s="70" t="n"/>
      <c r="FL7" s="70" t="n"/>
      <c r="FM7" s="70" t="n"/>
      <c r="FN7" s="70" t="n"/>
      <c r="FO7" s="70" t="n"/>
      <c r="FP7" s="70" t="n"/>
      <c r="FQ7" s="70" t="n"/>
      <c r="FR7" s="70" t="n"/>
      <c r="FS7" s="70" t="n"/>
      <c r="FT7" s="70" t="n"/>
      <c r="FU7" s="70" t="n"/>
      <c r="FV7" s="70" t="n"/>
      <c r="FW7" s="70" t="n"/>
      <c r="FX7" s="70" t="n"/>
      <c r="FY7" s="70" t="n"/>
      <c r="FZ7" s="70" t="n"/>
      <c r="GA7" s="70" t="n"/>
      <c r="GB7" s="70" t="n"/>
      <c r="GC7" s="70" t="n"/>
      <c r="GD7" s="70" t="n"/>
      <c r="GE7" s="70" t="n"/>
      <c r="GF7" s="70" t="n"/>
      <c r="GG7" s="70" t="n"/>
      <c r="GH7" s="70" t="n"/>
      <c r="GI7" s="70" t="n"/>
      <c r="GJ7" s="70" t="n"/>
      <c r="GK7" s="70" t="n"/>
      <c r="GL7" s="70" t="n"/>
      <c r="GM7" s="70" t="n"/>
      <c r="GN7" s="70" t="n"/>
      <c r="GO7" s="70" t="n"/>
      <c r="GP7" s="70" t="n"/>
      <c r="GQ7" s="70" t="n"/>
      <c r="GR7" s="70" t="n"/>
      <c r="GS7" s="70" t="n"/>
      <c r="GT7" s="70" t="n"/>
      <c r="GU7" s="70" t="n"/>
      <c r="GV7" s="70" t="n"/>
      <c r="GW7" s="70" t="n"/>
      <c r="GX7" s="70" t="n"/>
      <c r="GY7" s="70" t="n"/>
      <c r="GZ7" s="70" t="n"/>
      <c r="HA7" s="70" t="n"/>
      <c r="HB7" s="70" t="n"/>
      <c r="HC7" s="70" t="n"/>
      <c r="HD7" s="70" t="n"/>
      <c r="HE7" s="70" t="n"/>
      <c r="HF7" s="70" t="n"/>
      <c r="HG7" s="70" t="n"/>
      <c r="HH7" s="70" t="n"/>
      <c r="HI7" s="70" t="n"/>
      <c r="HJ7" s="70" t="n"/>
      <c r="HK7" s="70" t="n"/>
      <c r="HL7" s="70" t="n"/>
      <c r="HM7" s="70" t="n"/>
      <c r="HN7" s="70" t="n"/>
      <c r="HO7" s="70" t="n"/>
      <c r="HP7" s="70" t="n"/>
      <c r="HQ7" s="70" t="n"/>
      <c r="HR7" s="70" t="n"/>
      <c r="HS7" s="70" t="n"/>
      <c r="HT7" s="70" t="n"/>
      <c r="HU7" s="70" t="n"/>
      <c r="JF7" s="70" t="n"/>
      <c r="JG7" s="70" t="n"/>
      <c r="JH7" s="70" t="n"/>
      <c r="JI7" s="70" t="n"/>
      <c r="JM7" s="70" t="n"/>
      <c r="JR7" s="65">
        <f>A7</f>
        <v/>
      </c>
      <c r="JT7" s="458" t="n"/>
      <c r="KG7" s="129" t="n"/>
      <c r="KH7" s="233" t="n"/>
    </row>
    <row r="8" ht="16.2" customHeight="1">
      <c r="A8" s="54" t="inlineStr">
        <is>
          <t>ITBI</t>
        </is>
      </c>
      <c r="B8" s="130">
        <f>SUM(C8:AP8)</f>
        <v/>
      </c>
      <c r="C8" s="67" t="n"/>
      <c r="D8" s="69" t="n"/>
      <c r="E8" s="67" t="n"/>
      <c r="F8" s="67" t="n"/>
      <c r="G8" s="67" t="n"/>
      <c r="H8" s="67" t="n"/>
      <c r="I8" s="68" t="n"/>
      <c r="J8" s="209" t="n"/>
      <c r="K8" s="120" t="n"/>
      <c r="L8" s="511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>
        <v>338614.6800000001</v>
      </c>
      <c r="AC8" s="210" t="n">
        <v>371549.5</v>
      </c>
      <c r="AD8" s="210" t="n">
        <v>148554.82</v>
      </c>
      <c r="AE8" s="210" t="n">
        <v>170837.48</v>
      </c>
      <c r="AF8" s="210" t="n">
        <v>191671.94</v>
      </c>
      <c r="AG8" s="210" t="n">
        <v>135342.79</v>
      </c>
      <c r="AH8" s="210" t="n">
        <v>107538.42</v>
      </c>
      <c r="AI8" s="210" t="n">
        <v>89467.66</v>
      </c>
      <c r="AJ8" s="210" t="n">
        <v>89498.31000000001</v>
      </c>
      <c r="AK8" s="210" t="n">
        <v>150726.26</v>
      </c>
      <c r="AL8" s="210" t="n">
        <v>202733.57</v>
      </c>
      <c r="AM8" s="210" t="n">
        <v>93610.35000000002</v>
      </c>
      <c r="AN8" s="210" t="n">
        <v>102176.17</v>
      </c>
      <c r="AO8" s="210" t="n">
        <v>121648.43</v>
      </c>
      <c r="AP8" s="210" t="n">
        <v>76491.70999999999</v>
      </c>
      <c r="AQ8" s="71" t="n"/>
      <c r="AR8" s="342">
        <f>SUM(AT8:HU8)</f>
        <v/>
      </c>
      <c r="AS8" s="71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0" t="n"/>
      <c r="BC8" s="330" t="n"/>
      <c r="BD8" s="330" t="n"/>
      <c r="BE8" s="330" t="n"/>
      <c r="BF8" s="330" t="n"/>
      <c r="BG8" s="330" t="n"/>
      <c r="BH8" s="330" t="n"/>
      <c r="BI8" s="330" t="n"/>
      <c r="BJ8" s="330" t="n"/>
      <c r="BK8" s="330" t="n"/>
      <c r="BL8" s="330" t="n"/>
      <c r="BM8" s="330" t="n"/>
      <c r="BN8" s="330" t="n"/>
      <c r="BO8" s="330" t="n"/>
      <c r="BP8" s="330" t="n"/>
      <c r="BQ8" s="330" t="n"/>
      <c r="BR8" s="330" t="n"/>
      <c r="BS8" s="330" t="n"/>
      <c r="BT8" s="330" t="n"/>
      <c r="BU8" s="330" t="n"/>
      <c r="BV8" s="330" t="n"/>
      <c r="BW8" s="330" t="n"/>
      <c r="BX8" s="330" t="n"/>
      <c r="BY8" s="330" t="n"/>
      <c r="BZ8" s="330" t="n"/>
      <c r="CA8" s="330" t="n"/>
      <c r="CB8" s="330" t="n"/>
      <c r="CC8" s="330" t="n"/>
      <c r="CD8" s="330" t="n"/>
      <c r="CE8" s="330" t="n"/>
      <c r="CF8" s="330" t="n"/>
      <c r="CG8" s="330" t="n"/>
      <c r="CH8" s="330" t="n"/>
      <c r="CI8" s="330" t="n"/>
      <c r="CJ8" s="330" t="n"/>
      <c r="CK8" s="330" t="n"/>
      <c r="CL8" s="330" t="n"/>
      <c r="CM8" s="330" t="n"/>
      <c r="CN8" s="330" t="n"/>
      <c r="CO8" s="330" t="n"/>
      <c r="CP8" s="330" t="n"/>
      <c r="CQ8" s="330" t="n"/>
      <c r="CR8" s="330" t="n"/>
      <c r="CS8" s="330" t="n"/>
      <c r="CT8" s="330" t="n"/>
      <c r="CU8" s="330" t="n"/>
      <c r="CV8" s="330" t="n"/>
      <c r="CW8" s="330" t="n"/>
      <c r="CX8" s="330" t="n"/>
      <c r="CY8" s="330" t="n"/>
      <c r="CZ8" s="330" t="n"/>
      <c r="DA8" s="330" t="n"/>
      <c r="DB8" s="330" t="n"/>
      <c r="DC8" s="330" t="n"/>
      <c r="DD8" s="330" t="n"/>
      <c r="DE8" s="330" t="n"/>
      <c r="DF8" s="330" t="n"/>
      <c r="DG8" s="330" t="n"/>
      <c r="DH8" s="330" t="n"/>
      <c r="DI8" s="330" t="n"/>
      <c r="DJ8" s="330" t="n"/>
      <c r="DK8" s="330" t="n"/>
      <c r="DL8" s="330" t="n"/>
      <c r="DM8" s="330" t="n"/>
      <c r="DN8" s="330" t="n"/>
      <c r="DO8" s="330" t="n"/>
      <c r="DP8" s="330" t="n"/>
      <c r="DQ8" s="330" t="n"/>
      <c r="DR8" s="330" t="n"/>
      <c r="DS8" s="330" t="n"/>
      <c r="DT8" s="330" t="n"/>
      <c r="DU8" s="330" t="n"/>
      <c r="DV8" s="330" t="n"/>
      <c r="DW8" s="330" t="n"/>
      <c r="DX8" s="330" t="n"/>
      <c r="DY8" s="330" t="n"/>
      <c r="DZ8" s="330" t="n"/>
      <c r="EA8" s="330" t="n"/>
      <c r="EB8" s="330" t="n"/>
      <c r="EC8" s="330" t="n"/>
      <c r="ED8" s="330" t="n"/>
      <c r="EE8" s="330" t="n"/>
      <c r="EF8" s="330" t="n"/>
      <c r="EG8" s="330" t="n"/>
      <c r="EH8" s="330" t="n"/>
      <c r="EI8" s="330" t="n"/>
      <c r="EJ8" s="330" t="n"/>
      <c r="EK8" s="330" t="n"/>
      <c r="EL8" s="330" t="n"/>
      <c r="EM8" s="330" t="n"/>
      <c r="EN8" s="330" t="n"/>
      <c r="EO8" s="330" t="n"/>
      <c r="EP8" s="330" t="n"/>
      <c r="EQ8" s="330" t="n"/>
      <c r="ER8" s="330" t="n"/>
      <c r="ES8" s="330" t="n"/>
      <c r="ET8" s="330" t="n"/>
      <c r="EU8" s="330" t="n"/>
      <c r="EV8" s="330" t="n"/>
      <c r="EW8" s="330" t="n"/>
      <c r="EX8" s="330" t="n"/>
      <c r="EY8" s="330" t="n"/>
      <c r="EZ8" s="330" t="n"/>
      <c r="FA8" s="330" t="n"/>
      <c r="FB8" s="330" t="n"/>
      <c r="FC8" s="330" t="n"/>
      <c r="FD8" s="330" t="n"/>
      <c r="FE8" s="330" t="n"/>
      <c r="FF8" s="330" t="n"/>
      <c r="FG8" s="330" t="n"/>
      <c r="FH8" s="330" t="n"/>
      <c r="FI8" s="330" t="n"/>
      <c r="FJ8" s="330" t="n"/>
      <c r="FK8" s="330" t="n"/>
      <c r="FL8" s="330" t="n"/>
      <c r="FM8" s="330" t="n"/>
      <c r="FN8" s="330" t="n"/>
      <c r="FO8" s="330" t="n"/>
      <c r="FP8" s="330" t="n"/>
      <c r="FQ8" s="330" t="n"/>
      <c r="FR8" s="330" t="n"/>
      <c r="FS8" s="330" t="n"/>
      <c r="FT8" s="330" t="n"/>
      <c r="FU8" s="330" t="n"/>
      <c r="FV8" s="330" t="n"/>
      <c r="FW8" s="330" t="n"/>
      <c r="FX8" s="330" t="n"/>
      <c r="FY8" s="330" t="n"/>
      <c r="FZ8" s="330" t="n"/>
      <c r="GA8" s="330" t="n"/>
      <c r="GB8" s="330" t="n"/>
      <c r="GC8" s="330" t="n"/>
      <c r="GD8" s="330" t="n"/>
      <c r="GE8" s="330" t="n"/>
      <c r="GF8" s="330" t="n"/>
      <c r="GG8" s="330" t="n"/>
      <c r="GH8" s="330" t="n"/>
      <c r="GI8" s="330" t="n"/>
      <c r="GJ8" s="330" t="n"/>
      <c r="GK8" s="330" t="n"/>
      <c r="GL8" s="330" t="n"/>
      <c r="GM8" s="330" t="n"/>
      <c r="GN8" s="330" t="n"/>
      <c r="GO8" s="330" t="n"/>
      <c r="GP8" s="330" t="n"/>
      <c r="GQ8" s="330" t="n"/>
      <c r="GR8" s="330" t="n"/>
      <c r="GS8" s="330" t="n"/>
      <c r="GT8" s="330" t="n"/>
      <c r="GU8" s="330" t="n"/>
      <c r="GV8" s="330" t="n"/>
      <c r="GW8" s="330" t="n"/>
      <c r="GX8" s="330" t="n"/>
      <c r="GY8" s="330" t="n"/>
      <c r="GZ8" s="330" t="n"/>
      <c r="HA8" s="330" t="n"/>
      <c r="HB8" s="330" t="n"/>
      <c r="HC8" s="330" t="n"/>
      <c r="HD8" s="330" t="n"/>
      <c r="HE8" s="330" t="n"/>
      <c r="HF8" s="330" t="n"/>
      <c r="HG8" s="330" t="n"/>
      <c r="HH8" s="330" t="n"/>
      <c r="HI8" s="330" t="n"/>
      <c r="HJ8" s="330" t="n"/>
      <c r="HK8" s="330" t="n"/>
      <c r="HL8" s="330" t="n"/>
      <c r="HM8" s="330" t="n"/>
      <c r="HN8" s="330" t="n"/>
      <c r="HO8" s="330" t="n"/>
      <c r="HP8" s="330" t="n"/>
      <c r="HQ8" s="330" t="n"/>
      <c r="HR8" s="330" t="n"/>
      <c r="HS8" s="330" t="n"/>
      <c r="HT8" s="330" t="n"/>
      <c r="HU8" s="330" t="n"/>
      <c r="JF8" s="330">
        <f>AP8</f>
        <v/>
      </c>
      <c r="JG8" s="330">
        <f>SUM(Z8:AK8)</f>
        <v/>
      </c>
      <c r="JH8" s="330">
        <f>SUM(AL8:AP8)</f>
        <v/>
      </c>
      <c r="JI8" s="330">
        <f>SUM(C8:AP8)</f>
        <v/>
      </c>
      <c r="JJ8" s="446" t="n"/>
      <c r="JM8" s="330" t="n"/>
      <c r="JR8" s="54">
        <f>A8</f>
        <v/>
      </c>
      <c r="JS8" s="330">
        <f>SUM(C8:AP8)</f>
        <v/>
      </c>
      <c r="JT8" s="459" t="n"/>
      <c r="JU8" s="330">
        <f>SUM(AT8:AZ8)</f>
        <v/>
      </c>
      <c r="JV8" s="330">
        <f>SUM(BA8:BL8)</f>
        <v/>
      </c>
      <c r="JW8" s="330">
        <f>SUM(BM8:BX8)</f>
        <v/>
      </c>
      <c r="JX8" s="330">
        <f>SUM(BY8:CJ8)</f>
        <v/>
      </c>
      <c r="JY8" s="330">
        <f>SUM(CK8:CV8)</f>
        <v/>
      </c>
      <c r="JZ8" s="330">
        <f>SUM(CW8:HU8)</f>
        <v/>
      </c>
      <c r="KG8" s="130">
        <f>B8</f>
        <v/>
      </c>
      <c r="KH8" s="342">
        <f>AR8</f>
        <v/>
      </c>
    </row>
    <row r="9" ht="16.2" customHeight="1">
      <c r="A9" s="329" t="inlineStr">
        <is>
          <t>Receitas Contratadas</t>
        </is>
      </c>
      <c r="B9" s="130">
        <f>SUM(C9:AP9)</f>
        <v/>
      </c>
      <c r="C9" s="85" t="n"/>
      <c r="D9" s="87" t="n"/>
      <c r="E9" s="85" t="n"/>
      <c r="F9" s="85" t="n"/>
      <c r="G9" s="85" t="n"/>
      <c r="H9" s="85" t="n"/>
      <c r="I9" s="86" t="n"/>
      <c r="J9" s="211" t="n"/>
      <c r="K9" s="117" t="n"/>
      <c r="L9" s="117" t="n"/>
      <c r="M9" s="212" t="n"/>
      <c r="N9" s="212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>
        <v>2857997.660000001</v>
      </c>
      <c r="AC9" s="212" t="n">
        <v>3156158.31</v>
      </c>
      <c r="AD9" s="212" t="n">
        <v>1788940.75</v>
      </c>
      <c r="AE9" s="212">
        <f>3240637.47-AE8+19092.42</f>
        <v/>
      </c>
      <c r="AF9" s="212" t="n">
        <v>1881026.59</v>
      </c>
      <c r="AG9" s="212" t="n">
        <v>2310558.13</v>
      </c>
      <c r="AH9" s="212">
        <f>2548839.41-78352.42</f>
        <v/>
      </c>
      <c r="AI9" s="212" t="n">
        <v>2551921.93</v>
      </c>
      <c r="AJ9" s="212">
        <f>2138552.83-41382.42</f>
        <v/>
      </c>
      <c r="AK9" s="212" t="n">
        <v>4079024.849999999</v>
      </c>
      <c r="AL9" s="212" t="n">
        <v>4698660.810000001</v>
      </c>
      <c r="AM9" s="212" t="n">
        <v>3087731.23</v>
      </c>
      <c r="AN9" s="212">
        <f>7279760.12-30654.55</f>
        <v/>
      </c>
      <c r="AO9" s="212">
        <f>3684860.85-29012.57-24791.61</f>
        <v/>
      </c>
      <c r="AP9" s="212" t="n">
        <v>3243847.88</v>
      </c>
      <c r="AQ9" s="71" t="n"/>
      <c r="AR9" s="342">
        <f>SUM(AT9:HU9)</f>
        <v/>
      </c>
      <c r="AS9" s="71" t="n"/>
      <c r="AT9" s="330" t="n">
        <v>3574821.41</v>
      </c>
      <c r="AU9" s="330" t="n">
        <v>2767000.73</v>
      </c>
      <c r="AV9" s="330" t="n">
        <v>2446947.659999999</v>
      </c>
      <c r="AW9" s="330" t="n">
        <v>3652273.539999999</v>
      </c>
      <c r="AX9" s="330" t="n">
        <v>2932990.98</v>
      </c>
      <c r="AY9" s="330" t="n">
        <v>2528178.009999999</v>
      </c>
      <c r="AZ9" s="330" t="n">
        <v>3753790.289999999</v>
      </c>
      <c r="BA9" s="330" t="n">
        <v>4012049.61</v>
      </c>
      <c r="BB9" s="330" t="n">
        <v>3544053.89</v>
      </c>
      <c r="BC9" s="330" t="n">
        <v>3455923.519999999</v>
      </c>
      <c r="BD9" s="330" t="n">
        <v>3435572.26</v>
      </c>
      <c r="BE9" s="330" t="n">
        <v>2126327.37</v>
      </c>
      <c r="BF9" s="330" t="n">
        <v>1595056.27</v>
      </c>
      <c r="BG9" s="330" t="n">
        <v>1682126.52</v>
      </c>
      <c r="BH9" s="330" t="n">
        <v>1531678.26</v>
      </c>
      <c r="BI9" s="330" t="n">
        <v>1005222.87</v>
      </c>
      <c r="BJ9" s="330" t="n">
        <v>965285.41</v>
      </c>
      <c r="BK9" s="330" t="n">
        <v>1636485.08</v>
      </c>
      <c r="BL9" s="330" t="n">
        <v>1675939.04</v>
      </c>
      <c r="BM9" s="330" t="n">
        <v>913661.5099999999</v>
      </c>
      <c r="BN9" s="330" t="n">
        <v>799107.12</v>
      </c>
      <c r="BO9" s="330" t="n">
        <v>1148317.94</v>
      </c>
      <c r="BP9" s="330" t="n">
        <v>1245834.129999999</v>
      </c>
      <c r="BQ9" s="330" t="n">
        <v>688488.9899999999</v>
      </c>
      <c r="BR9" s="330" t="n">
        <v>475750.0699999999</v>
      </c>
      <c r="BS9" s="330" t="n">
        <v>483123.5599999999</v>
      </c>
      <c r="BT9" s="330" t="n">
        <v>573091.6699999999</v>
      </c>
      <c r="BU9" s="330" t="n">
        <v>445746.7899999999</v>
      </c>
      <c r="BV9" s="330" t="n">
        <v>445746.7299999999</v>
      </c>
      <c r="BW9" s="330" t="n">
        <v>467823.3599999999</v>
      </c>
      <c r="BX9" s="330" t="n">
        <v>445746.7299999999</v>
      </c>
      <c r="BY9" s="330" t="n">
        <v>443425.3899999999</v>
      </c>
      <c r="BZ9" s="330" t="n">
        <v>367739.2399999999</v>
      </c>
      <c r="CA9" s="330" t="n">
        <v>393894.6799999999</v>
      </c>
      <c r="CB9" s="330" t="n">
        <v>628058.54</v>
      </c>
      <c r="CC9" s="330" t="n">
        <v>835888.2499999999</v>
      </c>
      <c r="CD9" s="330" t="n">
        <v>365111.1699999999</v>
      </c>
      <c r="CE9" s="330" t="n">
        <v>422908.01</v>
      </c>
      <c r="CF9" s="330" t="n">
        <v>492947.79</v>
      </c>
      <c r="CG9" s="330" t="n">
        <v>366947.0499999999</v>
      </c>
      <c r="CH9" s="330" t="n">
        <v>366947.1199999999</v>
      </c>
      <c r="CI9" s="330" t="n">
        <v>380365.0999999999</v>
      </c>
      <c r="CJ9" s="330" t="n">
        <v>358288.4699999999</v>
      </c>
      <c r="CK9" s="330" t="n">
        <v>407361.5899999999</v>
      </c>
      <c r="CL9" s="330" t="n">
        <v>358288.4699999999</v>
      </c>
      <c r="CM9" s="330" t="n">
        <v>372054.76</v>
      </c>
      <c r="CN9" s="330" t="n">
        <v>633307.2700000001</v>
      </c>
      <c r="CO9" s="330" t="n">
        <v>760631.49</v>
      </c>
      <c r="CP9" s="330" t="n">
        <v>354866.26</v>
      </c>
      <c r="CQ9" s="330" t="n">
        <v>418462.35</v>
      </c>
      <c r="CR9" s="330" t="n">
        <v>355407.3199999999</v>
      </c>
      <c r="CS9" s="330" t="n">
        <v>355407.27</v>
      </c>
      <c r="CT9" s="330" t="n">
        <v>355407.27</v>
      </c>
      <c r="CU9" s="330" t="n">
        <v>377483.9</v>
      </c>
      <c r="CV9" s="330" t="n">
        <v>344499.8199999999</v>
      </c>
      <c r="CW9" s="330" t="n">
        <v>393572.9399999999</v>
      </c>
      <c r="CX9" s="330" t="n">
        <v>344499.8199999999</v>
      </c>
      <c r="CY9" s="330" t="n">
        <v>370765.27</v>
      </c>
      <c r="CZ9" s="330" t="n">
        <v>644037.2600000001</v>
      </c>
      <c r="DA9" s="330" t="n">
        <v>652601.6</v>
      </c>
      <c r="DB9" s="330" t="n">
        <v>332584.3799999999</v>
      </c>
      <c r="DC9" s="330" t="n">
        <v>421539.19</v>
      </c>
      <c r="DD9" s="330" t="n">
        <v>333179.6799999999</v>
      </c>
      <c r="DE9" s="330" t="n">
        <v>333179.7</v>
      </c>
      <c r="DF9" s="330" t="n">
        <v>333179.7</v>
      </c>
      <c r="DG9" s="330" t="n">
        <v>355256.33</v>
      </c>
      <c r="DH9" s="330" t="n">
        <v>333179.7</v>
      </c>
      <c r="DI9" s="330" t="n">
        <v>382252.8199999999</v>
      </c>
      <c r="DJ9" s="330" t="n">
        <v>333179.7</v>
      </c>
      <c r="DK9" s="330" t="n">
        <v>359415.99</v>
      </c>
      <c r="DL9" s="330" t="n">
        <v>655336.5200000001</v>
      </c>
      <c r="DM9" s="330" t="n">
        <v>355909.5599999999</v>
      </c>
      <c r="DN9" s="330" t="n">
        <v>333832.92</v>
      </c>
      <c r="DO9" s="330" t="n">
        <v>431713.34</v>
      </c>
      <c r="DP9" s="330" t="n">
        <v>334487.99</v>
      </c>
      <c r="DQ9" s="330" t="n">
        <v>334487.95</v>
      </c>
      <c r="DR9" s="330" t="n">
        <v>334487.95</v>
      </c>
      <c r="DS9" s="330" t="n">
        <v>356564.58</v>
      </c>
      <c r="DT9" s="330" t="n">
        <v>334487.95</v>
      </c>
      <c r="DU9" s="330" t="n">
        <v>383561.0699999999</v>
      </c>
      <c r="DV9" s="330" t="n">
        <v>334487.95</v>
      </c>
      <c r="DW9" s="330" t="n">
        <v>360650.28</v>
      </c>
      <c r="DX9" s="330" t="n">
        <v>531581.8100000002</v>
      </c>
      <c r="DY9" s="330" t="n">
        <v>289043.6900000001</v>
      </c>
      <c r="DZ9" s="330" t="n">
        <v>249797.02</v>
      </c>
      <c r="EA9" s="330" t="n">
        <v>325590.01</v>
      </c>
      <c r="EB9" s="330" t="n">
        <v>201524.8600000001</v>
      </c>
      <c r="EC9" s="330" t="n">
        <v>177058.5300000001</v>
      </c>
      <c r="ED9" s="330" t="n">
        <v>165595.82</v>
      </c>
      <c r="EE9" s="330" t="n">
        <v>187672.45</v>
      </c>
      <c r="EF9" s="330" t="n">
        <v>151718.75</v>
      </c>
      <c r="EG9" s="330" t="n">
        <v>186523.8400000001</v>
      </c>
      <c r="EH9" s="330" t="n">
        <v>114989.8</v>
      </c>
      <c r="EI9" s="330" t="n">
        <v>101752.25</v>
      </c>
      <c r="EJ9" s="330" t="n">
        <v>72859.21000000001</v>
      </c>
      <c r="EK9" s="330" t="n">
        <v>37160.03</v>
      </c>
      <c r="EL9" s="330" t="n">
        <v>0</v>
      </c>
      <c r="EM9" s="330" t="n">
        <v>0</v>
      </c>
      <c r="EN9" s="330" t="n">
        <v>0</v>
      </c>
      <c r="EO9" s="330" t="n">
        <v>0</v>
      </c>
      <c r="EP9" s="330" t="n">
        <v>0</v>
      </c>
      <c r="EQ9" s="330" t="n">
        <v>0</v>
      </c>
      <c r="ER9" s="330" t="n">
        <v>0</v>
      </c>
      <c r="ES9" s="330" t="n">
        <v>0</v>
      </c>
      <c r="ET9" s="330" t="n">
        <v>0</v>
      </c>
      <c r="EU9" s="330" t="n">
        <v>0</v>
      </c>
      <c r="EV9" s="330" t="n">
        <v>0</v>
      </c>
      <c r="EW9" s="330" t="n">
        <v>0</v>
      </c>
      <c r="EX9" s="330" t="n">
        <v>0</v>
      </c>
      <c r="EY9" s="330" t="n">
        <v>0</v>
      </c>
      <c r="EZ9" s="330" t="n">
        <v>0</v>
      </c>
      <c r="FA9" s="330" t="n">
        <v>0</v>
      </c>
      <c r="FB9" s="330" t="n">
        <v>0</v>
      </c>
      <c r="FC9" s="330" t="n">
        <v>0</v>
      </c>
      <c r="FD9" s="330" t="n">
        <v>0</v>
      </c>
      <c r="FE9" s="330" t="n">
        <v>0</v>
      </c>
      <c r="FF9" s="330" t="n">
        <v>0</v>
      </c>
      <c r="FG9" s="330" t="n">
        <v>0</v>
      </c>
      <c r="FH9" s="330" t="n">
        <v>0</v>
      </c>
      <c r="FI9" s="330" t="n">
        <v>0</v>
      </c>
      <c r="FJ9" s="330" t="n">
        <v>0</v>
      </c>
      <c r="FK9" s="330" t="n">
        <v>0</v>
      </c>
      <c r="FL9" s="330" t="n">
        <v>0</v>
      </c>
      <c r="FM9" s="330" t="n">
        <v>0</v>
      </c>
      <c r="FN9" s="330" t="n">
        <v>0</v>
      </c>
      <c r="FO9" s="330" t="n">
        <v>0</v>
      </c>
      <c r="FP9" s="330" t="n">
        <v>0</v>
      </c>
      <c r="FQ9" s="330" t="n">
        <v>0</v>
      </c>
      <c r="FR9" s="330" t="n">
        <v>0</v>
      </c>
      <c r="FS9" s="330" t="n">
        <v>0</v>
      </c>
      <c r="FT9" s="330" t="n">
        <v>0</v>
      </c>
      <c r="FU9" s="330" t="n">
        <v>0</v>
      </c>
      <c r="FV9" s="330" t="n">
        <v>0</v>
      </c>
      <c r="FW9" s="330" t="n">
        <v>0</v>
      </c>
      <c r="FX9" s="330" t="n">
        <v>0</v>
      </c>
      <c r="FY9" s="330" t="n">
        <v>0</v>
      </c>
      <c r="FZ9" s="330" t="n">
        <v>0</v>
      </c>
      <c r="GA9" s="330" t="n">
        <v>0</v>
      </c>
      <c r="GB9" s="330" t="n">
        <v>0</v>
      </c>
      <c r="GC9" s="330" t="n">
        <v>0</v>
      </c>
      <c r="GD9" s="330" t="n">
        <v>0</v>
      </c>
      <c r="GE9" s="330" t="n">
        <v>0</v>
      </c>
      <c r="GF9" s="330" t="n">
        <v>0</v>
      </c>
      <c r="GG9" s="330" t="n">
        <v>0</v>
      </c>
      <c r="GH9" s="330" t="n">
        <v>0</v>
      </c>
      <c r="GI9" s="330" t="n">
        <v>0</v>
      </c>
      <c r="GJ9" s="330" t="n">
        <v>0</v>
      </c>
      <c r="GK9" s="330" t="n">
        <v>0</v>
      </c>
      <c r="GL9" s="330" t="n">
        <v>0</v>
      </c>
      <c r="GM9" s="330" t="n">
        <v>0</v>
      </c>
      <c r="GN9" s="330" t="n">
        <v>0</v>
      </c>
      <c r="GO9" s="330" t="n">
        <v>0</v>
      </c>
      <c r="GP9" s="330" t="n">
        <v>0</v>
      </c>
      <c r="GQ9" s="330" t="n">
        <v>0</v>
      </c>
      <c r="GR9" s="330" t="n">
        <v>0</v>
      </c>
      <c r="GS9" s="330" t="n">
        <v>0</v>
      </c>
      <c r="GT9" s="330" t="n">
        <v>0</v>
      </c>
      <c r="GU9" s="330" t="n">
        <v>0</v>
      </c>
      <c r="GV9" s="330" t="n">
        <v>0</v>
      </c>
      <c r="GW9" s="330" t="n">
        <v>0</v>
      </c>
      <c r="GX9" s="330" t="n">
        <v>0</v>
      </c>
      <c r="GY9" s="330" t="n">
        <v>0</v>
      </c>
      <c r="GZ9" s="330" t="n">
        <v>0</v>
      </c>
      <c r="HA9" s="330" t="n">
        <v>0</v>
      </c>
      <c r="HB9" s="330" t="n">
        <v>0</v>
      </c>
      <c r="HC9" s="330" t="n">
        <v>0</v>
      </c>
      <c r="HD9" s="330" t="n">
        <v>0</v>
      </c>
      <c r="HE9" s="330" t="n">
        <v>0</v>
      </c>
      <c r="HF9" s="330" t="n">
        <v>0</v>
      </c>
      <c r="HG9" s="330" t="n">
        <v>0</v>
      </c>
      <c r="HH9" s="330" t="n">
        <v>0</v>
      </c>
      <c r="HI9" s="330" t="n">
        <v>0</v>
      </c>
      <c r="HJ9" s="330" t="n">
        <v>0</v>
      </c>
      <c r="HK9" s="330" t="n">
        <v>0</v>
      </c>
      <c r="HL9" s="330" t="n">
        <v>0</v>
      </c>
      <c r="HM9" s="330" t="n">
        <v>0</v>
      </c>
      <c r="HN9" s="330" t="n">
        <v>0</v>
      </c>
      <c r="HO9" s="330" t="n">
        <v>0</v>
      </c>
      <c r="HP9" s="330" t="n">
        <v>0</v>
      </c>
      <c r="HQ9" s="330" t="n">
        <v>0</v>
      </c>
      <c r="HR9" s="330" t="n">
        <v>0</v>
      </c>
      <c r="HS9" s="330" t="n">
        <v>0</v>
      </c>
      <c r="HT9" s="330" t="n">
        <v>0</v>
      </c>
      <c r="HU9" s="330" t="n">
        <v>0</v>
      </c>
      <c r="JF9" s="330">
        <f>AP9</f>
        <v/>
      </c>
      <c r="JG9" s="330">
        <f>SUM(Z9:AK9)</f>
        <v/>
      </c>
      <c r="JH9" s="330">
        <f>SUM(AL9:AP9)</f>
        <v/>
      </c>
      <c r="JI9" s="330">
        <f>SUM(C9:AP9)</f>
        <v/>
      </c>
      <c r="JJ9" s="446" t="n"/>
      <c r="JM9" s="330" t="n">
        <v>2014799.12</v>
      </c>
      <c r="JR9" s="329">
        <f>A9</f>
        <v/>
      </c>
      <c r="JS9" s="330">
        <f>SUM(C9:AP9)</f>
        <v/>
      </c>
      <c r="JT9" s="459" t="n"/>
      <c r="JU9" s="330">
        <f>SUM(AT9:AZ9)</f>
        <v/>
      </c>
      <c r="JV9" s="330">
        <f>SUM(BA9:BL9)</f>
        <v/>
      </c>
      <c r="JW9" s="330">
        <f>SUM(BM9:BX9)</f>
        <v/>
      </c>
      <c r="JX9" s="330">
        <f>SUM(BY9:CJ9)</f>
        <v/>
      </c>
      <c r="JY9" s="330">
        <f>SUM(CK9:CV9)</f>
        <v/>
      </c>
      <c r="JZ9" s="330">
        <f>SUM(CW9:HU9)</f>
        <v/>
      </c>
      <c r="KG9" s="130">
        <f>B9</f>
        <v/>
      </c>
      <c r="KH9" s="342">
        <f>AR9</f>
        <v/>
      </c>
      <c r="KJ9" s="446">
        <f>+KG9+KH9+KH12</f>
        <v/>
      </c>
    </row>
    <row r="10" ht="7.2" customHeight="1">
      <c r="A10" s="1" t="n"/>
      <c r="B10" s="128" t="n"/>
      <c r="C10" s="1" t="n"/>
      <c r="D10" s="1" t="n"/>
      <c r="E10" s="1" t="n"/>
      <c r="F10" s="1" t="n"/>
      <c r="G10" s="1" t="n"/>
      <c r="H10" s="1" t="n"/>
      <c r="I10" s="1" t="n"/>
      <c r="J10" s="156" t="n"/>
      <c r="K10" s="1" t="n"/>
      <c r="L10" s="1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  <c r="W10" s="157" t="n"/>
      <c r="X10" s="157" t="n"/>
      <c r="Y10" s="157" t="n"/>
      <c r="Z10" s="157" t="n"/>
      <c r="AA10" s="157" t="n"/>
      <c r="AB10" s="157" t="n"/>
      <c r="AC10" s="157" t="n"/>
      <c r="AD10" s="157" t="n"/>
      <c r="AE10" s="157" t="n"/>
      <c r="AF10" s="157" t="n"/>
      <c r="AG10" s="157" t="n"/>
      <c r="AH10" s="157" t="n"/>
      <c r="AI10" s="157" t="n"/>
      <c r="AJ10" s="157" t="n"/>
      <c r="AK10" s="157" t="n"/>
      <c r="AL10" s="157" t="n"/>
      <c r="AM10" s="157" t="n"/>
      <c r="AN10" s="157" t="n"/>
      <c r="AO10" s="157" t="n"/>
      <c r="AP10" s="157" t="n"/>
      <c r="AQ10" s="1" t="n"/>
      <c r="AR10" s="128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289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89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289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289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289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JF10" s="1">
        <f>AP10</f>
        <v/>
      </c>
      <c r="JG10" s="1">
        <f>SUM(Z10:AK10)</f>
        <v/>
      </c>
      <c r="JH10" s="1">
        <f>SUM(AL10:AP10)</f>
        <v/>
      </c>
      <c r="JI10" s="1">
        <f>SUM(C10:AP10)</f>
        <v/>
      </c>
      <c r="JJ10" s="446" t="n"/>
      <c r="JM10" s="1" t="n"/>
      <c r="JR10" s="1">
        <f>A10</f>
        <v/>
      </c>
      <c r="JS10" s="1">
        <f>SUM(C10:AP10)</f>
        <v/>
      </c>
      <c r="JT10" s="460" t="n"/>
      <c r="JU10" s="1">
        <f>SUM(AT10:AZ10)</f>
        <v/>
      </c>
      <c r="JV10" s="1">
        <f>SUM(BA10:BL10)</f>
        <v/>
      </c>
      <c r="JW10" s="1">
        <f>SUM(BM10:BX10)</f>
        <v/>
      </c>
      <c r="JX10" s="1">
        <f>SUM(BY10:CJ10)</f>
        <v/>
      </c>
      <c r="JY10" s="1">
        <f>SUM(CK10:CV10)</f>
        <v/>
      </c>
      <c r="JZ10" s="1">
        <f>SUM(CW10:HU10)</f>
        <v/>
      </c>
      <c r="KG10" s="128">
        <f>B10</f>
        <v/>
      </c>
      <c r="KH10" s="128">
        <f>AR10</f>
        <v/>
      </c>
    </row>
    <row r="11" ht="16.2" customFormat="1" customHeight="1" s="259">
      <c r="A11" s="65" t="inlineStr">
        <is>
          <t>PREVISÃO DE RECEITAS(ESTOQUE)</t>
        </is>
      </c>
      <c r="B11" s="129" t="n"/>
      <c r="C11" s="70" t="n"/>
      <c r="D11" s="70" t="n"/>
      <c r="E11" s="70" t="n"/>
      <c r="F11" s="70" t="n"/>
      <c r="G11" s="70" t="n"/>
      <c r="H11" s="70" t="n"/>
      <c r="I11" s="70" t="n"/>
      <c r="J11" s="155" t="n"/>
      <c r="K11" s="70" t="n"/>
      <c r="L11" s="70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8" t="n"/>
      <c r="AP11" s="208" t="n"/>
      <c r="AQ11" s="198" t="n"/>
      <c r="AR11" s="233" t="n"/>
      <c r="AS11" s="198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287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0" t="n"/>
      <c r="BP11" s="287" t="n"/>
      <c r="BQ11" s="70" t="n"/>
      <c r="BR11" s="70" t="n"/>
      <c r="BS11" s="70" t="n"/>
      <c r="BT11" s="70" t="n"/>
      <c r="BU11" s="70" t="n"/>
      <c r="BV11" s="70" t="n"/>
      <c r="BW11" s="70" t="n"/>
      <c r="BX11" s="70" t="n"/>
      <c r="BY11" s="70" t="n"/>
      <c r="BZ11" s="70" t="n"/>
      <c r="CA11" s="70" t="n"/>
      <c r="CB11" s="287" t="n"/>
      <c r="CC11" s="70" t="n"/>
      <c r="CD11" s="70" t="n"/>
      <c r="CE11" s="70" t="n"/>
      <c r="CF11" s="70" t="n"/>
      <c r="CG11" s="70" t="n"/>
      <c r="CH11" s="70" t="n"/>
      <c r="CI11" s="70" t="n"/>
      <c r="CJ11" s="70" t="n"/>
      <c r="CK11" s="70" t="n"/>
      <c r="CL11" s="70" t="n"/>
      <c r="CM11" s="70" t="n"/>
      <c r="CN11" s="287" t="n"/>
      <c r="CO11" s="70" t="n"/>
      <c r="CP11" s="70" t="n"/>
      <c r="CQ11" s="70" t="n"/>
      <c r="CR11" s="70" t="n"/>
      <c r="CS11" s="70" t="n"/>
      <c r="CT11" s="70" t="n"/>
      <c r="CU11" s="70" t="n"/>
      <c r="CV11" s="70" t="n"/>
      <c r="CW11" s="70" t="n"/>
      <c r="CX11" s="70" t="n"/>
      <c r="CY11" s="70" t="n"/>
      <c r="CZ11" s="287" t="n"/>
      <c r="DA11" s="70" t="n"/>
      <c r="DB11" s="70" t="n"/>
      <c r="DC11" s="70" t="n"/>
      <c r="DD11" s="70" t="n"/>
      <c r="DE11" s="70" t="n"/>
      <c r="DF11" s="70" t="n"/>
      <c r="DG11" s="70" t="n"/>
      <c r="DH11" s="70" t="n"/>
      <c r="DI11" s="70" t="n"/>
      <c r="DJ11" s="70" t="n"/>
      <c r="DK11" s="70" t="n"/>
      <c r="DL11" s="70" t="n"/>
      <c r="DM11" s="70" t="n"/>
      <c r="DN11" s="70" t="n"/>
      <c r="DO11" s="70" t="n"/>
      <c r="DP11" s="70" t="n"/>
      <c r="DQ11" s="70" t="n"/>
      <c r="DR11" s="70" t="n"/>
      <c r="DS11" s="70" t="n"/>
      <c r="DT11" s="70" t="n"/>
      <c r="DU11" s="70" t="n"/>
      <c r="DV11" s="70" t="n"/>
      <c r="DW11" s="70" t="n"/>
      <c r="DX11" s="70" t="n"/>
      <c r="DY11" s="70" t="n"/>
      <c r="DZ11" s="70" t="n"/>
      <c r="EA11" s="70" t="n"/>
      <c r="EB11" s="70" t="n"/>
      <c r="EC11" s="70" t="n"/>
      <c r="ED11" s="70" t="n"/>
      <c r="EE11" s="70" t="n"/>
      <c r="EF11" s="70" t="n"/>
      <c r="EG11" s="70" t="n"/>
      <c r="EH11" s="70" t="n"/>
      <c r="EI11" s="70" t="n"/>
      <c r="EJ11" s="70" t="n"/>
      <c r="EK11" s="70" t="n"/>
      <c r="EL11" s="70" t="n"/>
      <c r="EM11" s="70" t="n"/>
      <c r="EN11" s="70" t="n"/>
      <c r="EO11" s="70" t="n"/>
      <c r="EP11" s="70" t="n"/>
      <c r="EQ11" s="70" t="n"/>
      <c r="ER11" s="70" t="n"/>
      <c r="ES11" s="70" t="n"/>
      <c r="ET11" s="70" t="n"/>
      <c r="EU11" s="70" t="n"/>
      <c r="EV11" s="70" t="n"/>
      <c r="EW11" s="70" t="n"/>
      <c r="EX11" s="70" t="n"/>
      <c r="EY11" s="70" t="n"/>
      <c r="EZ11" s="70" t="n"/>
      <c r="FA11" s="70" t="n"/>
      <c r="FB11" s="70" t="n"/>
      <c r="FC11" s="70" t="n"/>
      <c r="FD11" s="70" t="n"/>
      <c r="FE11" s="70" t="n"/>
      <c r="FF11" s="70" t="n"/>
      <c r="FG11" s="70" t="n"/>
      <c r="FH11" s="70" t="n"/>
      <c r="FI11" s="70" t="n"/>
      <c r="FJ11" s="70" t="n"/>
      <c r="FK11" s="70" t="n"/>
      <c r="FL11" s="70" t="n"/>
      <c r="FM11" s="70" t="n"/>
      <c r="FN11" s="70" t="n"/>
      <c r="FO11" s="70" t="n"/>
      <c r="FP11" s="70" t="n"/>
      <c r="FQ11" s="70" t="n"/>
      <c r="FR11" s="70" t="n"/>
      <c r="FS11" s="70" t="n"/>
      <c r="FT11" s="70" t="n"/>
      <c r="FU11" s="70" t="n"/>
      <c r="FV11" s="70" t="n"/>
      <c r="FW11" s="70" t="n"/>
      <c r="FX11" s="70" t="n"/>
      <c r="FY11" s="70" t="n"/>
      <c r="FZ11" s="70" t="n"/>
      <c r="GA11" s="70" t="n"/>
      <c r="GB11" s="70" t="n"/>
      <c r="GC11" s="70" t="n"/>
      <c r="GD11" s="70" t="n"/>
      <c r="GE11" s="70" t="n"/>
      <c r="GF11" s="70" t="n"/>
      <c r="GG11" s="70" t="n"/>
      <c r="GH11" s="70" t="n"/>
      <c r="GI11" s="70" t="n"/>
      <c r="GJ11" s="70" t="n"/>
      <c r="GK11" s="70" t="n"/>
      <c r="GL11" s="70" t="n"/>
      <c r="GM11" s="70" t="n"/>
      <c r="GN11" s="70" t="n"/>
      <c r="GO11" s="70" t="n"/>
      <c r="GP11" s="70" t="n"/>
      <c r="GQ11" s="70" t="n"/>
      <c r="GR11" s="70" t="n"/>
      <c r="GS11" s="70" t="n"/>
      <c r="GT11" s="70" t="n"/>
      <c r="GU11" s="70" t="n"/>
      <c r="GV11" s="70" t="n"/>
      <c r="GW11" s="70" t="n"/>
      <c r="GX11" s="70" t="n"/>
      <c r="GY11" s="70" t="n"/>
      <c r="GZ11" s="70" t="n"/>
      <c r="HA11" s="70" t="n"/>
      <c r="HB11" s="70" t="n"/>
      <c r="HC11" s="70" t="n"/>
      <c r="HD11" s="70" t="n"/>
      <c r="HE11" s="70" t="n"/>
      <c r="HF11" s="70" t="n"/>
      <c r="HG11" s="70" t="n"/>
      <c r="HH11" s="70" t="n"/>
      <c r="HI11" s="70" t="n"/>
      <c r="HJ11" s="70" t="n"/>
      <c r="HK11" s="70" t="n"/>
      <c r="HL11" s="70" t="n"/>
      <c r="HM11" s="70" t="n"/>
      <c r="HN11" s="70" t="n"/>
      <c r="HO11" s="70" t="n"/>
      <c r="HP11" s="70" t="n"/>
      <c r="HQ11" s="70" t="n"/>
      <c r="HR11" s="70" t="n"/>
      <c r="HS11" s="70" t="n"/>
      <c r="HT11" s="70" t="n"/>
      <c r="HU11" s="70" t="n"/>
      <c r="JF11" s="70">
        <f>AP11</f>
        <v/>
      </c>
      <c r="JG11" s="70">
        <f>SUM(Z11:AK11)</f>
        <v/>
      </c>
      <c r="JH11" s="70">
        <f>SUM(AL11:AP11)</f>
        <v/>
      </c>
      <c r="JI11" s="70">
        <f>SUM(C11:AP11)</f>
        <v/>
      </c>
      <c r="JJ11" s="446" t="n"/>
      <c r="JM11" s="70" t="n"/>
      <c r="JR11" s="65">
        <f>A11</f>
        <v/>
      </c>
      <c r="JS11" s="70">
        <f>SUM(C11:AP11)</f>
        <v/>
      </c>
      <c r="JT11" s="461" t="n"/>
      <c r="JU11" s="70">
        <f>SUM(AT11:AZ11)</f>
        <v/>
      </c>
      <c r="JV11" s="70">
        <f>SUM(BA11:BL11)</f>
        <v/>
      </c>
      <c r="JW11" s="70">
        <f>SUM(BM11:BX11)</f>
        <v/>
      </c>
      <c r="JX11" s="70">
        <f>SUM(BY11:CJ11)</f>
        <v/>
      </c>
      <c r="JY11" s="70">
        <f>SUM(CK11:CV11)</f>
        <v/>
      </c>
      <c r="JZ11" s="70">
        <f>SUM(CW11:HU11)</f>
        <v/>
      </c>
      <c r="KG11" s="129">
        <f>B11</f>
        <v/>
      </c>
      <c r="KH11" s="233">
        <f>AR11</f>
        <v/>
      </c>
    </row>
    <row r="12" ht="16.2" customHeight="1" thickBot="1">
      <c r="A12" s="54" t="inlineStr">
        <is>
          <t>Vendas 05 Lotes a.m.</t>
        </is>
      </c>
      <c r="B12" s="130">
        <f>SUM(C12:AP12)</f>
        <v/>
      </c>
      <c r="C12" s="69" t="n">
        <v>0</v>
      </c>
      <c r="D12" s="69" t="n">
        <v>0</v>
      </c>
      <c r="E12" s="67" t="n">
        <v>0</v>
      </c>
      <c r="F12" s="67" t="n">
        <v>0</v>
      </c>
      <c r="G12" s="67" t="n">
        <v>0</v>
      </c>
      <c r="H12" s="67" t="n">
        <v>0</v>
      </c>
      <c r="I12" s="68" t="n">
        <v>0</v>
      </c>
      <c r="J12" s="213" t="n">
        <v>0</v>
      </c>
      <c r="K12" s="112" t="n">
        <v>0</v>
      </c>
      <c r="L12" s="112" t="n">
        <v>0</v>
      </c>
      <c r="M12" s="214" t="n">
        <v>0</v>
      </c>
      <c r="N12" s="214" t="n">
        <v>0</v>
      </c>
      <c r="O12" s="214" t="n">
        <v>0</v>
      </c>
      <c r="P12" s="214" t="n">
        <v>0</v>
      </c>
      <c r="Q12" s="214" t="n">
        <v>0</v>
      </c>
      <c r="R12" s="214" t="n">
        <v>0</v>
      </c>
      <c r="S12" s="214" t="n">
        <v>0</v>
      </c>
      <c r="T12" s="214" t="n">
        <v>0</v>
      </c>
      <c r="U12" s="214" t="n">
        <v>0</v>
      </c>
      <c r="V12" s="214" t="n">
        <v>0</v>
      </c>
      <c r="W12" s="214" t="n"/>
      <c r="X12" s="214" t="n"/>
      <c r="Y12" s="214" t="n"/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4" t="n"/>
      <c r="AP12" s="214" t="n"/>
      <c r="AQ12" s="71" t="n"/>
      <c r="AR12" s="342">
        <f>SUM(AT12:HU12)</f>
        <v/>
      </c>
      <c r="AS12" s="71" t="n"/>
      <c r="AT12" s="69" t="n">
        <v>741900.1525551</v>
      </c>
      <c r="AU12" s="69" t="n">
        <v>860830.7594605688</v>
      </c>
      <c r="AV12" s="69" t="n">
        <v>979761.3663660374</v>
      </c>
      <c r="AW12" s="69" t="n">
        <v>1120321.715328506</v>
      </c>
      <c r="AX12" s="69" t="n">
        <v>1242719.686866787</v>
      </c>
      <c r="AY12" s="69" t="n">
        <v>1365117.658405069</v>
      </c>
      <c r="AZ12" s="69" t="n">
        <v>1487515.62994335</v>
      </c>
      <c r="BA12" s="69" t="n">
        <v>1609913.601481631</v>
      </c>
      <c r="BB12" s="69" t="n">
        <v>1732311.573019912</v>
      </c>
      <c r="BC12" s="69" t="n">
        <v>1854709.544558194</v>
      </c>
      <c r="BD12" s="69" t="n">
        <v>1998737.258153475</v>
      </c>
      <c r="BE12" s="69" t="n">
        <v>2124602.594324569</v>
      </c>
      <c r="BF12" s="69" t="n">
        <v>3107902.472890161</v>
      </c>
      <c r="BG12" s="69" t="n">
        <v>3194449.822990255</v>
      </c>
      <c r="BH12" s="69" t="n">
        <v>3280997.173090349</v>
      </c>
      <c r="BI12" s="69" t="n">
        <v>3392542.614805443</v>
      </c>
      <c r="BJ12" s="69" t="n">
        <v>3477943.667935536</v>
      </c>
      <c r="BK12" s="69" t="n">
        <v>3584974.46312263</v>
      </c>
      <c r="BL12" s="69" t="n">
        <v>3673842.880885536</v>
      </c>
      <c r="BM12" s="69" t="n">
        <v>3762711.298648442</v>
      </c>
      <c r="BN12" s="69" t="n">
        <v>3851579.716411349</v>
      </c>
      <c r="BO12" s="69" t="n">
        <v>3940448.134174255</v>
      </c>
      <c r="BP12" s="69" t="n">
        <v>4054314.643552161</v>
      </c>
      <c r="BQ12" s="69" t="n">
        <v>4142036.764345068</v>
      </c>
      <c r="BR12" s="69" t="n">
        <v>4251388.627194974</v>
      </c>
      <c r="BS12" s="69" t="n">
        <v>4280198.615488818</v>
      </c>
      <c r="BT12" s="69" t="n">
        <v>4309008.603782662</v>
      </c>
      <c r="BU12" s="69" t="n">
        <v>4337818.592076506</v>
      </c>
      <c r="BV12" s="69" t="n">
        <v>4364809.9361391</v>
      </c>
      <c r="BW12" s="69" t="n">
        <v>4416799.371816695</v>
      </c>
      <c r="BX12" s="69" t="n">
        <v>4442644.41890929</v>
      </c>
      <c r="BY12" s="69" t="n">
        <v>4492282.182264583</v>
      </c>
      <c r="BZ12" s="69" t="n">
        <v>4521941.330453271</v>
      </c>
      <c r="CA12" s="69" t="n">
        <v>4551600.47864196</v>
      </c>
      <c r="CB12" s="69" t="n">
        <v>4581259.626830648</v>
      </c>
      <c r="CC12" s="69" t="n">
        <v>4609100.130788087</v>
      </c>
      <c r="CD12" s="69" t="n">
        <v>4661938.726360524</v>
      </c>
      <c r="CE12" s="69" t="n">
        <v>4682079.935669461</v>
      </c>
      <c r="CF12" s="69" t="n">
        <v>4702221.144978399</v>
      </c>
      <c r="CG12" s="69" t="n">
        <v>4746155.070550038</v>
      </c>
      <c r="CH12" s="69" t="n">
        <v>4769919.331460069</v>
      </c>
      <c r="CI12" s="69" t="n">
        <v>4793683.592370098</v>
      </c>
      <c r="CJ12" s="69" t="n">
        <v>4815629.209048879</v>
      </c>
      <c r="CK12" s="69" t="n">
        <v>4865072.726504159</v>
      </c>
      <c r="CL12" s="69" t="n">
        <v>4885757.41651594</v>
      </c>
      <c r="CM12" s="69" t="n">
        <v>4906442.10652772</v>
      </c>
      <c r="CN12" s="69" t="n">
        <v>4950919.5128022</v>
      </c>
      <c r="CO12" s="69" t="n">
        <v>4975227.254415074</v>
      </c>
      <c r="CP12" s="69" t="n">
        <v>4999534.996027949</v>
      </c>
      <c r="CQ12" s="69" t="n">
        <v>5022024.093409572</v>
      </c>
      <c r="CR12" s="69" t="n">
        <v>5044513.190791196</v>
      </c>
      <c r="CS12" s="69" t="n">
        <v>5094500.18894932</v>
      </c>
      <c r="CT12" s="69" t="n">
        <v>5115728.359663947</v>
      </c>
      <c r="CU12" s="69" t="n">
        <v>5160749.246641272</v>
      </c>
      <c r="CV12" s="69" t="n">
        <v>5185600.468956991</v>
      </c>
      <c r="CW12" s="69" t="n">
        <v>5210451.69127271</v>
      </c>
      <c r="CX12" s="69" t="n">
        <v>5101360.978386355</v>
      </c>
      <c r="CY12" s="69" t="n">
        <v>4311412.208501342</v>
      </c>
      <c r="CZ12" s="69" t="n">
        <v>4213704.353118093</v>
      </c>
      <c r="DA12" s="69" t="n">
        <v>4087237.670291343</v>
      </c>
      <c r="DB12" s="69" t="n">
        <v>3960770.987464593</v>
      </c>
      <c r="DC12" s="69" t="n">
        <v>3834113.255142843</v>
      </c>
      <c r="DD12" s="69" t="n">
        <v>3707455.522821094</v>
      </c>
      <c r="DE12" s="69" t="n">
        <v>3580797.790499344</v>
      </c>
      <c r="DF12" s="69" t="n">
        <v>3452139.549523219</v>
      </c>
      <c r="DG12" s="69" t="n">
        <v>3350979.209323595</v>
      </c>
      <c r="DH12" s="69" t="n">
        <v>3221060.041680469</v>
      </c>
      <c r="DI12" s="69" t="n">
        <v>3091140.874037344</v>
      </c>
      <c r="DJ12" s="69" t="n">
        <v>2808523.193098218</v>
      </c>
      <c r="DK12" s="69" t="n">
        <v>1770456.129418594</v>
      </c>
      <c r="DL12" s="69" t="n">
        <v>1689273.687949968</v>
      </c>
      <c r="DM12" s="69" t="n">
        <v>1606090.737826968</v>
      </c>
      <c r="DN12" s="69" t="n">
        <v>1522907.787703968</v>
      </c>
      <c r="DO12" s="69" t="n">
        <v>1439724.837580968</v>
      </c>
      <c r="DP12" s="69" t="n">
        <v>1356541.887457968</v>
      </c>
      <c r="DQ12" s="69" t="n">
        <v>1273358.937334968</v>
      </c>
      <c r="DR12" s="69" t="n">
        <v>1189965.832767468</v>
      </c>
      <c r="DS12" s="69" t="n">
        <v>1106572.728199968</v>
      </c>
      <c r="DT12" s="69" t="n">
        <v>1021179.114978093</v>
      </c>
      <c r="DU12" s="69" t="n">
        <v>935785.5017562185</v>
      </c>
      <c r="DV12" s="69" t="n">
        <v>850391.8885343435</v>
      </c>
      <c r="DW12" s="69" t="n">
        <v>776092.0051230935</v>
      </c>
      <c r="DX12" s="69" t="n">
        <v>768354.5005755936</v>
      </c>
      <c r="DY12" s="69" t="n">
        <v>760406.8415835935</v>
      </c>
      <c r="DZ12" s="69" t="n">
        <v>752459.1825915936</v>
      </c>
      <c r="EA12" s="69" t="n">
        <v>744511.5235995936</v>
      </c>
      <c r="EB12" s="69" t="n">
        <v>736563.8646075936</v>
      </c>
      <c r="EC12" s="69" t="n">
        <v>728616.2056155936</v>
      </c>
      <c r="ED12" s="69" t="n">
        <v>720668.5466235937</v>
      </c>
      <c r="EE12" s="69" t="n">
        <v>712720.8876315937</v>
      </c>
      <c r="EF12" s="69" t="n">
        <v>704563.0741950937</v>
      </c>
      <c r="EG12" s="69" t="n">
        <v>696405.2607585937</v>
      </c>
      <c r="EH12" s="69" t="n">
        <v>688247.4473220938</v>
      </c>
      <c r="EI12" s="69" t="n">
        <v>681255.0358050937</v>
      </c>
      <c r="EJ12" s="69" t="n">
        <v>681255.0358050937</v>
      </c>
      <c r="EK12" s="69" t="n">
        <v>681255.0358050937</v>
      </c>
      <c r="EL12" s="69" t="n">
        <v>681255.0358050937</v>
      </c>
      <c r="EM12" s="69" t="n">
        <v>670574.909781</v>
      </c>
      <c r="EN12" s="69" t="n">
        <v>659894.7837569063</v>
      </c>
      <c r="EO12" s="69" t="n">
        <v>649214.6577328127</v>
      </c>
      <c r="EP12" s="69" t="n">
        <v>638223.1577721564</v>
      </c>
      <c r="EQ12" s="69" t="n">
        <v>627231.6578115002</v>
      </c>
      <c r="ER12" s="69" t="n">
        <v>616240.1578508441</v>
      </c>
      <c r="ES12" s="69" t="n">
        <v>605248.6578901878</v>
      </c>
      <c r="ET12" s="69" t="n">
        <v>594257.1579295316</v>
      </c>
      <c r="EU12" s="69" t="n">
        <v>583265.6579688754</v>
      </c>
      <c r="EV12" s="69" t="n">
        <v>572274.1580082191</v>
      </c>
      <c r="EW12" s="69" t="n">
        <v>560971.2841110002</v>
      </c>
      <c r="EX12" s="69" t="n">
        <v>549668.4102137815</v>
      </c>
      <c r="EY12" s="69" t="n">
        <v>538365.5363165627</v>
      </c>
      <c r="EZ12" s="69" t="n">
        <v>527062.6624193441</v>
      </c>
      <c r="FA12" s="69" t="n">
        <v>515759.7885221253</v>
      </c>
      <c r="FB12" s="69" t="n">
        <v>504456.9146249066</v>
      </c>
      <c r="FC12" s="69" t="n">
        <v>493154.0407276878</v>
      </c>
      <c r="FD12" s="69" t="n">
        <v>481539.7928939065</v>
      </c>
      <c r="FE12" s="69" t="n">
        <v>469925.5450601252</v>
      </c>
      <c r="FF12" s="69" t="n">
        <v>458311.2972263439</v>
      </c>
      <c r="FG12" s="69" t="n">
        <v>446697.0493925627</v>
      </c>
      <c r="FH12" s="69" t="n">
        <v>435082.8015587814</v>
      </c>
      <c r="FI12" s="69" t="n">
        <v>423468.5537250001</v>
      </c>
      <c r="FJ12" s="69" t="n">
        <v>411854.3058912188</v>
      </c>
      <c r="FK12" s="69" t="n">
        <v>399928.684120875</v>
      </c>
      <c r="FL12" s="69" t="n">
        <v>388003.0623505313</v>
      </c>
      <c r="FM12" s="69" t="n">
        <v>376077.4405801875</v>
      </c>
      <c r="FN12" s="69" t="n">
        <v>364151.8188098437</v>
      </c>
      <c r="FO12" s="69" t="n">
        <v>352226.1970395</v>
      </c>
      <c r="FP12" s="69" t="n">
        <v>340300.5752691563</v>
      </c>
      <c r="FQ12" s="69" t="n">
        <v>328374.9534988125</v>
      </c>
      <c r="FR12" s="69" t="n">
        <v>316106.82039825</v>
      </c>
      <c r="FS12" s="69" t="n">
        <v>303838.6872976876</v>
      </c>
      <c r="FT12" s="69" t="n">
        <v>291570.554197125</v>
      </c>
      <c r="FU12" s="69" t="n">
        <v>279302.4210965625</v>
      </c>
      <c r="FV12" s="69" t="n">
        <v>267034.287996</v>
      </c>
      <c r="FW12" s="69" t="n">
        <v>254766.1548954375</v>
      </c>
      <c r="FX12" s="69" t="n">
        <v>242498.021794875</v>
      </c>
      <c r="FY12" s="69" t="n">
        <v>230229.8886943125</v>
      </c>
      <c r="FZ12" s="69" t="n">
        <v>217619.2442635312</v>
      </c>
      <c r="GA12" s="69" t="n">
        <v>205008.59983275</v>
      </c>
      <c r="GB12" s="69" t="n">
        <v>192397.9554019687</v>
      </c>
      <c r="GC12" s="69" t="n">
        <v>179787.3109711875</v>
      </c>
      <c r="GD12" s="69" t="n">
        <v>167176.6665404062</v>
      </c>
      <c r="GE12" s="69" t="n">
        <v>154566.022109625</v>
      </c>
      <c r="GF12" s="69" t="n">
        <v>141955.3776788437</v>
      </c>
      <c r="GG12" s="69" t="n">
        <v>129002.2219178437</v>
      </c>
      <c r="GH12" s="69" t="n">
        <v>116049.0661568437</v>
      </c>
      <c r="GI12" s="69" t="n">
        <v>103095.9103958437</v>
      </c>
      <c r="GJ12" s="69" t="n">
        <v>90142.75463484376</v>
      </c>
      <c r="GK12" s="69" t="n">
        <v>77189.59887384374</v>
      </c>
      <c r="GL12" s="69" t="n">
        <v>64236.44311284376</v>
      </c>
      <c r="GM12" s="69" t="n">
        <v>51283.28735184376</v>
      </c>
      <c r="GN12" s="69" t="n">
        <v>37987.620260625</v>
      </c>
      <c r="GO12" s="69" t="n">
        <v>24691.95316940625</v>
      </c>
      <c r="GP12" s="69" t="n">
        <v>11396.2860781875</v>
      </c>
      <c r="GQ12" s="69" t="n"/>
      <c r="GR12" s="69" t="n"/>
      <c r="GS12" s="69" t="n"/>
      <c r="GT12" s="69" t="n"/>
      <c r="GU12" s="69" t="n"/>
      <c r="GV12" s="69" t="n"/>
      <c r="GW12" s="69" t="n"/>
      <c r="GX12" s="69" t="n"/>
      <c r="GY12" s="69" t="n"/>
      <c r="GZ12" s="69" t="n"/>
      <c r="HA12" s="69" t="n"/>
      <c r="HB12" s="69" t="n"/>
      <c r="HC12" s="69" t="n"/>
      <c r="HD12" s="69" t="n"/>
      <c r="HE12" s="69" t="n"/>
      <c r="HF12" s="69" t="n"/>
      <c r="HG12" s="69" t="n"/>
      <c r="HH12" s="69" t="n"/>
      <c r="HI12" s="69" t="n"/>
      <c r="HJ12" s="69" t="n"/>
      <c r="HK12" s="69" t="n"/>
      <c r="HL12" s="69" t="n"/>
      <c r="HM12" s="69" t="n"/>
      <c r="HN12" s="69" t="n"/>
      <c r="HO12" s="68" t="n"/>
      <c r="HP12" s="68" t="n"/>
      <c r="HQ12" s="68" t="n"/>
      <c r="HR12" s="68" t="n"/>
      <c r="HS12" s="68" t="n"/>
      <c r="HT12" s="68" t="n"/>
      <c r="HU12" s="67" t="n"/>
      <c r="JF12" s="68">
        <f>AP12</f>
        <v/>
      </c>
      <c r="JG12" s="68">
        <f>SUM(Z12:AK12)</f>
        <v/>
      </c>
      <c r="JH12" s="68">
        <f>SUM(AL12:AP12)</f>
        <v/>
      </c>
      <c r="JI12" s="68">
        <f>SUM(C12:AP12)</f>
        <v/>
      </c>
      <c r="JJ12" s="446" t="n"/>
      <c r="JM12" s="69" t="n">
        <v>553013.17533</v>
      </c>
      <c r="JR12" s="54">
        <f>A12</f>
        <v/>
      </c>
      <c r="JS12" s="68">
        <f>SUM(C12:AP12)</f>
        <v/>
      </c>
      <c r="JT12" s="462" t="n"/>
      <c r="JU12" s="68">
        <f>SUM(AT12:AZ12)</f>
        <v/>
      </c>
      <c r="JV12" s="68">
        <f>SUM(BA12:BL12)</f>
        <v/>
      </c>
      <c r="JW12" s="68">
        <f>SUM(BM12:BX12)</f>
        <v/>
      </c>
      <c r="JX12" s="68">
        <f>SUM(BY12:CJ12)</f>
        <v/>
      </c>
      <c r="JY12" s="68">
        <f>SUM(CK12:CV12)</f>
        <v/>
      </c>
      <c r="JZ12" s="68">
        <f>SUM(CW12:HU12)</f>
        <v/>
      </c>
      <c r="KG12" s="130">
        <f>B12</f>
        <v/>
      </c>
      <c r="KH12" s="342">
        <f>AR12</f>
        <v/>
      </c>
    </row>
    <row r="13" ht="7.2" customHeight="1" thickTop="1">
      <c r="A13" s="1" t="n"/>
      <c r="B13" s="128" t="n"/>
      <c r="C13" s="1" t="n"/>
      <c r="D13" s="1" t="n"/>
      <c r="E13" s="14" t="n"/>
      <c r="F13" s="14" t="n"/>
      <c r="G13" s="14" t="n"/>
      <c r="H13" s="14" t="n"/>
      <c r="I13" s="14" t="n"/>
      <c r="J13" s="156" t="n"/>
      <c r="K13" s="1" t="n"/>
      <c r="L13" s="1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57" t="n"/>
      <c r="AE13" s="157" t="n"/>
      <c r="AF13" s="157" t="n"/>
      <c r="AG13" s="157" t="n"/>
      <c r="AH13" s="157" t="n"/>
      <c r="AI13" s="157" t="n"/>
      <c r="AJ13" s="157" t="n"/>
      <c r="AK13" s="157" t="n"/>
      <c r="AL13" s="157" t="n"/>
      <c r="AM13" s="157" t="n"/>
      <c r="AN13" s="157" t="n"/>
      <c r="AO13" s="157" t="n"/>
      <c r="AP13" s="157" t="n"/>
      <c r="AQ13" s="1" t="n"/>
      <c r="AR13" s="128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289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289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289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289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289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JF13" s="1">
        <f>AP13</f>
        <v/>
      </c>
      <c r="JG13" s="1">
        <f>SUM(Z13:AK13)</f>
        <v/>
      </c>
      <c r="JH13" s="1">
        <f>SUM(AL13:AP13)</f>
        <v/>
      </c>
      <c r="JI13" s="1">
        <f>SUM(C13:AP13)</f>
        <v/>
      </c>
      <c r="JJ13" s="446" t="n"/>
      <c r="JM13" s="1" t="n"/>
      <c r="JR13" s="1">
        <f>A13</f>
        <v/>
      </c>
      <c r="JS13" s="1">
        <f>SUM(C13:AP13)</f>
        <v/>
      </c>
      <c r="JT13" s="460" t="n"/>
      <c r="JU13" s="1">
        <f>SUM(AT13:AZ13)</f>
        <v/>
      </c>
      <c r="JV13" s="1">
        <f>SUM(BA13:BL13)</f>
        <v/>
      </c>
      <c r="JW13" s="1">
        <f>SUM(BM13:BX13)</f>
        <v/>
      </c>
      <c r="JX13" s="1">
        <f>SUM(BY13:CJ13)</f>
        <v/>
      </c>
      <c r="JY13" s="1">
        <f>SUM(CK13:CV13)</f>
        <v/>
      </c>
      <c r="JZ13" s="1">
        <f>SUM(CW13:HU13)</f>
        <v/>
      </c>
      <c r="KG13" s="128">
        <f>B13</f>
        <v/>
      </c>
      <c r="KH13" s="128">
        <f>AR13</f>
        <v/>
      </c>
    </row>
    <row r="14" ht="16.2" customFormat="1" customHeight="1" s="259">
      <c r="A14" s="65" t="inlineStr">
        <is>
          <t>APORTE DE SÓCIOS</t>
        </is>
      </c>
      <c r="B14" s="129" t="n"/>
      <c r="C14" s="70" t="n"/>
      <c r="D14" s="70" t="n"/>
      <c r="E14" s="70" t="n"/>
      <c r="F14" s="70" t="n"/>
      <c r="G14" s="70" t="n"/>
      <c r="H14" s="70" t="n"/>
      <c r="I14" s="70" t="n"/>
      <c r="J14" s="155" t="n"/>
      <c r="K14" s="70" t="n"/>
      <c r="L14" s="70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198" t="n"/>
      <c r="AR14" s="233" t="n"/>
      <c r="AS14" s="198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  <c r="BC14" s="70" t="n"/>
      <c r="BD14" s="287" t="n"/>
      <c r="BE14" s="70" t="n"/>
      <c r="BF14" s="70" t="n"/>
      <c r="BG14" s="70" t="n"/>
      <c r="BH14" s="70" t="n"/>
      <c r="BI14" s="70" t="n"/>
      <c r="BJ14" s="70" t="n"/>
      <c r="BK14" s="70" t="n"/>
      <c r="BL14" s="70" t="n"/>
      <c r="BM14" s="70" t="n"/>
      <c r="BN14" s="70" t="n"/>
      <c r="BO14" s="70" t="n"/>
      <c r="BP14" s="287" t="n"/>
      <c r="BQ14" s="70" t="n"/>
      <c r="BR14" s="70" t="n"/>
      <c r="BS14" s="70" t="n"/>
      <c r="BT14" s="70" t="n"/>
      <c r="BU14" s="70" t="n"/>
      <c r="BV14" s="70" t="n"/>
      <c r="BW14" s="70" t="n"/>
      <c r="BX14" s="70" t="n"/>
      <c r="BY14" s="70" t="n"/>
      <c r="BZ14" s="70" t="n"/>
      <c r="CA14" s="70" t="n"/>
      <c r="CB14" s="287" t="n"/>
      <c r="CC14" s="70" t="n"/>
      <c r="CD14" s="70" t="n"/>
      <c r="CE14" s="70" t="n"/>
      <c r="CF14" s="70" t="n"/>
      <c r="CG14" s="70" t="n"/>
      <c r="CH14" s="70" t="n"/>
      <c r="CI14" s="70" t="n"/>
      <c r="CJ14" s="70" t="n"/>
      <c r="CK14" s="70" t="n"/>
      <c r="CL14" s="70" t="n"/>
      <c r="CM14" s="70" t="n"/>
      <c r="CN14" s="287" t="n"/>
      <c r="CO14" s="70" t="n"/>
      <c r="CP14" s="70" t="n"/>
      <c r="CQ14" s="70" t="n"/>
      <c r="CR14" s="70" t="n"/>
      <c r="CS14" s="70" t="n"/>
      <c r="CT14" s="70" t="n"/>
      <c r="CU14" s="70" t="n"/>
      <c r="CV14" s="70" t="n"/>
      <c r="CW14" s="70" t="n"/>
      <c r="CX14" s="70" t="n"/>
      <c r="CY14" s="70" t="n"/>
      <c r="CZ14" s="287" t="n"/>
      <c r="DA14" s="70" t="n"/>
      <c r="DB14" s="70" t="n"/>
      <c r="DC14" s="70" t="n"/>
      <c r="DD14" s="70" t="n"/>
      <c r="DE14" s="70" t="n"/>
      <c r="DF14" s="70" t="n"/>
      <c r="DG14" s="70" t="n"/>
      <c r="DH14" s="70" t="n"/>
      <c r="DI14" s="70" t="n"/>
      <c r="DJ14" s="70" t="n"/>
      <c r="DK14" s="70" t="n"/>
      <c r="DL14" s="70" t="n"/>
      <c r="DM14" s="70" t="n"/>
      <c r="DN14" s="70" t="n"/>
      <c r="DO14" s="70" t="n"/>
      <c r="DP14" s="70" t="n"/>
      <c r="DQ14" s="70" t="n"/>
      <c r="DR14" s="70" t="n"/>
      <c r="DS14" s="70" t="n"/>
      <c r="DT14" s="70" t="n"/>
      <c r="DU14" s="70" t="n"/>
      <c r="DV14" s="70" t="n"/>
      <c r="DW14" s="70" t="n"/>
      <c r="DX14" s="70" t="n"/>
      <c r="DY14" s="70" t="n"/>
      <c r="DZ14" s="70" t="n"/>
      <c r="EA14" s="70" t="n"/>
      <c r="EB14" s="70" t="n"/>
      <c r="EC14" s="70" t="n"/>
      <c r="ED14" s="70" t="n"/>
      <c r="EE14" s="70" t="n"/>
      <c r="EF14" s="70" t="n"/>
      <c r="EG14" s="70" t="n"/>
      <c r="EH14" s="70" t="n"/>
      <c r="EI14" s="70" t="n"/>
      <c r="EJ14" s="70" t="n"/>
      <c r="EK14" s="70" t="n"/>
      <c r="EL14" s="70" t="n"/>
      <c r="EM14" s="70" t="n"/>
      <c r="EN14" s="70" t="n"/>
      <c r="EO14" s="70" t="n"/>
      <c r="EP14" s="70" t="n"/>
      <c r="EQ14" s="70" t="n"/>
      <c r="ER14" s="70" t="n"/>
      <c r="ES14" s="70" t="n"/>
      <c r="ET14" s="70" t="n"/>
      <c r="EU14" s="70" t="n"/>
      <c r="EV14" s="70" t="n"/>
      <c r="EW14" s="70" t="n"/>
      <c r="EX14" s="70" t="n"/>
      <c r="EY14" s="70" t="n"/>
      <c r="EZ14" s="70" t="n"/>
      <c r="FA14" s="70" t="n"/>
      <c r="FB14" s="70" t="n"/>
      <c r="FC14" s="70" t="n"/>
      <c r="FD14" s="70" t="n"/>
      <c r="FE14" s="70" t="n"/>
      <c r="FF14" s="70" t="n"/>
      <c r="FG14" s="70" t="n"/>
      <c r="FH14" s="70" t="n"/>
      <c r="FI14" s="70" t="n"/>
      <c r="FJ14" s="70" t="n"/>
      <c r="FK14" s="70" t="n"/>
      <c r="FL14" s="70" t="n"/>
      <c r="FM14" s="70" t="n"/>
      <c r="FN14" s="70" t="n"/>
      <c r="FO14" s="70" t="n"/>
      <c r="FP14" s="70" t="n"/>
      <c r="FQ14" s="70" t="n"/>
      <c r="FR14" s="70" t="n"/>
      <c r="FS14" s="70" t="n"/>
      <c r="FT14" s="70" t="n"/>
      <c r="FU14" s="70" t="n"/>
      <c r="FV14" s="70" t="n"/>
      <c r="FW14" s="70" t="n"/>
      <c r="FX14" s="70" t="n"/>
      <c r="FY14" s="70" t="n"/>
      <c r="FZ14" s="70" t="n"/>
      <c r="GA14" s="70" t="n"/>
      <c r="GB14" s="70" t="n"/>
      <c r="GC14" s="70" t="n"/>
      <c r="GD14" s="70" t="n"/>
      <c r="GE14" s="70" t="n"/>
      <c r="GF14" s="70" t="n"/>
      <c r="GG14" s="70" t="n"/>
      <c r="GH14" s="70" t="n"/>
      <c r="GI14" s="70" t="n"/>
      <c r="GJ14" s="70" t="n"/>
      <c r="GK14" s="70" t="n"/>
      <c r="GL14" s="70" t="n"/>
      <c r="GM14" s="70" t="n"/>
      <c r="GN14" s="70" t="n"/>
      <c r="GO14" s="70" t="n"/>
      <c r="GP14" s="70" t="n"/>
      <c r="GQ14" s="70" t="n"/>
      <c r="GR14" s="70" t="n"/>
      <c r="GS14" s="70" t="n"/>
      <c r="GT14" s="70" t="n"/>
      <c r="GU14" s="70" t="n"/>
      <c r="GV14" s="70" t="n"/>
      <c r="GW14" s="70" t="n"/>
      <c r="GX14" s="70" t="n"/>
      <c r="GY14" s="70" t="n"/>
      <c r="GZ14" s="70" t="n"/>
      <c r="HA14" s="70" t="n"/>
      <c r="HB14" s="70" t="n"/>
      <c r="HC14" s="70" t="n"/>
      <c r="HD14" s="70" t="n"/>
      <c r="HE14" s="70" t="n"/>
      <c r="HF14" s="70" t="n"/>
      <c r="HG14" s="70" t="n"/>
      <c r="HH14" s="70" t="n"/>
      <c r="HI14" s="70" t="n"/>
      <c r="HJ14" s="70" t="n"/>
      <c r="HK14" s="70" t="n"/>
      <c r="HL14" s="70" t="n"/>
      <c r="HM14" s="70" t="n"/>
      <c r="HN14" s="70" t="n"/>
      <c r="HO14" s="70" t="n"/>
      <c r="HP14" s="70" t="n"/>
      <c r="HQ14" s="70" t="n"/>
      <c r="HR14" s="70" t="n"/>
      <c r="HS14" s="70" t="n"/>
      <c r="HT14" s="70" t="n"/>
      <c r="HU14" s="70" t="n"/>
      <c r="JF14" s="70">
        <f>AP14</f>
        <v/>
      </c>
      <c r="JG14" s="70">
        <f>SUM(Z14:AK14)</f>
        <v/>
      </c>
      <c r="JH14" s="70">
        <f>SUM(AL14:AP14)</f>
        <v/>
      </c>
      <c r="JI14" s="70">
        <f>SUM(C14:AP14)</f>
        <v/>
      </c>
      <c r="JJ14" s="446" t="n"/>
      <c r="JM14" s="70" t="n"/>
      <c r="JR14" s="65">
        <f>A14</f>
        <v/>
      </c>
      <c r="JS14" s="70">
        <f>SUM(C14:AP14)</f>
        <v/>
      </c>
      <c r="JT14" s="461" t="n"/>
      <c r="JU14" s="70">
        <f>SUM(AT14:AZ14)</f>
        <v/>
      </c>
      <c r="JV14" s="70">
        <f>SUM(BA14:BL14)</f>
        <v/>
      </c>
      <c r="JW14" s="70">
        <f>SUM(BM14:BX14)</f>
        <v/>
      </c>
      <c r="JX14" s="70">
        <f>SUM(BY14:CJ14)</f>
        <v/>
      </c>
      <c r="JY14" s="70">
        <f>SUM(CK14:CV14)</f>
        <v/>
      </c>
      <c r="JZ14" s="70">
        <f>SUM(CW14:HU14)</f>
        <v/>
      </c>
      <c r="KG14" s="129">
        <f>B14</f>
        <v/>
      </c>
      <c r="KH14" s="233">
        <f>AR14</f>
        <v/>
      </c>
    </row>
    <row r="15" ht="16.2" customHeight="1" thickBot="1">
      <c r="A15" s="54" t="inlineStr">
        <is>
          <t>Aportes</t>
        </is>
      </c>
      <c r="B15" s="130">
        <f>SUM(C15:AP15)</f>
        <v/>
      </c>
      <c r="C15" s="67" t="n">
        <v>2004788.24</v>
      </c>
      <c r="D15" s="69" t="n"/>
      <c r="E15" s="67" t="n"/>
      <c r="F15" s="67" t="n"/>
      <c r="G15" s="67" t="n"/>
      <c r="H15" s="67" t="n"/>
      <c r="I15" s="68" t="n"/>
      <c r="J15" s="189" t="n"/>
      <c r="K15" s="34" t="n"/>
      <c r="L15" s="34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67" t="n"/>
      <c r="Y15" s="214" t="n">
        <v>1000000</v>
      </c>
      <c r="Z15" s="214" t="n">
        <v>1000000</v>
      </c>
      <c r="AA15" s="214" t="n"/>
      <c r="AB15" s="214" t="n">
        <v>1000000</v>
      </c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4" t="n"/>
      <c r="AP15" s="214" t="n"/>
      <c r="AQ15" s="71" t="n"/>
      <c r="AR15" s="342">
        <f>SUM(AT15:HU15)</f>
        <v/>
      </c>
      <c r="AS15" s="71" t="n"/>
      <c r="AT15" s="69" t="n"/>
      <c r="AU15" s="69" t="n"/>
      <c r="AV15" s="69" t="n"/>
      <c r="AW15" s="69" t="n"/>
      <c r="AX15" s="69" t="n"/>
      <c r="AY15" s="69" t="n">
        <v>320000</v>
      </c>
      <c r="AZ15" s="69" t="n"/>
      <c r="BA15" s="69" t="n">
        <v>0</v>
      </c>
      <c r="BB15" s="69" t="n">
        <v>0</v>
      </c>
      <c r="BC15" s="69" t="n">
        <v>0</v>
      </c>
      <c r="BD15" s="69" t="n">
        <v>0</v>
      </c>
      <c r="BE15" s="69" t="n">
        <v>0</v>
      </c>
      <c r="BF15" s="67" t="n">
        <v>0</v>
      </c>
      <c r="BG15" s="67" t="n">
        <v>0</v>
      </c>
      <c r="BH15" s="67" t="n">
        <v>0</v>
      </c>
      <c r="BI15" s="67" t="n">
        <v>0</v>
      </c>
      <c r="BJ15" s="67" t="n">
        <v>0</v>
      </c>
      <c r="BK15" s="67" t="n"/>
      <c r="BL15" s="67" t="n">
        <v>0</v>
      </c>
      <c r="BM15" s="67" t="n">
        <v>0</v>
      </c>
      <c r="BN15" s="67" t="n">
        <v>0</v>
      </c>
      <c r="BO15" s="67" t="n">
        <v>0</v>
      </c>
      <c r="BP15" s="288" t="n">
        <v>0</v>
      </c>
      <c r="BQ15" s="69" t="n">
        <v>0</v>
      </c>
      <c r="BR15" s="67" t="n">
        <v>0</v>
      </c>
      <c r="BS15" s="67" t="n">
        <v>0</v>
      </c>
      <c r="BT15" s="67" t="n">
        <v>0</v>
      </c>
      <c r="BU15" s="67" t="n">
        <v>0</v>
      </c>
      <c r="BV15" s="67" t="n">
        <v>0</v>
      </c>
      <c r="BW15" s="67" t="n">
        <v>0</v>
      </c>
      <c r="BX15" s="67" t="n">
        <v>0</v>
      </c>
      <c r="BY15" s="67" t="n">
        <v>0</v>
      </c>
      <c r="BZ15" s="67" t="n">
        <v>0</v>
      </c>
      <c r="CA15" s="67" t="n">
        <v>0</v>
      </c>
      <c r="CB15" s="288" t="n">
        <v>0</v>
      </c>
      <c r="CC15" s="69" t="n">
        <v>0</v>
      </c>
      <c r="CD15" s="67" t="n">
        <v>0</v>
      </c>
      <c r="CE15" s="67" t="n">
        <v>0</v>
      </c>
      <c r="CF15" s="67" t="n">
        <v>0</v>
      </c>
      <c r="CG15" s="67" t="n">
        <v>0</v>
      </c>
      <c r="CH15" s="67" t="n">
        <v>0</v>
      </c>
      <c r="CI15" s="67" t="n">
        <v>0</v>
      </c>
      <c r="CJ15" s="67" t="n">
        <v>0</v>
      </c>
      <c r="CK15" s="67" t="n">
        <v>0</v>
      </c>
      <c r="CL15" s="67" t="n">
        <v>0</v>
      </c>
      <c r="CM15" s="67" t="n">
        <v>0</v>
      </c>
      <c r="CN15" s="288" t="n">
        <v>0</v>
      </c>
      <c r="CO15" s="69" t="n">
        <v>0</v>
      </c>
      <c r="CP15" s="67" t="n">
        <v>0</v>
      </c>
      <c r="CQ15" s="67" t="n">
        <v>0</v>
      </c>
      <c r="CR15" s="67" t="n">
        <v>0</v>
      </c>
      <c r="CS15" s="67" t="n">
        <v>0</v>
      </c>
      <c r="CT15" s="67" t="n">
        <v>0</v>
      </c>
      <c r="CU15" s="67" t="n">
        <v>0</v>
      </c>
      <c r="CV15" s="67" t="n">
        <v>0</v>
      </c>
      <c r="CW15" s="67" t="n">
        <v>0</v>
      </c>
      <c r="CX15" s="67" t="n">
        <v>0</v>
      </c>
      <c r="CY15" s="67" t="n">
        <v>0</v>
      </c>
      <c r="CZ15" s="288" t="n">
        <v>0</v>
      </c>
      <c r="DA15" s="69" t="n">
        <v>0</v>
      </c>
      <c r="DB15" s="67" t="n">
        <v>0</v>
      </c>
      <c r="DC15" s="67" t="n">
        <v>0</v>
      </c>
      <c r="DD15" s="67" t="n">
        <v>0</v>
      </c>
      <c r="DE15" s="67" t="n">
        <v>0</v>
      </c>
      <c r="DF15" s="67" t="n">
        <v>0</v>
      </c>
      <c r="DG15" s="67" t="n">
        <v>0</v>
      </c>
      <c r="DH15" s="67" t="n">
        <v>0</v>
      </c>
      <c r="DI15" s="67" t="n">
        <v>0</v>
      </c>
      <c r="DJ15" s="68" t="n">
        <v>0</v>
      </c>
      <c r="DK15" s="67" t="n">
        <v>0</v>
      </c>
      <c r="DL15" s="68" t="n">
        <v>0</v>
      </c>
      <c r="DM15" s="67" t="n">
        <v>0</v>
      </c>
      <c r="DN15" s="68" t="n">
        <v>0</v>
      </c>
      <c r="DO15" s="68" t="n">
        <v>0</v>
      </c>
      <c r="DP15" s="68" t="n">
        <v>0</v>
      </c>
      <c r="DQ15" s="68" t="n">
        <v>0</v>
      </c>
      <c r="DR15" s="68" t="n">
        <v>0</v>
      </c>
      <c r="DS15" s="68" t="n">
        <v>0</v>
      </c>
      <c r="DT15" s="68" t="n">
        <v>0</v>
      </c>
      <c r="DU15" s="68" t="n">
        <v>0</v>
      </c>
      <c r="DV15" s="68" t="n">
        <v>0</v>
      </c>
      <c r="DW15" s="68" t="n">
        <v>0</v>
      </c>
      <c r="DX15" s="68" t="n">
        <v>0</v>
      </c>
      <c r="DY15" s="68" t="n">
        <v>0</v>
      </c>
      <c r="DZ15" s="68" t="n">
        <v>0</v>
      </c>
      <c r="EA15" s="68" t="n">
        <v>0</v>
      </c>
      <c r="EB15" s="68" t="n">
        <v>0</v>
      </c>
      <c r="EC15" s="68" t="n">
        <v>0</v>
      </c>
      <c r="ED15" s="68" t="n">
        <v>0</v>
      </c>
      <c r="EE15" s="68" t="n">
        <v>0</v>
      </c>
      <c r="EF15" s="68" t="n">
        <v>0</v>
      </c>
      <c r="EG15" s="68" t="n">
        <v>0</v>
      </c>
      <c r="EH15" s="68" t="n">
        <v>0</v>
      </c>
      <c r="EI15" s="68" t="n">
        <v>0</v>
      </c>
      <c r="EJ15" s="68" t="n">
        <v>0</v>
      </c>
      <c r="EK15" s="68" t="n">
        <v>0</v>
      </c>
      <c r="EL15" s="68" t="n">
        <v>0</v>
      </c>
      <c r="EM15" s="68" t="n">
        <v>0</v>
      </c>
      <c r="EN15" s="68" t="n">
        <v>0</v>
      </c>
      <c r="EO15" s="68" t="n">
        <v>0</v>
      </c>
      <c r="EP15" s="68" t="n">
        <v>0</v>
      </c>
      <c r="EQ15" s="68" t="n">
        <v>0</v>
      </c>
      <c r="ER15" s="68" t="n">
        <v>0</v>
      </c>
      <c r="ES15" s="68" t="n">
        <v>0</v>
      </c>
      <c r="ET15" s="68" t="n">
        <v>0</v>
      </c>
      <c r="EU15" s="68" t="n">
        <v>0</v>
      </c>
      <c r="EV15" s="68" t="n">
        <v>0</v>
      </c>
      <c r="EW15" s="68" t="n">
        <v>0</v>
      </c>
      <c r="EX15" s="68" t="n">
        <v>0</v>
      </c>
      <c r="EY15" s="68" t="n">
        <v>0</v>
      </c>
      <c r="EZ15" s="68" t="n">
        <v>0</v>
      </c>
      <c r="FA15" s="68" t="n">
        <v>0</v>
      </c>
      <c r="FB15" s="68" t="n">
        <v>0</v>
      </c>
      <c r="FC15" s="68" t="n">
        <v>0</v>
      </c>
      <c r="FD15" s="68" t="n">
        <v>0</v>
      </c>
      <c r="FE15" s="68" t="n">
        <v>0</v>
      </c>
      <c r="FF15" s="68" t="n">
        <v>0</v>
      </c>
      <c r="FG15" s="68" t="n">
        <v>0</v>
      </c>
      <c r="FH15" s="68" t="n">
        <v>0</v>
      </c>
      <c r="FI15" s="68" t="n">
        <v>0</v>
      </c>
      <c r="FJ15" s="68" t="n">
        <v>0</v>
      </c>
      <c r="FK15" s="68" t="n">
        <v>0</v>
      </c>
      <c r="FL15" s="68" t="n">
        <v>0</v>
      </c>
      <c r="FM15" s="68" t="n">
        <v>0</v>
      </c>
      <c r="FN15" s="68" t="n">
        <v>0</v>
      </c>
      <c r="FO15" s="68" t="n">
        <v>0</v>
      </c>
      <c r="FP15" s="68" t="n">
        <v>0</v>
      </c>
      <c r="FQ15" s="68" t="n">
        <v>0</v>
      </c>
      <c r="FR15" s="68" t="n">
        <v>0</v>
      </c>
      <c r="FS15" s="68" t="n">
        <v>0</v>
      </c>
      <c r="FT15" s="68" t="n">
        <v>0</v>
      </c>
      <c r="FU15" s="68" t="n">
        <v>0</v>
      </c>
      <c r="FV15" s="68" t="n">
        <v>0</v>
      </c>
      <c r="FW15" s="68" t="n">
        <v>0</v>
      </c>
      <c r="FX15" s="68" t="n">
        <v>0</v>
      </c>
      <c r="FY15" s="68" t="n">
        <v>0</v>
      </c>
      <c r="FZ15" s="68" t="n">
        <v>0</v>
      </c>
      <c r="GA15" s="68" t="n">
        <v>0</v>
      </c>
      <c r="GB15" s="68" t="n">
        <v>0</v>
      </c>
      <c r="GC15" s="68" t="n">
        <v>0</v>
      </c>
      <c r="GD15" s="68" t="n">
        <v>0</v>
      </c>
      <c r="GE15" s="68" t="n">
        <v>0</v>
      </c>
      <c r="GF15" s="68" t="n">
        <v>0</v>
      </c>
      <c r="GG15" s="68" t="n">
        <v>0</v>
      </c>
      <c r="GH15" s="68" t="n">
        <v>0</v>
      </c>
      <c r="GI15" s="68" t="n">
        <v>0</v>
      </c>
      <c r="GJ15" s="68" t="n">
        <v>0</v>
      </c>
      <c r="GK15" s="68" t="n">
        <v>0</v>
      </c>
      <c r="GL15" s="68" t="n">
        <v>0</v>
      </c>
      <c r="GM15" s="68" t="n">
        <v>0</v>
      </c>
      <c r="GN15" s="68" t="n">
        <v>0</v>
      </c>
      <c r="GO15" s="68" t="n">
        <v>0</v>
      </c>
      <c r="GP15" s="68" t="n">
        <v>0</v>
      </c>
      <c r="GQ15" s="68" t="n">
        <v>0</v>
      </c>
      <c r="GR15" s="68" t="n">
        <v>0</v>
      </c>
      <c r="GS15" s="68" t="n">
        <v>0</v>
      </c>
      <c r="GT15" s="68" t="n">
        <v>0</v>
      </c>
      <c r="GU15" s="68" t="n">
        <v>0</v>
      </c>
      <c r="GV15" s="68" t="n">
        <v>0</v>
      </c>
      <c r="GW15" s="68" t="n">
        <v>0</v>
      </c>
      <c r="GX15" s="68" t="n">
        <v>0</v>
      </c>
      <c r="GY15" s="68" t="n">
        <v>0</v>
      </c>
      <c r="GZ15" s="68" t="n">
        <v>0</v>
      </c>
      <c r="HA15" s="68" t="n">
        <v>0</v>
      </c>
      <c r="HB15" s="68" t="n">
        <v>0</v>
      </c>
      <c r="HC15" s="68" t="n">
        <v>0</v>
      </c>
      <c r="HD15" s="68" t="n">
        <v>0</v>
      </c>
      <c r="HE15" s="68" t="n">
        <v>0</v>
      </c>
      <c r="HF15" s="68" t="n">
        <v>0</v>
      </c>
      <c r="HG15" s="68" t="n">
        <v>0</v>
      </c>
      <c r="HH15" s="68" t="n">
        <v>0</v>
      </c>
      <c r="HI15" s="68" t="n">
        <v>0</v>
      </c>
      <c r="HJ15" s="68" t="n">
        <v>0</v>
      </c>
      <c r="HK15" s="68" t="n">
        <v>0</v>
      </c>
      <c r="HL15" s="68" t="n">
        <v>0</v>
      </c>
      <c r="HM15" s="68" t="n">
        <v>0</v>
      </c>
      <c r="HN15" s="68" t="n">
        <v>0</v>
      </c>
      <c r="HO15" s="68" t="n">
        <v>0</v>
      </c>
      <c r="HP15" s="68" t="n">
        <v>0</v>
      </c>
      <c r="HQ15" s="68" t="n">
        <v>0</v>
      </c>
      <c r="HR15" s="68" t="n">
        <v>0</v>
      </c>
      <c r="HS15" s="68" t="n">
        <v>0</v>
      </c>
      <c r="HT15" s="68" t="n">
        <v>0</v>
      </c>
      <c r="HU15" s="68" t="n">
        <v>0</v>
      </c>
      <c r="JF15" s="68">
        <f>AP15</f>
        <v/>
      </c>
      <c r="JG15" s="68">
        <f>SUM(Z15:AK15)</f>
        <v/>
      </c>
      <c r="JH15" s="68">
        <f>SUM(AL15:AP15)</f>
        <v/>
      </c>
      <c r="JI15" s="68">
        <f>SUM(C15:AP15)</f>
        <v/>
      </c>
      <c r="JJ15" s="446" t="n"/>
      <c r="JM15" s="69" t="n"/>
      <c r="JR15" s="54">
        <f>A15</f>
        <v/>
      </c>
      <c r="JS15" s="68">
        <f>SUM(C15:AP15)</f>
        <v/>
      </c>
      <c r="JT15" s="462" t="n"/>
      <c r="JU15" s="68">
        <f>SUM(AT15:AZ15)</f>
        <v/>
      </c>
      <c r="JV15" s="68">
        <f>SUM(BA15:BL15)</f>
        <v/>
      </c>
      <c r="JW15" s="68">
        <f>SUM(BM15:BX15)</f>
        <v/>
      </c>
      <c r="JX15" s="68">
        <f>SUM(BY15:CJ15)</f>
        <v/>
      </c>
      <c r="JY15" s="68">
        <f>SUM(CK15:CV15)</f>
        <v/>
      </c>
      <c r="JZ15" s="68">
        <f>SUM(CW15:HU15)</f>
        <v/>
      </c>
      <c r="KG15" s="130">
        <f>B15</f>
        <v/>
      </c>
      <c r="KH15" s="342">
        <f>AR15</f>
        <v/>
      </c>
    </row>
    <row r="16" ht="7.2" customHeight="1" thickTop="1">
      <c r="A16" s="1" t="n"/>
      <c r="B16" s="128" t="n"/>
      <c r="C16" s="512" t="n"/>
      <c r="D16" s="512" t="n"/>
      <c r="E16" s="512" t="n"/>
      <c r="F16" s="512" t="n"/>
      <c r="G16" s="512" t="n"/>
      <c r="H16" s="512" t="n"/>
      <c r="I16" s="512" t="n"/>
      <c r="J16" s="513" t="n"/>
      <c r="K16" s="512" t="n"/>
      <c r="L16" s="512" t="n"/>
      <c r="M16" s="514" t="n"/>
      <c r="N16" s="514" t="n"/>
      <c r="O16" s="514" t="n"/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3" t="n"/>
      <c r="AR16" s="235" t="n"/>
      <c r="AS16" s="53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5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5" t="n"/>
      <c r="BQ16" s="512" t="n"/>
      <c r="BR16" s="512" t="n"/>
      <c r="BS16" s="512" t="n"/>
      <c r="BT16" s="512" t="n"/>
      <c r="BU16" s="512" t="n"/>
      <c r="BV16" s="512" t="n"/>
      <c r="BW16" s="512" t="n"/>
      <c r="BX16" s="512" t="n"/>
      <c r="BY16" s="512" t="n"/>
      <c r="BZ16" s="512" t="n"/>
      <c r="CA16" s="512" t="n"/>
      <c r="CB16" s="515" t="n"/>
      <c r="CC16" s="512" t="n"/>
      <c r="CD16" s="512" t="n"/>
      <c r="CE16" s="512" t="n"/>
      <c r="CF16" s="512" t="n"/>
      <c r="CG16" s="512" t="n"/>
      <c r="CH16" s="512" t="n"/>
      <c r="CI16" s="512" t="n"/>
      <c r="CJ16" s="512" t="n"/>
      <c r="CK16" s="512" t="n"/>
      <c r="CL16" s="512" t="n"/>
      <c r="CM16" s="512" t="n"/>
      <c r="CN16" s="515" t="n"/>
      <c r="CO16" s="512" t="n"/>
      <c r="CP16" s="512" t="n"/>
      <c r="CQ16" s="512" t="n"/>
      <c r="CR16" s="512" t="n"/>
      <c r="CS16" s="512" t="n"/>
      <c r="CT16" s="512" t="n"/>
      <c r="CU16" s="512" t="n"/>
      <c r="CV16" s="512" t="n"/>
      <c r="CW16" s="512" t="n"/>
      <c r="CX16" s="512" t="n"/>
      <c r="CY16" s="512" t="n"/>
      <c r="CZ16" s="515" t="n"/>
      <c r="DA16" s="512" t="n"/>
      <c r="DB16" s="512" t="n"/>
      <c r="DC16" s="512" t="n"/>
      <c r="DD16" s="512" t="n"/>
      <c r="DE16" s="512" t="n"/>
      <c r="DF16" s="512" t="n"/>
      <c r="DG16" s="512" t="n"/>
      <c r="DH16" s="512" t="n"/>
      <c r="DI16" s="512" t="n"/>
      <c r="DJ16" s="512" t="n"/>
      <c r="DK16" s="512" t="n"/>
      <c r="DL16" s="512" t="n"/>
      <c r="DM16" s="512" t="n"/>
      <c r="DN16" s="512" t="n"/>
      <c r="DO16" s="512" t="n"/>
      <c r="DP16" s="512" t="n"/>
      <c r="DQ16" s="512" t="n"/>
      <c r="DR16" s="512" t="n"/>
      <c r="DS16" s="512" t="n"/>
      <c r="DT16" s="512" t="n"/>
      <c r="DU16" s="512" t="n"/>
      <c r="DV16" s="512" t="n"/>
      <c r="DW16" s="512" t="n"/>
      <c r="DX16" s="512" t="n"/>
      <c r="DY16" s="512" t="n"/>
      <c r="DZ16" s="512" t="n"/>
      <c r="EA16" s="512" t="n"/>
      <c r="EB16" s="512" t="n"/>
      <c r="EC16" s="512" t="n"/>
      <c r="ED16" s="512" t="n"/>
      <c r="EE16" s="512" t="n"/>
      <c r="EF16" s="512" t="n"/>
      <c r="EG16" s="512" t="n"/>
      <c r="EH16" s="512" t="n"/>
      <c r="EI16" s="512" t="n"/>
      <c r="EJ16" s="512" t="n"/>
      <c r="EK16" s="512" t="n"/>
      <c r="EL16" s="512" t="n"/>
      <c r="EM16" s="512" t="n"/>
      <c r="EN16" s="512" t="n"/>
      <c r="EO16" s="512" t="n"/>
      <c r="EP16" s="512" t="n"/>
      <c r="EQ16" s="512" t="n"/>
      <c r="ER16" s="512" t="n"/>
      <c r="ES16" s="512" t="n"/>
      <c r="ET16" s="512" t="n"/>
      <c r="EU16" s="512" t="n"/>
      <c r="EV16" s="512" t="n"/>
      <c r="EW16" s="512" t="n"/>
      <c r="EX16" s="512" t="n"/>
      <c r="EY16" s="512" t="n"/>
      <c r="EZ16" s="512" t="n"/>
      <c r="FA16" s="512" t="n"/>
      <c r="FB16" s="512" t="n"/>
      <c r="FC16" s="512" t="n"/>
      <c r="FD16" s="512" t="n"/>
      <c r="FE16" s="512" t="n"/>
      <c r="FF16" s="512" t="n"/>
      <c r="FG16" s="512" t="n"/>
      <c r="FH16" s="512" t="n"/>
      <c r="FI16" s="512" t="n"/>
      <c r="FJ16" s="512" t="n"/>
      <c r="FK16" s="512" t="n"/>
      <c r="FL16" s="512" t="n"/>
      <c r="FM16" s="512" t="n"/>
      <c r="FN16" s="512" t="n"/>
      <c r="FO16" s="512" t="n"/>
      <c r="FP16" s="512" t="n"/>
      <c r="FQ16" s="512" t="n"/>
      <c r="FR16" s="512" t="n"/>
      <c r="FS16" s="512" t="n"/>
      <c r="FT16" s="512" t="n"/>
      <c r="FU16" s="512" t="n"/>
      <c r="FV16" s="512" t="n"/>
      <c r="FW16" s="512" t="n"/>
      <c r="FX16" s="512" t="n"/>
      <c r="FY16" s="512" t="n"/>
      <c r="FZ16" s="512" t="n"/>
      <c r="GA16" s="512" t="n"/>
      <c r="GB16" s="512" t="n"/>
      <c r="GC16" s="512" t="n"/>
      <c r="GD16" s="512" t="n"/>
      <c r="GE16" s="512" t="n"/>
      <c r="GF16" s="512" t="n"/>
      <c r="GG16" s="512" t="n"/>
      <c r="GH16" s="512" t="n"/>
      <c r="GI16" s="512" t="n"/>
      <c r="GJ16" s="512" t="n"/>
      <c r="GK16" s="512" t="n"/>
      <c r="GL16" s="512" t="n"/>
      <c r="GM16" s="512" t="n"/>
      <c r="GN16" s="512" t="n"/>
      <c r="GO16" s="512" t="n"/>
      <c r="GP16" s="512" t="n"/>
      <c r="GQ16" s="512" t="n"/>
      <c r="GR16" s="512" t="n"/>
      <c r="GS16" s="512" t="n"/>
      <c r="GT16" s="512" t="n"/>
      <c r="GU16" s="512" t="n"/>
      <c r="GV16" s="512" t="n"/>
      <c r="GW16" s="512" t="n"/>
      <c r="GX16" s="512" t="n"/>
      <c r="GY16" s="512" t="n"/>
      <c r="GZ16" s="512" t="n"/>
      <c r="HA16" s="512" t="n"/>
      <c r="HB16" s="512" t="n"/>
      <c r="HC16" s="512" t="n"/>
      <c r="HD16" s="512" t="n"/>
      <c r="HE16" s="512" t="n"/>
      <c r="HF16" s="512" t="n"/>
      <c r="HG16" s="512" t="n"/>
      <c r="HH16" s="512" t="n"/>
      <c r="HI16" s="512" t="n"/>
      <c r="HJ16" s="512" t="n"/>
      <c r="HK16" s="512" t="n"/>
      <c r="HL16" s="512" t="n"/>
      <c r="HM16" s="512" t="n"/>
      <c r="HN16" s="512" t="n"/>
      <c r="HO16" s="512" t="n"/>
      <c r="HP16" s="512" t="n"/>
      <c r="HQ16" s="512" t="n"/>
      <c r="HR16" s="512" t="n"/>
      <c r="HS16" s="512" t="n"/>
      <c r="HT16" s="512" t="n"/>
      <c r="HU16" s="512" t="n"/>
      <c r="JF16" s="512">
        <f>AP16</f>
        <v/>
      </c>
      <c r="JG16" s="512">
        <f>SUM(Z16:AK16)</f>
        <v/>
      </c>
      <c r="JH16" s="512">
        <f>SUM(AL16:AP16)</f>
        <v/>
      </c>
      <c r="JI16" s="512">
        <f>SUM(C16:AP16)</f>
        <v/>
      </c>
      <c r="JJ16" s="446" t="n"/>
      <c r="JM16" s="512" t="n"/>
      <c r="JR16" s="1">
        <f>A16</f>
        <v/>
      </c>
      <c r="JS16" s="512">
        <f>SUM(C16:AP16)</f>
        <v/>
      </c>
      <c r="JT16" s="577" t="n"/>
      <c r="JU16" s="512">
        <f>SUM(AT16:AZ16)</f>
        <v/>
      </c>
      <c r="JV16" s="512">
        <f>SUM(BA16:BL16)</f>
        <v/>
      </c>
      <c r="JW16" s="512">
        <f>SUM(BM16:BX16)</f>
        <v/>
      </c>
      <c r="JX16" s="512">
        <f>SUM(BY16:CJ16)</f>
        <v/>
      </c>
      <c r="JY16" s="512">
        <f>SUM(CK16:CV16)</f>
        <v/>
      </c>
      <c r="JZ16" s="512">
        <f>SUM(CW16:HU16)</f>
        <v/>
      </c>
      <c r="KG16" s="128">
        <f>B16</f>
        <v/>
      </c>
      <c r="KH16" s="235">
        <f>AR16</f>
        <v/>
      </c>
    </row>
    <row r="17" ht="16.2" customFormat="1" customHeight="1" s="259">
      <c r="A17" s="65" t="inlineStr">
        <is>
          <t>RECEITA FINANCEIRA (+)</t>
        </is>
      </c>
      <c r="B17" s="129" t="n"/>
      <c r="C17" s="70" t="n"/>
      <c r="D17" s="70" t="n"/>
      <c r="E17" s="70" t="n"/>
      <c r="F17" s="70" t="n"/>
      <c r="G17" s="70" t="n"/>
      <c r="H17" s="70" t="n"/>
      <c r="I17" s="70" t="n"/>
      <c r="J17" s="155" t="n"/>
      <c r="K17" s="70" t="n"/>
      <c r="L17" s="70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198" t="n"/>
      <c r="AR17" s="233" t="n"/>
      <c r="AS17" s="198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  <c r="BC17" s="70" t="n"/>
      <c r="BD17" s="287" t="n"/>
      <c r="BE17" s="70" t="n"/>
      <c r="BF17" s="70" t="n"/>
      <c r="BG17" s="70" t="n"/>
      <c r="BH17" s="70" t="n"/>
      <c r="BI17" s="70" t="n"/>
      <c r="BJ17" s="70" t="n"/>
      <c r="BK17" s="70" t="n"/>
      <c r="BL17" s="70" t="n"/>
      <c r="BM17" s="70" t="n"/>
      <c r="BN17" s="70" t="n"/>
      <c r="BO17" s="70" t="n"/>
      <c r="BP17" s="287" t="n"/>
      <c r="BQ17" s="70" t="n"/>
      <c r="BR17" s="70" t="n"/>
      <c r="BS17" s="70" t="n"/>
      <c r="BT17" s="70" t="n"/>
      <c r="BU17" s="70" t="n"/>
      <c r="BV17" s="70" t="n"/>
      <c r="BW17" s="70" t="n"/>
      <c r="BX17" s="70" t="n"/>
      <c r="BY17" s="70" t="n"/>
      <c r="BZ17" s="70" t="n"/>
      <c r="CA17" s="70" t="n"/>
      <c r="CB17" s="287" t="n"/>
      <c r="CC17" s="70" t="n"/>
      <c r="CD17" s="70" t="n"/>
      <c r="CE17" s="70" t="n"/>
      <c r="CF17" s="70" t="n"/>
      <c r="CG17" s="70" t="n"/>
      <c r="CH17" s="70" t="n"/>
      <c r="CI17" s="70" t="n"/>
      <c r="CJ17" s="70" t="n"/>
      <c r="CK17" s="70" t="n"/>
      <c r="CL17" s="70" t="n"/>
      <c r="CM17" s="70" t="n"/>
      <c r="CN17" s="287" t="n"/>
      <c r="CO17" s="70" t="n"/>
      <c r="CP17" s="70" t="n"/>
      <c r="CQ17" s="70" t="n"/>
      <c r="CR17" s="70" t="n"/>
      <c r="CS17" s="70" t="n"/>
      <c r="CT17" s="70" t="n"/>
      <c r="CU17" s="70" t="n"/>
      <c r="CV17" s="70" t="n"/>
      <c r="CW17" s="70" t="n"/>
      <c r="CX17" s="70" t="n"/>
      <c r="CY17" s="70" t="n"/>
      <c r="CZ17" s="287" t="n"/>
      <c r="DA17" s="70" t="n"/>
      <c r="DB17" s="70" t="n"/>
      <c r="DC17" s="70" t="n"/>
      <c r="DD17" s="70" t="n"/>
      <c r="DE17" s="70" t="n"/>
      <c r="DF17" s="70" t="n"/>
      <c r="DG17" s="70" t="n"/>
      <c r="DH17" s="70" t="n"/>
      <c r="DI17" s="70" t="n"/>
      <c r="DJ17" s="70" t="n"/>
      <c r="DK17" s="70" t="n"/>
      <c r="DL17" s="70" t="n"/>
      <c r="DM17" s="70" t="n"/>
      <c r="DN17" s="70" t="n"/>
      <c r="DO17" s="70" t="n"/>
      <c r="DP17" s="70" t="n"/>
      <c r="DQ17" s="70" t="n"/>
      <c r="DR17" s="70" t="n"/>
      <c r="DS17" s="70" t="n"/>
      <c r="DT17" s="70" t="n"/>
      <c r="DU17" s="70" t="n"/>
      <c r="DV17" s="70" t="n"/>
      <c r="DW17" s="70" t="n"/>
      <c r="DX17" s="70" t="n"/>
      <c r="DY17" s="70" t="n"/>
      <c r="DZ17" s="70" t="n"/>
      <c r="EA17" s="70" t="n"/>
      <c r="EB17" s="70" t="n"/>
      <c r="EC17" s="70" t="n"/>
      <c r="ED17" s="70" t="n"/>
      <c r="EE17" s="70" t="n"/>
      <c r="EF17" s="70" t="n"/>
      <c r="EG17" s="70" t="n"/>
      <c r="EH17" s="70" t="n"/>
      <c r="EI17" s="70" t="n"/>
      <c r="EJ17" s="70" t="n"/>
      <c r="EK17" s="70" t="n"/>
      <c r="EL17" s="70" t="n"/>
      <c r="EM17" s="70" t="n"/>
      <c r="EN17" s="70" t="n"/>
      <c r="EO17" s="70" t="n"/>
      <c r="EP17" s="70" t="n"/>
      <c r="EQ17" s="70" t="n"/>
      <c r="ER17" s="70" t="n"/>
      <c r="ES17" s="70" t="n"/>
      <c r="ET17" s="70" t="n"/>
      <c r="EU17" s="70" t="n"/>
      <c r="EV17" s="70" t="n"/>
      <c r="EW17" s="70" t="n"/>
      <c r="EX17" s="70" t="n"/>
      <c r="EY17" s="70" t="n"/>
      <c r="EZ17" s="70" t="n"/>
      <c r="FA17" s="70" t="n"/>
      <c r="FB17" s="70" t="n"/>
      <c r="FC17" s="70" t="n"/>
      <c r="FD17" s="70" t="n"/>
      <c r="FE17" s="70" t="n"/>
      <c r="FF17" s="70" t="n"/>
      <c r="FG17" s="70" t="n"/>
      <c r="FH17" s="70" t="n"/>
      <c r="FI17" s="70" t="n"/>
      <c r="FJ17" s="70" t="n"/>
      <c r="FK17" s="70" t="n"/>
      <c r="FL17" s="70" t="n"/>
      <c r="FM17" s="70" t="n"/>
      <c r="FN17" s="70" t="n"/>
      <c r="FO17" s="70" t="n"/>
      <c r="FP17" s="70" t="n"/>
      <c r="FQ17" s="70" t="n"/>
      <c r="FR17" s="70" t="n"/>
      <c r="FS17" s="70" t="n"/>
      <c r="FT17" s="70" t="n"/>
      <c r="FU17" s="70" t="n"/>
      <c r="FV17" s="70" t="n"/>
      <c r="FW17" s="70" t="n"/>
      <c r="FX17" s="70" t="n"/>
      <c r="FY17" s="70" t="n"/>
      <c r="FZ17" s="70" t="n"/>
      <c r="GA17" s="70" t="n"/>
      <c r="GB17" s="70" t="n"/>
      <c r="GC17" s="70" t="n"/>
      <c r="GD17" s="70" t="n"/>
      <c r="GE17" s="70" t="n"/>
      <c r="GF17" s="70" t="n"/>
      <c r="GG17" s="70" t="n"/>
      <c r="GH17" s="70" t="n"/>
      <c r="GI17" s="70" t="n"/>
      <c r="GJ17" s="70" t="n"/>
      <c r="GK17" s="70" t="n"/>
      <c r="GL17" s="70" t="n"/>
      <c r="GM17" s="70" t="n"/>
      <c r="GN17" s="70" t="n"/>
      <c r="GO17" s="70" t="n"/>
      <c r="GP17" s="70" t="n"/>
      <c r="GQ17" s="70" t="n"/>
      <c r="GR17" s="70" t="n"/>
      <c r="GS17" s="70" t="n"/>
      <c r="GT17" s="70" t="n"/>
      <c r="GU17" s="70" t="n"/>
      <c r="GV17" s="70" t="n"/>
      <c r="GW17" s="70" t="n"/>
      <c r="GX17" s="70" t="n"/>
      <c r="GY17" s="70" t="n"/>
      <c r="GZ17" s="70" t="n"/>
      <c r="HA17" s="70" t="n"/>
      <c r="HB17" s="70" t="n"/>
      <c r="HC17" s="70" t="n"/>
      <c r="HD17" s="70" t="n"/>
      <c r="HE17" s="70" t="n"/>
      <c r="HF17" s="70" t="n"/>
      <c r="HG17" s="70" t="n"/>
      <c r="HH17" s="70" t="n"/>
      <c r="HI17" s="70" t="n"/>
      <c r="HJ17" s="70" t="n"/>
      <c r="HK17" s="70" t="n"/>
      <c r="HL17" s="70" t="n"/>
      <c r="HM17" s="70" t="n"/>
      <c r="HN17" s="70" t="n"/>
      <c r="HO17" s="70" t="n"/>
      <c r="HP17" s="70" t="n"/>
      <c r="HQ17" s="70" t="n"/>
      <c r="HR17" s="70" t="n"/>
      <c r="HS17" s="70" t="n"/>
      <c r="HT17" s="70" t="n"/>
      <c r="HU17" s="70" t="n"/>
      <c r="JF17" s="70">
        <f>AP17</f>
        <v/>
      </c>
      <c r="JG17" s="70">
        <f>SUM(Z17:AK17)</f>
        <v/>
      </c>
      <c r="JH17" s="70">
        <f>SUM(AL17:AP17)</f>
        <v/>
      </c>
      <c r="JI17" s="70">
        <f>SUM(C17:AP17)</f>
        <v/>
      </c>
      <c r="JJ17" s="446" t="n"/>
      <c r="JM17" s="70" t="n"/>
      <c r="JR17" s="65">
        <f>A17</f>
        <v/>
      </c>
      <c r="JS17" s="70">
        <f>SUM(C17:AP17)</f>
        <v/>
      </c>
      <c r="JT17" s="461" t="n"/>
      <c r="JU17" s="70">
        <f>SUM(AT17:AZ17)</f>
        <v/>
      </c>
      <c r="JV17" s="70">
        <f>SUM(BA17:BL17)</f>
        <v/>
      </c>
      <c r="JW17" s="70">
        <f>SUM(BM17:BX17)</f>
        <v/>
      </c>
      <c r="JX17" s="70">
        <f>SUM(BY17:CJ17)</f>
        <v/>
      </c>
      <c r="JY17" s="70">
        <f>SUM(CK17:CV17)</f>
        <v/>
      </c>
      <c r="JZ17" s="70">
        <f>SUM(CW17:HU17)</f>
        <v/>
      </c>
      <c r="KG17" s="129">
        <f>B17</f>
        <v/>
      </c>
      <c r="KH17" s="233">
        <f>AR17</f>
        <v/>
      </c>
    </row>
    <row r="18" ht="16.2" customHeight="1">
      <c r="A18" s="54" t="inlineStr">
        <is>
          <t>Rendimento Financeiro</t>
        </is>
      </c>
      <c r="B18" s="130">
        <f>SUM(C18:AP18)</f>
        <v/>
      </c>
      <c r="C18" s="67" t="n"/>
      <c r="D18" s="69" t="n"/>
      <c r="E18" s="67" t="n"/>
      <c r="F18" s="67" t="n"/>
      <c r="G18" s="67" t="n"/>
      <c r="H18" s="67" t="n"/>
      <c r="I18" s="68" t="n"/>
      <c r="J18" s="216" t="n"/>
      <c r="K18" s="116" t="n"/>
      <c r="L18" s="116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7" t="n"/>
      <c r="AA18" s="217" t="n"/>
      <c r="AB18" s="217" t="n">
        <v>12646.02</v>
      </c>
      <c r="AC18" s="217" t="n">
        <v>38113.26</v>
      </c>
      <c r="AD18" s="217" t="n">
        <v>57998.09</v>
      </c>
      <c r="AE18" s="217" t="n">
        <v>61248.2</v>
      </c>
      <c r="AF18" s="217" t="n">
        <v>72074.90999999997</v>
      </c>
      <c r="AG18" s="217">
        <f>38669.97+1.14+11658.76-959.8</f>
        <v/>
      </c>
      <c r="AH18" s="217" t="n">
        <v>113822.3199999915</v>
      </c>
      <c r="AI18" s="217" t="n">
        <v>94885.85000000196</v>
      </c>
      <c r="AJ18" s="217">
        <f>78967.8800000008-41382.42</f>
        <v/>
      </c>
      <c r="AK18" s="217" t="n">
        <v>92147.74000000001</v>
      </c>
      <c r="AL18" s="217" t="n">
        <v>87783.19</v>
      </c>
      <c r="AM18" s="217" t="n">
        <v>36405.54</v>
      </c>
      <c r="AN18" s="217" t="n">
        <v>123144.1599999964</v>
      </c>
      <c r="AO18" s="217" t="n">
        <v>161967.4399999995</v>
      </c>
      <c r="AP18" s="217" t="n">
        <v>228379.6799999997</v>
      </c>
      <c r="AQ18" s="71" t="n"/>
      <c r="AR18" s="342">
        <f>SUM(AT18:HU18)</f>
        <v/>
      </c>
      <c r="AS18" s="71" t="n"/>
      <c r="AT18" s="69">
        <f>IF(AP76&gt;0, AP76*1%,0)</f>
        <v/>
      </c>
      <c r="AU18" s="69">
        <f>IF(AT76&gt;0, AT76*1%,0)</f>
        <v/>
      </c>
      <c r="AV18" s="69">
        <f>IF(AU76&gt;0, AU76*1%,0)</f>
        <v/>
      </c>
      <c r="AW18" s="69">
        <f>IF(AV76&gt;0, AV76*1%,0)</f>
        <v/>
      </c>
      <c r="AX18" s="69">
        <f>IF(AW76&gt;0, AW76*1%,0)</f>
        <v/>
      </c>
      <c r="AY18" s="69">
        <f>IF(AX76&gt;0, AX76*0.8%,0)</f>
        <v/>
      </c>
      <c r="AZ18" s="69">
        <f>IF(AY76&gt;0, AY76*0.8%,0)</f>
        <v/>
      </c>
      <c r="BA18" s="69">
        <f>IF(AZ76&gt;0, AZ76*0.8%,0)</f>
        <v/>
      </c>
      <c r="BB18" s="69">
        <f>IF(BA76&gt;0, BA76*0.8%,0)</f>
        <v/>
      </c>
      <c r="BC18" s="69">
        <f>IF(BB76&gt;0, BB76*0.8%,0)</f>
        <v/>
      </c>
      <c r="BD18" s="69">
        <f>IF(BC76&gt;0, BC76*0.8%,0)</f>
        <v/>
      </c>
      <c r="BE18" s="69">
        <f>IF(BD76&gt;0, BD76*0.8%,0)</f>
        <v/>
      </c>
      <c r="BF18" s="69">
        <f>IF(BE76&gt;0, BE76*0.8%,0)</f>
        <v/>
      </c>
      <c r="BG18" s="69">
        <f>IF(BF76&gt;0, BF76*0.8%,0)</f>
        <v/>
      </c>
      <c r="BH18" s="69">
        <f>IF(BG76&gt;0, BG76*0.8%,0)</f>
        <v/>
      </c>
      <c r="BI18" s="69">
        <f>IF(BH76&gt;0, BH76*0.8%,0)</f>
        <v/>
      </c>
      <c r="BJ18" s="69">
        <f>IF(BI76&gt;0, BI76*0.8%,0)</f>
        <v/>
      </c>
      <c r="BK18" s="69">
        <f>IF(BJ76&gt;0, BJ76*0.8%,0)</f>
        <v/>
      </c>
      <c r="BL18" s="69">
        <f>IF(BK76&gt;0, BK76*0.8%,0)</f>
        <v/>
      </c>
      <c r="BM18" s="69">
        <f>IF(BL76&gt;0, BL76*0.8%,0)</f>
        <v/>
      </c>
      <c r="BN18" s="69">
        <f>IF(BM76&gt;0, BM76*0.8%,0)</f>
        <v/>
      </c>
      <c r="BO18" s="69">
        <f>IF(BN76&gt;0, BN76*0.8%,0)</f>
        <v/>
      </c>
      <c r="BP18" s="69">
        <f>IF(BO76&gt;0, BO76*0.8%,0)</f>
        <v/>
      </c>
      <c r="BQ18" s="69">
        <f>IF(BP76&gt;0, BP76*0.8%,0)</f>
        <v/>
      </c>
      <c r="BR18" s="69">
        <f>IF(BQ76&gt;0, BQ76*0.8%,0)</f>
        <v/>
      </c>
      <c r="BS18" s="69">
        <f>IF(BR76&gt;0, BR76*0.8%,0)</f>
        <v/>
      </c>
      <c r="BT18" s="69">
        <f>IF(BS76&gt;0, BS76*0.8%,0)</f>
        <v/>
      </c>
      <c r="BU18" s="69">
        <f>IF(BT76&gt;0, BT76*0.8%,0)</f>
        <v/>
      </c>
      <c r="BV18" s="69">
        <f>IF(BU76&gt;0, BU76*0.8%,0)</f>
        <v/>
      </c>
      <c r="BW18" s="69">
        <f>IF(BV76&gt;0, BV76*0.8%,0)</f>
        <v/>
      </c>
      <c r="BX18" s="69">
        <f>IF(BW76&gt;0, BW76*0.8%,0)</f>
        <v/>
      </c>
      <c r="BY18" s="69">
        <f>IF(BX76&gt;0, BX76*0.8%,0)</f>
        <v/>
      </c>
      <c r="BZ18" s="69">
        <f>IF(BY76&gt;0, BY76*0.8%,0)</f>
        <v/>
      </c>
      <c r="CA18" s="69">
        <f>IF(BZ76&gt;0, BZ76*0.8%,0)</f>
        <v/>
      </c>
      <c r="CB18" s="69">
        <f>IF(CA76&gt;0, CA76*0.8%,0)</f>
        <v/>
      </c>
      <c r="CC18" s="69">
        <f>IF(CB76&gt;0, CB76*0.8%,0)</f>
        <v/>
      </c>
      <c r="CD18" s="69">
        <f>IF(CC76&gt;0, CC76*0.8%,0)</f>
        <v/>
      </c>
      <c r="CE18" s="69">
        <f>IF(CD76&gt;0, CD76*0.8%,0)</f>
        <v/>
      </c>
      <c r="CF18" s="69">
        <f>IF(CE76&gt;0, CE76*0.8%,0)</f>
        <v/>
      </c>
      <c r="CG18" s="69">
        <f>IF(CF76&gt;0, CF76*0.8%,0)</f>
        <v/>
      </c>
      <c r="CH18" s="69">
        <f>IF(CG76&gt;0, CG76*0.8%,0)</f>
        <v/>
      </c>
      <c r="CI18" s="69">
        <f>IF(CH76&gt;0, CH76*0.8%,0)</f>
        <v/>
      </c>
      <c r="CJ18" s="69">
        <f>IF(CI76&gt;0, CI76*0.8%,0)</f>
        <v/>
      </c>
      <c r="CK18" s="69">
        <f>IF(CJ76&gt;0, CJ76*0.8%,0)</f>
        <v/>
      </c>
      <c r="CL18" s="69">
        <f>IF(CK76&gt;0, CK76*0.8%,0)</f>
        <v/>
      </c>
      <c r="CM18" s="69">
        <f>IF(CL76&gt;0, CL76*0.8%,0)</f>
        <v/>
      </c>
      <c r="CN18" s="69">
        <f>IF(CM76&gt;0, CM76*0.8%,0)</f>
        <v/>
      </c>
      <c r="CO18" s="69">
        <f>IF(CN76&gt;0, CN76*0.8%,0)</f>
        <v/>
      </c>
      <c r="CP18" s="69">
        <f>IF(CO76&gt;0, CO76*0.8%,0)</f>
        <v/>
      </c>
      <c r="CQ18" s="69">
        <f>IF(CP76&gt;0, CP76*0.8%,0)</f>
        <v/>
      </c>
      <c r="CR18" s="69">
        <f>IF(CQ76&gt;0, CQ76*0.8%,0)</f>
        <v/>
      </c>
      <c r="CS18" s="69">
        <f>IF(CR76&gt;0, CR76*0.8%,0)</f>
        <v/>
      </c>
      <c r="CT18" s="69">
        <f>IF(CS76&gt;0, CS76*0.8%,0)</f>
        <v/>
      </c>
      <c r="CU18" s="69">
        <f>IF(CT76&gt;0, CT76*0.8%,0)</f>
        <v/>
      </c>
      <c r="CV18" s="69">
        <f>IF(CU76&gt;0, CU76*0.8%,0)</f>
        <v/>
      </c>
      <c r="CW18" s="69">
        <f>IF(CV76&gt;0, CV76*0.8%,0)</f>
        <v/>
      </c>
      <c r="CX18" s="69">
        <f>IF(CW76&gt;0, CW76*0.8%,0)</f>
        <v/>
      </c>
      <c r="CY18" s="69">
        <f>IF(CX76&gt;0, CX76*0.8%,0)</f>
        <v/>
      </c>
      <c r="CZ18" s="69">
        <f>IF(CY76&gt;0, CY76*0.8%,0)</f>
        <v/>
      </c>
      <c r="DA18" s="69">
        <f>IF(CZ76&gt;0, CZ76*0.8%,0)</f>
        <v/>
      </c>
      <c r="DB18" s="69">
        <f>IF(DA76&gt;0, DA76*0.8%,0)</f>
        <v/>
      </c>
      <c r="DC18" s="69">
        <f>IF(DB76&gt;0, DB76*0.8%,0)</f>
        <v/>
      </c>
      <c r="DD18" s="69">
        <f>IF(DC76&gt;0, DC76*0.8%,0)</f>
        <v/>
      </c>
      <c r="DE18" s="69">
        <f>IF(DD76&gt;0, DD76*0.8%,0)</f>
        <v/>
      </c>
      <c r="DF18" s="69">
        <f>IF(DE76&gt;0, DE76*0.8%,0)</f>
        <v/>
      </c>
      <c r="DG18" s="69">
        <f>IF(DF76&gt;0, DF76*0.8%,0)</f>
        <v/>
      </c>
      <c r="DH18" s="69">
        <f>IF(DG76&gt;0, DG76*0.8%,0)</f>
        <v/>
      </c>
      <c r="DI18" s="69">
        <f>IF(DH76&gt;0, DH76*0.8%,0)</f>
        <v/>
      </c>
      <c r="DJ18" s="69">
        <f>IF(DI76&gt;0, DI76*0.8%,0)</f>
        <v/>
      </c>
      <c r="DK18" s="69">
        <f>IF(DJ76&gt;0, DJ76*0.8%,0)</f>
        <v/>
      </c>
      <c r="DL18" s="69">
        <f>IF(DK76&gt;0, DK76*0.8%,0)</f>
        <v/>
      </c>
      <c r="DM18" s="69">
        <f>IF(DL76&gt;0, DL76*0.8%,0)</f>
        <v/>
      </c>
      <c r="DN18" s="69">
        <f>IF(DM76&gt;0, DM76*0.8%,0)</f>
        <v/>
      </c>
      <c r="DO18" s="69">
        <f>IF(DN76&gt;0, DN76*0.8%,0)</f>
        <v/>
      </c>
      <c r="DP18" s="69">
        <f>IF(DO76&gt;0, DO76*0.8%,0)</f>
        <v/>
      </c>
      <c r="DQ18" s="69">
        <f>IF(DP76&gt;0, DP76*0.8%,0)</f>
        <v/>
      </c>
      <c r="DR18" s="69">
        <f>IF(DQ76&gt;0, DQ76*0.8%,0)</f>
        <v/>
      </c>
      <c r="DS18" s="69">
        <f>IF(DR76&gt;0, DR76*0.8%,0)</f>
        <v/>
      </c>
      <c r="DT18" s="69">
        <f>IF(DS76&gt;0, DS76*0.8%,0)</f>
        <v/>
      </c>
      <c r="DU18" s="69">
        <f>IF(DT76&gt;0, DT76*0.8%,0)</f>
        <v/>
      </c>
      <c r="DV18" s="69">
        <f>IF(DU76&gt;0, DU76*0.8%,0)</f>
        <v/>
      </c>
      <c r="DW18" s="69">
        <f>IF(DV76&gt;0, DV76*0.8%,0)</f>
        <v/>
      </c>
      <c r="DX18" s="69">
        <f>IF(DW76&gt;0, DW76*0.8%,0)</f>
        <v/>
      </c>
      <c r="DY18" s="69">
        <f>IF(DX76&gt;0, DX76*0.8%,0)</f>
        <v/>
      </c>
      <c r="DZ18" s="69">
        <f>IF(DY76&gt;0, DY76*0.8%,0)</f>
        <v/>
      </c>
      <c r="EA18" s="69">
        <f>IF(DZ76&gt;0, DZ76*0.8%,0)</f>
        <v/>
      </c>
      <c r="EB18" s="69">
        <f>IF(EA76&gt;0, EA76*0.8%,0)</f>
        <v/>
      </c>
      <c r="EC18" s="69">
        <f>IF(EB76&gt;0, EB76*0.8%,0)</f>
        <v/>
      </c>
      <c r="ED18" s="69">
        <f>IF(EC76&gt;0, EC76*0.8%,0)</f>
        <v/>
      </c>
      <c r="EE18" s="69">
        <f>IF(ED76&gt;0, ED76*0.8%,0)</f>
        <v/>
      </c>
      <c r="EF18" s="69">
        <f>IF(EE76&gt;0, EE76*0.8%,0)</f>
        <v/>
      </c>
      <c r="EG18" s="69">
        <f>IF(EF76&gt;0, EF76*0.8%,0)</f>
        <v/>
      </c>
      <c r="EH18" s="69">
        <f>IF(EG76&gt;0, EG76*0.8%,0)</f>
        <v/>
      </c>
      <c r="EI18" s="69">
        <f>IF(EH76&gt;0, EH76*0.8%,0)</f>
        <v/>
      </c>
      <c r="EJ18" s="69">
        <f>IF(EI76&gt;0, EI76*0.8%,0)</f>
        <v/>
      </c>
      <c r="EK18" s="69">
        <f>IF(EJ76&gt;0, EJ76*0.8%,0)</f>
        <v/>
      </c>
      <c r="EL18" s="69">
        <f>IF(EK76&gt;0, EK76*0.8%,0)</f>
        <v/>
      </c>
      <c r="EM18" s="69">
        <f>IF(EL76&gt;0, EL76*0.8%,0)</f>
        <v/>
      </c>
      <c r="EN18" s="69">
        <f>IF(EM76&gt;0, EM76*0.8%,0)</f>
        <v/>
      </c>
      <c r="EO18" s="69">
        <f>IF(EN76&gt;0, EN76*0.8%,0)</f>
        <v/>
      </c>
      <c r="EP18" s="69">
        <f>IF(EO76&gt;0, EO76*0.8%,0)</f>
        <v/>
      </c>
      <c r="EQ18" s="69">
        <f>IF(EP76&gt;0, EP76*0.8%,0)</f>
        <v/>
      </c>
      <c r="ER18" s="69">
        <f>IF(EQ76&gt;0, EQ76*0.8%,0)</f>
        <v/>
      </c>
      <c r="ES18" s="69">
        <f>IF(ER76&gt;0, ER76*0.8%,0)</f>
        <v/>
      </c>
      <c r="ET18" s="69">
        <f>IF(ES76&gt;0, ES76*0.8%,0)</f>
        <v/>
      </c>
      <c r="EU18" s="69">
        <f>IF(ET76&gt;0, ET76*0.8%,0)</f>
        <v/>
      </c>
      <c r="EV18" s="69">
        <f>IF(EU76&gt;0, EU76*0.8%,0)</f>
        <v/>
      </c>
      <c r="EW18" s="69">
        <f>IF(EV76&gt;0, EV76*0.8%,0)</f>
        <v/>
      </c>
      <c r="EX18" s="69">
        <f>IF(EW76&gt;0, EW76*0.8%,0)</f>
        <v/>
      </c>
      <c r="EY18" s="69">
        <f>IF(EX76&gt;0, EX76*0.8%,0)</f>
        <v/>
      </c>
      <c r="EZ18" s="69">
        <f>IF(EY76&gt;0, EY76*0.8%,0)</f>
        <v/>
      </c>
      <c r="FA18" s="69">
        <f>IF(EZ76&gt;0, EZ76*0.8%,0)</f>
        <v/>
      </c>
      <c r="FB18" s="69">
        <f>IF(FA76&gt;0, FA76*0.8%,0)</f>
        <v/>
      </c>
      <c r="FC18" s="69">
        <f>IF(FB76&gt;0, FB76*0.8%,0)</f>
        <v/>
      </c>
      <c r="FD18" s="69">
        <f>IF(FC76&gt;0, FC76*0.8%,0)</f>
        <v/>
      </c>
      <c r="FE18" s="69">
        <f>IF(FD76&gt;0, FD76*0.8%,0)</f>
        <v/>
      </c>
      <c r="FF18" s="69">
        <f>IF(FE76&gt;0, FE76*0.8%,0)</f>
        <v/>
      </c>
      <c r="FG18" s="69">
        <f>IF(FF76&gt;0, FF76*0.8%,0)</f>
        <v/>
      </c>
      <c r="FH18" s="69">
        <f>IF(FG76&gt;0, FG76*0.8%,0)</f>
        <v/>
      </c>
      <c r="FI18" s="69">
        <f>IF(FH76&gt;0, FH76*0.8%,0)</f>
        <v/>
      </c>
      <c r="FJ18" s="69">
        <f>IF(FI76&gt;0, FI76*0.8%,0)</f>
        <v/>
      </c>
      <c r="FK18" s="69">
        <f>IF(FJ76&gt;0, FJ76*0.8%,0)</f>
        <v/>
      </c>
      <c r="FL18" s="69">
        <f>IF(FK76&gt;0, FK76*0.8%,0)</f>
        <v/>
      </c>
      <c r="FM18" s="69">
        <f>IF(FL76&gt;0, FL76*0.8%,0)</f>
        <v/>
      </c>
      <c r="FN18" s="69">
        <f>IF(FM76&gt;0, FM76*0.8%,0)</f>
        <v/>
      </c>
      <c r="FO18" s="69">
        <f>IF(FN76&gt;0, FN76*0.8%,0)</f>
        <v/>
      </c>
      <c r="FP18" s="69">
        <f>IF(FO76&gt;0, FO76*0.8%,0)</f>
        <v/>
      </c>
      <c r="FQ18" s="69">
        <f>IF(FP76&gt;0, FP76*0.8%,0)</f>
        <v/>
      </c>
      <c r="FR18" s="69">
        <f>IF(FQ76&gt;0, FQ76*0.8%,0)</f>
        <v/>
      </c>
      <c r="FS18" s="69">
        <f>IF(FR76&gt;0, FR76*0.8%,0)</f>
        <v/>
      </c>
      <c r="FT18" s="69">
        <f>IF(FS76&gt;0, FS76*0.8%,0)</f>
        <v/>
      </c>
      <c r="FU18" s="69">
        <f>IF(FT76&gt;0, FT76*0.8%,0)</f>
        <v/>
      </c>
      <c r="FV18" s="69">
        <f>IF(FU76&gt;0, FU76*0.8%,0)</f>
        <v/>
      </c>
      <c r="FW18" s="69">
        <f>IF(FV76&gt;0, FV76*0.8%,0)</f>
        <v/>
      </c>
      <c r="FX18" s="69">
        <f>IF(FW76&gt;0, FW76*0.8%,0)</f>
        <v/>
      </c>
      <c r="FY18" s="69">
        <f>IF(FX76&gt;0, FX76*0.8%,0)</f>
        <v/>
      </c>
      <c r="FZ18" s="69">
        <f>IF(FY76&gt;0, FY76*0.8%,0)</f>
        <v/>
      </c>
      <c r="GA18" s="69">
        <f>IF(FZ76&gt;0, FZ76*0.8%,0)</f>
        <v/>
      </c>
      <c r="GB18" s="69">
        <f>IF(GA76&gt;0, GA76*0.8%,0)</f>
        <v/>
      </c>
      <c r="GC18" s="69">
        <f>IF(GB76&gt;0, GB76*0.8%,0)</f>
        <v/>
      </c>
      <c r="GD18" s="69">
        <f>IF(GC76&gt;0, GC76*0.8%,0)</f>
        <v/>
      </c>
      <c r="GE18" s="69">
        <f>IF(GD76&gt;0, GD76*0.8%,0)</f>
        <v/>
      </c>
      <c r="GF18" s="69">
        <f>IF(GE76&gt;0, GE76*0.8%,0)</f>
        <v/>
      </c>
      <c r="GG18" s="69">
        <f>IF(GF76&gt;0, GF76*0.8%,0)</f>
        <v/>
      </c>
      <c r="GH18" s="69">
        <f>IF(GG76&gt;0, GG76*0.8%,0)</f>
        <v/>
      </c>
      <c r="GI18" s="69">
        <f>IF(GH76&gt;0, GH76*0.8%,0)</f>
        <v/>
      </c>
      <c r="GJ18" s="69">
        <f>IF(GI76&gt;0, GI76*0.8%,0)</f>
        <v/>
      </c>
      <c r="GK18" s="69">
        <f>IF(GJ76&gt;0, GJ76*0.8%,0)</f>
        <v/>
      </c>
      <c r="GL18" s="69">
        <f>IF(GK76&gt;0, GK76*0.8%,0)</f>
        <v/>
      </c>
      <c r="GM18" s="69">
        <f>IF(GL76&gt;0, GL76*0.8%,0)</f>
        <v/>
      </c>
      <c r="GN18" s="69">
        <f>IF(GM76&gt;0, GM76*0.8%,0)</f>
        <v/>
      </c>
      <c r="GO18" s="69">
        <f>IF(GN76&gt;0, GN76*0.8%,0)</f>
        <v/>
      </c>
      <c r="GP18" s="69">
        <f>IF(GO76&gt;0, GO76*0.8%,0)</f>
        <v/>
      </c>
      <c r="GQ18" s="69">
        <f>IF(GP76&gt;0, GP76*0.8%,0)</f>
        <v/>
      </c>
      <c r="GR18" s="69">
        <f>IF(GQ76&gt;0, GQ76*0.8%,0)</f>
        <v/>
      </c>
      <c r="GS18" s="69">
        <f>IF(GR76&gt;0, GR76*0.8%,0)</f>
        <v/>
      </c>
      <c r="GT18" s="69">
        <f>IF(GS76&gt;0, GS76*0.8%,0)</f>
        <v/>
      </c>
      <c r="GU18" s="69">
        <f>IF(GT76&gt;0, GT76*0.8%,0)</f>
        <v/>
      </c>
      <c r="GV18" s="69">
        <f>IF(GU76&gt;0, GU76*0.8%,0)</f>
        <v/>
      </c>
      <c r="GW18" s="69">
        <f>IF(GV76&gt;0, GV76*0.8%,0)</f>
        <v/>
      </c>
      <c r="GX18" s="69">
        <f>IF(GW76&gt;0, GW76*0.8%,0)</f>
        <v/>
      </c>
      <c r="GY18" s="69">
        <f>IF(GX76&gt;0, GX76*0.8%,0)</f>
        <v/>
      </c>
      <c r="GZ18" s="69">
        <f>IF(GY76&gt;0, GY76*0.8%,0)</f>
        <v/>
      </c>
      <c r="HA18" s="69">
        <f>IF(GZ76&gt;0, GZ76*0.8%,0)</f>
        <v/>
      </c>
      <c r="HB18" s="69">
        <f>IF(HA76&gt;0, HA76*0.8%,0)</f>
        <v/>
      </c>
      <c r="HC18" s="69">
        <f>IF(HB76&gt;0, HB76*0.8%,0)</f>
        <v/>
      </c>
      <c r="HD18" s="69">
        <f>IF(HC76&gt;0, HC76*0.8%,0)</f>
        <v/>
      </c>
      <c r="HE18" s="69">
        <f>IF(HD76&gt;0, HD76*0.8%,0)</f>
        <v/>
      </c>
      <c r="HF18" s="69">
        <f>IF(HE76&gt;0, HE76*0.8%,0)</f>
        <v/>
      </c>
      <c r="HG18" s="69">
        <f>IF(HF76&gt;0, HF76*0.8%,0)</f>
        <v/>
      </c>
      <c r="HH18" s="69">
        <f>IF(HG76&gt;0, HG76*0.8%,0)</f>
        <v/>
      </c>
      <c r="HI18" s="69">
        <f>IF(HH76&gt;0, HH76*0.8%,0)</f>
        <v/>
      </c>
      <c r="HJ18" s="69">
        <f>IF(HI76&gt;0, HI76*0.8%,0)</f>
        <v/>
      </c>
      <c r="HK18" s="69">
        <f>IF(HJ76&gt;0, HJ76*0.8%,0)</f>
        <v/>
      </c>
      <c r="HL18" s="69">
        <f>IF(HK76&gt;0, HK76*0.8%,0)</f>
        <v/>
      </c>
      <c r="HM18" s="69">
        <f>IF(HL76&gt;0, HL76*0.8%,0)</f>
        <v/>
      </c>
      <c r="HN18" s="69">
        <f>IF(HM76&gt;0, HM76*0.8%,0)</f>
        <v/>
      </c>
      <c r="HO18" s="69">
        <f>IF(HN76&gt;0, HN76*0.8%,0)</f>
        <v/>
      </c>
      <c r="HP18" s="69">
        <f>IF(HO76&gt;0, HO76*0.8%,0)</f>
        <v/>
      </c>
      <c r="HQ18" s="69">
        <f>IF(HP76&gt;0, HP76*0.8%,0)</f>
        <v/>
      </c>
      <c r="HR18" s="69">
        <f>IF(HQ76&gt;0, HQ76*0.8%,0)</f>
        <v/>
      </c>
      <c r="HS18" s="69">
        <f>IF(HR76&gt;0, HR76*0.8%,0)</f>
        <v/>
      </c>
      <c r="HT18" s="69">
        <f>IF(HS76&gt;0, HS76*0.8%,0)</f>
        <v/>
      </c>
      <c r="HU18" s="69">
        <f>IF(HT76&gt;0, HT76*0.8%,0)</f>
        <v/>
      </c>
      <c r="JF18" s="69">
        <f>AP18</f>
        <v/>
      </c>
      <c r="JG18" s="69">
        <f>SUM(Z18:AK18)</f>
        <v/>
      </c>
      <c r="JH18" s="69">
        <f>SUM(AL18:AP18)</f>
        <v/>
      </c>
      <c r="JI18" s="69">
        <f>SUM(C18:AP18)</f>
        <v/>
      </c>
      <c r="JJ18" s="446" t="n"/>
      <c r="JM18" s="69" t="n">
        <v>125712.4885</v>
      </c>
      <c r="JR18" s="54">
        <f>A18</f>
        <v/>
      </c>
      <c r="JS18" s="69">
        <f>SUM(C18:AP18)</f>
        <v/>
      </c>
      <c r="JT18" s="459" t="n"/>
      <c r="JU18" s="69">
        <f>SUM(AT18:AZ18)</f>
        <v/>
      </c>
      <c r="JV18" s="69">
        <f>SUM(BA18:BL18)</f>
        <v/>
      </c>
      <c r="JW18" s="69">
        <f>SUM(BM18:BX18)</f>
        <v/>
      </c>
      <c r="JX18" s="69">
        <f>SUM(BY18:CJ18)</f>
        <v/>
      </c>
      <c r="JY18" s="69">
        <f>SUM(CK18:CV18)</f>
        <v/>
      </c>
      <c r="JZ18" s="69">
        <f>SUM(CW18:HU18)</f>
        <v/>
      </c>
      <c r="KG18" s="130">
        <f>B18</f>
        <v/>
      </c>
      <c r="KH18" s="342">
        <f>AR18</f>
        <v/>
      </c>
    </row>
    <row r="19" ht="7.2" customHeight="1">
      <c r="A19" s="1" t="n"/>
      <c r="B19" s="128" t="n"/>
      <c r="C19" s="1" t="n"/>
      <c r="D19" s="1" t="n"/>
      <c r="E19" s="1" t="n"/>
      <c r="F19" s="1" t="n"/>
      <c r="G19" s="1" t="n"/>
      <c r="H19" s="1" t="n"/>
      <c r="I19" s="1" t="n"/>
      <c r="J19" s="156" t="n"/>
      <c r="K19" s="1" t="n"/>
      <c r="L19" s="1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  <c r="AG19" s="157" t="n"/>
      <c r="AH19" s="157" t="n"/>
      <c r="AI19" s="157" t="n"/>
      <c r="AJ19" s="157" t="n"/>
      <c r="AK19" s="157" t="n"/>
      <c r="AL19" s="157" t="n"/>
      <c r="AM19" s="157" t="n"/>
      <c r="AN19" s="157" t="n"/>
      <c r="AO19" s="157" t="n"/>
      <c r="AP19" s="157" t="n"/>
      <c r="AQ19" s="93" t="n"/>
      <c r="AR19" s="236" t="n"/>
      <c r="AS19" s="93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289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289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289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289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289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JF19" s="1">
        <f>AP19</f>
        <v/>
      </c>
      <c r="JG19" s="1">
        <f>SUM(Z19:AK19)</f>
        <v/>
      </c>
      <c r="JH19" s="1">
        <f>SUM(AL19:AP19)</f>
        <v/>
      </c>
      <c r="JI19" s="1">
        <f>SUM(C19:AP19)</f>
        <v/>
      </c>
      <c r="JJ19" s="446" t="n"/>
      <c r="JM19" s="1" t="n"/>
      <c r="JR19" s="1">
        <f>A19</f>
        <v/>
      </c>
      <c r="JS19" s="1">
        <f>SUM(C19:AP19)</f>
        <v/>
      </c>
      <c r="JT19" s="460" t="n"/>
      <c r="JU19" s="1">
        <f>SUM(AT19:AZ19)</f>
        <v/>
      </c>
      <c r="JV19" s="1">
        <f>SUM(BA19:BL19)</f>
        <v/>
      </c>
      <c r="JW19" s="1">
        <f>SUM(BM19:BX19)</f>
        <v/>
      </c>
      <c r="JX19" s="1">
        <f>SUM(BY19:CJ19)</f>
        <v/>
      </c>
      <c r="JY19" s="1">
        <f>SUM(CK19:CV19)</f>
        <v/>
      </c>
      <c r="JZ19" s="1">
        <f>SUM(CW19:HU19)</f>
        <v/>
      </c>
      <c r="KG19" s="128">
        <f>B19</f>
        <v/>
      </c>
      <c r="KH19" s="236">
        <f>AR19</f>
        <v/>
      </c>
    </row>
    <row r="20" ht="16.2" customFormat="1" customHeight="1" s="259">
      <c r="A20" s="96" t="inlineStr">
        <is>
          <t>TOTAL RECEITAS REAL (+)</t>
        </is>
      </c>
      <c r="B20" s="131">
        <f>SUM(C20:AP20)</f>
        <v/>
      </c>
      <c r="C20" s="72">
        <f>SUM(C8+C9+C15+C18)</f>
        <v/>
      </c>
      <c r="D20" s="72">
        <f>SUM(D8+D9+D15+D18)</f>
        <v/>
      </c>
      <c r="E20" s="72">
        <f>SUM(E8+E9+E15+E18)</f>
        <v/>
      </c>
      <c r="F20" s="72">
        <f>SUM(F8+F9+F12+F15+F18)</f>
        <v/>
      </c>
      <c r="G20" s="72">
        <f>SUM(G8+G9+G12+G15+G18)</f>
        <v/>
      </c>
      <c r="H20" s="72">
        <f>SUM(H8+H9+H12+H15+H18)</f>
        <v/>
      </c>
      <c r="I20" s="72">
        <f>SUM(I8+I9+I12+I15+I18)</f>
        <v/>
      </c>
      <c r="J20" s="160">
        <f>SUM(J8+J9+J15+J18)</f>
        <v/>
      </c>
      <c r="K20" s="72">
        <f>SUM(K8+K9+K15+K18)</f>
        <v/>
      </c>
      <c r="L20" s="72">
        <f>SUM(L8+L9+L15+L18)</f>
        <v/>
      </c>
      <c r="M20" s="161">
        <f>SUM(M8+M9+M15+M18)</f>
        <v/>
      </c>
      <c r="N20" s="161">
        <f>SUM(N8+N9+N15+N18)</f>
        <v/>
      </c>
      <c r="O20" s="161">
        <f>SUM(O8+O9+O15+O18)</f>
        <v/>
      </c>
      <c r="P20" s="161">
        <f>SUM(P8+P9+P15+P18)</f>
        <v/>
      </c>
      <c r="Q20" s="161">
        <f>SUM(Q8+Q9+Q15+Q18)</f>
        <v/>
      </c>
      <c r="R20" s="161">
        <f>SUM(R8+R9+R15+R18)</f>
        <v/>
      </c>
      <c r="S20" s="161">
        <f>SUM(S8+S9+S15+S18)</f>
        <v/>
      </c>
      <c r="T20" s="161">
        <f>SUM(T8+T9+T15+T18)</f>
        <v/>
      </c>
      <c r="U20" s="161">
        <f>SUM(U8+U9+U15+U18)</f>
        <v/>
      </c>
      <c r="V20" s="161">
        <f>SUM(V8+V9+V15+V18)</f>
        <v/>
      </c>
      <c r="W20" s="161">
        <f>SUM(W8+W9+W15+W18)</f>
        <v/>
      </c>
      <c r="X20" s="161">
        <f>SUM(X8+X9+X15+X18)</f>
        <v/>
      </c>
      <c r="Y20" s="161">
        <f>SUM(Y8+Y9+Y15+Y18)</f>
        <v/>
      </c>
      <c r="Z20" s="161">
        <f>SUM(Z8+Z9+Z15+Z18)</f>
        <v/>
      </c>
      <c r="AA20" s="161">
        <f>SUM(AA8+AA9+AA15+AA18)</f>
        <v/>
      </c>
      <c r="AB20" s="161">
        <f>SUM(AB8+AB9+AB15+AB18)</f>
        <v/>
      </c>
      <c r="AC20" s="161">
        <f>SUM(AC8+AC9+AC15+AC18)</f>
        <v/>
      </c>
      <c r="AD20" s="161">
        <f>SUM(AD8+AD9+AD15+AD18)</f>
        <v/>
      </c>
      <c r="AE20" s="161">
        <f>SUM(AE8+AE9+AE15+AE18)</f>
        <v/>
      </c>
      <c r="AF20" s="161">
        <f>SUM(AF8+AF9+AF15+AF18)</f>
        <v/>
      </c>
      <c r="AG20" s="161">
        <f>SUM(AG8+AG9+AG15+AG18)</f>
        <v/>
      </c>
      <c r="AH20" s="161">
        <f>SUM(AH8+AH9+AH15+AH18)</f>
        <v/>
      </c>
      <c r="AI20" s="161">
        <f>SUM(AI8+AI9+AI15+AI18)</f>
        <v/>
      </c>
      <c r="AJ20" s="161">
        <f>SUM(AJ8+AJ9+AJ15+AJ18)</f>
        <v/>
      </c>
      <c r="AK20" s="161">
        <f>SUM(AK8+AK9+AK15+AK18)</f>
        <v/>
      </c>
      <c r="AL20" s="161">
        <f>SUM(AL8+AL9+AL15+AL18)</f>
        <v/>
      </c>
      <c r="AM20" s="161">
        <f>SUM(AM8+AM9+AM15+AM18)</f>
        <v/>
      </c>
      <c r="AN20" s="161">
        <f>SUM(AN8+AN9+AN15+AN18)</f>
        <v/>
      </c>
      <c r="AO20" s="161">
        <f>SUM(AO8+AO9+AO15+AO18)</f>
        <v/>
      </c>
      <c r="AP20" s="161">
        <f>SUM(AP8+AP9+AP15+AP18)</f>
        <v/>
      </c>
      <c r="AQ20" s="71" t="n"/>
      <c r="AR20" s="131">
        <f>SUM(AT20:HU20)</f>
        <v/>
      </c>
      <c r="AS20" s="71" t="n"/>
      <c r="AT20" s="72">
        <f>SUM(AT8+AT9+AT15+AT18)</f>
        <v/>
      </c>
      <c r="AU20" s="72">
        <f>SUM(AU8+AU9+AU15+AU18)</f>
        <v/>
      </c>
      <c r="AV20" s="72">
        <f>SUM(AV8+AV9+AV15+AV18)</f>
        <v/>
      </c>
      <c r="AW20" s="72">
        <f>SUM(AW8+AW9+AW15+AW18)</f>
        <v/>
      </c>
      <c r="AX20" s="72">
        <f>SUM(AX8+AX9+AX15+AX18)</f>
        <v/>
      </c>
      <c r="AY20" s="72">
        <f>SUM(AY8+AY9+AY15+AY18)</f>
        <v/>
      </c>
      <c r="AZ20" s="72">
        <f>SUM(AZ8+AZ9+AZ15+AZ18)</f>
        <v/>
      </c>
      <c r="BA20" s="72">
        <f>SUM(BA8+BA9+BA15+BA18)</f>
        <v/>
      </c>
      <c r="BB20" s="72">
        <f>SUM(BB8+BB9+BB15+BB18)</f>
        <v/>
      </c>
      <c r="BC20" s="72">
        <f>SUM(BC8+BC9+BC15+BC18)</f>
        <v/>
      </c>
      <c r="BD20" s="291">
        <f>SUM(BD8+BD9+BD15+BD18)</f>
        <v/>
      </c>
      <c r="BE20" s="98">
        <f>SUM(BE8+BE9+BE15+BE18)</f>
        <v/>
      </c>
      <c r="BF20" s="72">
        <f>SUM(BF8+BF9+BF15+BF18)</f>
        <v/>
      </c>
      <c r="BG20" s="72">
        <f>SUM(BG8+BG9+BG15+BG18)</f>
        <v/>
      </c>
      <c r="BH20" s="72">
        <f>SUM(BH8+BH9+BH15+BH18)</f>
        <v/>
      </c>
      <c r="BI20" s="72">
        <f>SUM(BI8+BI9+BI15+BI18)</f>
        <v/>
      </c>
      <c r="BJ20" s="72">
        <f>SUM(BJ8+BJ9+BJ15+BJ18)</f>
        <v/>
      </c>
      <c r="BK20" s="72">
        <f>SUM(BK8+BK9+BK15+BK18)</f>
        <v/>
      </c>
      <c r="BL20" s="72">
        <f>SUM(BL8+BL9+BL15+BL18)</f>
        <v/>
      </c>
      <c r="BM20" s="72">
        <f>SUM(BM8+BM9+BM15+BM18)</f>
        <v/>
      </c>
      <c r="BN20" s="72">
        <f>SUM(BN8+BN9+BN15+BN18)</f>
        <v/>
      </c>
      <c r="BO20" s="72">
        <f>SUM(BO8+BO9+BO15+BO18)</f>
        <v/>
      </c>
      <c r="BP20" s="291">
        <f>SUM(BP8+BP9+BP15+BP18)</f>
        <v/>
      </c>
      <c r="BQ20" s="98">
        <f>SUM(BQ8+BQ9+BQ15+BQ18)</f>
        <v/>
      </c>
      <c r="BR20" s="72">
        <f>SUM(BR8+BR9+BR15+BR18)</f>
        <v/>
      </c>
      <c r="BS20" s="72">
        <f>SUM(BS8+BS9+BS15+BS18)</f>
        <v/>
      </c>
      <c r="BT20" s="72">
        <f>SUM(BT8+BT9+BT15+BT18)</f>
        <v/>
      </c>
      <c r="BU20" s="72">
        <f>SUM(BU8+BU9+BU15+BU18)</f>
        <v/>
      </c>
      <c r="BV20" s="72">
        <f>SUM(BV8+BV9+BV15+BV18)</f>
        <v/>
      </c>
      <c r="BW20" s="72">
        <f>SUM(BW8+BW9+BW15+BW18)</f>
        <v/>
      </c>
      <c r="BX20" s="72">
        <f>SUM(BX8+BX9+BX15+BX18)</f>
        <v/>
      </c>
      <c r="BY20" s="72">
        <f>SUM(BY8+BY9+BY15+BY18)</f>
        <v/>
      </c>
      <c r="BZ20" s="72">
        <f>SUM(BZ8+BZ9+BZ15+BZ18)</f>
        <v/>
      </c>
      <c r="CA20" s="72">
        <f>SUM(CA8+CA9+CA15+CA18)</f>
        <v/>
      </c>
      <c r="CB20" s="291">
        <f>SUM(CB8+CB9+CB15+CB18)</f>
        <v/>
      </c>
      <c r="CC20" s="98">
        <f>SUM(CC8+CC9+CC15+CC18)</f>
        <v/>
      </c>
      <c r="CD20" s="72">
        <f>SUM(CD8+CD9+CD15+CD18)</f>
        <v/>
      </c>
      <c r="CE20" s="72">
        <f>SUM(CE8+CE9+CE15+CE18)</f>
        <v/>
      </c>
      <c r="CF20" s="72">
        <f>SUM(CF8+CF9+CF15+CF18)</f>
        <v/>
      </c>
      <c r="CG20" s="72">
        <f>SUM(CG8+CG9+CG15+CG18)</f>
        <v/>
      </c>
      <c r="CH20" s="72">
        <f>SUM(CH8+CH9+CH15+CH18)</f>
        <v/>
      </c>
      <c r="CI20" s="72">
        <f>SUM(CI8+CI9+CI15+CI18)</f>
        <v/>
      </c>
      <c r="CJ20" s="72">
        <f>SUM(CJ8+CJ9+CJ15+CJ18)</f>
        <v/>
      </c>
      <c r="CK20" s="72">
        <f>SUM(CK8+CK9+CK15+CK18)</f>
        <v/>
      </c>
      <c r="CL20" s="72">
        <f>SUM(CL8+CL9+CL15+CL18)</f>
        <v/>
      </c>
      <c r="CM20" s="72">
        <f>SUM(CM8+CM9+CM15+CM18)</f>
        <v/>
      </c>
      <c r="CN20" s="291">
        <f>SUM(CN8+CN9+CN15+CN18)</f>
        <v/>
      </c>
      <c r="CO20" s="98">
        <f>SUM(CO8+CO9+CO15+CO18)</f>
        <v/>
      </c>
      <c r="CP20" s="72">
        <f>SUM(CP8+CP9+CP15+CP18)</f>
        <v/>
      </c>
      <c r="CQ20" s="72">
        <f>SUM(CQ8+CQ9+CQ15+CQ18)</f>
        <v/>
      </c>
      <c r="CR20" s="72">
        <f>SUM(CR8+CR9+CR15+CR18)</f>
        <v/>
      </c>
      <c r="CS20" s="72">
        <f>SUM(CS8+CS9+CS15+CS18)</f>
        <v/>
      </c>
      <c r="CT20" s="72">
        <f>SUM(CT8+CT9+CT15+CT18)</f>
        <v/>
      </c>
      <c r="CU20" s="72">
        <f>SUM(CU8+CU9+CU15+CU18)</f>
        <v/>
      </c>
      <c r="CV20" s="72">
        <f>SUM(CV8+CV9+CV15+CV18)</f>
        <v/>
      </c>
      <c r="CW20" s="72">
        <f>SUM(CW8+CW9+CW15+CW18)</f>
        <v/>
      </c>
      <c r="CX20" s="72">
        <f>SUM(CX8+CX9+CX15+CX18)</f>
        <v/>
      </c>
      <c r="CY20" s="72">
        <f>SUM(CY8+CY9+CY15+CY18)</f>
        <v/>
      </c>
      <c r="CZ20" s="291">
        <f>SUM(CZ8+CZ9+CZ15+CZ18)</f>
        <v/>
      </c>
      <c r="DA20" s="98">
        <f>SUM(DA8+DA9+DA15+DA18)</f>
        <v/>
      </c>
      <c r="DB20" s="72">
        <f>SUM(DB8+DB9+DB15+DB18)</f>
        <v/>
      </c>
      <c r="DC20" s="72">
        <f>SUM(DC8+DC9+DC15+DC18)</f>
        <v/>
      </c>
      <c r="DD20" s="72">
        <f>SUM(DD8+DD9+DD15+DD18)</f>
        <v/>
      </c>
      <c r="DE20" s="72">
        <f>SUM(DE8+DE9+DE15+DE18)</f>
        <v/>
      </c>
      <c r="DF20" s="72">
        <f>SUM(DF8+DF9+DF15+DF18)</f>
        <v/>
      </c>
      <c r="DG20" s="72">
        <f>SUM(DG8+DG9+DG15+DG18)</f>
        <v/>
      </c>
      <c r="DH20" s="72">
        <f>SUM(DH8+DH9+DH15+DH18)</f>
        <v/>
      </c>
      <c r="DI20" s="72">
        <f>SUM(DI8+DI9+DI15+DI18)</f>
        <v/>
      </c>
      <c r="DJ20" s="72">
        <f>SUM(DJ8+DJ9+DJ15+DJ18)</f>
        <v/>
      </c>
      <c r="DK20" s="72">
        <f>SUM(DK8+DK9+DK15+DK18)</f>
        <v/>
      </c>
      <c r="DL20" s="72">
        <f>SUM(DL8+DL9+DL15+DL18)</f>
        <v/>
      </c>
      <c r="DM20" s="72">
        <f>SUM(DM8+DM9+DM15+DM18)</f>
        <v/>
      </c>
      <c r="DN20" s="72">
        <f>SUM(DN8+DN9+DN15+DN18)</f>
        <v/>
      </c>
      <c r="DO20" s="72">
        <f>SUM(DO8+DO9+DO15+DO18)</f>
        <v/>
      </c>
      <c r="DP20" s="72">
        <f>SUM(DP8+DP9+DP15+DP18)</f>
        <v/>
      </c>
      <c r="DQ20" s="72">
        <f>SUM(DQ8+DQ9+DQ15+DQ18)</f>
        <v/>
      </c>
      <c r="DR20" s="72">
        <f>SUM(DR8+DR9+DR15+DR18)</f>
        <v/>
      </c>
      <c r="DS20" s="72">
        <f>SUM(DS8+DS9+DS15+DS18)</f>
        <v/>
      </c>
      <c r="DT20" s="72">
        <f>SUM(DT8+DT9+DT15+DT18)</f>
        <v/>
      </c>
      <c r="DU20" s="72">
        <f>SUM(DU8+DU9+DU15+DU18)</f>
        <v/>
      </c>
      <c r="DV20" s="72">
        <f>SUM(DV8+DV9+DV15+DV18)</f>
        <v/>
      </c>
      <c r="DW20" s="72">
        <f>SUM(DW8+DW9+DW15+DW18)</f>
        <v/>
      </c>
      <c r="DX20" s="72">
        <f>SUM(DX8+DX9+DX15+DX18)</f>
        <v/>
      </c>
      <c r="DY20" s="72">
        <f>SUM(DY8+DY9+DY15+DY18)</f>
        <v/>
      </c>
      <c r="DZ20" s="72">
        <f>SUM(DZ8+DZ9+DZ15+DZ18)</f>
        <v/>
      </c>
      <c r="EA20" s="72">
        <f>SUM(EA8+EA9+EA15+EA18)</f>
        <v/>
      </c>
      <c r="EB20" s="72">
        <f>SUM(EB8+EB9+EB15+EB18)</f>
        <v/>
      </c>
      <c r="EC20" s="72">
        <f>SUM(EC8+EC9+EC15+EC18)</f>
        <v/>
      </c>
      <c r="ED20" s="72">
        <f>SUM(ED8+ED9+ED15+ED18)</f>
        <v/>
      </c>
      <c r="EE20" s="72">
        <f>SUM(EE8+EE9+EE15+EE18)</f>
        <v/>
      </c>
      <c r="EF20" s="72">
        <f>SUM(EF8+EF9+EF15+EF18)</f>
        <v/>
      </c>
      <c r="EG20" s="72">
        <f>SUM(EG8+EG9+EG15+EG18)</f>
        <v/>
      </c>
      <c r="EH20" s="72">
        <f>SUM(EH8+EH9+EH15+EH18)</f>
        <v/>
      </c>
      <c r="EI20" s="72">
        <f>SUM(EI8+EI9+EI15+EI18)</f>
        <v/>
      </c>
      <c r="EJ20" s="72">
        <f>SUM(EJ8+EJ9+EJ15+EJ18)</f>
        <v/>
      </c>
      <c r="EK20" s="72">
        <f>SUM(EK8+EK9+EK15+EK18)</f>
        <v/>
      </c>
      <c r="EL20" s="72">
        <f>SUM(EL8+EL9+EL15+EL18)</f>
        <v/>
      </c>
      <c r="EM20" s="72">
        <f>SUM(EM8+EM9+EM15+EM18)</f>
        <v/>
      </c>
      <c r="EN20" s="72">
        <f>SUM(EN8+EN9+EN15+EN18)</f>
        <v/>
      </c>
      <c r="EO20" s="72">
        <f>SUM(EO8+EO9+EO15+EO18)</f>
        <v/>
      </c>
      <c r="EP20" s="72">
        <f>SUM(EP8+EP9+EP15+EP18)</f>
        <v/>
      </c>
      <c r="EQ20" s="72">
        <f>SUM(EQ8+EQ9+EQ15+EQ18)</f>
        <v/>
      </c>
      <c r="ER20" s="72">
        <f>SUM(ER8+ER9+ER15+ER18)</f>
        <v/>
      </c>
      <c r="ES20" s="72">
        <f>SUM(ES8+ES9+ES15+ES18)</f>
        <v/>
      </c>
      <c r="ET20" s="72">
        <f>SUM(ET8+ET9+ET15+ET18)</f>
        <v/>
      </c>
      <c r="EU20" s="72">
        <f>SUM(EU8+EU9+EU15+EU18)</f>
        <v/>
      </c>
      <c r="EV20" s="72">
        <f>SUM(EV8+EV9+EV15+EV18)</f>
        <v/>
      </c>
      <c r="EW20" s="72">
        <f>SUM(EW8+EW9+EW15+EW18)</f>
        <v/>
      </c>
      <c r="EX20" s="72">
        <f>SUM(EX8+EX9+EX15+EX18)</f>
        <v/>
      </c>
      <c r="EY20" s="72">
        <f>SUM(EY8+EY9+EY15+EY18)</f>
        <v/>
      </c>
      <c r="EZ20" s="72">
        <f>SUM(EZ8+EZ9+EZ15+EZ18)</f>
        <v/>
      </c>
      <c r="FA20" s="72">
        <f>SUM(FA8+FA9+FA15+FA18)</f>
        <v/>
      </c>
      <c r="FB20" s="72">
        <f>SUM(FB8+FB9+FB15+FB18)</f>
        <v/>
      </c>
      <c r="FC20" s="72">
        <f>SUM(FC8+FC9+FC15+FC18)</f>
        <v/>
      </c>
      <c r="FD20" s="72">
        <f>SUM(FD8+FD9+FD15+FD18)</f>
        <v/>
      </c>
      <c r="FE20" s="72">
        <f>SUM(FE8+FE9+FE15+FE18)</f>
        <v/>
      </c>
      <c r="FF20" s="72">
        <f>SUM(FF8+FF9+FF15+FF18)</f>
        <v/>
      </c>
      <c r="FG20" s="72">
        <f>SUM(FG8+FG9+FG15+FG18)</f>
        <v/>
      </c>
      <c r="FH20" s="72">
        <f>SUM(FH8+FH9+FH15+FH18)</f>
        <v/>
      </c>
      <c r="FI20" s="72">
        <f>SUM(FI8+FI9+FI15+FI18)</f>
        <v/>
      </c>
      <c r="FJ20" s="72">
        <f>SUM(FJ8+FJ9+FJ15+FJ18)</f>
        <v/>
      </c>
      <c r="FK20" s="72">
        <f>SUM(FK8+FK9+FK15+FK18)</f>
        <v/>
      </c>
      <c r="FL20" s="72">
        <f>SUM(FL8+FL9+FL15+FL18)</f>
        <v/>
      </c>
      <c r="FM20" s="72">
        <f>SUM(FM8+FM9+FM15+FM18)</f>
        <v/>
      </c>
      <c r="FN20" s="72">
        <f>SUM(FN8+FN9+FN15+FN18)</f>
        <v/>
      </c>
      <c r="FO20" s="72">
        <f>SUM(FO8+FO9+FO15+FO18)</f>
        <v/>
      </c>
      <c r="FP20" s="72">
        <f>SUM(FP8+FP9+FP15+FP18)</f>
        <v/>
      </c>
      <c r="FQ20" s="72">
        <f>SUM(FQ8+FQ9+FQ15+FQ18)</f>
        <v/>
      </c>
      <c r="FR20" s="72">
        <f>SUM(FR8+FR9+FR15+FR18)</f>
        <v/>
      </c>
      <c r="FS20" s="72">
        <f>SUM(FS8+FS9+FS15+FS18)</f>
        <v/>
      </c>
      <c r="FT20" s="72">
        <f>SUM(FT8+FT9+FT15+FT18)</f>
        <v/>
      </c>
      <c r="FU20" s="72">
        <f>SUM(FU8+FU9+FU15+FU18)</f>
        <v/>
      </c>
      <c r="FV20" s="72">
        <f>SUM(FV8+FV9+FV15+FV18)</f>
        <v/>
      </c>
      <c r="FW20" s="72">
        <f>SUM(FW8+FW9+FW15+FW18)</f>
        <v/>
      </c>
      <c r="FX20" s="72">
        <f>SUM(FX8+FX9+FX15+FX18)</f>
        <v/>
      </c>
      <c r="FY20" s="72">
        <f>SUM(FY8+FY9+FY15+FY18)</f>
        <v/>
      </c>
      <c r="FZ20" s="72">
        <f>SUM(FZ8+FZ9+FZ15+FZ18)</f>
        <v/>
      </c>
      <c r="GA20" s="72">
        <f>SUM(GA8+GA9+GA15+GA18)</f>
        <v/>
      </c>
      <c r="GB20" s="72">
        <f>SUM(GB8+GB9+GB15+GB18)</f>
        <v/>
      </c>
      <c r="GC20" s="72">
        <f>SUM(GC8+GC9+GC15+GC18)</f>
        <v/>
      </c>
      <c r="GD20" s="72">
        <f>SUM(GD8+GD9+GD15+GD18)</f>
        <v/>
      </c>
      <c r="GE20" s="72">
        <f>SUM(GE8+GE9+GE15+GE18)</f>
        <v/>
      </c>
      <c r="GF20" s="72">
        <f>SUM(GF8+GF9+GF15+GF18)</f>
        <v/>
      </c>
      <c r="GG20" s="72">
        <f>SUM(GG8+GG9+GG15+GG18)</f>
        <v/>
      </c>
      <c r="GH20" s="72">
        <f>SUM(GH8+GH9+GH15+GH18)</f>
        <v/>
      </c>
      <c r="GI20" s="72">
        <f>SUM(GI8+GI9+GI15+GI18)</f>
        <v/>
      </c>
      <c r="GJ20" s="72">
        <f>SUM(GJ8+GJ9+GJ15+GJ18)</f>
        <v/>
      </c>
      <c r="GK20" s="72">
        <f>SUM(GK8+GK9+GK15+GK18)</f>
        <v/>
      </c>
      <c r="GL20" s="72">
        <f>SUM(GL8+GL9+GL15+GL18)</f>
        <v/>
      </c>
      <c r="GM20" s="72">
        <f>SUM(GM8+GM9+GM15+GM18)</f>
        <v/>
      </c>
      <c r="GN20" s="72">
        <f>SUM(GN8+GN9+GN15+GN18)</f>
        <v/>
      </c>
      <c r="GO20" s="72">
        <f>SUM(GO8+GO9+GO15+GO18)</f>
        <v/>
      </c>
      <c r="GP20" s="72">
        <f>SUM(GP8+GP9+GP15+GP18)</f>
        <v/>
      </c>
      <c r="GQ20" s="72">
        <f>SUM(GQ8+GQ9+GQ15+GQ18)</f>
        <v/>
      </c>
      <c r="GR20" s="72">
        <f>SUM(GR8+GR9+GR15+GR18)</f>
        <v/>
      </c>
      <c r="GS20" s="72">
        <f>SUM(GS8+GS9+GS15+GS18)</f>
        <v/>
      </c>
      <c r="GT20" s="72">
        <f>SUM(GT8+GT9+GT15+GT18)</f>
        <v/>
      </c>
      <c r="GU20" s="72">
        <f>SUM(GU8+GU9+GU15+GU18)</f>
        <v/>
      </c>
      <c r="GV20" s="72">
        <f>SUM(GV8+GV9+GV15+GV18)</f>
        <v/>
      </c>
      <c r="GW20" s="72">
        <f>SUM(GW8+GW9+GW15+GW18)</f>
        <v/>
      </c>
      <c r="GX20" s="72">
        <f>SUM(GX8+GX9+GX15+GX18)</f>
        <v/>
      </c>
      <c r="GY20" s="72">
        <f>SUM(GY8+GY9+GY15+GY18)</f>
        <v/>
      </c>
      <c r="GZ20" s="72">
        <f>SUM(GZ8+GZ9+GZ15+GZ18)</f>
        <v/>
      </c>
      <c r="HA20" s="72">
        <f>SUM(HA8+HA9+HA15+HA18)</f>
        <v/>
      </c>
      <c r="HB20" s="72">
        <f>SUM(HB8+HB9+HB15+HB18)</f>
        <v/>
      </c>
      <c r="HC20" s="72">
        <f>SUM(HC8+HC9+HC15+HC18)</f>
        <v/>
      </c>
      <c r="HD20" s="72">
        <f>SUM(HD8+HD9+HD15+HD18)</f>
        <v/>
      </c>
      <c r="HE20" s="72">
        <f>SUM(HE8+HE9+HE15+HE18)</f>
        <v/>
      </c>
      <c r="HF20" s="72">
        <f>SUM(HF8+HF9+HF15+HF18)</f>
        <v/>
      </c>
      <c r="HG20" s="72">
        <f>SUM(HG8+HG9+HG15+HG18)</f>
        <v/>
      </c>
      <c r="HH20" s="72">
        <f>SUM(HH8+HH9+HH15+HH18)</f>
        <v/>
      </c>
      <c r="HI20" s="72">
        <f>SUM(HI8+HI9+HI15+HI18)</f>
        <v/>
      </c>
      <c r="HJ20" s="72">
        <f>SUM(HJ8+HJ9+HJ15+HJ18)</f>
        <v/>
      </c>
      <c r="HK20" s="72">
        <f>SUM(HK8+HK9+HK15+HK18)</f>
        <v/>
      </c>
      <c r="HL20" s="72">
        <f>SUM(HL8+HL9+HL15+HL18)</f>
        <v/>
      </c>
      <c r="HM20" s="72">
        <f>SUM(HM8+HM9+HM15+HM18)</f>
        <v/>
      </c>
      <c r="HN20" s="72">
        <f>SUM(HN8+HN9+HN15+HN18)</f>
        <v/>
      </c>
      <c r="HO20" s="72">
        <f>SUM(HO8+HO9+HO15+HO18)</f>
        <v/>
      </c>
      <c r="HP20" s="72">
        <f>SUM(HP8+HP9+HP15+HP18)</f>
        <v/>
      </c>
      <c r="HQ20" s="72">
        <f>SUM(HQ8+HQ9+HQ15+HQ18)</f>
        <v/>
      </c>
      <c r="HR20" s="72">
        <f>SUM(HR8+HR9+HR15+HR18)</f>
        <v/>
      </c>
      <c r="HS20" s="72">
        <f>SUM(HS8+HS9+HS15+HS18)</f>
        <v/>
      </c>
      <c r="HT20" s="72">
        <f>SUM(HT8+HT9+HT15+HT18)</f>
        <v/>
      </c>
      <c r="HU20" s="72">
        <f>SUM(HU8+HU9+HU15+HU18)</f>
        <v/>
      </c>
      <c r="JF20" s="72">
        <f>AP20</f>
        <v/>
      </c>
      <c r="JG20" s="72">
        <f>SUM(Z20:AK20)</f>
        <v/>
      </c>
      <c r="JH20" s="72">
        <f>SUM(AL20:AP20)</f>
        <v/>
      </c>
      <c r="JI20" s="72">
        <f>SUM(C20:AP20)</f>
        <v/>
      </c>
      <c r="JJ20" s="446" t="n"/>
      <c r="JM20" s="72" t="n">
        <v>2140511.6085</v>
      </c>
      <c r="JR20" s="96">
        <f>A20</f>
        <v/>
      </c>
      <c r="JS20" s="72">
        <f>SUM(C20:AP20)</f>
        <v/>
      </c>
      <c r="JT20" s="464" t="n"/>
      <c r="JU20" s="72">
        <f>SUM(AT20:AZ20)</f>
        <v/>
      </c>
      <c r="JV20" s="72">
        <f>SUM(BA20:BL20)</f>
        <v/>
      </c>
      <c r="JW20" s="72">
        <f>SUM(BM20:BX20)</f>
        <v/>
      </c>
      <c r="JX20" s="72">
        <f>SUM(BY20:CJ20)</f>
        <v/>
      </c>
      <c r="JY20" s="72">
        <f>SUM(CK20:CV20)</f>
        <v/>
      </c>
      <c r="JZ20" s="72">
        <f>SUM(CW20:HU20)</f>
        <v/>
      </c>
      <c r="KG20" s="131">
        <f>B20</f>
        <v/>
      </c>
      <c r="KH20" s="131">
        <f>AR20</f>
        <v/>
      </c>
    </row>
    <row r="21" ht="16.2" customHeight="1">
      <c r="A21" s="97" t="inlineStr">
        <is>
          <t>TOTAL DE RECEITAS + PREVISÃO VENDAS</t>
        </is>
      </c>
      <c r="B21" s="132">
        <f>SUM(C21:AP21)</f>
        <v/>
      </c>
      <c r="C21" s="18">
        <f>C12+C20</f>
        <v/>
      </c>
      <c r="D21" s="18">
        <f>D12+D20</f>
        <v/>
      </c>
      <c r="E21" s="18">
        <f>E12+E20</f>
        <v/>
      </c>
      <c r="F21" s="18">
        <f>F12+F20</f>
        <v/>
      </c>
      <c r="G21" s="18">
        <f>G12+G20</f>
        <v/>
      </c>
      <c r="H21" s="18">
        <f>H12+H20</f>
        <v/>
      </c>
      <c r="I21" s="18">
        <f>I12+I20</f>
        <v/>
      </c>
      <c r="J21" s="162">
        <f>J12+J9+J18+J15+J8</f>
        <v/>
      </c>
      <c r="K21" s="18">
        <f>K12+K9+K18+K15+K8</f>
        <v/>
      </c>
      <c r="L21" s="18">
        <f>L12+L9+L18+L15+L8</f>
        <v/>
      </c>
      <c r="M21" s="163">
        <f>M12+M9+M18+M15+M8</f>
        <v/>
      </c>
      <c r="N21" s="163">
        <f>N12+N9+N18+N15+N8</f>
        <v/>
      </c>
      <c r="O21" s="163">
        <f>O12+O9+O18+O15+O8</f>
        <v/>
      </c>
      <c r="P21" s="163">
        <f>P12+P9+P18+P15+P8</f>
        <v/>
      </c>
      <c r="Q21" s="163">
        <f>Q12+Q9+Q18+Q15+Q8</f>
        <v/>
      </c>
      <c r="R21" s="163">
        <f>R12+R9+R18+R15+R8</f>
        <v/>
      </c>
      <c r="S21" s="163">
        <f>S12+S9+S18+S15+S8</f>
        <v/>
      </c>
      <c r="T21" s="163">
        <f>T12+T9+T18+T15+T8</f>
        <v/>
      </c>
      <c r="U21" s="163">
        <f>U12+U9+U18+U15+U8</f>
        <v/>
      </c>
      <c r="V21" s="163">
        <f>V12+V9+V18+V15+V8</f>
        <v/>
      </c>
      <c r="W21" s="163">
        <f>W12+W9+W18+W15+W8</f>
        <v/>
      </c>
      <c r="X21" s="163">
        <f>X12+X9+X18+X15+X8</f>
        <v/>
      </c>
      <c r="Y21" s="163">
        <f>Y12+Y9+Y18+Y15+Y8</f>
        <v/>
      </c>
      <c r="Z21" s="163">
        <f>Z12+Z9+Z18+Z15+Z8</f>
        <v/>
      </c>
      <c r="AA21" s="163">
        <f>AA12+AA9+AA18+AA15+AA8</f>
        <v/>
      </c>
      <c r="AB21" s="163">
        <f>AB12+AB9+AB18+AB15+AB8</f>
        <v/>
      </c>
      <c r="AC21" s="163">
        <f>AC12+AC9+AC18+AC15+AC8</f>
        <v/>
      </c>
      <c r="AD21" s="163">
        <f>AD12+AD9+AD18+AD15+AD8</f>
        <v/>
      </c>
      <c r="AE21" s="163">
        <f>AE12+AE9+AE18+AE15+AE8</f>
        <v/>
      </c>
      <c r="AF21" s="163">
        <f>AF12+AF9+AF18+AF15+AF8</f>
        <v/>
      </c>
      <c r="AG21" s="163">
        <f>AG12+AG9+AG18+AG15+AG8</f>
        <v/>
      </c>
      <c r="AH21" s="163">
        <f>AH12+AH9+AH18+AH15+AH8</f>
        <v/>
      </c>
      <c r="AI21" s="163">
        <f>AI12+AI9+AI18+AI15+AI8</f>
        <v/>
      </c>
      <c r="AJ21" s="163">
        <f>AJ12+AJ9+AJ18+AJ15+AJ8</f>
        <v/>
      </c>
      <c r="AK21" s="163">
        <f>AK12+AK9+AK18+AK15+AK8</f>
        <v/>
      </c>
      <c r="AL21" s="163">
        <f>AL12+AL9+AL18+AL15+AL8</f>
        <v/>
      </c>
      <c r="AM21" s="163">
        <f>AM12+AM9+AM18+AM15+AM8</f>
        <v/>
      </c>
      <c r="AN21" s="163">
        <f>AN12+AN9+AN18+AN15+AN8</f>
        <v/>
      </c>
      <c r="AO21" s="163">
        <f>AO12+AO9+AO18+AO15+AO8</f>
        <v/>
      </c>
      <c r="AP21" s="163">
        <f>AP12+AP9+AP18+AP15+AP8</f>
        <v/>
      </c>
      <c r="AQ21" s="17" t="n"/>
      <c r="AR21" s="237">
        <f>SUM(AT21:HU21)</f>
        <v/>
      </c>
      <c r="AS21" s="17" t="n"/>
      <c r="AT21" s="18">
        <f>AT12+AT9+AT18+AT15+AT8</f>
        <v/>
      </c>
      <c r="AU21" s="18">
        <f>AU12+AU9+AU18+AU15+AU8</f>
        <v/>
      </c>
      <c r="AV21" s="18">
        <f>AV12+AV9+AV18+AV15+AV8</f>
        <v/>
      </c>
      <c r="AW21" s="18">
        <f>AW12+AW9+AW18+AW15+AW8</f>
        <v/>
      </c>
      <c r="AX21" s="18">
        <f>AX12+AX9+AX18+AX15+AX8</f>
        <v/>
      </c>
      <c r="AY21" s="18">
        <f>AY12+AY9+AY18+AY15+AY8</f>
        <v/>
      </c>
      <c r="AZ21" s="18">
        <f>AZ12+AZ9+AZ18+AZ15+AZ8</f>
        <v/>
      </c>
      <c r="BA21" s="18">
        <f>BA12+BA9+BA18+BA15+BA8</f>
        <v/>
      </c>
      <c r="BB21" s="18">
        <f>BB12+BB9+BB18+BB15+BB8</f>
        <v/>
      </c>
      <c r="BC21" s="18">
        <f>BC12+BC9+BC18+BC15+BC8</f>
        <v/>
      </c>
      <c r="BD21" s="292">
        <f>BD12+BD9+BD18+BD15+BD8</f>
        <v/>
      </c>
      <c r="BE21" s="99">
        <f>BE12+BE9+BE18+BE15+BE8</f>
        <v/>
      </c>
      <c r="BF21" s="18">
        <f>BF12+BF9+BF18+BF15+BF8</f>
        <v/>
      </c>
      <c r="BG21" s="18">
        <f>BG12+BG9+BG18+BG15+BG8</f>
        <v/>
      </c>
      <c r="BH21" s="18">
        <f>BH12+BH9+BH18+BH15+BH8</f>
        <v/>
      </c>
      <c r="BI21" s="18">
        <f>BI12+BI9+BI18+BI15+BI8</f>
        <v/>
      </c>
      <c r="BJ21" s="18">
        <f>BJ12+BJ9+BJ18+BJ15+BJ8</f>
        <v/>
      </c>
      <c r="BK21" s="18">
        <f>BK12+BK9+BK18+BK15+BK8</f>
        <v/>
      </c>
      <c r="BL21" s="18">
        <f>BL12+BL9+BL18+BL15+BL8</f>
        <v/>
      </c>
      <c r="BM21" s="18">
        <f>BM12+BM9+BM18+BM15+BM8</f>
        <v/>
      </c>
      <c r="BN21" s="18">
        <f>BN12+BN9+BN18+BN15+BN8</f>
        <v/>
      </c>
      <c r="BO21" s="18">
        <f>BO12+BO9+BO18+BO15+BO8</f>
        <v/>
      </c>
      <c r="BP21" s="292">
        <f>BP12+BP9+BP18+BP15+BP8</f>
        <v/>
      </c>
      <c r="BQ21" s="99">
        <f>BQ12+BQ9+BQ18+BQ15+BQ8</f>
        <v/>
      </c>
      <c r="BR21" s="18">
        <f>BR12+BR9+BR18+BR15+BR8</f>
        <v/>
      </c>
      <c r="BS21" s="18">
        <f>BS12+BS9+BS18+BS15+BS8</f>
        <v/>
      </c>
      <c r="BT21" s="18">
        <f>BT12+BT9+BT18+BT15+BT8</f>
        <v/>
      </c>
      <c r="BU21" s="18">
        <f>BU12+BU9+BU18+BU15+BU8</f>
        <v/>
      </c>
      <c r="BV21" s="18">
        <f>BV12+BV9+BV18+BV15+BV8</f>
        <v/>
      </c>
      <c r="BW21" s="18">
        <f>BW12+BW9+BW18+BW15+BW8</f>
        <v/>
      </c>
      <c r="BX21" s="18">
        <f>BX12+BX9+BX18+BX15+BX8</f>
        <v/>
      </c>
      <c r="BY21" s="18">
        <f>BY12+BY9+BY18+BY15+BY8</f>
        <v/>
      </c>
      <c r="BZ21" s="18">
        <f>BZ12+BZ9+BZ18+BZ15+BZ8</f>
        <v/>
      </c>
      <c r="CA21" s="18">
        <f>CA12+CA9+CA18+CA15+CA8</f>
        <v/>
      </c>
      <c r="CB21" s="292">
        <f>CB12+CB9+CB18+CB15+CB8</f>
        <v/>
      </c>
      <c r="CC21" s="99">
        <f>CC12+CC9+CC18+CC15+CC8</f>
        <v/>
      </c>
      <c r="CD21" s="18">
        <f>CD12+CD9+CD18+CD15+CD8</f>
        <v/>
      </c>
      <c r="CE21" s="18">
        <f>CE12+CE9+CE18+CE15+CE8</f>
        <v/>
      </c>
      <c r="CF21" s="18">
        <f>CF12+CF9+CF18+CF15+CF8</f>
        <v/>
      </c>
      <c r="CG21" s="18">
        <f>CG12+CG9+CG18+CG15+CG8</f>
        <v/>
      </c>
      <c r="CH21" s="18">
        <f>CH12+CH9+CH18+CH15+CH8</f>
        <v/>
      </c>
      <c r="CI21" s="18">
        <f>CI12+CI9+CI18+CI15+CI8</f>
        <v/>
      </c>
      <c r="CJ21" s="18">
        <f>CJ12+CJ9+CJ18+CJ15+CJ8</f>
        <v/>
      </c>
      <c r="CK21" s="18">
        <f>CK12+CK9+CK18+CK15+CK8</f>
        <v/>
      </c>
      <c r="CL21" s="18">
        <f>CL12+CL9+CL18+CL15+CL8</f>
        <v/>
      </c>
      <c r="CM21" s="18">
        <f>CM12+CM9+CM18+CM15+CM8</f>
        <v/>
      </c>
      <c r="CN21" s="292">
        <f>CN12+CN9+CN18+CN15+CN8</f>
        <v/>
      </c>
      <c r="CO21" s="99">
        <f>CO12+CO9+CO18+CO15+CO8</f>
        <v/>
      </c>
      <c r="CP21" s="18">
        <f>CP12+CP9+CP18+CP15+CP8</f>
        <v/>
      </c>
      <c r="CQ21" s="18">
        <f>CQ12+CQ9+CQ18+CQ15+CQ8</f>
        <v/>
      </c>
      <c r="CR21" s="18">
        <f>CR12+CR9+CR18+CR15+CR8</f>
        <v/>
      </c>
      <c r="CS21" s="18">
        <f>CS12+CS9+CS18+CS15+CS8</f>
        <v/>
      </c>
      <c r="CT21" s="18">
        <f>CT12+CT9+CT18+CT15+CT8</f>
        <v/>
      </c>
      <c r="CU21" s="18">
        <f>CU12+CU9+CU18+CU15+CU8</f>
        <v/>
      </c>
      <c r="CV21" s="18">
        <f>CV12+CV9+CV18+CV15+CV8</f>
        <v/>
      </c>
      <c r="CW21" s="18">
        <f>CW12+CW9+CW18+CW15+CW8</f>
        <v/>
      </c>
      <c r="CX21" s="18">
        <f>CX12+CX9+CX18+CX15+CX8</f>
        <v/>
      </c>
      <c r="CY21" s="18">
        <f>CY12+CY9+CY18+CY15+CY8</f>
        <v/>
      </c>
      <c r="CZ21" s="292">
        <f>CZ12+CZ9+CZ18+CZ15+CZ8</f>
        <v/>
      </c>
      <c r="DA21" s="99">
        <f>DA12+DA9+DA18+DA15+DA8</f>
        <v/>
      </c>
      <c r="DB21" s="18">
        <f>DB12+DB9+DB18+DB15+DB8</f>
        <v/>
      </c>
      <c r="DC21" s="18">
        <f>DC12+DC9+DC18+DC15+DC8</f>
        <v/>
      </c>
      <c r="DD21" s="18">
        <f>DD12+DD9+DD18+DD15+DD8</f>
        <v/>
      </c>
      <c r="DE21" s="18">
        <f>DE12+DE9+DE18+DE15+DE8</f>
        <v/>
      </c>
      <c r="DF21" s="18">
        <f>DF12+DF9+DF18+DF15+DF8</f>
        <v/>
      </c>
      <c r="DG21" s="18">
        <f>DG12+DG9+DG18+DG15+DG8</f>
        <v/>
      </c>
      <c r="DH21" s="18">
        <f>DH12+DH9+DH18+DH15+DH8</f>
        <v/>
      </c>
      <c r="DI21" s="18">
        <f>DI12+DI9+DI18+DI15+DI8</f>
        <v/>
      </c>
      <c r="DJ21" s="18">
        <f>DJ12+DJ9+DJ18+DJ15+DJ8</f>
        <v/>
      </c>
      <c r="DK21" s="18">
        <f>DK12+DK9+DK18+DK15+DK8</f>
        <v/>
      </c>
      <c r="DL21" s="18">
        <f>DL12+DL9+DL18+DL15+DL8</f>
        <v/>
      </c>
      <c r="DM21" s="18">
        <f>DM12+DM9+DM18+DM15+DM8</f>
        <v/>
      </c>
      <c r="DN21" s="18">
        <f>DN12+DN9+DN18+DN15+DN8</f>
        <v/>
      </c>
      <c r="DO21" s="18">
        <f>DO12+DO9+DO18+DO15+DO8</f>
        <v/>
      </c>
      <c r="DP21" s="18">
        <f>DP12+DP9+DP18+DP15+DP8</f>
        <v/>
      </c>
      <c r="DQ21" s="18">
        <f>DQ12+DQ9+DQ18+DQ15+DQ8</f>
        <v/>
      </c>
      <c r="DR21" s="18">
        <f>DR12+DR9+DR18+DR15+DR8</f>
        <v/>
      </c>
      <c r="DS21" s="18">
        <f>DS12+DS9+DS18+DS15+DS8</f>
        <v/>
      </c>
      <c r="DT21" s="18">
        <f>DT12+DT9+DT18+DT15+DT8</f>
        <v/>
      </c>
      <c r="DU21" s="18">
        <f>DU12+DU9+DU18+DU15+DU8</f>
        <v/>
      </c>
      <c r="DV21" s="18">
        <f>DV12+DV9+DV18+DV15+DV8</f>
        <v/>
      </c>
      <c r="DW21" s="18">
        <f>DW12+DW9+DW18+DW15+DW8</f>
        <v/>
      </c>
      <c r="DX21" s="18">
        <f>DX12+DX9+DX18+DX15+DX8</f>
        <v/>
      </c>
      <c r="DY21" s="18">
        <f>DY12+DY9+DY18+DY15+DY8</f>
        <v/>
      </c>
      <c r="DZ21" s="18">
        <f>DZ12+DZ9+DZ18+DZ15+DZ8</f>
        <v/>
      </c>
      <c r="EA21" s="18">
        <f>EA12+EA9+EA18+EA15+EA8</f>
        <v/>
      </c>
      <c r="EB21" s="18">
        <f>EB12+EB9+EB18+EB15+EB8</f>
        <v/>
      </c>
      <c r="EC21" s="18">
        <f>EC12+EC9+EC18+EC15+EC8</f>
        <v/>
      </c>
      <c r="ED21" s="18">
        <f>ED12+ED9+ED18+ED15+ED8</f>
        <v/>
      </c>
      <c r="EE21" s="18">
        <f>EE12+EE9+EE18+EE15+EE8</f>
        <v/>
      </c>
      <c r="EF21" s="18">
        <f>EF12+EF9+EF18+EF15+EF8</f>
        <v/>
      </c>
      <c r="EG21" s="18">
        <f>EG12+EG9+EG18+EG15+EG8</f>
        <v/>
      </c>
      <c r="EH21" s="18">
        <f>EH12+EH9+EH18+EH15+EH8</f>
        <v/>
      </c>
      <c r="EI21" s="18">
        <f>EI12+EI9+EI18+EI15+EI8</f>
        <v/>
      </c>
      <c r="EJ21" s="18">
        <f>EJ12+EJ9+EJ18+EJ15+EJ8</f>
        <v/>
      </c>
      <c r="EK21" s="18">
        <f>EK12+EK9+EK18+EK15+EK8</f>
        <v/>
      </c>
      <c r="EL21" s="18">
        <f>EL12+EL9+EL18+EL15+EL8</f>
        <v/>
      </c>
      <c r="EM21" s="18">
        <f>EM12+EM9+EM18+EM15+EM8</f>
        <v/>
      </c>
      <c r="EN21" s="18">
        <f>EN12+EN9+EN18+EN15+EN8</f>
        <v/>
      </c>
      <c r="EO21" s="18">
        <f>EO12+EO9+EO18+EO15+EO8</f>
        <v/>
      </c>
      <c r="EP21" s="18">
        <f>EP12+EP9+EP18+EP15+EP8</f>
        <v/>
      </c>
      <c r="EQ21" s="18">
        <f>EQ12+EQ9+EQ18+EQ15+EQ8</f>
        <v/>
      </c>
      <c r="ER21" s="18">
        <f>ER12+ER9+ER18+ER15+ER8</f>
        <v/>
      </c>
      <c r="ES21" s="18">
        <f>ES12+ES9+ES18+ES15+ES8</f>
        <v/>
      </c>
      <c r="ET21" s="18">
        <f>ET12+ET9+ET18+ET15+ET8</f>
        <v/>
      </c>
      <c r="EU21" s="18">
        <f>EU12+EU9+EU18+EU15+EU8</f>
        <v/>
      </c>
      <c r="EV21" s="18">
        <f>EV12+EV9+EV18+EV15+EV8</f>
        <v/>
      </c>
      <c r="EW21" s="18">
        <f>EW12+EW9+EW18+EW15+EW8</f>
        <v/>
      </c>
      <c r="EX21" s="18">
        <f>EX12+EX9+EX18+EX15+EX8</f>
        <v/>
      </c>
      <c r="EY21" s="18">
        <f>EY12+EY9+EY18+EY15+EY8</f>
        <v/>
      </c>
      <c r="EZ21" s="18">
        <f>EZ12+EZ9+EZ18+EZ15+EZ8</f>
        <v/>
      </c>
      <c r="FA21" s="18">
        <f>FA12+FA9+FA18+FA15+FA8</f>
        <v/>
      </c>
      <c r="FB21" s="18">
        <f>FB12+FB9+FB18+FB15+FB8</f>
        <v/>
      </c>
      <c r="FC21" s="18">
        <f>FC12+FC9+FC18+FC15+FC8</f>
        <v/>
      </c>
      <c r="FD21" s="18">
        <f>FD12+FD9+FD18+FD15+FD8</f>
        <v/>
      </c>
      <c r="FE21" s="18">
        <f>FE12+FE9+FE18+FE15+FE8</f>
        <v/>
      </c>
      <c r="FF21" s="18">
        <f>FF12+FF9+FF18+FF15+FF8</f>
        <v/>
      </c>
      <c r="FG21" s="18">
        <f>FG12+FG9+FG18+FG15+FG8</f>
        <v/>
      </c>
      <c r="FH21" s="18">
        <f>FH12+FH9+FH18+FH15+FH8</f>
        <v/>
      </c>
      <c r="FI21" s="18">
        <f>FI12+FI9+FI18+FI15+FI8</f>
        <v/>
      </c>
      <c r="FJ21" s="18">
        <f>FJ12+FJ9+FJ18+FJ15+FJ8</f>
        <v/>
      </c>
      <c r="FK21" s="18">
        <f>FK12+FK9+FK18+FK15+FK8</f>
        <v/>
      </c>
      <c r="FL21" s="18">
        <f>FL12+FL9+FL18+FL15+FL8</f>
        <v/>
      </c>
      <c r="FM21" s="18">
        <f>FM12+FM9+FM18+FM15+FM8</f>
        <v/>
      </c>
      <c r="FN21" s="18">
        <f>FN12+FN9+FN18+FN15+FN8</f>
        <v/>
      </c>
      <c r="FO21" s="18">
        <f>FO12+FO9+FO18+FO15+FO8</f>
        <v/>
      </c>
      <c r="FP21" s="18">
        <f>FP12+FP9+FP18+FP15+FP8</f>
        <v/>
      </c>
      <c r="FQ21" s="18">
        <f>FQ12+FQ9+FQ18+FQ15+FQ8</f>
        <v/>
      </c>
      <c r="FR21" s="18">
        <f>FR12+FR9+FR18+FR15+FR8</f>
        <v/>
      </c>
      <c r="FS21" s="18">
        <f>FS12+FS9+FS18+FS15+FS8</f>
        <v/>
      </c>
      <c r="FT21" s="18">
        <f>FT12+FT9+FT18+FT15+FT8</f>
        <v/>
      </c>
      <c r="FU21" s="18">
        <f>FU12+FU9+FU18+FU15+FU8</f>
        <v/>
      </c>
      <c r="FV21" s="18">
        <f>FV12+FV9+FV18+FV15+FV8</f>
        <v/>
      </c>
      <c r="FW21" s="18">
        <f>FW12+FW9+FW18+FW15+FW8</f>
        <v/>
      </c>
      <c r="FX21" s="18">
        <f>FX12+FX9+FX18+FX15+FX8</f>
        <v/>
      </c>
      <c r="FY21" s="18">
        <f>FY12+FY9+FY18+FY15+FY8</f>
        <v/>
      </c>
      <c r="FZ21" s="18">
        <f>FZ12+FZ9+FZ18+FZ15+FZ8</f>
        <v/>
      </c>
      <c r="GA21" s="18">
        <f>GA12+GA9+GA18+GA15+GA8</f>
        <v/>
      </c>
      <c r="GB21" s="18">
        <f>GB12+GB9+GB18+GB15+GB8</f>
        <v/>
      </c>
      <c r="GC21" s="18">
        <f>GC12+GC9+GC18+GC15+GC8</f>
        <v/>
      </c>
      <c r="GD21" s="18">
        <f>GD12+GD9+GD18+GD15+GD8</f>
        <v/>
      </c>
      <c r="GE21" s="18">
        <f>GE12+GE9+GE18+GE15+GE8</f>
        <v/>
      </c>
      <c r="GF21" s="18">
        <f>GF12+GF9+GF18+GF15+GF8</f>
        <v/>
      </c>
      <c r="GG21" s="18">
        <f>GG12+GG9+GG18+GG15+GG8</f>
        <v/>
      </c>
      <c r="GH21" s="18">
        <f>GH12+GH9+GH18+GH15+GH8</f>
        <v/>
      </c>
      <c r="GI21" s="18">
        <f>GI12+GI9+GI18+GI15+GI8</f>
        <v/>
      </c>
      <c r="GJ21" s="18">
        <f>GJ12+GJ9+GJ18+GJ15+GJ8</f>
        <v/>
      </c>
      <c r="GK21" s="18">
        <f>GK12+GK9+GK18+GK15+GK8</f>
        <v/>
      </c>
      <c r="GL21" s="18">
        <f>GL12+GL9+GL18+GL15+GL8</f>
        <v/>
      </c>
      <c r="GM21" s="18">
        <f>GM12+GM9+GM18+GM15+GM8</f>
        <v/>
      </c>
      <c r="GN21" s="18">
        <f>GN12+GN9+GN18+GN15+GN8</f>
        <v/>
      </c>
      <c r="GO21" s="18">
        <f>GO12+GO9+GO18+GO15+GO8</f>
        <v/>
      </c>
      <c r="GP21" s="18">
        <f>GP12+GP9+GP18+GP15+GP8</f>
        <v/>
      </c>
      <c r="GQ21" s="18">
        <f>GQ12+GQ9+GQ18+GQ15+GQ8</f>
        <v/>
      </c>
      <c r="GR21" s="18">
        <f>GR12+GR9+GR18+GR15+GR8</f>
        <v/>
      </c>
      <c r="GS21" s="18">
        <f>GS12+GS9+GS18+GS15+GS8</f>
        <v/>
      </c>
      <c r="GT21" s="18">
        <f>GT12+GT9+GT18+GT15+GT8</f>
        <v/>
      </c>
      <c r="GU21" s="18">
        <f>GU12+GU9+GU18+GU15+GU8</f>
        <v/>
      </c>
      <c r="GV21" s="18">
        <f>GV12+GV9+GV18+GV15+GV8</f>
        <v/>
      </c>
      <c r="GW21" s="18">
        <f>GW12+GW9+GW18+GW15+GW8</f>
        <v/>
      </c>
      <c r="GX21" s="18">
        <f>GX12+GX9+GX18+GX15+GX8</f>
        <v/>
      </c>
      <c r="GY21" s="18">
        <f>GY12+GY9+GY18+GY15+GY8</f>
        <v/>
      </c>
      <c r="GZ21" s="18">
        <f>GZ12+GZ9+GZ18+GZ15+GZ8</f>
        <v/>
      </c>
      <c r="HA21" s="18">
        <f>HA12+HA9+HA18+HA15+HA8</f>
        <v/>
      </c>
      <c r="HB21" s="18">
        <f>HB12+HB9+HB18+HB15+HB8</f>
        <v/>
      </c>
      <c r="HC21" s="18">
        <f>HC12+HC9+HC18+HC15+HC8</f>
        <v/>
      </c>
      <c r="HD21" s="18">
        <f>HD12+HD9+HD18+HD15+HD8</f>
        <v/>
      </c>
      <c r="HE21" s="18">
        <f>HE12+HE9+HE18+HE15+HE8</f>
        <v/>
      </c>
      <c r="HF21" s="18">
        <f>HF12+HF9+HF18+HF15+HF8</f>
        <v/>
      </c>
      <c r="HG21" s="18">
        <f>HG12+HG9+HG18+HG15+HG8</f>
        <v/>
      </c>
      <c r="HH21" s="18">
        <f>HH12+HH9+HH18+HH15+HH8</f>
        <v/>
      </c>
      <c r="HI21" s="18">
        <f>HI12+HI9+HI18+HI15+HI8</f>
        <v/>
      </c>
      <c r="HJ21" s="18">
        <f>HJ12+HJ9+HJ18+HJ15+HJ8</f>
        <v/>
      </c>
      <c r="HK21" s="18">
        <f>HK12+HK9+HK18+HK15+HK8</f>
        <v/>
      </c>
      <c r="HL21" s="18">
        <f>HL12+HL9+HL18+HL15+HL8</f>
        <v/>
      </c>
      <c r="HM21" s="18">
        <f>HM12+HM9+HM18+HM15+HM8</f>
        <v/>
      </c>
      <c r="HN21" s="18">
        <f>HN12+HN9+HN18+HN15+HN8</f>
        <v/>
      </c>
      <c r="HO21" s="18">
        <f>HO12+HO9+HO18+HO15+HO8</f>
        <v/>
      </c>
      <c r="HP21" s="18">
        <f>HP12+HP9+HP18+HP15+HP8</f>
        <v/>
      </c>
      <c r="HQ21" s="18">
        <f>HQ12+HQ9+HQ18+HQ15+HQ8</f>
        <v/>
      </c>
      <c r="HR21" s="18">
        <f>HR12+HR9+HR18+HR15+HR8</f>
        <v/>
      </c>
      <c r="HS21" s="18">
        <f>HS12+HS9+HS18+HS15+HS8</f>
        <v/>
      </c>
      <c r="HT21" s="18">
        <f>HT12+HT9+HT18+HT15+HT8</f>
        <v/>
      </c>
      <c r="HU21" s="18">
        <f>HU12+HU9+HU18+HU15+HU8</f>
        <v/>
      </c>
      <c r="JF21" s="18">
        <f>AP21</f>
        <v/>
      </c>
      <c r="JG21" s="18">
        <f>SUM(Z21:AK21)</f>
        <v/>
      </c>
      <c r="JH21" s="18">
        <f>SUM(AL21:AP21)</f>
        <v/>
      </c>
      <c r="JI21" s="18">
        <f>SUM(C21:AP21)</f>
        <v/>
      </c>
      <c r="JJ21" s="446" t="n"/>
      <c r="JM21" s="18" t="n">
        <v>2693524.78383</v>
      </c>
      <c r="JR21" s="97">
        <f>A21</f>
        <v/>
      </c>
      <c r="JS21" s="18">
        <f>SUM(C21:AP21)</f>
        <v/>
      </c>
      <c r="JT21" s="18" t="n"/>
      <c r="JU21" s="18">
        <f>SUM(AT21:AZ21)</f>
        <v/>
      </c>
      <c r="JV21" s="18">
        <f>SUM(BA21:BL21)</f>
        <v/>
      </c>
      <c r="JW21" s="18">
        <f>SUM(BM21:BX21)</f>
        <v/>
      </c>
      <c r="JX21" s="18">
        <f>SUM(BY21:CJ21)</f>
        <v/>
      </c>
      <c r="JY21" s="18">
        <f>SUM(CK21:CV21)</f>
        <v/>
      </c>
      <c r="JZ21" s="18">
        <f>SUM(CW21:HU21)</f>
        <v/>
      </c>
      <c r="KG21" s="132">
        <f>B21</f>
        <v/>
      </c>
      <c r="KH21" s="237">
        <f>AR21</f>
        <v/>
      </c>
    </row>
    <row r="22" ht="6.75" customHeight="1" thickBot="1">
      <c r="A22" s="52" t="n"/>
      <c r="B22" s="133" t="n"/>
      <c r="C22" s="17" t="n"/>
      <c r="D22" s="17" t="n"/>
      <c r="E22" s="17" t="n"/>
      <c r="F22" s="17" t="n"/>
      <c r="G22" s="17" t="n"/>
      <c r="H22" s="17" t="n"/>
      <c r="I22" s="17" t="n"/>
      <c r="J22" s="164" t="n"/>
      <c r="K22" s="17" t="n"/>
      <c r="L22" s="17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238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293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293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293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293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293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JF22" s="17">
        <f>AP22</f>
        <v/>
      </c>
      <c r="JG22" s="17">
        <f>SUM(Z22:AK22)</f>
        <v/>
      </c>
      <c r="JH22" s="17">
        <f>SUM(AL22:AP22)</f>
        <v/>
      </c>
      <c r="JI22" s="17">
        <f>SUM(C22:AP22)</f>
        <v/>
      </c>
      <c r="JJ22" s="446" t="n"/>
      <c r="JM22" s="17" t="n"/>
      <c r="KG22" s="133">
        <f>B22</f>
        <v/>
      </c>
      <c r="KH22" s="238">
        <f>AR22</f>
        <v/>
      </c>
    </row>
    <row r="23" ht="16.5" customHeight="1">
      <c r="A23" s="63" t="inlineStr">
        <is>
          <t>DESPESAS OPERACIONAIS</t>
        </is>
      </c>
      <c r="B23" s="134" t="n"/>
      <c r="C23" s="64" t="n"/>
      <c r="D23" s="64" t="n"/>
      <c r="E23" s="64" t="n"/>
      <c r="F23" s="64" t="n"/>
      <c r="G23" s="64" t="n"/>
      <c r="H23" s="64" t="n"/>
      <c r="I23" s="64" t="n"/>
      <c r="J23" s="166" t="n"/>
      <c r="K23" s="64" t="n"/>
      <c r="L23" s="64" t="n"/>
      <c r="M23" s="167" t="n"/>
      <c r="N23" s="167" t="n"/>
      <c r="O23" s="167" t="n"/>
      <c r="P23" s="167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7" t="n"/>
      <c r="AC23" s="167" t="n"/>
      <c r="AD23" s="167" t="n"/>
      <c r="AE23" s="167" t="n"/>
      <c r="AF23" s="167" t="n"/>
      <c r="AG23" s="167" t="n"/>
      <c r="AH23" s="167" t="n"/>
      <c r="AI23" s="167" t="n"/>
      <c r="AJ23" s="167" t="n"/>
      <c r="AK23" s="167" t="n"/>
      <c r="AL23" s="167" t="n"/>
      <c r="AM23" s="167" t="n"/>
      <c r="AN23" s="167" t="n"/>
      <c r="AO23" s="167" t="n"/>
      <c r="AP23" s="167" t="n"/>
      <c r="AQ23" s="17" t="n"/>
      <c r="AR23" s="331" t="n"/>
      <c r="AS23" s="17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29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29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29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29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29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  <c r="DY23" s="64" t="n"/>
      <c r="DZ23" s="64" t="n"/>
      <c r="EA23" s="64" t="n"/>
      <c r="EB23" s="64" t="n"/>
      <c r="EC23" s="64" t="n"/>
      <c r="ED23" s="64" t="n"/>
      <c r="EE23" s="64" t="n"/>
      <c r="EF23" s="64" t="n"/>
      <c r="EG23" s="64" t="n"/>
      <c r="EH23" s="64" t="n"/>
      <c r="EI23" s="64" t="n"/>
      <c r="EJ23" s="64" t="n"/>
      <c r="EK23" s="64" t="n"/>
      <c r="EL23" s="64" t="n"/>
      <c r="EM23" s="64" t="n"/>
      <c r="EN23" s="64" t="n"/>
      <c r="EO23" s="64" t="n"/>
      <c r="EP23" s="64" t="n"/>
      <c r="EQ23" s="64" t="n"/>
      <c r="ER23" s="64" t="n"/>
      <c r="ES23" s="64" t="n"/>
      <c r="ET23" s="64" t="n"/>
      <c r="EU23" s="64" t="n"/>
      <c r="EV23" s="64" t="n"/>
      <c r="EW23" s="64" t="n"/>
      <c r="EX23" s="64" t="n"/>
      <c r="EY23" s="64" t="n"/>
      <c r="EZ23" s="64" t="n"/>
      <c r="FA23" s="64" t="n"/>
      <c r="FB23" s="64" t="n"/>
      <c r="FC23" s="64" t="n"/>
      <c r="FD23" s="64" t="n"/>
      <c r="FE23" s="64" t="n"/>
      <c r="FF23" s="64" t="n"/>
      <c r="FG23" s="64" t="n"/>
      <c r="FH23" s="64" t="n"/>
      <c r="FI23" s="64" t="n"/>
      <c r="FJ23" s="64" t="n"/>
      <c r="FK23" s="64" t="n"/>
      <c r="FL23" s="64" t="n"/>
      <c r="FM23" s="64" t="n"/>
      <c r="FN23" s="64" t="n"/>
      <c r="FO23" s="64" t="n"/>
      <c r="FP23" s="64" t="n"/>
      <c r="FQ23" s="64" t="n"/>
      <c r="FR23" s="64" t="n"/>
      <c r="FS23" s="64" t="n"/>
      <c r="FT23" s="64" t="n"/>
      <c r="FU23" s="64" t="n"/>
      <c r="FV23" s="64" t="n"/>
      <c r="FW23" s="64" t="n"/>
      <c r="FX23" s="64" t="n"/>
      <c r="FY23" s="64" t="n"/>
      <c r="FZ23" s="64" t="n"/>
      <c r="GA23" s="64" t="n"/>
      <c r="GB23" s="64" t="n"/>
      <c r="GC23" s="64" t="n"/>
      <c r="GD23" s="64" t="n"/>
      <c r="GE23" s="64" t="n"/>
      <c r="GF23" s="64" t="n"/>
      <c r="GG23" s="64" t="n"/>
      <c r="GH23" s="64" t="n"/>
      <c r="GI23" s="64" t="n"/>
      <c r="GJ23" s="64" t="n"/>
      <c r="GK23" s="64" t="n"/>
      <c r="GL23" s="64" t="n"/>
      <c r="GM23" s="64" t="n"/>
      <c r="GN23" s="64" t="n"/>
      <c r="GO23" s="64" t="n"/>
      <c r="GP23" s="64" t="n"/>
      <c r="GQ23" s="64" t="n"/>
      <c r="GR23" s="64" t="n"/>
      <c r="GS23" s="64" t="n"/>
      <c r="GT23" s="64" t="n"/>
      <c r="GU23" s="64" t="n"/>
      <c r="GV23" s="64" t="n"/>
      <c r="GW23" s="64" t="n"/>
      <c r="GX23" s="64" t="n"/>
      <c r="GY23" s="64" t="n"/>
      <c r="GZ23" s="64" t="n"/>
      <c r="HA23" s="64" t="n"/>
      <c r="HB23" s="64" t="n"/>
      <c r="HC23" s="64" t="n"/>
      <c r="HD23" s="64" t="n"/>
      <c r="HE23" s="64" t="n"/>
      <c r="HF23" s="64" t="n"/>
      <c r="HG23" s="64" t="n"/>
      <c r="HH23" s="64" t="n"/>
      <c r="HI23" s="64" t="n"/>
      <c r="HJ23" s="64" t="n"/>
      <c r="HK23" s="64" t="n"/>
      <c r="HL23" s="64" t="n"/>
      <c r="HM23" s="64" t="n"/>
      <c r="HN23" s="64" t="n"/>
      <c r="HO23" s="64" t="n"/>
      <c r="HP23" s="64" t="n"/>
      <c r="HQ23" s="64" t="n"/>
      <c r="HR23" s="64" t="n"/>
      <c r="HS23" s="64" t="n"/>
      <c r="HT23" s="64" t="n"/>
      <c r="HU23" s="64" t="n"/>
      <c r="JF23" s="64">
        <f>AP23</f>
        <v/>
      </c>
      <c r="JG23" s="64">
        <f>SUM(Z23:AK23)</f>
        <v/>
      </c>
      <c r="JH23" s="64">
        <f>SUM(AL23:AP23)</f>
        <v/>
      </c>
      <c r="JI23" s="64">
        <f>SUM(C23:AP23)</f>
        <v/>
      </c>
      <c r="JJ23" s="446" t="n"/>
      <c r="JM23" s="64" t="n"/>
      <c r="KG23" s="134">
        <f>B23</f>
        <v/>
      </c>
      <c r="KH23" s="331">
        <f>AR23</f>
        <v/>
      </c>
    </row>
    <row r="24" ht="16.2" customFormat="1" customHeight="1" s="259">
      <c r="A24" s="62" t="inlineStr">
        <is>
          <t>DESPESAS COMERCIAIS(-)</t>
        </is>
      </c>
      <c r="B24" s="135" t="n"/>
      <c r="C24" s="60" t="n"/>
      <c r="D24" s="60" t="n"/>
      <c r="E24" s="61" t="n"/>
      <c r="F24" s="61" t="n"/>
      <c r="G24" s="61" t="n"/>
      <c r="H24" s="61" t="n"/>
      <c r="I24" s="61" t="n"/>
      <c r="J24" s="168" t="n"/>
      <c r="K24" s="61" t="n"/>
      <c r="L24" s="61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69" t="n"/>
      <c r="AF24" s="169" t="n"/>
      <c r="AG24" s="169" t="n"/>
      <c r="AH24" s="169" t="n"/>
      <c r="AI24" s="169" t="n"/>
      <c r="AJ24" s="169" t="n"/>
      <c r="AK24" s="169" t="n"/>
      <c r="AL24" s="169" t="n"/>
      <c r="AM24" s="169" t="n"/>
      <c r="AN24" s="169" t="n"/>
      <c r="AO24" s="169" t="n"/>
      <c r="AP24" s="169" t="n"/>
      <c r="AQ24" s="202" t="n"/>
      <c r="AR24" s="239" t="n"/>
      <c r="AS24" s="202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295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295" t="n"/>
      <c r="BQ24" s="61" t="n"/>
      <c r="BR24" s="61" t="n"/>
      <c r="BS24" s="61" t="n"/>
      <c r="BT24" s="61" t="n"/>
      <c r="BU24" s="61" t="n"/>
      <c r="BV24" s="61" t="n"/>
      <c r="BW24" s="61" t="n"/>
      <c r="BX24" s="61" t="n"/>
      <c r="BY24" s="61" t="n"/>
      <c r="BZ24" s="61" t="n"/>
      <c r="CA24" s="61" t="n"/>
      <c r="CB24" s="295" t="n"/>
      <c r="CC24" s="61" t="n"/>
      <c r="CD24" s="61" t="n"/>
      <c r="CE24" s="61" t="n"/>
      <c r="CF24" s="61" t="n"/>
      <c r="CG24" s="61" t="n"/>
      <c r="CH24" s="61" t="n"/>
      <c r="CI24" s="61" t="n"/>
      <c r="CJ24" s="61" t="n"/>
      <c r="CK24" s="61" t="n"/>
      <c r="CL24" s="61" t="n"/>
      <c r="CM24" s="61" t="n"/>
      <c r="CN24" s="295" t="n"/>
      <c r="CO24" s="61" t="n"/>
      <c r="CP24" s="61" t="n"/>
      <c r="CQ24" s="61" t="n"/>
      <c r="CR24" s="61" t="n"/>
      <c r="CS24" s="61" t="n"/>
      <c r="CT24" s="61" t="n"/>
      <c r="CU24" s="61" t="n"/>
      <c r="CV24" s="61" t="n"/>
      <c r="CW24" s="61" t="n"/>
      <c r="CX24" s="61" t="n"/>
      <c r="CY24" s="61" t="n"/>
      <c r="CZ24" s="295" t="n"/>
      <c r="DA24" s="61" t="n"/>
      <c r="DB24" s="61" t="n"/>
      <c r="DC24" s="61" t="n"/>
      <c r="DD24" s="61" t="n"/>
      <c r="DE24" s="61" t="n"/>
      <c r="DF24" s="61" t="n"/>
      <c r="DG24" s="61" t="n"/>
      <c r="DH24" s="61" t="n"/>
      <c r="DI24" s="61" t="n"/>
      <c r="DJ24" s="61" t="n"/>
      <c r="DK24" s="61" t="n"/>
      <c r="DL24" s="61" t="n"/>
      <c r="DM24" s="61" t="n"/>
      <c r="DN24" s="61" t="n"/>
      <c r="DO24" s="61" t="n"/>
      <c r="DP24" s="61" t="n"/>
      <c r="DQ24" s="61" t="n"/>
      <c r="DR24" s="61" t="n"/>
      <c r="DS24" s="61" t="n"/>
      <c r="DT24" s="61" t="n"/>
      <c r="DU24" s="61" t="n"/>
      <c r="DV24" s="61" t="n"/>
      <c r="DW24" s="61" t="n"/>
      <c r="DX24" s="61" t="n"/>
      <c r="DY24" s="61" t="n"/>
      <c r="DZ24" s="61" t="n"/>
      <c r="EA24" s="61" t="n"/>
      <c r="EB24" s="61" t="n"/>
      <c r="EC24" s="61" t="n"/>
      <c r="ED24" s="61" t="n"/>
      <c r="EE24" s="61" t="n"/>
      <c r="EF24" s="61" t="n"/>
      <c r="EG24" s="61" t="n"/>
      <c r="EH24" s="61" t="n"/>
      <c r="EI24" s="61" t="n"/>
      <c r="EJ24" s="61" t="n"/>
      <c r="EK24" s="61" t="n"/>
      <c r="EL24" s="61" t="n"/>
      <c r="EM24" s="61" t="n"/>
      <c r="EN24" s="61" t="n"/>
      <c r="EO24" s="61" t="n"/>
      <c r="EP24" s="61" t="n"/>
      <c r="EQ24" s="61" t="n"/>
      <c r="ER24" s="61" t="n"/>
      <c r="ES24" s="61" t="n"/>
      <c r="ET24" s="61" t="n"/>
      <c r="EU24" s="61" t="n"/>
      <c r="EV24" s="61" t="n"/>
      <c r="EW24" s="61" t="n"/>
      <c r="EX24" s="61" t="n"/>
      <c r="EY24" s="61" t="n"/>
      <c r="EZ24" s="61" t="n"/>
      <c r="FA24" s="61" t="n"/>
      <c r="FB24" s="61" t="n"/>
      <c r="FC24" s="61" t="n"/>
      <c r="FD24" s="61" t="n"/>
      <c r="FE24" s="61" t="n"/>
      <c r="FF24" s="61" t="n"/>
      <c r="FG24" s="61" t="n"/>
      <c r="FH24" s="61" t="n"/>
      <c r="FI24" s="61" t="n"/>
      <c r="FJ24" s="61" t="n"/>
      <c r="FK24" s="61" t="n"/>
      <c r="FL24" s="61" t="n"/>
      <c r="FM24" s="61" t="n"/>
      <c r="FN24" s="61" t="n"/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  <c r="GA24" s="61" t="n"/>
      <c r="GB24" s="61" t="n"/>
      <c r="GC24" s="61" t="n"/>
      <c r="GD24" s="61" t="n"/>
      <c r="GE24" s="61" t="n"/>
      <c r="GF24" s="61" t="n"/>
      <c r="GG24" s="61" t="n"/>
      <c r="GH24" s="61" t="n"/>
      <c r="GI24" s="61" t="n"/>
      <c r="GJ24" s="61" t="n"/>
      <c r="GK24" s="61" t="n"/>
      <c r="GL24" s="61" t="n"/>
      <c r="GM24" s="61" t="n"/>
      <c r="GN24" s="61" t="n"/>
      <c r="GO24" s="61" t="n"/>
      <c r="GP24" s="61" t="n"/>
      <c r="GQ24" s="61" t="n"/>
      <c r="GR24" s="61" t="n"/>
      <c r="GS24" s="61" t="n"/>
      <c r="GT24" s="61" t="n"/>
      <c r="GU24" s="61" t="n"/>
      <c r="GV24" s="61" t="n"/>
      <c r="GW24" s="61" t="n"/>
      <c r="GX24" s="61" t="n"/>
      <c r="GY24" s="61" t="n"/>
      <c r="GZ24" s="61" t="n"/>
      <c r="HA24" s="61" t="n"/>
      <c r="HB24" s="61" t="n"/>
      <c r="HC24" s="61" t="n"/>
      <c r="HD24" s="61" t="n"/>
      <c r="HE24" s="61" t="n"/>
      <c r="HF24" s="61" t="n"/>
      <c r="HG24" s="61" t="n"/>
      <c r="HH24" s="61" t="n"/>
      <c r="HI24" s="61" t="n"/>
      <c r="HJ24" s="61" t="n"/>
      <c r="HK24" s="61" t="n"/>
      <c r="HL24" s="61" t="n"/>
      <c r="HM24" s="61" t="n"/>
      <c r="HN24" s="61" t="n"/>
      <c r="HO24" s="61" t="n"/>
      <c r="HP24" s="61" t="n"/>
      <c r="HQ24" s="61" t="n"/>
      <c r="HR24" s="61" t="n"/>
      <c r="HS24" s="61" t="n"/>
      <c r="HT24" s="61" t="n"/>
      <c r="HU24" s="61" t="n"/>
      <c r="JF24" s="61">
        <f>AP24</f>
        <v/>
      </c>
      <c r="JG24" s="61">
        <f>SUM(Z24:AK24)</f>
        <v/>
      </c>
      <c r="JH24" s="61">
        <f>SUM(AL24:AP24)</f>
        <v/>
      </c>
      <c r="JI24" s="61">
        <f>SUM(C24:AP24)</f>
        <v/>
      </c>
      <c r="JJ24" s="446" t="n"/>
      <c r="JM24" s="61" t="n"/>
      <c r="KG24" s="135">
        <f>B24</f>
        <v/>
      </c>
      <c r="KH24" s="239">
        <f>AR24</f>
        <v/>
      </c>
    </row>
    <row r="25" ht="16.2" customHeight="1">
      <c r="A25" s="7" t="inlineStr">
        <is>
          <t>Comissões S/ Venda (Equipe Interna)</t>
        </is>
      </c>
      <c r="B25" s="136">
        <f>SUM(C25:AP25)</f>
        <v/>
      </c>
      <c r="C25" s="85" t="n"/>
      <c r="D25" s="87" t="n"/>
      <c r="E25" s="85" t="n"/>
      <c r="F25" s="85" t="n"/>
      <c r="G25" s="85" t="n"/>
      <c r="H25" s="85" t="n"/>
      <c r="I25" s="86" t="n"/>
      <c r="J25" s="218" t="n"/>
      <c r="K25" s="114" t="n"/>
      <c r="L25" s="122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>
        <f>-128438.23-228.84</f>
        <v/>
      </c>
      <c r="AD25" s="219" t="n">
        <v>-86736.99000000001</v>
      </c>
      <c r="AE25" s="219" t="n">
        <v>-82255.25</v>
      </c>
      <c r="AF25" s="219" t="n">
        <v>-80040.85000000001</v>
      </c>
      <c r="AG25" s="219">
        <f>-82521.74-1070.23</f>
        <v/>
      </c>
      <c r="AH25" s="219">
        <f>-114789.41-1258.17+78352.42</f>
        <v/>
      </c>
      <c r="AI25" s="219">
        <f>-37646.35-993.8</f>
        <v/>
      </c>
      <c r="AJ25" s="219">
        <f>-62577.85-603.53+41382.42</f>
        <v/>
      </c>
      <c r="AK25" s="219">
        <f>-37057.07-2155.37</f>
        <v/>
      </c>
      <c r="AL25" s="219" t="n">
        <v>-87950.28</v>
      </c>
      <c r="AM25" s="219">
        <f>-80793.74-4080.62</f>
        <v/>
      </c>
      <c r="AN25" s="219" t="n">
        <v>-59242.37</v>
      </c>
      <c r="AO25" s="219">
        <f>-85591.51-2480.85</f>
        <v/>
      </c>
      <c r="AP25" s="219">
        <f>-40733.2-1610.72</f>
        <v/>
      </c>
      <c r="AQ25" s="53" t="n"/>
      <c r="AR25" s="345">
        <f>SUM(AT25:HU25)</f>
        <v/>
      </c>
      <c r="AS25" s="53" t="n"/>
      <c r="AT25" s="87" t="n">
        <v>-28685.08</v>
      </c>
      <c r="AU25" s="87" t="n">
        <v>-28685.08</v>
      </c>
      <c r="AV25" s="87" t="n">
        <v>-28685.08</v>
      </c>
      <c r="AW25" s="87" t="n">
        <v>-28685.08</v>
      </c>
      <c r="AX25" s="87" t="n">
        <v>-28685.08</v>
      </c>
      <c r="AY25" s="87" t="n">
        <v>-28685.08</v>
      </c>
      <c r="AZ25" s="87" t="n">
        <v>-28685.08</v>
      </c>
      <c r="BA25" s="87" t="n">
        <v>-28685.08</v>
      </c>
      <c r="BB25" s="87" t="n">
        <v>-28685.08</v>
      </c>
      <c r="BC25" s="87" t="n">
        <v>-28685.08</v>
      </c>
      <c r="BD25" s="87" t="n">
        <v>-28685.08</v>
      </c>
      <c r="BE25" s="87" t="n">
        <v>-28685.08</v>
      </c>
      <c r="BF25" s="87" t="n">
        <v>-28685.08</v>
      </c>
      <c r="BG25" s="87" t="n">
        <v>-28685.08</v>
      </c>
      <c r="BH25" s="87" t="n">
        <v>-28685.08</v>
      </c>
      <c r="BI25" s="87" t="n">
        <v>-28685.08</v>
      </c>
      <c r="BJ25" s="87" t="n">
        <v>-28685.08</v>
      </c>
      <c r="BK25" s="87" t="n">
        <v>-28685.08</v>
      </c>
      <c r="BL25" s="87" t="n">
        <v>-28685.08</v>
      </c>
      <c r="BM25" s="87" t="n">
        <v>-28685.08</v>
      </c>
      <c r="BN25" s="87" t="n">
        <v>-28685.08</v>
      </c>
      <c r="BO25" s="87" t="n">
        <v>-28685.08</v>
      </c>
      <c r="BP25" s="87" t="n">
        <v>-28685.08</v>
      </c>
      <c r="BQ25" s="87" t="n">
        <v>-28685.08</v>
      </c>
      <c r="BR25" s="87" t="n">
        <v>-28685.08</v>
      </c>
      <c r="BS25" s="87" t="n">
        <v>-28685.08</v>
      </c>
      <c r="BT25" s="87" t="n">
        <v>-28685.08</v>
      </c>
      <c r="BU25" s="87" t="n">
        <v>-28685.08</v>
      </c>
      <c r="BV25" s="87" t="n">
        <v>-28685.08</v>
      </c>
      <c r="BW25" s="87" t="n">
        <v>-28685.08</v>
      </c>
      <c r="BX25" s="87" t="n">
        <v>-28685.08</v>
      </c>
      <c r="BY25" s="87" t="n">
        <v>-28685.08</v>
      </c>
      <c r="BZ25" s="87" t="n">
        <v>-28685.08</v>
      </c>
      <c r="CA25" s="87" t="n">
        <v>-15000</v>
      </c>
      <c r="CB25" s="87" t="n">
        <v>-15000</v>
      </c>
      <c r="CC25" s="87" t="n">
        <v>-15000</v>
      </c>
      <c r="CD25" s="87" t="n">
        <v>-15000</v>
      </c>
      <c r="CE25" s="87" t="n">
        <v>-15000</v>
      </c>
      <c r="CF25" s="87" t="n">
        <v>-15000</v>
      </c>
      <c r="CG25" s="87" t="n">
        <v>-15000</v>
      </c>
      <c r="CH25" s="87" t="n">
        <v>-15000</v>
      </c>
      <c r="CI25" s="87" t="n">
        <v>-15000</v>
      </c>
      <c r="CJ25" s="87" t="n">
        <v>-15000</v>
      </c>
      <c r="CK25" s="87" t="n">
        <v>-15000</v>
      </c>
      <c r="CL25" s="87" t="n">
        <v>-15000</v>
      </c>
      <c r="CM25" s="87" t="n">
        <v>-15000</v>
      </c>
      <c r="CN25" s="87" t="n">
        <v>-15000</v>
      </c>
      <c r="CO25" s="87" t="n">
        <v>-15000</v>
      </c>
      <c r="CP25" s="87" t="n">
        <v>-15000</v>
      </c>
      <c r="CQ25" s="87" t="n">
        <v>-15000</v>
      </c>
      <c r="CR25" s="87" t="n">
        <v>-15000</v>
      </c>
      <c r="CS25" s="87" t="n">
        <v>-15000</v>
      </c>
      <c r="CT25" s="87" t="n">
        <v>-15000</v>
      </c>
      <c r="CU25" s="87" t="n">
        <v>-15000</v>
      </c>
      <c r="CV25" s="87" t="n">
        <v>-15000</v>
      </c>
      <c r="CW25" s="87" t="n">
        <v>-15000</v>
      </c>
      <c r="CX25" s="87" t="n">
        <v>-15000</v>
      </c>
      <c r="CY25" s="87" t="n">
        <v>-15000</v>
      </c>
      <c r="CZ25" s="87" t="n">
        <v>-15000</v>
      </c>
      <c r="DA25" s="87" t="n">
        <v>-15000</v>
      </c>
      <c r="DB25" s="87" t="n">
        <v>-15000</v>
      </c>
      <c r="DC25" s="87" t="n">
        <v>-15000</v>
      </c>
      <c r="DD25" s="87" t="n">
        <v>-15000</v>
      </c>
      <c r="DE25" s="87" t="n">
        <v>-15000</v>
      </c>
      <c r="DF25" s="87" t="n">
        <v>-15000</v>
      </c>
      <c r="DG25" s="87" t="n">
        <v>-15000</v>
      </c>
      <c r="DH25" s="87" t="n">
        <v>-15000</v>
      </c>
      <c r="DI25" s="87" t="n">
        <v>-15000</v>
      </c>
      <c r="DJ25" s="87" t="n">
        <v>-15000</v>
      </c>
      <c r="DK25" s="87" t="n">
        <v>-15000</v>
      </c>
      <c r="DL25" s="87" t="n">
        <v>-15000</v>
      </c>
      <c r="DM25" s="87" t="n">
        <v>-15000</v>
      </c>
      <c r="DN25" s="87" t="n">
        <v>-15000</v>
      </c>
      <c r="DO25" s="87" t="n">
        <v>-15000</v>
      </c>
      <c r="DP25" s="87" t="n">
        <v>-15000</v>
      </c>
      <c r="DQ25" s="87" t="n">
        <v>-15000</v>
      </c>
      <c r="DR25" s="87" t="n"/>
      <c r="DS25" s="86" t="n">
        <v>0</v>
      </c>
      <c r="DT25" s="86" t="n">
        <v>0</v>
      </c>
      <c r="DU25" s="86" t="n">
        <v>0</v>
      </c>
      <c r="DV25" s="86" t="n">
        <v>0</v>
      </c>
      <c r="DW25" s="86" t="n">
        <v>0</v>
      </c>
      <c r="DX25" s="86" t="n">
        <v>0</v>
      </c>
      <c r="DY25" s="86" t="n">
        <v>0</v>
      </c>
      <c r="DZ25" s="86" t="n">
        <v>0</v>
      </c>
      <c r="EA25" s="86" t="n">
        <v>0</v>
      </c>
      <c r="EB25" s="86" t="n">
        <v>0</v>
      </c>
      <c r="EC25" s="86" t="n">
        <v>0</v>
      </c>
      <c r="ED25" s="86" t="n">
        <v>0</v>
      </c>
      <c r="EE25" s="86" t="n">
        <v>0</v>
      </c>
      <c r="EF25" s="86" t="n">
        <v>0</v>
      </c>
      <c r="EG25" s="86" t="n">
        <v>0</v>
      </c>
      <c r="EH25" s="86" t="n">
        <v>0</v>
      </c>
      <c r="EI25" s="86" t="n">
        <v>0</v>
      </c>
      <c r="EJ25" s="86" t="n">
        <v>0</v>
      </c>
      <c r="EK25" s="86" t="n">
        <v>0</v>
      </c>
      <c r="EL25" s="86" t="n">
        <v>0</v>
      </c>
      <c r="EM25" s="86" t="n">
        <v>0</v>
      </c>
      <c r="EN25" s="86" t="n">
        <v>0</v>
      </c>
      <c r="EO25" s="86" t="n">
        <v>0</v>
      </c>
      <c r="EP25" s="86" t="n">
        <v>0</v>
      </c>
      <c r="EQ25" s="86" t="n">
        <v>0</v>
      </c>
      <c r="ER25" s="86" t="n">
        <v>0</v>
      </c>
      <c r="ES25" s="86" t="n">
        <v>0</v>
      </c>
      <c r="ET25" s="86" t="n">
        <v>0</v>
      </c>
      <c r="EU25" s="86" t="n">
        <v>0</v>
      </c>
      <c r="EV25" s="86" t="n">
        <v>0</v>
      </c>
      <c r="EW25" s="86" t="n">
        <v>0</v>
      </c>
      <c r="EX25" s="86" t="n">
        <v>0</v>
      </c>
      <c r="EY25" s="86" t="n">
        <v>0</v>
      </c>
      <c r="EZ25" s="86" t="n">
        <v>0</v>
      </c>
      <c r="FA25" s="86" t="n">
        <v>0</v>
      </c>
      <c r="FB25" s="86" t="n">
        <v>0</v>
      </c>
      <c r="FC25" s="86" t="n">
        <v>0</v>
      </c>
      <c r="FD25" s="86" t="n">
        <v>0</v>
      </c>
      <c r="FE25" s="86" t="n">
        <v>0</v>
      </c>
      <c r="FF25" s="86" t="n">
        <v>0</v>
      </c>
      <c r="FG25" s="86" t="n">
        <v>0</v>
      </c>
      <c r="FH25" s="86" t="n">
        <v>0</v>
      </c>
      <c r="FI25" s="86" t="n">
        <v>0</v>
      </c>
      <c r="FJ25" s="86" t="n">
        <v>0</v>
      </c>
      <c r="FK25" s="86" t="n">
        <v>0</v>
      </c>
      <c r="FL25" s="86" t="n">
        <v>0</v>
      </c>
      <c r="FM25" s="86" t="n">
        <v>0</v>
      </c>
      <c r="FN25" s="86" t="n">
        <v>0</v>
      </c>
      <c r="FO25" s="86" t="n">
        <v>0</v>
      </c>
      <c r="FP25" s="86" t="n">
        <v>0</v>
      </c>
      <c r="FQ25" s="86" t="n">
        <v>0</v>
      </c>
      <c r="FR25" s="86" t="n">
        <v>0</v>
      </c>
      <c r="FS25" s="86" t="n">
        <v>0</v>
      </c>
      <c r="FT25" s="86" t="n">
        <v>0</v>
      </c>
      <c r="FU25" s="86" t="n">
        <v>0</v>
      </c>
      <c r="FV25" s="86" t="n">
        <v>0</v>
      </c>
      <c r="FW25" s="86" t="n">
        <v>0</v>
      </c>
      <c r="FX25" s="86" t="n">
        <v>0</v>
      </c>
      <c r="FY25" s="86" t="n">
        <v>0</v>
      </c>
      <c r="FZ25" s="86" t="n">
        <v>0</v>
      </c>
      <c r="GA25" s="86" t="n">
        <v>0</v>
      </c>
      <c r="GB25" s="86" t="n">
        <v>0</v>
      </c>
      <c r="GC25" s="86" t="n">
        <v>0</v>
      </c>
      <c r="GD25" s="86" t="n">
        <v>0</v>
      </c>
      <c r="GE25" s="86" t="n">
        <v>0</v>
      </c>
      <c r="GF25" s="86" t="n">
        <v>0</v>
      </c>
      <c r="GG25" s="86" t="n">
        <v>0</v>
      </c>
      <c r="GH25" s="86" t="n">
        <v>0</v>
      </c>
      <c r="GI25" s="86" t="n">
        <v>0</v>
      </c>
      <c r="GJ25" s="86" t="n">
        <v>0</v>
      </c>
      <c r="GK25" s="86" t="n">
        <v>0</v>
      </c>
      <c r="GL25" s="86" t="n">
        <v>0</v>
      </c>
      <c r="GM25" s="86" t="n">
        <v>0</v>
      </c>
      <c r="GN25" s="86" t="n">
        <v>0</v>
      </c>
      <c r="GO25" s="86" t="n">
        <v>0</v>
      </c>
      <c r="GP25" s="86" t="n">
        <v>0</v>
      </c>
      <c r="GQ25" s="86" t="n">
        <v>0</v>
      </c>
      <c r="GR25" s="86" t="n">
        <v>0</v>
      </c>
      <c r="GS25" s="86" t="n">
        <v>0</v>
      </c>
      <c r="GT25" s="86" t="n">
        <v>0</v>
      </c>
      <c r="GU25" s="86" t="n">
        <v>0</v>
      </c>
      <c r="GV25" s="86" t="n">
        <v>0</v>
      </c>
      <c r="GW25" s="86" t="n">
        <v>0</v>
      </c>
      <c r="GX25" s="86" t="n">
        <v>0</v>
      </c>
      <c r="GY25" s="86" t="n">
        <v>0</v>
      </c>
      <c r="GZ25" s="86" t="n">
        <v>0</v>
      </c>
      <c r="HA25" s="86" t="n">
        <v>0</v>
      </c>
      <c r="HB25" s="86" t="n">
        <v>0</v>
      </c>
      <c r="HC25" s="86" t="n">
        <v>0</v>
      </c>
      <c r="HD25" s="86" t="n">
        <v>0</v>
      </c>
      <c r="HE25" s="86" t="n">
        <v>0</v>
      </c>
      <c r="HF25" s="86" t="n">
        <v>0</v>
      </c>
      <c r="HG25" s="86" t="n">
        <v>0</v>
      </c>
      <c r="HH25" s="86" t="n">
        <v>0</v>
      </c>
      <c r="HI25" s="86" t="n">
        <v>0</v>
      </c>
      <c r="HJ25" s="86" t="n">
        <v>0</v>
      </c>
      <c r="HK25" s="86" t="n">
        <v>0</v>
      </c>
      <c r="HL25" s="86" t="n">
        <v>0</v>
      </c>
      <c r="HM25" s="86" t="n">
        <v>0</v>
      </c>
      <c r="HN25" s="86" t="n">
        <v>0</v>
      </c>
      <c r="HO25" s="86" t="n">
        <v>0</v>
      </c>
      <c r="HP25" s="86" t="n">
        <v>0</v>
      </c>
      <c r="HQ25" s="86" t="n">
        <v>0</v>
      </c>
      <c r="HR25" s="86" t="n">
        <v>0</v>
      </c>
      <c r="HS25" s="86" t="n">
        <v>0</v>
      </c>
      <c r="HT25" s="86" t="n">
        <v>0</v>
      </c>
      <c r="HU25" s="86" t="n">
        <v>0</v>
      </c>
      <c r="JF25" s="87">
        <f>AP25</f>
        <v/>
      </c>
      <c r="JG25" s="87">
        <f>SUM(Z25:AK25)</f>
        <v/>
      </c>
      <c r="JH25" s="87">
        <f>SUM(AL25:AP25)</f>
        <v/>
      </c>
      <c r="JI25" s="87">
        <f>SUM(C25:AP25)</f>
        <v/>
      </c>
      <c r="JJ25" s="446" t="n"/>
      <c r="JM25" s="87" t="n">
        <v>-28685.08</v>
      </c>
      <c r="JS25" s="446">
        <f>+JS9+JS12</f>
        <v/>
      </c>
      <c r="JT25" s="446" t="n"/>
      <c r="JU25" s="446">
        <f>+JU9+JU12</f>
        <v/>
      </c>
      <c r="JV25" s="446">
        <f>+JV9+JV12</f>
        <v/>
      </c>
      <c r="JW25" s="446">
        <f>+JW9+JW12</f>
        <v/>
      </c>
      <c r="JX25" s="446">
        <f>+JX9+JX12</f>
        <v/>
      </c>
      <c r="JY25" s="446">
        <f>+JY9+JY12</f>
        <v/>
      </c>
      <c r="JZ25" s="446">
        <f>+JZ9+JZ12</f>
        <v/>
      </c>
      <c r="KG25" s="136">
        <f>B25</f>
        <v/>
      </c>
      <c r="KH25" s="345">
        <f>AR25</f>
        <v/>
      </c>
    </row>
    <row r="26" ht="16.2" customHeight="1">
      <c r="A26" s="7" t="inlineStr">
        <is>
          <t>Stand de Venda - Manutenção</t>
        </is>
      </c>
      <c r="B26" s="136">
        <f>SUM(C26:AP26)</f>
        <v/>
      </c>
      <c r="C26" s="85" t="n"/>
      <c r="D26" s="87" t="n"/>
      <c r="E26" s="85" t="n"/>
      <c r="F26" s="85" t="n"/>
      <c r="G26" s="85" t="n"/>
      <c r="H26" s="85" t="n"/>
      <c r="I26" s="86" t="n"/>
      <c r="J26" s="218" t="n"/>
      <c r="K26" s="114" t="n"/>
      <c r="L26" s="122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>
        <v>-34442.6</v>
      </c>
      <c r="X26" s="219" t="n">
        <v>-422668.9</v>
      </c>
      <c r="Y26" s="219" t="n">
        <v>-260275.15</v>
      </c>
      <c r="Z26" s="219" t="n">
        <v>-364851.06</v>
      </c>
      <c r="AA26" s="219" t="n">
        <v>-241871.81</v>
      </c>
      <c r="AB26" s="219" t="n">
        <v>-456303.01</v>
      </c>
      <c r="AC26" s="219">
        <f>-66426.55-83395.55-107752.3</f>
        <v/>
      </c>
      <c r="AD26" s="219" t="n">
        <v>-81306.34000000001</v>
      </c>
      <c r="AE26" s="219" t="n">
        <v>-75796.13</v>
      </c>
      <c r="AF26" s="219" t="n">
        <v>-59026.11</v>
      </c>
      <c r="AG26" s="219" t="n">
        <v>-44076.02</v>
      </c>
      <c r="AH26" s="219" t="n">
        <v>-65441.81</v>
      </c>
      <c r="AI26" s="219" t="n">
        <v>-74949.34</v>
      </c>
      <c r="AJ26" s="219" t="n">
        <v>-74150.16</v>
      </c>
      <c r="AK26" s="219">
        <f>-81019.72+17900</f>
        <v/>
      </c>
      <c r="AL26" s="219" t="n">
        <v>-79367.71000000001</v>
      </c>
      <c r="AM26" s="219" t="n">
        <v>-76750.58</v>
      </c>
      <c r="AN26" s="219" t="n">
        <v>-65331.12</v>
      </c>
      <c r="AO26" s="219" t="n">
        <v>-98723.83</v>
      </c>
      <c r="AP26" s="219" t="n">
        <v>-70580.67</v>
      </c>
      <c r="AQ26" s="53" t="n"/>
      <c r="AR26" s="345">
        <f>SUM(AT26:HU26)</f>
        <v/>
      </c>
      <c r="AS26" s="53" t="n"/>
      <c r="AT26" s="87" t="n">
        <v>-55000.0000044</v>
      </c>
      <c r="AU26" s="87" t="n">
        <v>-55000.0000044</v>
      </c>
      <c r="AV26" s="87" t="n">
        <v>-55000.0000044</v>
      </c>
      <c r="AW26" s="87" t="n">
        <v>-55000.0000044</v>
      </c>
      <c r="AX26" s="87" t="n">
        <v>-55000.0000044</v>
      </c>
      <c r="AY26" s="87" t="n">
        <v>-55000.0000044</v>
      </c>
      <c r="AZ26" s="87" t="n">
        <v>-55000.0000044</v>
      </c>
      <c r="BA26" s="87" t="n">
        <v>-55000.0000044</v>
      </c>
      <c r="BB26" s="87" t="n">
        <v>-55000.0000044</v>
      </c>
      <c r="BC26" s="87" t="n">
        <v>-55000.0000044</v>
      </c>
      <c r="BD26" s="87" t="n">
        <v>-55000.0000044</v>
      </c>
      <c r="BE26" s="87" t="n">
        <v>-55000.0000044</v>
      </c>
      <c r="BF26" s="87" t="n">
        <v>-55000.0000044</v>
      </c>
      <c r="BG26" s="87" t="n">
        <v>-55000.0000044</v>
      </c>
      <c r="BH26" s="87" t="n">
        <v>-55000.0000044</v>
      </c>
      <c r="BI26" s="87" t="n">
        <v>-55000.0000044</v>
      </c>
      <c r="BJ26" s="87" t="n">
        <v>-55000.0000044</v>
      </c>
      <c r="BK26" s="87" t="n">
        <v>-55000.0000044</v>
      </c>
      <c r="BL26" s="87" t="n">
        <v>-55000.0000044</v>
      </c>
      <c r="BM26" s="87" t="n">
        <v>-55000.0000044</v>
      </c>
      <c r="BN26" s="87" t="n">
        <v>-55000.0000044</v>
      </c>
      <c r="BO26" s="87" t="n">
        <v>-54999.999846</v>
      </c>
      <c r="BP26" s="87" t="n">
        <v>-54999.999846</v>
      </c>
      <c r="BQ26" s="87" t="n">
        <v>0</v>
      </c>
      <c r="BR26" s="87" t="n">
        <v>0</v>
      </c>
      <c r="BS26" s="87" t="n">
        <v>0</v>
      </c>
      <c r="BT26" s="87" t="n">
        <v>0</v>
      </c>
      <c r="BU26" s="87" t="n">
        <v>0</v>
      </c>
      <c r="BV26" s="87" t="n">
        <v>0</v>
      </c>
      <c r="BW26" s="87" t="n">
        <v>0</v>
      </c>
      <c r="BX26" s="87" t="n">
        <v>0</v>
      </c>
      <c r="BY26" s="87" t="n">
        <v>0</v>
      </c>
      <c r="BZ26" s="87" t="n">
        <v>0</v>
      </c>
      <c r="CA26" s="87" t="n">
        <v>0</v>
      </c>
      <c r="CB26" s="87" t="n">
        <v>0</v>
      </c>
      <c r="CC26" s="87" t="n">
        <v>0</v>
      </c>
      <c r="CD26" s="87" t="n">
        <v>0</v>
      </c>
      <c r="CE26" s="87" t="n">
        <v>0</v>
      </c>
      <c r="CF26" s="87" t="n">
        <v>0</v>
      </c>
      <c r="CG26" s="87" t="n">
        <v>0</v>
      </c>
      <c r="CH26" s="87" t="n">
        <v>0</v>
      </c>
      <c r="CI26" s="87" t="n">
        <v>0</v>
      </c>
      <c r="CJ26" s="87" t="n">
        <v>0</v>
      </c>
      <c r="CK26" s="87" t="n">
        <v>0</v>
      </c>
      <c r="CL26" s="87" t="n">
        <v>0</v>
      </c>
      <c r="CM26" s="87" t="n">
        <v>0</v>
      </c>
      <c r="CN26" s="87" t="n">
        <v>0</v>
      </c>
      <c r="CO26" s="87" t="n">
        <v>0</v>
      </c>
      <c r="CP26" s="87" t="n">
        <v>0</v>
      </c>
      <c r="CQ26" s="87" t="n">
        <v>0</v>
      </c>
      <c r="CR26" s="87" t="n">
        <v>0</v>
      </c>
      <c r="CS26" s="87" t="n">
        <v>0</v>
      </c>
      <c r="CT26" s="87" t="n">
        <v>0</v>
      </c>
      <c r="CU26" s="87" t="n">
        <v>0</v>
      </c>
      <c r="CV26" s="87" t="n">
        <v>0</v>
      </c>
      <c r="CW26" s="87" t="n">
        <v>0</v>
      </c>
      <c r="CX26" s="87" t="n">
        <v>0</v>
      </c>
      <c r="CY26" s="87" t="n">
        <v>0</v>
      </c>
      <c r="CZ26" s="87" t="n">
        <v>0</v>
      </c>
      <c r="DA26" s="87" t="n">
        <v>0</v>
      </c>
      <c r="DB26" s="87" t="n">
        <v>0</v>
      </c>
      <c r="DC26" s="87" t="n">
        <v>0</v>
      </c>
      <c r="DD26" s="87" t="n">
        <v>0</v>
      </c>
      <c r="DE26" s="87" t="n">
        <v>0</v>
      </c>
      <c r="DF26" s="87" t="n">
        <v>0</v>
      </c>
      <c r="DG26" s="87" t="n">
        <v>0</v>
      </c>
      <c r="DH26" s="87" t="n">
        <v>0</v>
      </c>
      <c r="DI26" s="87" t="n">
        <v>0</v>
      </c>
      <c r="DJ26" s="87" t="n">
        <v>0</v>
      </c>
      <c r="DK26" s="87" t="n">
        <v>0</v>
      </c>
      <c r="DL26" s="87" t="n">
        <v>0</v>
      </c>
      <c r="DM26" s="87" t="n">
        <v>0</v>
      </c>
      <c r="DN26" s="87" t="n">
        <v>0</v>
      </c>
      <c r="DO26" s="87" t="n">
        <v>0</v>
      </c>
      <c r="DP26" s="87" t="n">
        <v>0</v>
      </c>
      <c r="DQ26" s="87" t="n">
        <v>0</v>
      </c>
      <c r="DR26" s="87" t="n">
        <v>0</v>
      </c>
      <c r="DS26" s="87" t="n">
        <v>0</v>
      </c>
      <c r="DT26" s="87" t="n">
        <v>0</v>
      </c>
      <c r="DU26" s="87" t="n">
        <v>0</v>
      </c>
      <c r="DV26" s="87" t="n">
        <v>0</v>
      </c>
      <c r="DW26" s="87" t="n">
        <v>0</v>
      </c>
      <c r="DX26" s="87" t="n">
        <v>0</v>
      </c>
      <c r="DY26" s="87" t="n">
        <v>0</v>
      </c>
      <c r="DZ26" s="87" t="n">
        <v>0</v>
      </c>
      <c r="EA26" s="87" t="n">
        <v>0</v>
      </c>
      <c r="EB26" s="87" t="n">
        <v>0</v>
      </c>
      <c r="EC26" s="87" t="n">
        <v>0</v>
      </c>
      <c r="ED26" s="87" t="n">
        <v>0</v>
      </c>
      <c r="EE26" s="87" t="n">
        <v>0</v>
      </c>
      <c r="EF26" s="87" t="n">
        <v>0</v>
      </c>
      <c r="EG26" s="87" t="n">
        <v>0</v>
      </c>
      <c r="EH26" s="87" t="n">
        <v>0</v>
      </c>
      <c r="EI26" s="87" t="n">
        <v>0</v>
      </c>
      <c r="EJ26" s="87" t="n">
        <v>0</v>
      </c>
      <c r="EK26" s="87" t="n">
        <v>0</v>
      </c>
      <c r="EL26" s="87" t="n">
        <v>0</v>
      </c>
      <c r="EM26" s="87" t="n">
        <v>0</v>
      </c>
      <c r="EN26" s="87" t="n">
        <v>0</v>
      </c>
      <c r="EO26" s="87" t="n">
        <v>0</v>
      </c>
      <c r="EP26" s="87" t="n">
        <v>0</v>
      </c>
      <c r="EQ26" s="87" t="n">
        <v>0</v>
      </c>
      <c r="ER26" s="87" t="n">
        <v>0</v>
      </c>
      <c r="ES26" s="87" t="n">
        <v>0</v>
      </c>
      <c r="ET26" s="87" t="n">
        <v>0</v>
      </c>
      <c r="EU26" s="87" t="n">
        <v>0</v>
      </c>
      <c r="EV26" s="87" t="n">
        <v>0</v>
      </c>
      <c r="EW26" s="87" t="n">
        <v>0</v>
      </c>
      <c r="EX26" s="87" t="n">
        <v>0</v>
      </c>
      <c r="EY26" s="87" t="n">
        <v>0</v>
      </c>
      <c r="EZ26" s="87" t="n">
        <v>0</v>
      </c>
      <c r="FA26" s="87" t="n">
        <v>0</v>
      </c>
      <c r="FB26" s="87" t="n">
        <v>0</v>
      </c>
      <c r="FC26" s="87" t="n">
        <v>0</v>
      </c>
      <c r="FD26" s="87" t="n">
        <v>0</v>
      </c>
      <c r="FE26" s="87" t="n">
        <v>0</v>
      </c>
      <c r="FF26" s="87" t="n">
        <v>0</v>
      </c>
      <c r="FG26" s="87" t="n">
        <v>0</v>
      </c>
      <c r="FH26" s="87" t="n">
        <v>0</v>
      </c>
      <c r="FI26" s="87" t="n">
        <v>0</v>
      </c>
      <c r="FJ26" s="87" t="n">
        <v>0</v>
      </c>
      <c r="FK26" s="87" t="n">
        <v>0</v>
      </c>
      <c r="FL26" s="87" t="n">
        <v>0</v>
      </c>
      <c r="FM26" s="87" t="n">
        <v>0</v>
      </c>
      <c r="FN26" s="87" t="n">
        <v>0</v>
      </c>
      <c r="FO26" s="87" t="n">
        <v>0</v>
      </c>
      <c r="FP26" s="87" t="n">
        <v>0</v>
      </c>
      <c r="FQ26" s="87" t="n">
        <v>0</v>
      </c>
      <c r="FR26" s="87" t="n">
        <v>0</v>
      </c>
      <c r="FS26" s="87" t="n">
        <v>0</v>
      </c>
      <c r="FT26" s="87" t="n">
        <v>0</v>
      </c>
      <c r="FU26" s="87" t="n">
        <v>0</v>
      </c>
      <c r="FV26" s="87" t="n">
        <v>0</v>
      </c>
      <c r="FW26" s="87" t="n">
        <v>0</v>
      </c>
      <c r="FX26" s="87" t="n">
        <v>0</v>
      </c>
      <c r="FY26" s="87" t="n">
        <v>0</v>
      </c>
      <c r="FZ26" s="87" t="n">
        <v>0</v>
      </c>
      <c r="GA26" s="87" t="n">
        <v>0</v>
      </c>
      <c r="GB26" s="87" t="n">
        <v>0</v>
      </c>
      <c r="GC26" s="87" t="n">
        <v>0</v>
      </c>
      <c r="GD26" s="87" t="n">
        <v>0</v>
      </c>
      <c r="GE26" s="87" t="n">
        <v>0</v>
      </c>
      <c r="GF26" s="87" t="n">
        <v>0</v>
      </c>
      <c r="GG26" s="87" t="n">
        <v>0</v>
      </c>
      <c r="GH26" s="87" t="n">
        <v>0</v>
      </c>
      <c r="GI26" s="87" t="n">
        <v>0</v>
      </c>
      <c r="GJ26" s="87" t="n">
        <v>0</v>
      </c>
      <c r="GK26" s="87" t="n">
        <v>0</v>
      </c>
      <c r="GL26" s="87" t="n">
        <v>0</v>
      </c>
      <c r="GM26" s="87" t="n">
        <v>0</v>
      </c>
      <c r="GN26" s="87" t="n">
        <v>0</v>
      </c>
      <c r="GO26" s="87" t="n">
        <v>0</v>
      </c>
      <c r="GP26" s="87" t="n">
        <v>0</v>
      </c>
      <c r="GQ26" s="87" t="n">
        <v>0</v>
      </c>
      <c r="GR26" s="87" t="n">
        <v>0</v>
      </c>
      <c r="GS26" s="87" t="n">
        <v>0</v>
      </c>
      <c r="GT26" s="87" t="n">
        <v>0</v>
      </c>
      <c r="GU26" s="87" t="n">
        <v>0</v>
      </c>
      <c r="GV26" s="87" t="n">
        <v>0</v>
      </c>
      <c r="GW26" s="87" t="n">
        <v>0</v>
      </c>
      <c r="GX26" s="87" t="n">
        <v>0</v>
      </c>
      <c r="GY26" s="87" t="n">
        <v>0</v>
      </c>
      <c r="GZ26" s="87" t="n">
        <v>0</v>
      </c>
      <c r="HA26" s="87" t="n">
        <v>0</v>
      </c>
      <c r="HB26" s="87" t="n">
        <v>0</v>
      </c>
      <c r="HC26" s="87" t="n">
        <v>0</v>
      </c>
      <c r="HD26" s="87" t="n">
        <v>0</v>
      </c>
      <c r="HE26" s="87" t="n">
        <v>0</v>
      </c>
      <c r="HF26" s="87" t="n">
        <v>0</v>
      </c>
      <c r="HG26" s="87" t="n">
        <v>0</v>
      </c>
      <c r="HH26" s="87" t="n">
        <v>0</v>
      </c>
      <c r="HI26" s="87" t="n">
        <v>0</v>
      </c>
      <c r="HJ26" s="87" t="n">
        <v>0</v>
      </c>
      <c r="HK26" s="87" t="n">
        <v>0</v>
      </c>
      <c r="HL26" s="87" t="n">
        <v>0</v>
      </c>
      <c r="HM26" s="87" t="n">
        <v>0</v>
      </c>
      <c r="HN26" s="87" t="n">
        <v>0</v>
      </c>
      <c r="HO26" s="87" t="n">
        <v>0</v>
      </c>
      <c r="HP26" s="87" t="n">
        <v>0</v>
      </c>
      <c r="HQ26" s="87" t="n">
        <v>0</v>
      </c>
      <c r="HR26" s="87" t="n">
        <v>0</v>
      </c>
      <c r="HS26" s="87" t="n">
        <v>0</v>
      </c>
      <c r="HT26" s="87" t="n">
        <v>0</v>
      </c>
      <c r="HU26" s="87" t="n">
        <v>0</v>
      </c>
      <c r="JF26" s="87">
        <f>AP26</f>
        <v/>
      </c>
      <c r="JG26" s="87">
        <f>SUM(Z26:AK26)</f>
        <v/>
      </c>
      <c r="JH26" s="87">
        <f>SUM(AL26:AP26)</f>
        <v/>
      </c>
      <c r="JI26" s="87">
        <f>SUM(C26:AP26)</f>
        <v/>
      </c>
      <c r="JJ26" s="446" t="n"/>
      <c r="JM26" s="87" t="n">
        <v>-55000.0000044</v>
      </c>
      <c r="KG26" s="136">
        <f>B26</f>
        <v/>
      </c>
      <c r="KH26" s="345">
        <f>AR26</f>
        <v/>
      </c>
    </row>
    <row r="27" ht="16.2" customHeight="1">
      <c r="A27" s="7" t="inlineStr">
        <is>
          <t>Marketing</t>
        </is>
      </c>
      <c r="B27" s="136">
        <f>SUM(C27:AP27)</f>
        <v/>
      </c>
      <c r="C27" s="85" t="n"/>
      <c r="D27" s="87" t="n"/>
      <c r="E27" s="85" t="n"/>
      <c r="F27" s="85" t="n"/>
      <c r="G27" s="85" t="n"/>
      <c r="H27" s="85" t="n"/>
      <c r="I27" s="86" t="n"/>
      <c r="J27" s="218" t="n"/>
      <c r="K27" s="114" t="n"/>
      <c r="L27" s="122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>
        <v>-32159.95</v>
      </c>
      <c r="X27" s="219" t="n">
        <v>-30740</v>
      </c>
      <c r="Y27" s="219" t="n">
        <v>-18988.62</v>
      </c>
      <c r="Z27" s="219" t="n">
        <v>-196816.01</v>
      </c>
      <c r="AA27" s="219" t="n">
        <v>-308461.65</v>
      </c>
      <c r="AB27" s="219" t="n">
        <v>-387396.3</v>
      </c>
      <c r="AC27" s="219" t="n">
        <v>-264220.34</v>
      </c>
      <c r="AD27" s="219" t="n">
        <v>-187387.35</v>
      </c>
      <c r="AE27" s="219" t="n">
        <v>-142662.13</v>
      </c>
      <c r="AF27" s="219">
        <f>-121163.48+959.8</f>
        <v/>
      </c>
      <c r="AG27" s="219">
        <f>-101944.3+959.8</f>
        <v/>
      </c>
      <c r="AH27" s="219">
        <f>-94040.76-9315.02</f>
        <v/>
      </c>
      <c r="AI27" s="219" t="n">
        <v>-184088.23</v>
      </c>
      <c r="AJ27" s="219" t="n">
        <v>-148907.24</v>
      </c>
      <c r="AK27" s="219">
        <f>-148676.77-17900</f>
        <v/>
      </c>
      <c r="AL27" s="219" t="n">
        <v>-280720.57</v>
      </c>
      <c r="AM27" s="219" t="n">
        <v>-80116.73</v>
      </c>
      <c r="AN27" s="219" t="n">
        <v>-140928.2</v>
      </c>
      <c r="AO27" s="219" t="n">
        <v>-132699.9</v>
      </c>
      <c r="AP27" s="219" t="n">
        <v>-161932.68</v>
      </c>
      <c r="AQ27" s="53" t="n"/>
      <c r="AR27" s="345">
        <f>SUM(AT27:HU27)</f>
        <v/>
      </c>
      <c r="AS27" s="53" t="n"/>
      <c r="AT27" s="87" t="n">
        <v>-166659.2695133614</v>
      </c>
      <c r="AU27" s="87" t="n">
        <v>-166659.2695133614</v>
      </c>
      <c r="AV27" s="87" t="n">
        <v>-166659.2695133614</v>
      </c>
      <c r="AW27" s="87" t="n">
        <v>-166659.2695133614</v>
      </c>
      <c r="AX27" s="87" t="n">
        <v>-166659.2695133614</v>
      </c>
      <c r="AY27" s="87" t="n">
        <v>-166659.2695133614</v>
      </c>
      <c r="AZ27" s="87" t="n">
        <v>-166659.2695133614</v>
      </c>
      <c r="BA27" s="87" t="n">
        <v>-83329.63475668074</v>
      </c>
      <c r="BB27" s="87" t="n">
        <v>-83329.63475668074</v>
      </c>
      <c r="BC27" s="87" t="n">
        <v>-83329.63475668074</v>
      </c>
      <c r="BD27" s="87" t="n">
        <v>-83329.63475668074</v>
      </c>
      <c r="BE27" s="87" t="n">
        <v>-83329.63475668074</v>
      </c>
      <c r="BF27" s="87" t="n">
        <v>-83329.63475668074</v>
      </c>
      <c r="BG27" s="87" t="n">
        <v>-83329.63475668074</v>
      </c>
      <c r="BH27" s="87" t="n">
        <v>-83329.63475668074</v>
      </c>
      <c r="BI27" s="87" t="n">
        <v>-83329.63475668074</v>
      </c>
      <c r="BJ27" s="87" t="n">
        <v>-83329.63475668074</v>
      </c>
      <c r="BK27" s="87" t="n">
        <v>-83329.63475668074</v>
      </c>
      <c r="BL27" s="87" t="n">
        <v>-83329.63475668074</v>
      </c>
      <c r="BM27" s="87" t="n">
        <v>-83329.63475668074</v>
      </c>
      <c r="BN27" s="87" t="n">
        <v>-83329.63475668074</v>
      </c>
      <c r="BO27" s="87" t="n">
        <v>-83329.63475668074</v>
      </c>
      <c r="BP27" s="87" t="n">
        <v>-83329.63475668074</v>
      </c>
      <c r="BQ27" s="87" t="n">
        <v>-83329.63475668074</v>
      </c>
      <c r="BR27" s="87" t="n">
        <v>-83329.63475668074</v>
      </c>
      <c r="BS27" s="87" t="n">
        <v>-83329.63475668074</v>
      </c>
      <c r="BT27" s="87" t="n">
        <v>-83329.63475668074</v>
      </c>
      <c r="BU27" s="87" t="n">
        <v>-83329.63475668074</v>
      </c>
      <c r="BV27" s="87" t="n">
        <v>-83329.63475668074</v>
      </c>
      <c r="BW27" s="87" t="n">
        <v>-83329.63475668074</v>
      </c>
      <c r="BX27" s="87" t="n">
        <v>-83329.63475668074</v>
      </c>
      <c r="BY27" s="87" t="n">
        <v>-83329.63475668074</v>
      </c>
      <c r="BZ27" s="87" t="n">
        <v>-83329.63475668074</v>
      </c>
      <c r="CA27" s="87" t="n">
        <v>-83329.63475668074</v>
      </c>
      <c r="CB27" s="87" t="n">
        <v>-83329.63475668074</v>
      </c>
      <c r="CC27" s="87" t="n">
        <v>-83329.63475668074</v>
      </c>
      <c r="CD27" s="87" t="n">
        <v>-83329.63475668074</v>
      </c>
      <c r="CE27" s="87" t="n">
        <v>-83329.63475668074</v>
      </c>
      <c r="CF27" s="87" t="n">
        <v>-83329.63475668074</v>
      </c>
      <c r="CG27" s="87" t="n">
        <v>-83329.63475668074</v>
      </c>
      <c r="CH27" s="87" t="n">
        <v>-83329.63475668074</v>
      </c>
      <c r="CI27" s="87" t="n">
        <v>-83329.63475668074</v>
      </c>
      <c r="CJ27" s="87" t="n">
        <v>-83329.63475668074</v>
      </c>
      <c r="CK27" s="87" t="n">
        <v>-83329.63475668074</v>
      </c>
      <c r="CL27" s="87" t="n">
        <v>-83329.63475668074</v>
      </c>
      <c r="CM27" s="87" t="n">
        <v>-83329.63475668074</v>
      </c>
      <c r="CN27" s="87" t="n">
        <v>-83329.63475668074</v>
      </c>
      <c r="CO27" s="87" t="n">
        <v>-83329.63475668074</v>
      </c>
      <c r="CP27" s="87" t="n">
        <v>-83329.63475668074</v>
      </c>
      <c r="CQ27" s="87" t="n">
        <v>-83329.63475668074</v>
      </c>
      <c r="CR27" s="87" t="n">
        <v>-83329.63475668074</v>
      </c>
      <c r="CS27" s="87" t="n">
        <v>-83329.63475668074</v>
      </c>
      <c r="CT27" s="87" t="n">
        <v>-83329.63475668074</v>
      </c>
      <c r="CU27" s="87" t="n">
        <v>-83329.63475668074</v>
      </c>
      <c r="CV27" s="87" t="n">
        <v>-83329.63475668074</v>
      </c>
      <c r="CW27" s="87" t="n">
        <v>-83329.63475668074</v>
      </c>
      <c r="CX27" s="87" t="n">
        <v>-83329.63475668074</v>
      </c>
      <c r="CY27" s="87" t="n">
        <v>-83329.63475668074</v>
      </c>
      <c r="CZ27" s="87" t="n">
        <v>-83329.63475668074</v>
      </c>
      <c r="DA27" s="87" t="n">
        <v>-83329.63475668074</v>
      </c>
      <c r="DB27" s="87" t="n">
        <v>-83329.63475668074</v>
      </c>
      <c r="DC27" s="87" t="n">
        <v>-83329.63475668074</v>
      </c>
      <c r="DD27" s="87" t="n">
        <v>-83329.63475668074</v>
      </c>
      <c r="DE27" s="87" t="n">
        <v>-83329.63475668074</v>
      </c>
      <c r="DF27" s="87" t="n">
        <v>-83329.63475668074</v>
      </c>
      <c r="DG27" s="87" t="n">
        <v>-83329.63475668074</v>
      </c>
      <c r="DH27" s="87" t="n">
        <v>-83329.63475668074</v>
      </c>
      <c r="DI27" s="87" t="n">
        <v>-83329.63475668074</v>
      </c>
      <c r="DJ27" s="87" t="n"/>
      <c r="DK27" s="87" t="n"/>
      <c r="DL27" s="87" t="n"/>
      <c r="DM27" s="87" t="n"/>
      <c r="DN27" s="87" t="n"/>
      <c r="DO27" s="87" t="n"/>
      <c r="DP27" s="87" t="n"/>
      <c r="DQ27" s="87" t="n"/>
      <c r="DR27" s="87" t="n"/>
      <c r="DS27" s="87" t="n">
        <v>0</v>
      </c>
      <c r="DT27" s="87" t="n">
        <v>0</v>
      </c>
      <c r="DU27" s="87" t="n">
        <v>0</v>
      </c>
      <c r="DV27" s="87" t="n">
        <v>0</v>
      </c>
      <c r="DW27" s="87" t="n">
        <v>0</v>
      </c>
      <c r="DX27" s="87" t="n">
        <v>0</v>
      </c>
      <c r="DY27" s="87" t="n">
        <v>0</v>
      </c>
      <c r="DZ27" s="87" t="n">
        <v>0</v>
      </c>
      <c r="EA27" s="87" t="n">
        <v>0</v>
      </c>
      <c r="EB27" s="87" t="n"/>
      <c r="EC27" s="87" t="n">
        <v>0</v>
      </c>
      <c r="ED27" s="87" t="n">
        <v>0</v>
      </c>
      <c r="EE27" s="87" t="n">
        <v>0</v>
      </c>
      <c r="EF27" s="87" t="n">
        <v>0</v>
      </c>
      <c r="EG27" s="87" t="n">
        <v>0</v>
      </c>
      <c r="EH27" s="87" t="n">
        <v>0</v>
      </c>
      <c r="EI27" s="87" t="n">
        <v>0</v>
      </c>
      <c r="EJ27" s="87" t="n">
        <v>0</v>
      </c>
      <c r="EK27" s="87" t="n">
        <v>0</v>
      </c>
      <c r="EL27" s="87" t="n">
        <v>0</v>
      </c>
      <c r="EM27" s="87" t="n">
        <v>0</v>
      </c>
      <c r="EN27" s="87" t="n">
        <v>0</v>
      </c>
      <c r="EO27" s="87" t="n">
        <v>0</v>
      </c>
      <c r="EP27" s="87" t="n">
        <v>0</v>
      </c>
      <c r="EQ27" s="87" t="n">
        <v>0</v>
      </c>
      <c r="ER27" s="87" t="n">
        <v>0</v>
      </c>
      <c r="ES27" s="87" t="n">
        <v>0</v>
      </c>
      <c r="ET27" s="87" t="n">
        <v>0</v>
      </c>
      <c r="EU27" s="87" t="n">
        <v>0</v>
      </c>
      <c r="EV27" s="87" t="n">
        <v>0</v>
      </c>
      <c r="EW27" s="87" t="n">
        <v>0</v>
      </c>
      <c r="EX27" s="87" t="n">
        <v>0</v>
      </c>
      <c r="EY27" s="87" t="n">
        <v>0</v>
      </c>
      <c r="EZ27" s="87" t="n">
        <v>0</v>
      </c>
      <c r="FA27" s="87" t="n">
        <v>0</v>
      </c>
      <c r="FB27" s="87" t="n">
        <v>0</v>
      </c>
      <c r="FC27" s="87" t="n">
        <v>0</v>
      </c>
      <c r="FD27" s="87" t="n">
        <v>0</v>
      </c>
      <c r="FE27" s="87" t="n">
        <v>0</v>
      </c>
      <c r="FF27" s="87" t="n">
        <v>0</v>
      </c>
      <c r="FG27" s="87" t="n">
        <v>0</v>
      </c>
      <c r="FH27" s="87" t="n">
        <v>0</v>
      </c>
      <c r="FI27" s="87" t="n">
        <v>0</v>
      </c>
      <c r="FJ27" s="87" t="n">
        <v>0</v>
      </c>
      <c r="FK27" s="87" t="n">
        <v>0</v>
      </c>
      <c r="FL27" s="87" t="n">
        <v>0</v>
      </c>
      <c r="FM27" s="87" t="n">
        <v>0</v>
      </c>
      <c r="FN27" s="87" t="n">
        <v>0</v>
      </c>
      <c r="FO27" s="87" t="n">
        <v>0</v>
      </c>
      <c r="FP27" s="87" t="n">
        <v>0</v>
      </c>
      <c r="FQ27" s="87" t="n">
        <v>0</v>
      </c>
      <c r="FR27" s="87" t="n">
        <v>0</v>
      </c>
      <c r="FS27" s="87" t="n">
        <v>0</v>
      </c>
      <c r="FT27" s="87" t="n">
        <v>0</v>
      </c>
      <c r="FU27" s="87" t="n">
        <v>0</v>
      </c>
      <c r="FV27" s="87" t="n">
        <v>0</v>
      </c>
      <c r="FW27" s="87" t="n">
        <v>0</v>
      </c>
      <c r="FX27" s="87" t="n">
        <v>0</v>
      </c>
      <c r="FY27" s="87" t="n">
        <v>0</v>
      </c>
      <c r="FZ27" s="87" t="n">
        <v>0</v>
      </c>
      <c r="GA27" s="87" t="n">
        <v>0</v>
      </c>
      <c r="GB27" s="87" t="n">
        <v>0</v>
      </c>
      <c r="GC27" s="87" t="n">
        <v>0</v>
      </c>
      <c r="GD27" s="87" t="n">
        <v>0</v>
      </c>
      <c r="GE27" s="87" t="n">
        <v>0</v>
      </c>
      <c r="GF27" s="87" t="n">
        <v>0</v>
      </c>
      <c r="GG27" s="87" t="n">
        <v>0</v>
      </c>
      <c r="GH27" s="87" t="n">
        <v>0</v>
      </c>
      <c r="GI27" s="87" t="n">
        <v>0</v>
      </c>
      <c r="GJ27" s="87" t="n">
        <v>0</v>
      </c>
      <c r="GK27" s="87" t="n">
        <v>0</v>
      </c>
      <c r="GL27" s="87" t="n">
        <v>0</v>
      </c>
      <c r="GM27" s="87" t="n">
        <v>0</v>
      </c>
      <c r="GN27" s="87" t="n">
        <v>0</v>
      </c>
      <c r="GO27" s="87" t="n">
        <v>0</v>
      </c>
      <c r="GP27" s="87" t="n">
        <v>0</v>
      </c>
      <c r="GQ27" s="87" t="n">
        <v>0</v>
      </c>
      <c r="GR27" s="87" t="n">
        <v>0</v>
      </c>
      <c r="GS27" s="87" t="n">
        <v>0</v>
      </c>
      <c r="GT27" s="87" t="n">
        <v>0</v>
      </c>
      <c r="GU27" s="87" t="n">
        <v>0</v>
      </c>
      <c r="GV27" s="87" t="n">
        <v>0</v>
      </c>
      <c r="GW27" s="87" t="n">
        <v>0</v>
      </c>
      <c r="GX27" s="87" t="n">
        <v>0</v>
      </c>
      <c r="GY27" s="87" t="n">
        <v>0</v>
      </c>
      <c r="GZ27" s="87" t="n">
        <v>0</v>
      </c>
      <c r="HA27" s="87" t="n">
        <v>0</v>
      </c>
      <c r="HB27" s="87" t="n">
        <v>0</v>
      </c>
      <c r="HC27" s="87" t="n">
        <v>0</v>
      </c>
      <c r="HD27" s="87" t="n">
        <v>0</v>
      </c>
      <c r="HE27" s="87" t="n">
        <v>0</v>
      </c>
      <c r="HF27" s="87" t="n">
        <v>0</v>
      </c>
      <c r="HG27" s="87" t="n">
        <v>0</v>
      </c>
      <c r="HH27" s="87" t="n">
        <v>0</v>
      </c>
      <c r="HI27" s="87" t="n">
        <v>0</v>
      </c>
      <c r="HJ27" s="87" t="n">
        <v>0</v>
      </c>
      <c r="HK27" s="87" t="n">
        <v>0</v>
      </c>
      <c r="HL27" s="87" t="n">
        <v>0</v>
      </c>
      <c r="HM27" s="87" t="n">
        <v>0</v>
      </c>
      <c r="HN27" s="87" t="n">
        <v>0</v>
      </c>
      <c r="HO27" s="87" t="n">
        <v>0</v>
      </c>
      <c r="HP27" s="87" t="n">
        <v>0</v>
      </c>
      <c r="HQ27" s="87" t="n">
        <v>0</v>
      </c>
      <c r="HR27" s="87" t="n">
        <v>0</v>
      </c>
      <c r="HS27" s="87" t="n">
        <v>0</v>
      </c>
      <c r="HT27" s="87" t="n">
        <v>0</v>
      </c>
      <c r="HU27" s="87" t="n">
        <v>0</v>
      </c>
      <c r="JF27" s="87">
        <f>AP27</f>
        <v/>
      </c>
      <c r="JG27" s="87">
        <f>SUM(Z27:AK27)</f>
        <v/>
      </c>
      <c r="JH27" s="87">
        <f>SUM(AL27:AP27)</f>
        <v/>
      </c>
      <c r="JI27" s="87">
        <f>SUM(C27:AP27)</f>
        <v/>
      </c>
      <c r="JJ27" s="446" t="n"/>
      <c r="JM27" s="87" t="n">
        <v>-166659.2695133614</v>
      </c>
      <c r="KG27" s="136">
        <f>B27</f>
        <v/>
      </c>
      <c r="KH27" s="345">
        <f>AR27</f>
        <v/>
      </c>
    </row>
    <row r="28" ht="16.2" customHeight="1">
      <c r="A28" s="7" t="n"/>
      <c r="B28" s="136">
        <f>SUM(C28:AP28)</f>
        <v/>
      </c>
      <c r="C28" s="85" t="n"/>
      <c r="D28" s="87" t="n"/>
      <c r="E28" s="85" t="n"/>
      <c r="F28" s="85" t="n"/>
      <c r="G28" s="85" t="n"/>
      <c r="H28" s="85" t="n"/>
      <c r="I28" s="86" t="n"/>
      <c r="J28" s="218" t="n"/>
      <c r="K28" s="114" t="n"/>
      <c r="L28" s="122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53" t="n"/>
      <c r="AR28" s="345">
        <f>SUM(AT28:HU28)</f>
        <v/>
      </c>
      <c r="AS28" s="53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296" t="n"/>
      <c r="BE28" s="87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296" t="n"/>
      <c r="BQ28" s="87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296" t="n"/>
      <c r="CC28" s="87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296" t="n"/>
      <c r="CO28" s="87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296" t="n"/>
      <c r="DA28" s="87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6" t="n"/>
      <c r="DK28" s="85" t="n"/>
      <c r="DL28" s="86" t="n">
        <v>0</v>
      </c>
      <c r="DM28" s="86" t="n">
        <v>0</v>
      </c>
      <c r="DN28" s="86" t="n">
        <v>0</v>
      </c>
      <c r="DO28" s="86" t="n">
        <v>0</v>
      </c>
      <c r="DP28" s="86" t="n">
        <v>0</v>
      </c>
      <c r="DQ28" s="86" t="n">
        <v>0</v>
      </c>
      <c r="DR28" s="86" t="n">
        <v>0</v>
      </c>
      <c r="DS28" s="86" t="n">
        <v>0</v>
      </c>
      <c r="DT28" s="86" t="n">
        <v>0</v>
      </c>
      <c r="DU28" s="86" t="n">
        <v>0</v>
      </c>
      <c r="DV28" s="86" t="n">
        <v>0</v>
      </c>
      <c r="DW28" s="86" t="n">
        <v>0</v>
      </c>
      <c r="DX28" s="86" t="n">
        <v>0</v>
      </c>
      <c r="DY28" s="86" t="n">
        <v>0</v>
      </c>
      <c r="DZ28" s="86" t="n">
        <v>0</v>
      </c>
      <c r="EA28" s="86" t="n">
        <v>0</v>
      </c>
      <c r="EB28" s="86" t="n">
        <v>0</v>
      </c>
      <c r="EC28" s="86" t="n">
        <v>0</v>
      </c>
      <c r="ED28" s="86" t="n">
        <v>0</v>
      </c>
      <c r="EE28" s="86" t="n">
        <v>0</v>
      </c>
      <c r="EF28" s="86" t="n">
        <v>0</v>
      </c>
      <c r="EG28" s="86" t="n">
        <v>0</v>
      </c>
      <c r="EH28" s="86" t="n">
        <v>0</v>
      </c>
      <c r="EI28" s="86" t="n">
        <v>0</v>
      </c>
      <c r="EJ28" s="86" t="n">
        <v>0</v>
      </c>
      <c r="EK28" s="86" t="n">
        <v>0</v>
      </c>
      <c r="EL28" s="86" t="n">
        <v>0</v>
      </c>
      <c r="EM28" s="86" t="n">
        <v>0</v>
      </c>
      <c r="EN28" s="86" t="n">
        <v>0</v>
      </c>
      <c r="EO28" s="86" t="n">
        <v>0</v>
      </c>
      <c r="EP28" s="86" t="n">
        <v>0</v>
      </c>
      <c r="EQ28" s="86" t="n">
        <v>0</v>
      </c>
      <c r="ER28" s="86" t="n">
        <v>0</v>
      </c>
      <c r="ES28" s="86" t="n">
        <v>0</v>
      </c>
      <c r="ET28" s="86" t="n">
        <v>0</v>
      </c>
      <c r="EU28" s="86" t="n">
        <v>0</v>
      </c>
      <c r="EV28" s="86" t="n">
        <v>0</v>
      </c>
      <c r="EW28" s="86" t="n">
        <v>0</v>
      </c>
      <c r="EX28" s="86" t="n">
        <v>0</v>
      </c>
      <c r="EY28" s="86" t="n">
        <v>0</v>
      </c>
      <c r="EZ28" s="86" t="n">
        <v>0</v>
      </c>
      <c r="FA28" s="86" t="n">
        <v>0</v>
      </c>
      <c r="FB28" s="86" t="n">
        <v>0</v>
      </c>
      <c r="FC28" s="86" t="n">
        <v>0</v>
      </c>
      <c r="FD28" s="86" t="n">
        <v>0</v>
      </c>
      <c r="FE28" s="86" t="n">
        <v>0</v>
      </c>
      <c r="FF28" s="86" t="n">
        <v>0</v>
      </c>
      <c r="FG28" s="86" t="n">
        <v>0</v>
      </c>
      <c r="FH28" s="86" t="n">
        <v>0</v>
      </c>
      <c r="FI28" s="86" t="n">
        <v>0</v>
      </c>
      <c r="FJ28" s="86" t="n">
        <v>0</v>
      </c>
      <c r="FK28" s="86" t="n">
        <v>0</v>
      </c>
      <c r="FL28" s="86" t="n">
        <v>0</v>
      </c>
      <c r="FM28" s="86" t="n">
        <v>0</v>
      </c>
      <c r="FN28" s="86" t="n">
        <v>0</v>
      </c>
      <c r="FO28" s="86" t="n">
        <v>0</v>
      </c>
      <c r="FP28" s="86" t="n">
        <v>0</v>
      </c>
      <c r="FQ28" s="86" t="n">
        <v>0</v>
      </c>
      <c r="FR28" s="86" t="n">
        <v>0</v>
      </c>
      <c r="FS28" s="86" t="n">
        <v>0</v>
      </c>
      <c r="FT28" s="86" t="n">
        <v>0</v>
      </c>
      <c r="FU28" s="86" t="n">
        <v>0</v>
      </c>
      <c r="FV28" s="86" t="n">
        <v>0</v>
      </c>
      <c r="FW28" s="86" t="n">
        <v>0</v>
      </c>
      <c r="FX28" s="86" t="n">
        <v>0</v>
      </c>
      <c r="FY28" s="86" t="n">
        <v>0</v>
      </c>
      <c r="FZ28" s="86" t="n">
        <v>0</v>
      </c>
      <c r="GA28" s="86" t="n">
        <v>0</v>
      </c>
      <c r="GB28" s="86" t="n">
        <v>0</v>
      </c>
      <c r="GC28" s="86" t="n">
        <v>0</v>
      </c>
      <c r="GD28" s="86" t="n">
        <v>0</v>
      </c>
      <c r="GE28" s="86" t="n">
        <v>0</v>
      </c>
      <c r="GF28" s="86" t="n">
        <v>0</v>
      </c>
      <c r="GG28" s="86" t="n">
        <v>0</v>
      </c>
      <c r="GH28" s="86" t="n">
        <v>0</v>
      </c>
      <c r="GI28" s="86" t="n">
        <v>0</v>
      </c>
      <c r="GJ28" s="86" t="n">
        <v>0</v>
      </c>
      <c r="GK28" s="86" t="n">
        <v>0</v>
      </c>
      <c r="GL28" s="86" t="n">
        <v>0</v>
      </c>
      <c r="GM28" s="86" t="n">
        <v>0</v>
      </c>
      <c r="GN28" s="86" t="n">
        <v>0</v>
      </c>
      <c r="GO28" s="86" t="n">
        <v>0</v>
      </c>
      <c r="GP28" s="86" t="n">
        <v>0</v>
      </c>
      <c r="GQ28" s="86" t="n">
        <v>0</v>
      </c>
      <c r="GR28" s="86" t="n">
        <v>0</v>
      </c>
      <c r="GS28" s="86" t="n">
        <v>0</v>
      </c>
      <c r="GT28" s="86" t="n">
        <v>0</v>
      </c>
      <c r="GU28" s="86" t="n">
        <v>0</v>
      </c>
      <c r="GV28" s="86" t="n">
        <v>0</v>
      </c>
      <c r="GW28" s="86" t="n">
        <v>0</v>
      </c>
      <c r="GX28" s="86" t="n">
        <v>0</v>
      </c>
      <c r="GY28" s="86" t="n">
        <v>0</v>
      </c>
      <c r="GZ28" s="86" t="n">
        <v>0</v>
      </c>
      <c r="HA28" s="86" t="n">
        <v>0</v>
      </c>
      <c r="HB28" s="86" t="n">
        <v>0</v>
      </c>
      <c r="HC28" s="86" t="n">
        <v>0</v>
      </c>
      <c r="HD28" s="86" t="n">
        <v>0</v>
      </c>
      <c r="HE28" s="86" t="n">
        <v>0</v>
      </c>
      <c r="HF28" s="86" t="n">
        <v>0</v>
      </c>
      <c r="HG28" s="86" t="n">
        <v>0</v>
      </c>
      <c r="HH28" s="86" t="n">
        <v>0</v>
      </c>
      <c r="HI28" s="86" t="n">
        <v>0</v>
      </c>
      <c r="HJ28" s="86" t="n">
        <v>0</v>
      </c>
      <c r="HK28" s="86" t="n">
        <v>0</v>
      </c>
      <c r="HL28" s="86" t="n">
        <v>0</v>
      </c>
      <c r="HM28" s="86" t="n">
        <v>0</v>
      </c>
      <c r="HN28" s="86" t="n">
        <v>0</v>
      </c>
      <c r="HO28" s="86" t="n">
        <v>0</v>
      </c>
      <c r="HP28" s="86" t="n">
        <v>0</v>
      </c>
      <c r="HQ28" s="86" t="n">
        <v>0</v>
      </c>
      <c r="HR28" s="86" t="n">
        <v>0</v>
      </c>
      <c r="HS28" s="86" t="n">
        <v>0</v>
      </c>
      <c r="HT28" s="86" t="n">
        <v>0</v>
      </c>
      <c r="HU28" s="86" t="n">
        <v>0</v>
      </c>
      <c r="JF28" s="85">
        <f>AP28</f>
        <v/>
      </c>
      <c r="JG28" s="85">
        <f>SUM(Z28:AK28)</f>
        <v/>
      </c>
      <c r="JH28" s="85">
        <f>SUM(AL28:AP28)</f>
        <v/>
      </c>
      <c r="JI28" s="85">
        <f>SUM(C28:AP28)</f>
        <v/>
      </c>
      <c r="JJ28" s="446" t="n"/>
      <c r="JM28" s="86" t="n"/>
      <c r="KG28" s="136">
        <f>B28</f>
        <v/>
      </c>
      <c r="KH28" s="345">
        <f>AR28</f>
        <v/>
      </c>
    </row>
    <row r="29" ht="16.2" customHeight="1" thickBot="1">
      <c r="A29" s="77" t="inlineStr">
        <is>
          <t>Subtotal</t>
        </is>
      </c>
      <c r="B29" s="137">
        <f>SUM(C29:AP29)</f>
        <v/>
      </c>
      <c r="C29" s="516">
        <f>SUM(C25:C28)</f>
        <v/>
      </c>
      <c r="D29" s="516">
        <f>SUM(D25:D28)</f>
        <v/>
      </c>
      <c r="E29" s="516">
        <f>SUM(E25:E28)</f>
        <v/>
      </c>
      <c r="F29" s="516">
        <f>SUM(F25:F28)</f>
        <v/>
      </c>
      <c r="G29" s="516">
        <f>SUM(G25:G28)</f>
        <v/>
      </c>
      <c r="H29" s="516">
        <f>SUM(H25:H28)</f>
        <v/>
      </c>
      <c r="I29" s="517">
        <f>SUM(I25:I28)</f>
        <v/>
      </c>
      <c r="J29" s="518">
        <f>SUM(J25:J28)</f>
        <v/>
      </c>
      <c r="K29" s="516">
        <f>SUM(K25:K28)</f>
        <v/>
      </c>
      <c r="L29" s="516">
        <f>SUM(L25:L28)</f>
        <v/>
      </c>
      <c r="M29" s="519">
        <f>SUM(M25:M28)</f>
        <v/>
      </c>
      <c r="N29" s="519">
        <f>SUM(N25:N28)</f>
        <v/>
      </c>
      <c r="O29" s="519">
        <f>SUM(O25:O28)</f>
        <v/>
      </c>
      <c r="P29" s="519">
        <f>SUM(P25:P28)</f>
        <v/>
      </c>
      <c r="Q29" s="519">
        <f>SUM(Q25:Q28)</f>
        <v/>
      </c>
      <c r="R29" s="519">
        <f>SUM(R25:R28)</f>
        <v/>
      </c>
      <c r="S29" s="519">
        <f>SUM(S25:S28)</f>
        <v/>
      </c>
      <c r="T29" s="519">
        <f>SUM(T25:T28)</f>
        <v/>
      </c>
      <c r="U29" s="519">
        <f>SUM(U25:U28)</f>
        <v/>
      </c>
      <c r="V29" s="519">
        <f>SUM(V25:V28)</f>
        <v/>
      </c>
      <c r="W29" s="519">
        <f>SUM(W25:W28)</f>
        <v/>
      </c>
      <c r="X29" s="519">
        <f>SUM(X25:X28)</f>
        <v/>
      </c>
      <c r="Y29" s="519">
        <f>SUM(Y25:Y28)</f>
        <v/>
      </c>
      <c r="Z29" s="519">
        <f>SUM(Z25:Z28)</f>
        <v/>
      </c>
      <c r="AA29" s="519">
        <f>SUM(AA25:AA28)</f>
        <v/>
      </c>
      <c r="AB29" s="519">
        <f>SUM(AB25:AB28)</f>
        <v/>
      </c>
      <c r="AC29" s="519">
        <f>SUM(AC25:AC28)</f>
        <v/>
      </c>
      <c r="AD29" s="519">
        <f>SUM(AD25:AD28)</f>
        <v/>
      </c>
      <c r="AE29" s="519">
        <f>SUM(AE25:AE28)</f>
        <v/>
      </c>
      <c r="AF29" s="519">
        <f>SUM(AF25:AF28)</f>
        <v/>
      </c>
      <c r="AG29" s="519">
        <f>SUM(AG25:AG28)</f>
        <v/>
      </c>
      <c r="AH29" s="519">
        <f>SUM(AH25:AH28)</f>
        <v/>
      </c>
      <c r="AI29" s="519">
        <f>SUM(AI25:AI28)</f>
        <v/>
      </c>
      <c r="AJ29" s="519">
        <f>SUM(AJ25:AJ28)</f>
        <v/>
      </c>
      <c r="AK29" s="519">
        <f>SUM(AK25:AK28)</f>
        <v/>
      </c>
      <c r="AL29" s="519">
        <f>SUM(AL25:AL28)</f>
        <v/>
      </c>
      <c r="AM29" s="519">
        <f>SUM(AM25:AM28)</f>
        <v/>
      </c>
      <c r="AN29" s="519">
        <f>SUM(AN25:AN28)</f>
        <v/>
      </c>
      <c r="AO29" s="519">
        <f>SUM(AO25:AO28)</f>
        <v/>
      </c>
      <c r="AP29" s="519">
        <f>SUM(AP25:AP28)</f>
        <v/>
      </c>
      <c r="AQ29" s="13" t="n"/>
      <c r="AR29" s="332">
        <f>SUM(AT29:HU29)</f>
        <v/>
      </c>
      <c r="AS29" s="13" t="n"/>
      <c r="AT29" s="516">
        <f>SUM(AT25:AT28)</f>
        <v/>
      </c>
      <c r="AU29" s="516">
        <f>SUM(AU25:AU28)</f>
        <v/>
      </c>
      <c r="AV29" s="516">
        <f>SUM(AV25:AV28)</f>
        <v/>
      </c>
      <c r="AW29" s="516">
        <f>SUM(AW25:AW28)</f>
        <v/>
      </c>
      <c r="AX29" s="516">
        <f>SUM(AX25:AX28)</f>
        <v/>
      </c>
      <c r="AY29" s="516">
        <f>SUM(AY25:AY28)</f>
        <v/>
      </c>
      <c r="AZ29" s="516">
        <f>SUM(AZ25:AZ28)</f>
        <v/>
      </c>
      <c r="BA29" s="516">
        <f>SUM(BA25:BA28)</f>
        <v/>
      </c>
      <c r="BB29" s="516">
        <f>SUM(BB25:BB28)</f>
        <v/>
      </c>
      <c r="BC29" s="516">
        <f>SUM(BC25:BC28)</f>
        <v/>
      </c>
      <c r="BD29" s="521">
        <f>SUM(BD25:BD28)</f>
        <v/>
      </c>
      <c r="BE29" s="520">
        <f>SUM(BE25:BE28)</f>
        <v/>
      </c>
      <c r="BF29" s="516">
        <f>SUM(BF25:BF28)</f>
        <v/>
      </c>
      <c r="BG29" s="516">
        <f>SUM(BG25:BG28)</f>
        <v/>
      </c>
      <c r="BH29" s="516">
        <f>SUM(BH25:BH28)</f>
        <v/>
      </c>
      <c r="BI29" s="516">
        <f>SUM(BI25:BI28)</f>
        <v/>
      </c>
      <c r="BJ29" s="516">
        <f>SUM(BJ25:BJ28)</f>
        <v/>
      </c>
      <c r="BK29" s="516">
        <f>SUM(BK25:BK28)</f>
        <v/>
      </c>
      <c r="BL29" s="516">
        <f>SUM(BL25:BL28)</f>
        <v/>
      </c>
      <c r="BM29" s="516">
        <f>SUM(BM25:BM28)</f>
        <v/>
      </c>
      <c r="BN29" s="516">
        <f>SUM(BN25:BN28)</f>
        <v/>
      </c>
      <c r="BO29" s="516">
        <f>SUM(BO25:BO28)</f>
        <v/>
      </c>
      <c r="BP29" s="521">
        <f>SUM(BP25:BP28)</f>
        <v/>
      </c>
      <c r="BQ29" s="520">
        <f>SUM(BQ25:BQ28)</f>
        <v/>
      </c>
      <c r="BR29" s="516">
        <f>SUM(BR25:BR28)</f>
        <v/>
      </c>
      <c r="BS29" s="516">
        <f>SUM(BS25:BS28)</f>
        <v/>
      </c>
      <c r="BT29" s="516">
        <f>SUM(BT25:BT28)</f>
        <v/>
      </c>
      <c r="BU29" s="516">
        <f>SUM(BU25:BU28)</f>
        <v/>
      </c>
      <c r="BV29" s="516">
        <f>SUM(BV25:BV28)</f>
        <v/>
      </c>
      <c r="BW29" s="516">
        <f>SUM(BW25:BW28)</f>
        <v/>
      </c>
      <c r="BX29" s="516">
        <f>SUM(BX25:BX28)</f>
        <v/>
      </c>
      <c r="BY29" s="516">
        <f>SUM(BY25:BY28)</f>
        <v/>
      </c>
      <c r="BZ29" s="516">
        <f>SUM(BZ25:BZ28)</f>
        <v/>
      </c>
      <c r="CA29" s="516">
        <f>SUM(CA25:CA28)</f>
        <v/>
      </c>
      <c r="CB29" s="521">
        <f>SUM(CB25:CB28)</f>
        <v/>
      </c>
      <c r="CC29" s="520">
        <f>SUM(CC25:CC28)</f>
        <v/>
      </c>
      <c r="CD29" s="516">
        <f>SUM(CD25:CD28)</f>
        <v/>
      </c>
      <c r="CE29" s="516">
        <f>SUM(CE25:CE28)</f>
        <v/>
      </c>
      <c r="CF29" s="516">
        <f>SUM(CF25:CF28)</f>
        <v/>
      </c>
      <c r="CG29" s="516">
        <f>SUM(CG25:CG28)</f>
        <v/>
      </c>
      <c r="CH29" s="516">
        <f>SUM(CH25:CH28)</f>
        <v/>
      </c>
      <c r="CI29" s="516">
        <f>SUM(CI25:CI28)</f>
        <v/>
      </c>
      <c r="CJ29" s="516">
        <f>SUM(CJ25:CJ28)</f>
        <v/>
      </c>
      <c r="CK29" s="516">
        <f>SUM(CK25:CK28)</f>
        <v/>
      </c>
      <c r="CL29" s="516">
        <f>SUM(CL25:CL28)</f>
        <v/>
      </c>
      <c r="CM29" s="516">
        <f>SUM(CM25:CM28)</f>
        <v/>
      </c>
      <c r="CN29" s="521">
        <f>SUM(CN25:CN28)</f>
        <v/>
      </c>
      <c r="CO29" s="520">
        <f>SUM(CO25:CO28)</f>
        <v/>
      </c>
      <c r="CP29" s="516">
        <f>SUM(CP25:CP28)</f>
        <v/>
      </c>
      <c r="CQ29" s="516">
        <f>SUM(CQ25:CQ28)</f>
        <v/>
      </c>
      <c r="CR29" s="516">
        <f>SUM(CR25:CR28)</f>
        <v/>
      </c>
      <c r="CS29" s="516">
        <f>SUM(CS25:CS28)</f>
        <v/>
      </c>
      <c r="CT29" s="516">
        <f>SUM(CT25:CT28)</f>
        <v/>
      </c>
      <c r="CU29" s="516">
        <f>SUM(CU25:CU28)</f>
        <v/>
      </c>
      <c r="CV29" s="516">
        <f>SUM(CV25:CV28)</f>
        <v/>
      </c>
      <c r="CW29" s="516">
        <f>SUM(CW25:CW28)</f>
        <v/>
      </c>
      <c r="CX29" s="516">
        <f>SUM(CX25:CX28)</f>
        <v/>
      </c>
      <c r="CY29" s="516">
        <f>SUM(CY25:CY28)</f>
        <v/>
      </c>
      <c r="CZ29" s="521">
        <f>SUM(CZ25:CZ28)</f>
        <v/>
      </c>
      <c r="DA29" s="520">
        <f>SUM(DA25:DA28)</f>
        <v/>
      </c>
      <c r="DB29" s="516">
        <f>SUM(DB25:DB28)</f>
        <v/>
      </c>
      <c r="DC29" s="516">
        <f>SUM(DC25:DC28)</f>
        <v/>
      </c>
      <c r="DD29" s="516">
        <f>SUM(DD25:DD28)</f>
        <v/>
      </c>
      <c r="DE29" s="516">
        <f>SUM(DE25:DE28)</f>
        <v/>
      </c>
      <c r="DF29" s="516">
        <f>SUM(DF25:DF28)</f>
        <v/>
      </c>
      <c r="DG29" s="516">
        <f>SUM(DG25:DG28)</f>
        <v/>
      </c>
      <c r="DH29" s="516">
        <f>SUM(DH25:DH28)</f>
        <v/>
      </c>
      <c r="DI29" s="516">
        <f>SUM(DI25:DI28)</f>
        <v/>
      </c>
      <c r="DJ29" s="517">
        <f>SUM(DJ25:DJ28)</f>
        <v/>
      </c>
      <c r="DK29" s="517">
        <f>SUM(DK25:DK28)</f>
        <v/>
      </c>
      <c r="DL29" s="517">
        <f>SUM(DL25:DL28)</f>
        <v/>
      </c>
      <c r="DM29" s="517">
        <f>SUM(DM25:DM28)</f>
        <v/>
      </c>
      <c r="DN29" s="517">
        <f>SUM(DN25:DN28)</f>
        <v/>
      </c>
      <c r="DO29" s="517">
        <f>SUM(DO25:DO28)</f>
        <v/>
      </c>
      <c r="DP29" s="517">
        <f>SUM(DP25:DP28)</f>
        <v/>
      </c>
      <c r="DQ29" s="517">
        <f>SUM(DQ25:DQ28)</f>
        <v/>
      </c>
      <c r="DR29" s="517">
        <f>SUM(DR25:DR28)</f>
        <v/>
      </c>
      <c r="DS29" s="517">
        <f>SUM(DS25:DS28)</f>
        <v/>
      </c>
      <c r="DT29" s="517">
        <f>SUM(DT25:DT28)</f>
        <v/>
      </c>
      <c r="DU29" s="517">
        <f>SUM(DU25:DU28)</f>
        <v/>
      </c>
      <c r="DV29" s="517">
        <f>SUM(DV25:DV28)</f>
        <v/>
      </c>
      <c r="DW29" s="517">
        <f>SUM(DW25:DW28)</f>
        <v/>
      </c>
      <c r="DX29" s="517">
        <f>SUM(DX25:DX28)</f>
        <v/>
      </c>
      <c r="DY29" s="517">
        <f>SUM(DY25:DY28)</f>
        <v/>
      </c>
      <c r="DZ29" s="517">
        <f>SUM(DZ25:DZ28)</f>
        <v/>
      </c>
      <c r="EA29" s="517">
        <f>SUM(EA25:EA28)</f>
        <v/>
      </c>
      <c r="EB29" s="517">
        <f>SUM(EB25:EB28)</f>
        <v/>
      </c>
      <c r="EC29" s="517">
        <f>SUM(EC25:EC28)</f>
        <v/>
      </c>
      <c r="ED29" s="517">
        <f>SUM(ED25:ED28)</f>
        <v/>
      </c>
      <c r="EE29" s="517">
        <f>SUM(EE25:EE28)</f>
        <v/>
      </c>
      <c r="EF29" s="517">
        <f>SUM(EF25:EF28)</f>
        <v/>
      </c>
      <c r="EG29" s="517">
        <f>SUM(EG25:EG28)</f>
        <v/>
      </c>
      <c r="EH29" s="517">
        <f>SUM(EH25:EH28)</f>
        <v/>
      </c>
      <c r="EI29" s="517">
        <f>SUM(EI25:EI28)</f>
        <v/>
      </c>
      <c r="EJ29" s="517">
        <f>SUM(EJ25:EJ28)</f>
        <v/>
      </c>
      <c r="EK29" s="517">
        <f>SUM(EK25:EK28)</f>
        <v/>
      </c>
      <c r="EL29" s="517">
        <f>SUM(EL25:EL28)</f>
        <v/>
      </c>
      <c r="EM29" s="517">
        <f>SUM(EM25:EM28)</f>
        <v/>
      </c>
      <c r="EN29" s="517">
        <f>SUM(EN25:EN28)</f>
        <v/>
      </c>
      <c r="EO29" s="517">
        <f>SUM(EO25:EO28)</f>
        <v/>
      </c>
      <c r="EP29" s="517">
        <f>SUM(EP25:EP28)</f>
        <v/>
      </c>
      <c r="EQ29" s="517">
        <f>SUM(EQ25:EQ28)</f>
        <v/>
      </c>
      <c r="ER29" s="517">
        <f>SUM(ER25:ER28)</f>
        <v/>
      </c>
      <c r="ES29" s="517">
        <f>SUM(ES25:ES28)</f>
        <v/>
      </c>
      <c r="ET29" s="517">
        <f>SUM(ET25:ET28)</f>
        <v/>
      </c>
      <c r="EU29" s="517">
        <f>SUM(EU25:EU28)</f>
        <v/>
      </c>
      <c r="EV29" s="517">
        <f>SUM(EV25:EV28)</f>
        <v/>
      </c>
      <c r="EW29" s="517">
        <f>SUM(EW25:EW28)</f>
        <v/>
      </c>
      <c r="EX29" s="517">
        <f>SUM(EX25:EX28)</f>
        <v/>
      </c>
      <c r="EY29" s="517">
        <f>SUM(EY25:EY28)</f>
        <v/>
      </c>
      <c r="EZ29" s="517">
        <f>SUM(EZ25:EZ28)</f>
        <v/>
      </c>
      <c r="FA29" s="517">
        <f>SUM(FA25:FA28)</f>
        <v/>
      </c>
      <c r="FB29" s="517">
        <f>SUM(FB25:FB28)</f>
        <v/>
      </c>
      <c r="FC29" s="517">
        <f>SUM(FC25:FC28)</f>
        <v/>
      </c>
      <c r="FD29" s="517">
        <f>SUM(FD25:FD28)</f>
        <v/>
      </c>
      <c r="FE29" s="517">
        <f>SUM(FE25:FE28)</f>
        <v/>
      </c>
      <c r="FF29" s="517">
        <f>SUM(FF25:FF28)</f>
        <v/>
      </c>
      <c r="FG29" s="517">
        <f>SUM(FG25:FG28)</f>
        <v/>
      </c>
      <c r="FH29" s="517">
        <f>SUM(FH25:FH28)</f>
        <v/>
      </c>
      <c r="FI29" s="517">
        <f>SUM(FI25:FI28)</f>
        <v/>
      </c>
      <c r="FJ29" s="517">
        <f>SUM(FJ25:FJ28)</f>
        <v/>
      </c>
      <c r="FK29" s="517">
        <f>SUM(FK25:FK28)</f>
        <v/>
      </c>
      <c r="FL29" s="517">
        <f>SUM(FL25:FL28)</f>
        <v/>
      </c>
      <c r="FM29" s="517">
        <f>SUM(FM25:FM28)</f>
        <v/>
      </c>
      <c r="FN29" s="517">
        <f>SUM(FN25:FN28)</f>
        <v/>
      </c>
      <c r="FO29" s="517">
        <f>SUM(FO25:FO28)</f>
        <v/>
      </c>
      <c r="FP29" s="517">
        <f>SUM(FP25:FP28)</f>
        <v/>
      </c>
      <c r="FQ29" s="517">
        <f>SUM(FQ25:FQ28)</f>
        <v/>
      </c>
      <c r="FR29" s="517">
        <f>SUM(FR25:FR28)</f>
        <v/>
      </c>
      <c r="FS29" s="517">
        <f>SUM(FS25:FS28)</f>
        <v/>
      </c>
      <c r="FT29" s="517">
        <f>SUM(FT25:FT28)</f>
        <v/>
      </c>
      <c r="FU29" s="517">
        <f>SUM(FU25:FU28)</f>
        <v/>
      </c>
      <c r="FV29" s="517">
        <f>SUM(FV25:FV28)</f>
        <v/>
      </c>
      <c r="FW29" s="517">
        <f>SUM(FW25:FW28)</f>
        <v/>
      </c>
      <c r="FX29" s="517">
        <f>SUM(FX25:FX28)</f>
        <v/>
      </c>
      <c r="FY29" s="517">
        <f>SUM(FY25:FY28)</f>
        <v/>
      </c>
      <c r="FZ29" s="517">
        <f>SUM(FZ25:FZ28)</f>
        <v/>
      </c>
      <c r="GA29" s="517">
        <f>SUM(GA25:GA28)</f>
        <v/>
      </c>
      <c r="GB29" s="517">
        <f>SUM(GB25:GB28)</f>
        <v/>
      </c>
      <c r="GC29" s="517">
        <f>SUM(GC25:GC28)</f>
        <v/>
      </c>
      <c r="GD29" s="517">
        <f>SUM(GD25:GD28)</f>
        <v/>
      </c>
      <c r="GE29" s="517">
        <f>SUM(GE25:GE28)</f>
        <v/>
      </c>
      <c r="GF29" s="517">
        <f>SUM(GF25:GF28)</f>
        <v/>
      </c>
      <c r="GG29" s="517">
        <f>SUM(GG25:GG28)</f>
        <v/>
      </c>
      <c r="GH29" s="517">
        <f>SUM(GH25:GH28)</f>
        <v/>
      </c>
      <c r="GI29" s="517">
        <f>SUM(GI25:GI28)</f>
        <v/>
      </c>
      <c r="GJ29" s="517">
        <f>SUM(GJ25:GJ28)</f>
        <v/>
      </c>
      <c r="GK29" s="517">
        <f>SUM(GK25:GK28)</f>
        <v/>
      </c>
      <c r="GL29" s="517">
        <f>SUM(GL25:GL28)</f>
        <v/>
      </c>
      <c r="GM29" s="517">
        <f>SUM(GM25:GM28)</f>
        <v/>
      </c>
      <c r="GN29" s="517">
        <f>SUM(GN25:GN28)</f>
        <v/>
      </c>
      <c r="GO29" s="517">
        <f>SUM(GO25:GO28)</f>
        <v/>
      </c>
      <c r="GP29" s="517">
        <f>SUM(GP25:GP28)</f>
        <v/>
      </c>
      <c r="GQ29" s="517">
        <f>SUM(GQ25:GQ28)</f>
        <v/>
      </c>
      <c r="GR29" s="517">
        <f>SUM(GR25:GR28)</f>
        <v/>
      </c>
      <c r="GS29" s="517">
        <f>SUM(GS25:GS28)</f>
        <v/>
      </c>
      <c r="GT29" s="517">
        <f>SUM(GT25:GT28)</f>
        <v/>
      </c>
      <c r="GU29" s="517">
        <f>SUM(GU25:GU28)</f>
        <v/>
      </c>
      <c r="GV29" s="517">
        <f>SUM(GV25:GV28)</f>
        <v/>
      </c>
      <c r="GW29" s="517">
        <f>SUM(GW25:GW28)</f>
        <v/>
      </c>
      <c r="GX29" s="517">
        <f>SUM(GX25:GX28)</f>
        <v/>
      </c>
      <c r="GY29" s="517">
        <f>SUM(GY25:GY28)</f>
        <v/>
      </c>
      <c r="GZ29" s="517">
        <f>SUM(GZ25:GZ28)</f>
        <v/>
      </c>
      <c r="HA29" s="517">
        <f>SUM(HA25:HA28)</f>
        <v/>
      </c>
      <c r="HB29" s="517">
        <f>SUM(HB25:HB28)</f>
        <v/>
      </c>
      <c r="HC29" s="517">
        <f>SUM(HC25:HC28)</f>
        <v/>
      </c>
      <c r="HD29" s="517">
        <f>SUM(HD25:HD28)</f>
        <v/>
      </c>
      <c r="HE29" s="517">
        <f>SUM(HE25:HE28)</f>
        <v/>
      </c>
      <c r="HF29" s="517">
        <f>SUM(HF25:HF28)</f>
        <v/>
      </c>
      <c r="HG29" s="517">
        <f>SUM(HG25:HG28)</f>
        <v/>
      </c>
      <c r="HH29" s="517">
        <f>SUM(HH25:HH28)</f>
        <v/>
      </c>
      <c r="HI29" s="517">
        <f>SUM(HI25:HI28)</f>
        <v/>
      </c>
      <c r="HJ29" s="517">
        <f>SUM(HJ25:HJ28)</f>
        <v/>
      </c>
      <c r="HK29" s="517">
        <f>SUM(HK25:HK28)</f>
        <v/>
      </c>
      <c r="HL29" s="517">
        <f>SUM(HL25:HL28)</f>
        <v/>
      </c>
      <c r="HM29" s="517">
        <f>SUM(HM25:HM28)</f>
        <v/>
      </c>
      <c r="HN29" s="517">
        <f>SUM(HN25:HN28)</f>
        <v/>
      </c>
      <c r="HO29" s="517">
        <f>SUM(HO25:HO28)</f>
        <v/>
      </c>
      <c r="HP29" s="517">
        <f>SUM(HP25:HP28)</f>
        <v/>
      </c>
      <c r="HQ29" s="517">
        <f>SUM(HQ25:HQ28)</f>
        <v/>
      </c>
      <c r="HR29" s="517">
        <f>SUM(HR25:HR28)</f>
        <v/>
      </c>
      <c r="HS29" s="517">
        <f>SUM(HS25:HS28)</f>
        <v/>
      </c>
      <c r="HT29" s="517">
        <f>SUM(HT25:HT28)</f>
        <v/>
      </c>
      <c r="HU29" s="517">
        <f>SUM(HU25:HU28)</f>
        <v/>
      </c>
      <c r="JF29" s="516">
        <f>AP29</f>
        <v/>
      </c>
      <c r="JG29" s="516">
        <f>SUM(Z29:AK29)</f>
        <v/>
      </c>
      <c r="JH29" s="516">
        <f>SUM(AL29:AP29)</f>
        <v/>
      </c>
      <c r="JI29" s="516">
        <f>SUM(C29:AP29)</f>
        <v/>
      </c>
      <c r="JJ29" s="446" t="n"/>
      <c r="JM29" s="517" t="n">
        <v>-250344.3495177614</v>
      </c>
      <c r="KG29" s="137">
        <f>B29</f>
        <v/>
      </c>
      <c r="KH29" s="332">
        <f>AR29</f>
        <v/>
      </c>
    </row>
    <row r="30" ht="6.75" customHeight="1" thickBot="1">
      <c r="A30" s="88" t="n"/>
      <c r="B30" s="138" t="n"/>
      <c r="C30" s="522" t="n"/>
      <c r="D30" s="522" t="n"/>
      <c r="E30" s="522" t="n"/>
      <c r="F30" s="522" t="n"/>
      <c r="G30" s="522" t="n"/>
      <c r="H30" s="522" t="n"/>
      <c r="I30" s="522" t="n"/>
      <c r="J30" s="523" t="n"/>
      <c r="K30" s="522" t="n"/>
      <c r="L30" s="522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524" t="n"/>
      <c r="AI30" s="524" t="n"/>
      <c r="AJ30" s="524" t="n"/>
      <c r="AK30" s="524" t="n"/>
      <c r="AL30" s="524" t="n"/>
      <c r="AM30" s="524" t="n"/>
      <c r="AN30" s="524" t="n"/>
      <c r="AO30" s="524" t="n"/>
      <c r="AP30" s="524" t="n"/>
      <c r="AQ30" s="13" t="n"/>
      <c r="AR30" s="240" t="n"/>
      <c r="AS30" s="13" t="n"/>
      <c r="AT30" s="522" t="n"/>
      <c r="AU30" s="522" t="n"/>
      <c r="AV30" s="522" t="n"/>
      <c r="AW30" s="522" t="n"/>
      <c r="AX30" s="522" t="n"/>
      <c r="AY30" s="522" t="n"/>
      <c r="AZ30" s="522" t="n"/>
      <c r="BA30" s="522" t="n"/>
      <c r="BB30" s="522" t="n"/>
      <c r="BC30" s="522" t="n"/>
      <c r="BD30" s="525" t="n"/>
      <c r="BE30" s="522" t="n"/>
      <c r="BF30" s="522" t="n"/>
      <c r="BG30" s="522" t="n"/>
      <c r="BH30" s="522" t="n"/>
      <c r="BI30" s="522" t="n"/>
      <c r="BJ30" s="522" t="n"/>
      <c r="BK30" s="522" t="n"/>
      <c r="BL30" s="522" t="n"/>
      <c r="BM30" s="522" t="n"/>
      <c r="BN30" s="522" t="n"/>
      <c r="BO30" s="522" t="n"/>
      <c r="BP30" s="525" t="n"/>
      <c r="BQ30" s="522" t="n"/>
      <c r="BR30" s="522" t="n"/>
      <c r="BS30" s="522" t="n"/>
      <c r="BT30" s="522" t="n"/>
      <c r="BU30" s="522" t="n"/>
      <c r="BV30" s="522" t="n"/>
      <c r="BW30" s="522" t="n"/>
      <c r="BX30" s="522" t="n"/>
      <c r="BY30" s="522" t="n"/>
      <c r="BZ30" s="522" t="n"/>
      <c r="CA30" s="522" t="n"/>
      <c r="CB30" s="525" t="n"/>
      <c r="CC30" s="522" t="n"/>
      <c r="CD30" s="522" t="n"/>
      <c r="CE30" s="522" t="n"/>
      <c r="CF30" s="522" t="n"/>
      <c r="CG30" s="522" t="n"/>
      <c r="CH30" s="522" t="n"/>
      <c r="CI30" s="522" t="n"/>
      <c r="CJ30" s="522" t="n"/>
      <c r="CK30" s="522" t="n"/>
      <c r="CL30" s="522" t="n"/>
      <c r="CM30" s="522" t="n"/>
      <c r="CN30" s="525" t="n"/>
      <c r="CO30" s="522" t="n"/>
      <c r="CP30" s="522" t="n"/>
      <c r="CQ30" s="522" t="n"/>
      <c r="CR30" s="522" t="n"/>
      <c r="CS30" s="522" t="n"/>
      <c r="CT30" s="522" t="n"/>
      <c r="CU30" s="522" t="n"/>
      <c r="CV30" s="522" t="n"/>
      <c r="CW30" s="522" t="n"/>
      <c r="CX30" s="522" t="n"/>
      <c r="CY30" s="522" t="n"/>
      <c r="CZ30" s="525" t="n"/>
      <c r="DA30" s="522" t="n"/>
      <c r="DB30" s="522" t="n"/>
      <c r="DC30" s="522" t="n"/>
      <c r="DD30" s="522" t="n"/>
      <c r="DE30" s="522" t="n"/>
      <c r="DF30" s="522" t="n"/>
      <c r="DG30" s="522" t="n"/>
      <c r="DH30" s="522" t="n"/>
      <c r="DI30" s="522" t="n"/>
      <c r="DJ30" s="522" t="n"/>
      <c r="DK30" s="522" t="n"/>
      <c r="DL30" s="522" t="n"/>
      <c r="DM30" s="522" t="n"/>
      <c r="DN30" s="522" t="n"/>
      <c r="DO30" s="522" t="n"/>
      <c r="DP30" s="522" t="n"/>
      <c r="DQ30" s="522" t="n"/>
      <c r="DR30" s="522" t="n"/>
      <c r="DS30" s="522" t="n"/>
      <c r="DT30" s="522" t="n"/>
      <c r="DU30" s="522" t="n"/>
      <c r="DV30" s="522" t="n"/>
      <c r="DW30" s="522" t="n"/>
      <c r="DX30" s="522" t="n"/>
      <c r="DY30" s="522" t="n"/>
      <c r="DZ30" s="522" t="n"/>
      <c r="EA30" s="522" t="n"/>
      <c r="EB30" s="522" t="n"/>
      <c r="EC30" s="522" t="n"/>
      <c r="ED30" s="522" t="n"/>
      <c r="EE30" s="522" t="n"/>
      <c r="EF30" s="522" t="n"/>
      <c r="EG30" s="522" t="n"/>
      <c r="EH30" s="522" t="n"/>
      <c r="EI30" s="522" t="n"/>
      <c r="EJ30" s="522" t="n"/>
      <c r="EK30" s="522" t="n"/>
      <c r="EL30" s="522" t="n"/>
      <c r="EM30" s="522" t="n"/>
      <c r="EN30" s="522" t="n"/>
      <c r="EO30" s="522" t="n"/>
      <c r="EP30" s="522" t="n"/>
      <c r="EQ30" s="522" t="n"/>
      <c r="ER30" s="522" t="n"/>
      <c r="ES30" s="522" t="n"/>
      <c r="ET30" s="522" t="n"/>
      <c r="EU30" s="522" t="n"/>
      <c r="EV30" s="522" t="n"/>
      <c r="EW30" s="522" t="n"/>
      <c r="EX30" s="522" t="n"/>
      <c r="EY30" s="522" t="n"/>
      <c r="EZ30" s="522" t="n"/>
      <c r="FA30" s="522" t="n"/>
      <c r="FB30" s="522" t="n"/>
      <c r="FC30" s="522" t="n"/>
      <c r="FD30" s="522" t="n"/>
      <c r="FE30" s="522" t="n"/>
      <c r="FF30" s="522" t="n"/>
      <c r="FG30" s="522" t="n"/>
      <c r="FH30" s="522" t="n"/>
      <c r="FI30" s="522" t="n"/>
      <c r="FJ30" s="522" t="n"/>
      <c r="FK30" s="522" t="n"/>
      <c r="FL30" s="522" t="n"/>
      <c r="FM30" s="522" t="n"/>
      <c r="FN30" s="522" t="n"/>
      <c r="FO30" s="522" t="n"/>
      <c r="FP30" s="522" t="n"/>
      <c r="FQ30" s="522" t="n"/>
      <c r="FR30" s="522" t="n"/>
      <c r="FS30" s="522" t="n"/>
      <c r="FT30" s="522" t="n"/>
      <c r="FU30" s="522" t="n"/>
      <c r="FV30" s="522" t="n"/>
      <c r="FW30" s="522" t="n"/>
      <c r="FX30" s="522" t="n"/>
      <c r="FY30" s="522" t="n"/>
      <c r="FZ30" s="522" t="n"/>
      <c r="GA30" s="522" t="n"/>
      <c r="GB30" s="522" t="n"/>
      <c r="GC30" s="522" t="n"/>
      <c r="GD30" s="522" t="n"/>
      <c r="GE30" s="522" t="n"/>
      <c r="GF30" s="522" t="n"/>
      <c r="GG30" s="522" t="n"/>
      <c r="GH30" s="522" t="n"/>
      <c r="GI30" s="522" t="n"/>
      <c r="GJ30" s="522" t="n"/>
      <c r="GK30" s="522" t="n"/>
      <c r="GL30" s="522" t="n"/>
      <c r="GM30" s="522" t="n"/>
      <c r="GN30" s="522" t="n"/>
      <c r="GO30" s="522" t="n"/>
      <c r="GP30" s="522" t="n"/>
      <c r="GQ30" s="522" t="n"/>
      <c r="GR30" s="522" t="n"/>
      <c r="GS30" s="522" t="n"/>
      <c r="GT30" s="522" t="n"/>
      <c r="GU30" s="522" t="n"/>
      <c r="GV30" s="522" t="n"/>
      <c r="GW30" s="522" t="n"/>
      <c r="GX30" s="522" t="n"/>
      <c r="GY30" s="522" t="n"/>
      <c r="GZ30" s="522" t="n"/>
      <c r="HA30" s="522" t="n"/>
      <c r="HB30" s="522" t="n"/>
      <c r="HC30" s="522" t="n"/>
      <c r="HD30" s="522" t="n"/>
      <c r="HE30" s="522" t="n"/>
      <c r="HF30" s="522" t="n"/>
      <c r="HG30" s="522" t="n"/>
      <c r="HH30" s="522" t="n"/>
      <c r="HI30" s="522" t="n"/>
      <c r="HJ30" s="522" t="n"/>
      <c r="HK30" s="522" t="n"/>
      <c r="HL30" s="522" t="n"/>
      <c r="HM30" s="522" t="n"/>
      <c r="HN30" s="522" t="n"/>
      <c r="HO30" s="522" t="n"/>
      <c r="HP30" s="522" t="n"/>
      <c r="HQ30" s="522" t="n"/>
      <c r="HR30" s="522" t="n"/>
      <c r="HS30" s="522" t="n"/>
      <c r="HT30" s="522" t="n"/>
      <c r="HU30" s="522" t="n"/>
      <c r="JF30" s="522">
        <f>AP30</f>
        <v/>
      </c>
      <c r="JG30" s="522">
        <f>SUM(Z30:AK30)</f>
        <v/>
      </c>
      <c r="JH30" s="522">
        <f>SUM(AL30:AP30)</f>
        <v/>
      </c>
      <c r="JI30" s="522">
        <f>SUM(C30:AP30)</f>
        <v/>
      </c>
      <c r="JJ30" s="446" t="n"/>
      <c r="JM30" s="522" t="n"/>
      <c r="KG30" s="138">
        <f>B30</f>
        <v/>
      </c>
      <c r="KH30" s="240">
        <f>AR30</f>
        <v/>
      </c>
    </row>
    <row r="31" ht="16.2" customHeight="1">
      <c r="A31" s="19" t="inlineStr">
        <is>
          <t>ITBI + IPTU ESTOQUE(-)</t>
        </is>
      </c>
      <c r="B31" s="139" t="n"/>
      <c r="C31" s="20" t="n"/>
      <c r="D31" s="22" t="n"/>
      <c r="E31" s="20" t="n"/>
      <c r="F31" s="20" t="n"/>
      <c r="G31" s="20" t="n"/>
      <c r="H31" s="20" t="n"/>
      <c r="I31" s="21" t="n"/>
      <c r="J31" s="175" t="n"/>
      <c r="K31" s="21" t="n"/>
      <c r="L31" s="108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  <c r="AL31" s="220" t="n"/>
      <c r="AM31" s="220" t="n"/>
      <c r="AN31" s="220" t="n"/>
      <c r="AO31" s="220" t="n"/>
      <c r="AP31" s="220" t="n"/>
      <c r="AQ31" s="200" t="n"/>
      <c r="AR31" s="334" t="n"/>
      <c r="AS31" s="20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99" t="n"/>
      <c r="BE31" s="22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99" t="n"/>
      <c r="BQ31" s="22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99" t="n"/>
      <c r="CC31" s="22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99" t="n"/>
      <c r="CO31" s="22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320" t="n"/>
      <c r="DA31" s="22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1" t="n"/>
      <c r="DK31" s="20" t="n"/>
      <c r="DL31" s="21" t="n"/>
      <c r="DM31" s="20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1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1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1" t="n"/>
      <c r="GI31" s="21" t="n"/>
      <c r="GJ31" s="21" t="n"/>
      <c r="GK31" s="21" t="n"/>
      <c r="GL31" s="21" t="n"/>
      <c r="GM31" s="21" t="n"/>
      <c r="GN31" s="21" t="n"/>
      <c r="GO31" s="21" t="n"/>
      <c r="GP31" s="21" t="n"/>
      <c r="GQ31" s="21" t="n"/>
      <c r="GR31" s="21" t="n"/>
      <c r="GS31" s="21" t="n"/>
      <c r="GT31" s="21" t="n"/>
      <c r="GU31" s="21" t="n"/>
      <c r="GV31" s="21" t="n"/>
      <c r="GW31" s="21" t="n"/>
      <c r="GX31" s="21" t="n"/>
      <c r="GY31" s="21" t="n"/>
      <c r="GZ31" s="21" t="n"/>
      <c r="HA31" s="21" t="n"/>
      <c r="HB31" s="21" t="n"/>
      <c r="HC31" s="21" t="n"/>
      <c r="HD31" s="21" t="n"/>
      <c r="HE31" s="21" t="n"/>
      <c r="HF31" s="21" t="n"/>
      <c r="HG31" s="21" t="n"/>
      <c r="HH31" s="21" t="n"/>
      <c r="HI31" s="21" t="n"/>
      <c r="HJ31" s="21" t="n"/>
      <c r="HK31" s="21" t="n"/>
      <c r="HL31" s="21" t="n"/>
      <c r="HM31" s="21" t="n"/>
      <c r="HN31" s="21" t="n"/>
      <c r="HO31" s="21" t="n"/>
      <c r="HP31" s="21" t="n"/>
      <c r="HQ31" s="21" t="n"/>
      <c r="HR31" s="21" t="n"/>
      <c r="HS31" s="21" t="n"/>
      <c r="HT31" s="21" t="n"/>
      <c r="HU31" s="21" t="n"/>
      <c r="JF31" s="20">
        <f>AP31</f>
        <v/>
      </c>
      <c r="JG31" s="20">
        <f>SUM(Z31:AK31)</f>
        <v/>
      </c>
      <c r="JH31" s="20">
        <f>SUM(AL31:AP31)</f>
        <v/>
      </c>
      <c r="JI31" s="20">
        <f>SUM(C31:AP31)</f>
        <v/>
      </c>
      <c r="JJ31" s="446" t="n"/>
      <c r="JM31" s="21" t="n"/>
      <c r="KG31" s="139">
        <f>B31</f>
        <v/>
      </c>
      <c r="KH31" s="334">
        <f>AR31</f>
        <v/>
      </c>
    </row>
    <row r="32" ht="15.75" customHeight="1">
      <c r="A32" s="7" t="inlineStr">
        <is>
          <t>ITBI</t>
        </is>
      </c>
      <c r="B32" s="136">
        <f>SUM(C32:AP32)</f>
        <v/>
      </c>
      <c r="C32" s="85" t="n"/>
      <c r="D32" s="87" t="n"/>
      <c r="E32" s="85" t="n"/>
      <c r="F32" s="85" t="n"/>
      <c r="G32" s="85" t="n"/>
      <c r="H32" s="85" t="n"/>
      <c r="I32" s="86" t="n"/>
      <c r="J32" s="218" t="n"/>
      <c r="K32" s="113" t="n"/>
      <c r="L32" s="122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0" t="n"/>
      <c r="X32" s="219" t="n"/>
      <c r="Y32" s="219" t="n"/>
      <c r="Z32" s="219" t="n"/>
      <c r="AA32" s="219" t="n"/>
      <c r="AB32" s="219" t="n"/>
      <c r="AC32" s="219" t="n"/>
      <c r="AD32" s="219">
        <f>-425723.20325</f>
        <v/>
      </c>
      <c r="AE32" s="219" t="n">
        <v>-169878.95</v>
      </c>
      <c r="AF32" s="219" t="n">
        <v>-233674.3</v>
      </c>
      <c r="AG32" s="219" t="n">
        <v>-164053.77</v>
      </c>
      <c r="AH32" s="219" t="n">
        <v>-88145.00999999999</v>
      </c>
      <c r="AI32" s="219" t="n">
        <v>-72316.23</v>
      </c>
      <c r="AJ32" s="219" t="n">
        <v>-116408.21</v>
      </c>
      <c r="AK32" s="219" t="n">
        <v>-93487.63</v>
      </c>
      <c r="AL32" s="219" t="n">
        <v>-225000.78</v>
      </c>
      <c r="AM32" s="219" t="n">
        <v>-144626.49</v>
      </c>
      <c r="AN32" s="219" t="n">
        <v>-113015.4</v>
      </c>
      <c r="AO32" s="219" t="n">
        <v>-73115.61</v>
      </c>
      <c r="AP32" s="219" t="n">
        <v>-100151.9</v>
      </c>
      <c r="AQ32" s="13" t="n"/>
      <c r="AR32" s="345">
        <f>SUM(AT32:HU32)</f>
        <v/>
      </c>
      <c r="AS32" s="13" t="n"/>
      <c r="AT32" s="87">
        <f>-(B8+B32)/3</f>
        <v/>
      </c>
      <c r="AU32" s="87">
        <f>AT32</f>
        <v/>
      </c>
      <c r="AV32" s="87">
        <f>AU32</f>
        <v/>
      </c>
      <c r="AW32" s="87" t="n">
        <v>0</v>
      </c>
      <c r="AX32" s="87" t="n">
        <v>0</v>
      </c>
      <c r="AY32" s="87" t="n">
        <v>0</v>
      </c>
      <c r="AZ32" s="87" t="n">
        <v>0</v>
      </c>
      <c r="BA32" s="87" t="n">
        <v>0</v>
      </c>
      <c r="BB32" s="87" t="n">
        <v>0</v>
      </c>
      <c r="BC32" s="87" t="n">
        <v>0</v>
      </c>
      <c r="BD32" s="87" t="n">
        <v>0</v>
      </c>
      <c r="BE32" s="87" t="n">
        <v>0</v>
      </c>
      <c r="BF32" s="87" t="n">
        <v>0</v>
      </c>
      <c r="BG32" s="87" t="n">
        <v>0</v>
      </c>
      <c r="BH32" s="87" t="n">
        <v>0</v>
      </c>
      <c r="BI32" s="87" t="n">
        <v>0</v>
      </c>
      <c r="BJ32" s="87" t="n">
        <v>0</v>
      </c>
      <c r="BK32" s="87" t="n">
        <v>0</v>
      </c>
      <c r="BL32" s="87" t="n">
        <v>0</v>
      </c>
      <c r="BM32" s="87" t="n">
        <v>0</v>
      </c>
      <c r="BN32" s="87" t="n">
        <v>0</v>
      </c>
      <c r="BO32" s="87" t="n">
        <v>0</v>
      </c>
      <c r="BP32" s="87" t="n">
        <v>0</v>
      </c>
      <c r="BQ32" s="87" t="n">
        <v>0</v>
      </c>
      <c r="BR32" s="87" t="n">
        <v>0</v>
      </c>
      <c r="BS32" s="87" t="n">
        <v>0</v>
      </c>
      <c r="BT32" s="87" t="n">
        <v>0</v>
      </c>
      <c r="BU32" s="87" t="n">
        <v>0</v>
      </c>
      <c r="BV32" s="87" t="n">
        <v>0</v>
      </c>
      <c r="BW32" s="87" t="n">
        <v>0</v>
      </c>
      <c r="BX32" s="87" t="n">
        <v>0</v>
      </c>
      <c r="BY32" s="87" t="n">
        <v>0</v>
      </c>
      <c r="BZ32" s="87" t="n">
        <v>0</v>
      </c>
      <c r="CA32" s="87" t="n">
        <v>0</v>
      </c>
      <c r="CB32" s="87" t="n">
        <v>0</v>
      </c>
      <c r="CC32" s="87" t="n">
        <v>0</v>
      </c>
      <c r="CD32" s="87" t="n">
        <v>0</v>
      </c>
      <c r="CE32" s="87" t="n">
        <v>0</v>
      </c>
      <c r="CF32" s="87" t="n">
        <v>0</v>
      </c>
      <c r="CG32" s="87" t="n">
        <v>0</v>
      </c>
      <c r="CH32" s="87" t="n">
        <v>0</v>
      </c>
      <c r="CI32" s="87" t="n">
        <v>0</v>
      </c>
      <c r="CJ32" s="87" t="n">
        <v>0</v>
      </c>
      <c r="CK32" s="87" t="n">
        <v>0</v>
      </c>
      <c r="CL32" s="87" t="n">
        <v>0</v>
      </c>
      <c r="CM32" s="87" t="n">
        <v>0</v>
      </c>
      <c r="CN32" s="87" t="n">
        <v>0</v>
      </c>
      <c r="CO32" s="87" t="n">
        <v>0</v>
      </c>
      <c r="CP32" s="87" t="n">
        <v>0</v>
      </c>
      <c r="CQ32" s="87" t="n">
        <v>0</v>
      </c>
      <c r="CR32" s="87" t="n">
        <v>0</v>
      </c>
      <c r="CS32" s="87" t="n">
        <v>0</v>
      </c>
      <c r="CT32" s="87" t="n">
        <v>0</v>
      </c>
      <c r="CU32" s="87" t="n">
        <v>0</v>
      </c>
      <c r="CV32" s="87" t="n">
        <v>0</v>
      </c>
      <c r="CW32" s="87" t="n">
        <v>0</v>
      </c>
      <c r="CX32" s="87" t="n">
        <v>0</v>
      </c>
      <c r="CY32" s="87" t="n">
        <v>0</v>
      </c>
      <c r="CZ32" s="87" t="n">
        <v>0</v>
      </c>
      <c r="DA32" s="87" t="n">
        <v>0</v>
      </c>
      <c r="DB32" s="87" t="n">
        <v>0</v>
      </c>
      <c r="DC32" s="87" t="n">
        <v>0</v>
      </c>
      <c r="DD32" s="87" t="n">
        <v>0</v>
      </c>
      <c r="DE32" s="87" t="n">
        <v>0</v>
      </c>
      <c r="DF32" s="87" t="n">
        <v>0</v>
      </c>
      <c r="DG32" s="87" t="n">
        <v>0</v>
      </c>
      <c r="DH32" s="87" t="n">
        <v>0</v>
      </c>
      <c r="DI32" s="87" t="n">
        <v>0</v>
      </c>
      <c r="DJ32" s="87" t="n">
        <v>0</v>
      </c>
      <c r="DK32" s="87" t="n">
        <v>0</v>
      </c>
      <c r="DL32" s="87" t="n">
        <v>0</v>
      </c>
      <c r="DM32" s="87" t="n">
        <v>0</v>
      </c>
      <c r="DN32" s="87" t="n">
        <v>0</v>
      </c>
      <c r="DO32" s="87" t="n">
        <v>0</v>
      </c>
      <c r="DP32" s="87" t="n">
        <v>0</v>
      </c>
      <c r="DQ32" s="87" t="n">
        <v>0</v>
      </c>
      <c r="DR32" s="87" t="n">
        <v>0</v>
      </c>
      <c r="DS32" s="87" t="n">
        <v>0</v>
      </c>
      <c r="DT32" s="87" t="n">
        <v>0</v>
      </c>
      <c r="DU32" s="87" t="n">
        <v>0</v>
      </c>
      <c r="DV32" s="87" t="n">
        <v>0</v>
      </c>
      <c r="DW32" s="87" t="n">
        <v>0</v>
      </c>
      <c r="DX32" s="87" t="n">
        <v>0</v>
      </c>
      <c r="DY32" s="87" t="n">
        <v>0</v>
      </c>
      <c r="DZ32" s="87" t="n">
        <v>0</v>
      </c>
      <c r="EA32" s="87" t="n">
        <v>0</v>
      </c>
      <c r="EB32" s="87" t="n">
        <v>0</v>
      </c>
      <c r="EC32" s="87" t="n">
        <v>0</v>
      </c>
      <c r="ED32" s="87" t="n">
        <v>0</v>
      </c>
      <c r="EE32" s="87" t="n">
        <v>0</v>
      </c>
      <c r="EF32" s="87" t="n">
        <v>0</v>
      </c>
      <c r="EG32" s="87" t="n">
        <v>0</v>
      </c>
      <c r="EH32" s="87" t="n">
        <v>0</v>
      </c>
      <c r="EI32" s="87" t="n">
        <v>0</v>
      </c>
      <c r="EJ32" s="87" t="n">
        <v>0</v>
      </c>
      <c r="EK32" s="87" t="n">
        <v>0</v>
      </c>
      <c r="EL32" s="87" t="n">
        <v>0</v>
      </c>
      <c r="EM32" s="87" t="n">
        <v>0</v>
      </c>
      <c r="EN32" s="87" t="n">
        <v>0</v>
      </c>
      <c r="EO32" s="87" t="n">
        <v>0</v>
      </c>
      <c r="EP32" s="87" t="n">
        <v>0</v>
      </c>
      <c r="EQ32" s="87" t="n">
        <v>0</v>
      </c>
      <c r="ER32" s="87" t="n">
        <v>0</v>
      </c>
      <c r="ES32" s="87" t="n">
        <v>0</v>
      </c>
      <c r="ET32" s="87" t="n">
        <v>0</v>
      </c>
      <c r="EU32" s="87" t="n">
        <v>0</v>
      </c>
      <c r="EV32" s="87" t="n">
        <v>0</v>
      </c>
      <c r="EW32" s="87" t="n">
        <v>0</v>
      </c>
      <c r="EX32" s="87" t="n">
        <v>0</v>
      </c>
      <c r="EY32" s="87" t="n">
        <v>0</v>
      </c>
      <c r="EZ32" s="87" t="n">
        <v>0</v>
      </c>
      <c r="FA32" s="87" t="n">
        <v>0</v>
      </c>
      <c r="FB32" s="87" t="n">
        <v>0</v>
      </c>
      <c r="FC32" s="87" t="n">
        <v>0</v>
      </c>
      <c r="FD32" s="87" t="n">
        <v>0</v>
      </c>
      <c r="FE32" s="87" t="n">
        <v>0</v>
      </c>
      <c r="FF32" s="87" t="n">
        <v>0</v>
      </c>
      <c r="FG32" s="87" t="n">
        <v>0</v>
      </c>
      <c r="FH32" s="87" t="n">
        <v>0</v>
      </c>
      <c r="FI32" s="87" t="n">
        <v>0</v>
      </c>
      <c r="FJ32" s="87" t="n">
        <v>0</v>
      </c>
      <c r="FK32" s="87" t="n">
        <v>0</v>
      </c>
      <c r="FL32" s="87" t="n">
        <v>0</v>
      </c>
      <c r="FM32" s="87" t="n">
        <v>0</v>
      </c>
      <c r="FN32" s="87" t="n">
        <v>0</v>
      </c>
      <c r="FO32" s="87" t="n">
        <v>0</v>
      </c>
      <c r="FP32" s="87" t="n">
        <v>0</v>
      </c>
      <c r="FQ32" s="87" t="n">
        <v>0</v>
      </c>
      <c r="FR32" s="87" t="n">
        <v>0</v>
      </c>
      <c r="FS32" s="87" t="n">
        <v>0</v>
      </c>
      <c r="FT32" s="87" t="n">
        <v>0</v>
      </c>
      <c r="FU32" s="87" t="n">
        <v>0</v>
      </c>
      <c r="FV32" s="87" t="n">
        <v>0</v>
      </c>
      <c r="FW32" s="87" t="n">
        <v>0</v>
      </c>
      <c r="FX32" s="87" t="n">
        <v>0</v>
      </c>
      <c r="FY32" s="87" t="n">
        <v>0</v>
      </c>
      <c r="FZ32" s="87" t="n">
        <v>0</v>
      </c>
      <c r="GA32" s="87" t="n">
        <v>0</v>
      </c>
      <c r="GB32" s="87" t="n">
        <v>0</v>
      </c>
      <c r="GC32" s="87" t="n">
        <v>0</v>
      </c>
      <c r="GD32" s="87" t="n">
        <v>0</v>
      </c>
      <c r="GE32" s="87" t="n">
        <v>0</v>
      </c>
      <c r="GF32" s="87" t="n">
        <v>0</v>
      </c>
      <c r="GG32" s="87" t="n">
        <v>0</v>
      </c>
      <c r="GH32" s="87" t="n">
        <v>0</v>
      </c>
      <c r="GI32" s="87" t="n">
        <v>0</v>
      </c>
      <c r="GJ32" s="87" t="n">
        <v>0</v>
      </c>
      <c r="GK32" s="87" t="n">
        <v>0</v>
      </c>
      <c r="GL32" s="87" t="n">
        <v>0</v>
      </c>
      <c r="GM32" s="87" t="n">
        <v>0</v>
      </c>
      <c r="GN32" s="87" t="n">
        <v>0</v>
      </c>
      <c r="GO32" s="87" t="n">
        <v>0</v>
      </c>
      <c r="GP32" s="87" t="n">
        <v>0</v>
      </c>
      <c r="GQ32" s="87" t="n">
        <v>0</v>
      </c>
      <c r="GR32" s="87" t="n">
        <v>0</v>
      </c>
      <c r="GS32" s="87" t="n">
        <v>0</v>
      </c>
      <c r="GT32" s="87" t="n">
        <v>0</v>
      </c>
      <c r="GU32" s="87" t="n">
        <v>0</v>
      </c>
      <c r="GV32" s="87" t="n">
        <v>0</v>
      </c>
      <c r="GW32" s="87" t="n">
        <v>0</v>
      </c>
      <c r="GX32" s="87" t="n">
        <v>0</v>
      </c>
      <c r="GY32" s="87" t="n">
        <v>0</v>
      </c>
      <c r="GZ32" s="87" t="n">
        <v>0</v>
      </c>
      <c r="HA32" s="87" t="n">
        <v>0</v>
      </c>
      <c r="HB32" s="87" t="n">
        <v>0</v>
      </c>
      <c r="HC32" s="87" t="n">
        <v>0</v>
      </c>
      <c r="HD32" s="87" t="n">
        <v>0</v>
      </c>
      <c r="HE32" s="87" t="n">
        <v>0</v>
      </c>
      <c r="HF32" s="87" t="n">
        <v>0</v>
      </c>
      <c r="HG32" s="87" t="n">
        <v>0</v>
      </c>
      <c r="HH32" s="87" t="n">
        <v>0</v>
      </c>
      <c r="HI32" s="87" t="n">
        <v>0</v>
      </c>
      <c r="HJ32" s="87" t="n">
        <v>0</v>
      </c>
      <c r="HK32" s="87" t="n">
        <v>0</v>
      </c>
      <c r="HL32" s="87" t="n">
        <v>0</v>
      </c>
      <c r="HM32" s="87" t="n">
        <v>0</v>
      </c>
      <c r="HN32" s="87" t="n">
        <v>0</v>
      </c>
      <c r="HO32" s="87" t="n">
        <v>0</v>
      </c>
      <c r="HP32" s="87" t="n">
        <v>0</v>
      </c>
      <c r="HQ32" s="87" t="n">
        <v>0</v>
      </c>
      <c r="HR32" s="87" t="n">
        <v>0</v>
      </c>
      <c r="HS32" s="87" t="n">
        <v>0</v>
      </c>
      <c r="HT32" s="87" t="n">
        <v>0</v>
      </c>
      <c r="HU32" s="87" t="n">
        <v>0</v>
      </c>
      <c r="JF32" s="87">
        <f>AP32</f>
        <v/>
      </c>
      <c r="JG32" s="87">
        <f>SUM(Z32:AK32)</f>
        <v/>
      </c>
      <c r="JH32" s="87">
        <f>SUM(AL32:AP32)</f>
        <v/>
      </c>
      <c r="JI32" s="87">
        <f>SUM(C32:AP32)</f>
        <v/>
      </c>
      <c r="JJ32" s="446" t="n"/>
      <c r="JM32" s="87" t="n">
        <v>-131508.2655833335</v>
      </c>
      <c r="KG32" s="136">
        <f>B32</f>
        <v/>
      </c>
      <c r="KH32" s="345">
        <f>AR32</f>
        <v/>
      </c>
    </row>
    <row r="33" ht="15.75" customHeight="1">
      <c r="A33" s="7" t="inlineStr">
        <is>
          <t>IPTU Estoque</t>
        </is>
      </c>
      <c r="B33" s="136">
        <f>SUM(C33:AP33)</f>
        <v/>
      </c>
      <c r="C33" s="24" t="n"/>
      <c r="D33" s="26" t="n"/>
      <c r="E33" s="256" t="n"/>
      <c r="F33" s="256" t="n"/>
      <c r="G33" s="256" t="n"/>
      <c r="H33" s="256" t="n"/>
      <c r="I33" s="257" t="n"/>
      <c r="J33" s="176" t="n"/>
      <c r="K33" s="25" t="n"/>
      <c r="L33" s="34" t="n"/>
      <c r="M33" s="15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>
        <v>-63859.04000000006</v>
      </c>
      <c r="AF33" s="219" t="n">
        <v>-62215.4</v>
      </c>
      <c r="AG33" s="219" t="n">
        <v>-62215.4</v>
      </c>
      <c r="AH33" s="219" t="n">
        <v>-60545.9</v>
      </c>
      <c r="AI33" s="219" t="n">
        <v>-61966.65</v>
      </c>
      <c r="AJ33" s="219" t="n">
        <v>-58978.75</v>
      </c>
      <c r="AK33" s="219" t="n">
        <v>-56594.14</v>
      </c>
      <c r="AL33" s="219" t="n"/>
      <c r="AM33" s="219" t="n"/>
      <c r="AN33" s="219" t="n">
        <v>-38399.02</v>
      </c>
      <c r="AO33" s="219" t="n">
        <v>-38162.09</v>
      </c>
      <c r="AP33" s="219" t="n">
        <v>-37873.25</v>
      </c>
      <c r="AQ33" s="13" t="n"/>
      <c r="AR33" s="345">
        <f>SUM(AT33:HU33)</f>
        <v/>
      </c>
      <c r="AS33" s="13" t="n"/>
      <c r="AT33" s="87" t="n">
        <v>-29841</v>
      </c>
      <c r="AU33" s="87" t="n">
        <v>-29326.5</v>
      </c>
      <c r="AV33" s="87" t="n">
        <v>-28812</v>
      </c>
      <c r="AW33" s="87" t="n">
        <v>-28297.5</v>
      </c>
      <c r="AX33" s="87" t="n">
        <v>-27783</v>
      </c>
      <c r="AY33" s="87" t="n">
        <v>-27268.5</v>
      </c>
      <c r="AZ33" s="87" t="n">
        <v>-26754</v>
      </c>
      <c r="BA33" s="87" t="n">
        <v>-26239.5</v>
      </c>
      <c r="BB33" s="87" t="n">
        <v>-25725</v>
      </c>
      <c r="BC33" s="87" t="n">
        <v>-25210.5</v>
      </c>
      <c r="BD33" s="87" t="n">
        <v>-24696</v>
      </c>
      <c r="BE33" s="87" t="n">
        <v>-24181.5</v>
      </c>
      <c r="BF33" s="87" t="n">
        <v>-23667</v>
      </c>
      <c r="BG33" s="87" t="n">
        <v>-23152.5</v>
      </c>
      <c r="BH33" s="87" t="n">
        <v>-90552</v>
      </c>
      <c r="BI33" s="87" t="n">
        <v>-88494</v>
      </c>
      <c r="BJ33" s="87" t="n">
        <v>-86436</v>
      </c>
      <c r="BK33" s="87" t="n">
        <v>-84378</v>
      </c>
      <c r="BL33" s="87" t="n">
        <v>-82320</v>
      </c>
      <c r="BM33" s="87" t="n">
        <v>-80262</v>
      </c>
      <c r="BN33" s="87" t="n">
        <v>-78204</v>
      </c>
      <c r="BO33" s="87" t="n">
        <v>-76146</v>
      </c>
      <c r="BP33" s="87" t="n">
        <v>-74088</v>
      </c>
      <c r="BQ33" s="87" t="n">
        <v>-72030</v>
      </c>
      <c r="BR33" s="87" t="n">
        <v>-69972</v>
      </c>
      <c r="BS33" s="87" t="n">
        <v>-67914</v>
      </c>
      <c r="BT33" s="87" t="n">
        <v>-65856</v>
      </c>
      <c r="BU33" s="87" t="n">
        <v>-63798</v>
      </c>
      <c r="BV33" s="87" t="n">
        <v>-61740</v>
      </c>
      <c r="BW33" s="87" t="n">
        <v>-59682</v>
      </c>
      <c r="BX33" s="87" t="n">
        <v>-57624</v>
      </c>
      <c r="BY33" s="87" t="n">
        <v>-55566</v>
      </c>
      <c r="BZ33" s="87" t="n">
        <v>-53508</v>
      </c>
      <c r="CA33" s="87" t="n">
        <v>-51450</v>
      </c>
      <c r="CB33" s="87" t="n">
        <v>-49392</v>
      </c>
      <c r="CC33" s="87" t="n">
        <v>-47334</v>
      </c>
      <c r="CD33" s="87" t="n">
        <v>-45276</v>
      </c>
      <c r="CE33" s="87" t="n">
        <v>-43218</v>
      </c>
      <c r="CF33" s="87" t="n">
        <v>-41160</v>
      </c>
      <c r="CG33" s="87" t="n">
        <v>-39102</v>
      </c>
      <c r="CH33" s="87" t="n">
        <v>-37044</v>
      </c>
      <c r="CI33" s="87" t="n">
        <v>-34986</v>
      </c>
      <c r="CJ33" s="87" t="n">
        <v>-32928</v>
      </c>
      <c r="CK33" s="87" t="n">
        <v>-30870</v>
      </c>
      <c r="CL33" s="87" t="n">
        <v>-28812</v>
      </c>
      <c r="CM33" s="87" t="n">
        <v>-26754</v>
      </c>
      <c r="CN33" s="87" t="n">
        <v>-24696</v>
      </c>
      <c r="CO33" s="87" t="n">
        <v>-22638</v>
      </c>
      <c r="CP33" s="87" t="n">
        <v>-20580</v>
      </c>
      <c r="CQ33" s="87" t="n">
        <v>-18522</v>
      </c>
      <c r="CR33" s="87" t="n">
        <v>-16464</v>
      </c>
      <c r="CS33" s="87" t="n">
        <v>-14406</v>
      </c>
      <c r="CT33" s="87" t="n">
        <v>-12348</v>
      </c>
      <c r="CU33" s="87" t="n">
        <v>-10290</v>
      </c>
      <c r="CV33" s="87" t="n">
        <v>-8232</v>
      </c>
      <c r="CW33" s="87" t="n">
        <v>-6174</v>
      </c>
      <c r="CX33" s="87" t="n">
        <v>-4116</v>
      </c>
      <c r="CY33" s="87" t="n">
        <v>-2058</v>
      </c>
      <c r="CZ33" s="87" t="n">
        <v>0</v>
      </c>
      <c r="DA33" s="87" t="n">
        <v>0</v>
      </c>
      <c r="DB33" s="87" t="n">
        <v>0</v>
      </c>
      <c r="DC33" s="87" t="n">
        <v>0</v>
      </c>
      <c r="DD33" s="87" t="n">
        <v>0</v>
      </c>
      <c r="DE33" s="87" t="n">
        <v>0</v>
      </c>
      <c r="DF33" s="87" t="n">
        <v>0</v>
      </c>
      <c r="DG33" s="87" t="n">
        <v>0</v>
      </c>
      <c r="DH33" s="87" t="n">
        <v>0</v>
      </c>
      <c r="DI33" s="87" t="n">
        <v>0</v>
      </c>
      <c r="DJ33" s="87" t="n">
        <v>0</v>
      </c>
      <c r="DK33" s="87" t="n">
        <v>0</v>
      </c>
      <c r="DL33" s="87" t="n">
        <v>0</v>
      </c>
      <c r="DM33" s="87" t="n">
        <v>0</v>
      </c>
      <c r="DN33" s="87" t="n">
        <v>0</v>
      </c>
      <c r="DO33" s="87" t="n">
        <v>0</v>
      </c>
      <c r="DP33" s="87" t="n">
        <v>0</v>
      </c>
      <c r="DQ33" s="87" t="n">
        <v>0</v>
      </c>
      <c r="DR33" s="87" t="n">
        <v>0</v>
      </c>
      <c r="DS33" s="87" t="n">
        <v>0</v>
      </c>
      <c r="DT33" s="87" t="n">
        <v>0</v>
      </c>
      <c r="DU33" s="87" t="n">
        <v>0</v>
      </c>
      <c r="DV33" s="87" t="n">
        <v>0</v>
      </c>
      <c r="DW33" s="87" t="n">
        <v>0</v>
      </c>
      <c r="DX33" s="87" t="n">
        <v>0</v>
      </c>
      <c r="DY33" s="87" t="n">
        <v>0</v>
      </c>
      <c r="DZ33" s="87" t="n">
        <v>0</v>
      </c>
      <c r="EA33" s="87" t="n">
        <v>0</v>
      </c>
      <c r="EB33" s="87" t="n">
        <v>0</v>
      </c>
      <c r="EC33" s="87" t="n">
        <v>0</v>
      </c>
      <c r="ED33" s="87" t="n">
        <v>0</v>
      </c>
      <c r="EE33" s="87" t="n">
        <v>0</v>
      </c>
      <c r="EF33" s="87" t="n">
        <v>0</v>
      </c>
      <c r="EG33" s="87" t="n">
        <v>0</v>
      </c>
      <c r="EH33" s="87" t="n">
        <v>0</v>
      </c>
      <c r="EI33" s="87" t="n">
        <v>0</v>
      </c>
      <c r="EJ33" s="87" t="n"/>
      <c r="EK33" s="87" t="n"/>
      <c r="EL33" s="87" t="n"/>
      <c r="EM33" s="87" t="n"/>
      <c r="EN33" s="87" t="n"/>
      <c r="EO33" s="26" t="n"/>
      <c r="EP33" s="26" t="n"/>
      <c r="EQ33" s="26" t="n"/>
      <c r="ER33" s="26" t="n"/>
      <c r="ES33" s="26" t="n"/>
      <c r="ET33" s="26" t="n"/>
      <c r="EU33" s="26" t="n"/>
      <c r="EV33" s="26" t="n"/>
      <c r="EW33" s="26" t="n"/>
      <c r="EX33" s="26" t="n"/>
      <c r="EY33" s="26" t="n"/>
      <c r="EZ33" s="26" t="n"/>
      <c r="FA33" s="26" t="n"/>
      <c r="FB33" s="26" t="n"/>
      <c r="FC33" s="26" t="n"/>
      <c r="FD33" s="26" t="n"/>
      <c r="FE33" s="26" t="n"/>
      <c r="FF33" s="26" t="n"/>
      <c r="FG33" s="26" t="n"/>
      <c r="FH33" s="26" t="n"/>
      <c r="FI33" s="26" t="n"/>
      <c r="FJ33" s="26" t="n"/>
      <c r="FK33" s="26" t="n"/>
      <c r="FL33" s="26" t="n"/>
      <c r="FM33" s="26" t="n"/>
      <c r="FN33" s="26" t="n"/>
      <c r="FO33" s="26" t="n"/>
      <c r="FP33" s="26" t="n"/>
      <c r="FQ33" s="26" t="n"/>
      <c r="FR33" s="26" t="n"/>
      <c r="FS33" s="26" t="n"/>
      <c r="FT33" s="26" t="n"/>
      <c r="FU33" s="26" t="n"/>
      <c r="FV33" s="26" t="n"/>
      <c r="FW33" s="26" t="n"/>
      <c r="FX33" s="26" t="n"/>
      <c r="FY33" s="26" t="n"/>
      <c r="FZ33" s="26" t="n"/>
      <c r="GA33" s="26" t="n"/>
      <c r="GB33" s="26" t="n"/>
      <c r="GC33" s="26" t="n"/>
      <c r="GD33" s="26" t="n"/>
      <c r="GE33" s="26" t="n"/>
      <c r="GF33" s="26" t="n"/>
      <c r="GG33" s="26" t="n"/>
      <c r="GH33" s="26" t="n"/>
      <c r="GI33" s="26" t="n"/>
      <c r="GJ33" s="26" t="n"/>
      <c r="GK33" s="26" t="n"/>
      <c r="GL33" s="26" t="n"/>
      <c r="GM33" s="26" t="n"/>
      <c r="GN33" s="26" t="n"/>
      <c r="GO33" s="26" t="n"/>
      <c r="GP33" s="26" t="n"/>
      <c r="GQ33" s="26" t="n"/>
      <c r="GR33" s="26" t="n"/>
      <c r="GS33" s="26" t="n"/>
      <c r="GT33" s="26" t="n"/>
      <c r="GU33" s="26" t="n">
        <v>0</v>
      </c>
      <c r="GV33" s="26" t="n">
        <v>0</v>
      </c>
      <c r="GW33" s="26" t="n">
        <v>0</v>
      </c>
      <c r="GX33" s="26" t="n">
        <v>0</v>
      </c>
      <c r="GY33" s="26" t="n">
        <v>0</v>
      </c>
      <c r="GZ33" s="26" t="n">
        <v>0</v>
      </c>
      <c r="HA33" s="26" t="n">
        <v>0</v>
      </c>
      <c r="HB33" s="26" t="n">
        <v>0</v>
      </c>
      <c r="HC33" s="26" t="n">
        <v>0</v>
      </c>
      <c r="HD33" s="26" t="n">
        <v>0</v>
      </c>
      <c r="HE33" s="26" t="n">
        <v>0</v>
      </c>
      <c r="HF33" s="26" t="n">
        <v>0</v>
      </c>
      <c r="HG33" s="26" t="n">
        <v>0</v>
      </c>
      <c r="HH33" s="26" t="n">
        <v>0</v>
      </c>
      <c r="HI33" s="26" t="n">
        <v>0</v>
      </c>
      <c r="HJ33" s="26" t="n">
        <v>0</v>
      </c>
      <c r="HK33" s="26" t="n">
        <v>0</v>
      </c>
      <c r="HL33" s="26" t="n">
        <v>0</v>
      </c>
      <c r="HM33" s="26" t="n">
        <v>0</v>
      </c>
      <c r="HN33" s="26" t="n">
        <v>0</v>
      </c>
      <c r="HO33" s="26" t="n">
        <v>0</v>
      </c>
      <c r="HP33" s="26" t="n">
        <v>0</v>
      </c>
      <c r="HQ33" s="26" t="n">
        <v>0</v>
      </c>
      <c r="HR33" s="26" t="n">
        <v>0</v>
      </c>
      <c r="HS33" s="26" t="n">
        <v>0</v>
      </c>
      <c r="HT33" s="26" t="n">
        <v>0</v>
      </c>
      <c r="HU33" s="26" t="n">
        <v>0</v>
      </c>
      <c r="JF33" s="87">
        <f>AP33</f>
        <v/>
      </c>
      <c r="JG33" s="87">
        <f>SUM(Z33:AK33)</f>
        <v/>
      </c>
      <c r="JH33" s="87">
        <f>SUM(AL33:AP33)</f>
        <v/>
      </c>
      <c r="JI33" s="87">
        <f>SUM(C33:AP33)</f>
        <v/>
      </c>
      <c r="JJ33" s="446" t="n"/>
      <c r="JM33" s="87" t="n">
        <v>-30502.5</v>
      </c>
      <c r="KG33" s="136">
        <f>B33</f>
        <v/>
      </c>
      <c r="KH33" s="345">
        <f>AR33</f>
        <v/>
      </c>
    </row>
    <row r="34" ht="15.75" customHeight="1">
      <c r="A34" s="7" t="inlineStr">
        <is>
          <t>Condominio Estoque</t>
        </is>
      </c>
      <c r="B34" s="136">
        <f>SUM(C34:AP34)</f>
        <v/>
      </c>
      <c r="C34" s="25" t="n"/>
      <c r="D34" s="53" t="n"/>
      <c r="E34" s="256" t="n"/>
      <c r="F34" s="256" t="n"/>
      <c r="G34" s="256" t="n"/>
      <c r="H34" s="256" t="n"/>
      <c r="I34" s="257" t="n"/>
      <c r="J34" s="176" t="n"/>
      <c r="K34" s="25" t="n"/>
      <c r="L34" s="34" t="n"/>
      <c r="M34" s="15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13" t="n"/>
      <c r="AR34" s="345">
        <f>SUM(AT34:HU34)</f>
        <v/>
      </c>
      <c r="AS34" s="13" t="n"/>
      <c r="AT34" s="87" t="n">
        <v>0</v>
      </c>
      <c r="AU34" s="87" t="n">
        <v>0</v>
      </c>
      <c r="AV34" s="87" t="n">
        <v>0</v>
      </c>
      <c r="AW34" s="87" t="n">
        <v>0</v>
      </c>
      <c r="AX34" s="87" t="n">
        <v>0</v>
      </c>
      <c r="AY34" s="87" t="n">
        <v>0</v>
      </c>
      <c r="AZ34" s="87" t="n">
        <v>0</v>
      </c>
      <c r="BA34" s="87" t="n">
        <v>0</v>
      </c>
      <c r="BB34" s="87" t="n">
        <v>0</v>
      </c>
      <c r="BC34" s="87" t="n">
        <v>0</v>
      </c>
      <c r="BD34" s="87" t="n">
        <v>0</v>
      </c>
      <c r="BE34" s="87" t="n">
        <v>0</v>
      </c>
      <c r="BF34" s="87" t="n">
        <v>0</v>
      </c>
      <c r="BG34" s="87" t="n">
        <v>0</v>
      </c>
      <c r="BH34" s="87" t="n">
        <v>-308000</v>
      </c>
      <c r="BI34" s="87" t="n">
        <v>-301000</v>
      </c>
      <c r="BJ34" s="87" t="n">
        <v>-294000</v>
      </c>
      <c r="BK34" s="87" t="n">
        <v>-287000</v>
      </c>
      <c r="BL34" s="87" t="n">
        <v>-280000</v>
      </c>
      <c r="BM34" s="87" t="n">
        <v>-273000</v>
      </c>
      <c r="BN34" s="87" t="n">
        <v>-266000</v>
      </c>
      <c r="BO34" s="87" t="n">
        <v>-259000</v>
      </c>
      <c r="BP34" s="87" t="n">
        <v>-252000</v>
      </c>
      <c r="BQ34" s="87" t="n">
        <v>-245000</v>
      </c>
      <c r="BR34" s="87" t="n">
        <v>-238000</v>
      </c>
      <c r="BS34" s="87" t="n">
        <v>-231000</v>
      </c>
      <c r="BT34" s="87" t="n">
        <v>-224000</v>
      </c>
      <c r="BU34" s="87" t="n">
        <v>-217000</v>
      </c>
      <c r="BV34" s="87" t="n">
        <v>-210000</v>
      </c>
      <c r="BW34" s="87" t="n">
        <v>-203000</v>
      </c>
      <c r="BX34" s="87" t="n">
        <v>-196000</v>
      </c>
      <c r="BY34" s="87" t="n">
        <v>-189000</v>
      </c>
      <c r="BZ34" s="87" t="n">
        <v>-182000</v>
      </c>
      <c r="CA34" s="87" t="n">
        <v>-175000</v>
      </c>
      <c r="CB34" s="87" t="n">
        <v>-168000</v>
      </c>
      <c r="CC34" s="87" t="n">
        <v>-161000</v>
      </c>
      <c r="CD34" s="87" t="n">
        <v>-154000</v>
      </c>
      <c r="CE34" s="87" t="n">
        <v>-147000</v>
      </c>
      <c r="CF34" s="87" t="n">
        <v>-140000</v>
      </c>
      <c r="CG34" s="87" t="n">
        <v>-133000</v>
      </c>
      <c r="CH34" s="87" t="n">
        <v>-126000</v>
      </c>
      <c r="CI34" s="87" t="n">
        <v>-119000</v>
      </c>
      <c r="CJ34" s="87" t="n">
        <v>-112000</v>
      </c>
      <c r="CK34" s="87" t="n">
        <v>-105000</v>
      </c>
      <c r="CL34" s="87" t="n">
        <v>-98000</v>
      </c>
      <c r="CM34" s="87" t="n">
        <v>-91000</v>
      </c>
      <c r="CN34" s="87" t="n">
        <v>-84000</v>
      </c>
      <c r="CO34" s="87" t="n">
        <v>-77000</v>
      </c>
      <c r="CP34" s="87" t="n">
        <v>-70000</v>
      </c>
      <c r="CQ34" s="87" t="n">
        <v>-63000</v>
      </c>
      <c r="CR34" s="87" t="n">
        <v>-39200</v>
      </c>
      <c r="CS34" s="87" t="n">
        <v>-34300</v>
      </c>
      <c r="CT34" s="87" t="n">
        <v>-29400</v>
      </c>
      <c r="CU34" s="87" t="n">
        <v>-24500</v>
      </c>
      <c r="CV34" s="87" t="n">
        <v>-19600</v>
      </c>
      <c r="CW34" s="87" t="n">
        <v>-14700</v>
      </c>
      <c r="CX34" s="87" t="n">
        <v>-9800</v>
      </c>
      <c r="CY34" s="87" t="n">
        <v>-4900</v>
      </c>
      <c r="CZ34" s="87" t="n">
        <v>0</v>
      </c>
      <c r="DA34" s="87" t="n">
        <v>0</v>
      </c>
      <c r="DB34" s="87" t="n">
        <v>0</v>
      </c>
      <c r="DC34" s="87" t="n">
        <v>0</v>
      </c>
      <c r="DD34" s="87" t="n">
        <v>0</v>
      </c>
      <c r="DE34" s="87" t="n">
        <v>0</v>
      </c>
      <c r="DF34" s="87" t="n">
        <v>0</v>
      </c>
      <c r="DG34" s="87" t="n">
        <v>0</v>
      </c>
      <c r="DH34" s="87" t="n">
        <v>0</v>
      </c>
      <c r="DI34" s="87" t="n">
        <v>0</v>
      </c>
      <c r="DJ34" s="87" t="n">
        <v>0</v>
      </c>
      <c r="DK34" s="87" t="n">
        <v>0</v>
      </c>
      <c r="DL34" s="87" t="n">
        <v>0</v>
      </c>
      <c r="DM34" s="87" t="n">
        <v>0</v>
      </c>
      <c r="DN34" s="87" t="n">
        <v>0</v>
      </c>
      <c r="DO34" s="87" t="n">
        <v>0</v>
      </c>
      <c r="DP34" s="87" t="n">
        <v>0</v>
      </c>
      <c r="DQ34" s="87" t="n">
        <v>0</v>
      </c>
      <c r="DR34" s="87" t="n">
        <v>0</v>
      </c>
      <c r="DS34" s="87" t="n">
        <v>0</v>
      </c>
      <c r="DT34" s="87" t="n">
        <v>0</v>
      </c>
      <c r="DU34" s="87" t="n">
        <v>0</v>
      </c>
      <c r="DV34" s="87" t="n">
        <v>0</v>
      </c>
      <c r="DW34" s="87" t="n">
        <v>0</v>
      </c>
      <c r="DX34" s="87" t="n">
        <v>0</v>
      </c>
      <c r="DY34" s="87" t="n">
        <v>0</v>
      </c>
      <c r="DZ34" s="87" t="n">
        <v>0</v>
      </c>
      <c r="EA34" s="87" t="n">
        <v>0</v>
      </c>
      <c r="EB34" s="87" t="n">
        <v>0</v>
      </c>
      <c r="EC34" s="87" t="n">
        <v>0</v>
      </c>
      <c r="ED34" s="87" t="n">
        <v>0</v>
      </c>
      <c r="EE34" s="87" t="n">
        <v>0</v>
      </c>
      <c r="EF34" s="87" t="n">
        <v>0</v>
      </c>
      <c r="EG34" s="87" t="n">
        <v>0</v>
      </c>
      <c r="EH34" s="87" t="n">
        <v>0</v>
      </c>
      <c r="EI34" s="87" t="n">
        <v>0</v>
      </c>
      <c r="EJ34" s="87" t="n"/>
      <c r="EK34" s="87" t="n"/>
      <c r="EL34" s="87" t="n"/>
      <c r="EM34" s="87" t="n"/>
      <c r="EN34" s="87" t="n"/>
      <c r="EO34" s="87" t="n"/>
      <c r="EP34" s="87" t="n"/>
      <c r="EQ34" s="87" t="n"/>
      <c r="ER34" s="87" t="n"/>
      <c r="ES34" s="87" t="n"/>
      <c r="ET34" s="87" t="n"/>
      <c r="EU34" s="87" t="n"/>
      <c r="EV34" s="87" t="n"/>
      <c r="EW34" s="87" t="n"/>
      <c r="EX34" s="87" t="n"/>
      <c r="EY34" s="87" t="n"/>
      <c r="EZ34" s="87" t="n"/>
      <c r="FA34" s="87" t="n"/>
      <c r="FB34" s="87" t="n"/>
      <c r="FC34" s="87" t="n"/>
      <c r="FD34" s="87" t="n"/>
      <c r="FE34" s="87" t="n"/>
      <c r="FF34" s="87" t="n"/>
      <c r="FG34" s="87" t="n"/>
      <c r="FH34" s="87" t="n"/>
      <c r="FI34" s="87" t="n"/>
      <c r="FJ34" s="87" t="n"/>
      <c r="FK34" s="87" t="n"/>
      <c r="FL34" s="87" t="n"/>
      <c r="FM34" s="87" t="n"/>
      <c r="FN34" s="87" t="n"/>
      <c r="FO34" s="87" t="n"/>
      <c r="FP34" s="87" t="n"/>
      <c r="FQ34" s="87" t="n"/>
      <c r="FR34" s="87" t="n"/>
      <c r="FS34" s="87" t="n"/>
      <c r="FT34" s="87" t="n"/>
      <c r="FU34" s="87" t="n"/>
      <c r="FV34" s="87" t="n"/>
      <c r="FW34" s="87" t="n"/>
      <c r="FX34" s="87" t="n"/>
      <c r="FY34" s="87" t="n"/>
      <c r="FZ34" s="87" t="n"/>
      <c r="GA34" s="87" t="n"/>
      <c r="GB34" s="87" t="n"/>
      <c r="GC34" s="87" t="n"/>
      <c r="GD34" s="87" t="n"/>
      <c r="GE34" s="87" t="n"/>
      <c r="GF34" s="87" t="n"/>
      <c r="GG34" s="87" t="n"/>
      <c r="GH34" s="87" t="n"/>
      <c r="GI34" s="87" t="n"/>
      <c r="GJ34" s="87" t="n"/>
      <c r="GK34" s="87" t="n"/>
      <c r="GL34" s="87" t="n"/>
      <c r="GM34" s="87" t="n"/>
      <c r="GN34" s="87" t="n"/>
      <c r="GO34" s="87" t="n"/>
      <c r="GP34" s="87" t="n"/>
      <c r="GQ34" s="87" t="n"/>
      <c r="GR34" s="87" t="n"/>
      <c r="GS34" s="87" t="n"/>
      <c r="GT34" s="87" t="n"/>
      <c r="GU34" s="87" t="n">
        <v>0</v>
      </c>
      <c r="GV34" s="87" t="n">
        <v>0</v>
      </c>
      <c r="GW34" s="87" t="n">
        <v>0</v>
      </c>
      <c r="GX34" s="87" t="n">
        <v>0</v>
      </c>
      <c r="GY34" s="87" t="n">
        <v>0</v>
      </c>
      <c r="GZ34" s="87" t="n">
        <v>0</v>
      </c>
      <c r="HA34" s="87" t="n">
        <v>0</v>
      </c>
      <c r="HB34" s="87" t="n">
        <v>0</v>
      </c>
      <c r="HC34" s="87" t="n">
        <v>0</v>
      </c>
      <c r="HD34" s="87" t="n">
        <v>0</v>
      </c>
      <c r="HE34" s="87" t="n">
        <v>0</v>
      </c>
      <c r="HF34" s="87" t="n">
        <v>0</v>
      </c>
      <c r="HG34" s="87" t="n">
        <v>0</v>
      </c>
      <c r="HH34" s="87" t="n">
        <v>0</v>
      </c>
      <c r="HI34" s="87" t="n">
        <v>0</v>
      </c>
      <c r="HJ34" s="87" t="n">
        <v>0</v>
      </c>
      <c r="HK34" s="87" t="n">
        <v>0</v>
      </c>
      <c r="HL34" s="87" t="n">
        <v>0</v>
      </c>
      <c r="HM34" s="87" t="n">
        <v>0</v>
      </c>
      <c r="HN34" s="87" t="n">
        <v>0</v>
      </c>
      <c r="HO34" s="87" t="n">
        <v>0</v>
      </c>
      <c r="HP34" s="87" t="n">
        <v>0</v>
      </c>
      <c r="HQ34" s="87" t="n">
        <v>0</v>
      </c>
      <c r="HR34" s="87" t="n">
        <v>0</v>
      </c>
      <c r="HS34" s="87" t="n">
        <v>0</v>
      </c>
      <c r="HT34" s="87" t="n">
        <v>0</v>
      </c>
      <c r="HU34" s="87" t="n">
        <v>0</v>
      </c>
      <c r="JF34" s="87">
        <f>AP34</f>
        <v/>
      </c>
      <c r="JG34" s="87">
        <f>SUM(Z34:AK34)</f>
        <v/>
      </c>
      <c r="JH34" s="87">
        <f>SUM(AL34:AP34)</f>
        <v/>
      </c>
      <c r="JI34" s="87">
        <f>SUM(C34:AP34)</f>
        <v/>
      </c>
      <c r="JJ34" s="446" t="n"/>
      <c r="JM34" s="87" t="n">
        <v>0</v>
      </c>
      <c r="KG34" s="136">
        <f>B34</f>
        <v/>
      </c>
      <c r="KH34" s="345">
        <f>AR34</f>
        <v/>
      </c>
    </row>
    <row r="35" ht="15.75" customHeight="1" thickBot="1">
      <c r="A35" s="89" t="inlineStr">
        <is>
          <t>Subtotal</t>
        </is>
      </c>
      <c r="B35" s="137">
        <f>SUM(C35:AP35)</f>
        <v/>
      </c>
      <c r="C35" s="260">
        <f>SUM(C32:C33)</f>
        <v/>
      </c>
      <c r="D35" s="260">
        <f>SUM(D32:D33)</f>
        <v/>
      </c>
      <c r="E35" s="261">
        <f>SUM(E32:E33)</f>
        <v/>
      </c>
      <c r="F35" s="261">
        <f>SUM(F32:F33)</f>
        <v/>
      </c>
      <c r="G35" s="261">
        <f>SUM(G32:G33)</f>
        <v/>
      </c>
      <c r="H35" s="261">
        <f>SUM(H32:H33)</f>
        <v/>
      </c>
      <c r="I35" s="260">
        <f>SUM(I32:I33)</f>
        <v/>
      </c>
      <c r="J35" s="262">
        <f>SUM(J32:J33)</f>
        <v/>
      </c>
      <c r="K35" s="260">
        <f>SUM(K32:K33)</f>
        <v/>
      </c>
      <c r="L35" s="263">
        <f>SUM(L32:L33)</f>
        <v/>
      </c>
      <c r="M35" s="264">
        <f>SUM(M32:M33)</f>
        <v/>
      </c>
      <c r="N35" s="264">
        <f>SUM(N32:N33)</f>
        <v/>
      </c>
      <c r="O35" s="264">
        <f>SUM(O32:O33)</f>
        <v/>
      </c>
      <c r="P35" s="264">
        <f>SUM(P32:P33)</f>
        <v/>
      </c>
      <c r="Q35" s="264">
        <f>SUM(Q32:Q33)</f>
        <v/>
      </c>
      <c r="R35" s="264">
        <f>SUM(R32:R33)</f>
        <v/>
      </c>
      <c r="S35" s="264" t="n"/>
      <c r="T35" s="264">
        <f>SUM(T32:T33)</f>
        <v/>
      </c>
      <c r="U35" s="264">
        <f>SUM(U32:U33)</f>
        <v/>
      </c>
      <c r="V35" s="264">
        <f>SUM(V32:V33)</f>
        <v/>
      </c>
      <c r="W35" s="264">
        <f>SUM(W32:W33)</f>
        <v/>
      </c>
      <c r="X35" s="264">
        <f>SUM(X32:X33)</f>
        <v/>
      </c>
      <c r="Y35" s="264">
        <f>SUM(Y32:Y33)</f>
        <v/>
      </c>
      <c r="Z35" s="264">
        <f>SUM(Z32:Z33)</f>
        <v/>
      </c>
      <c r="AA35" s="264">
        <f>SUM(AA32:AA33)</f>
        <v/>
      </c>
      <c r="AB35" s="264">
        <f>SUM(AB32:AB33)</f>
        <v/>
      </c>
      <c r="AC35" s="264">
        <f>SUM(AC32:AC33)</f>
        <v/>
      </c>
      <c r="AD35" s="264">
        <f>SUM(AD32:AD33)</f>
        <v/>
      </c>
      <c r="AE35" s="264">
        <f>SUM(AE32:AE33)</f>
        <v/>
      </c>
      <c r="AF35" s="264">
        <f>SUM(AF32:AF33)</f>
        <v/>
      </c>
      <c r="AG35" s="264">
        <f>SUM(AG32:AG33)</f>
        <v/>
      </c>
      <c r="AH35" s="264">
        <f>SUM(AH32:AH33)</f>
        <v/>
      </c>
      <c r="AI35" s="264">
        <f>SUM(AI32:AI33)</f>
        <v/>
      </c>
      <c r="AJ35" s="264">
        <f>SUM(AJ32:AJ33)</f>
        <v/>
      </c>
      <c r="AK35" s="264">
        <f>SUM(AK32:AK33)</f>
        <v/>
      </c>
      <c r="AL35" s="264">
        <f>SUM(AL32:AL33)</f>
        <v/>
      </c>
      <c r="AM35" s="264">
        <f>SUM(AM32:AM33)</f>
        <v/>
      </c>
      <c r="AN35" s="264">
        <f>SUM(AN32:AN33)</f>
        <v/>
      </c>
      <c r="AO35" s="264">
        <f>SUM(AO32:AO33)</f>
        <v/>
      </c>
      <c r="AP35" s="264">
        <f>SUM(AP32:AP33)</f>
        <v/>
      </c>
      <c r="AQ35" s="13" t="n"/>
      <c r="AR35" s="335">
        <f>SUM(AT35:HU35)</f>
        <v/>
      </c>
      <c r="AS35" s="13" t="n"/>
      <c r="AT35" s="271">
        <f>SUM(AT32:AT34)</f>
        <v/>
      </c>
      <c r="AU35" s="271">
        <f>SUM(AU32:AU34)</f>
        <v/>
      </c>
      <c r="AV35" s="271">
        <f>SUM(AV32:AV34)</f>
        <v/>
      </c>
      <c r="AW35" s="271">
        <f>SUM(AW32:AW34)</f>
        <v/>
      </c>
      <c r="AX35" s="271">
        <f>SUM(AX32:AX34)</f>
        <v/>
      </c>
      <c r="AY35" s="271">
        <f>SUM(AY32:AY34)</f>
        <v/>
      </c>
      <c r="AZ35" s="271">
        <f>SUM(AZ32:AZ34)</f>
        <v/>
      </c>
      <c r="BA35" s="271">
        <f>SUM(BA32:BA34)</f>
        <v/>
      </c>
      <c r="BB35" s="271">
        <f>SUM(BB32:BB34)</f>
        <v/>
      </c>
      <c r="BC35" s="271">
        <f>SUM(BC32:BC34)</f>
        <v/>
      </c>
      <c r="BD35" s="271">
        <f>SUM(BD32:BD34)</f>
        <v/>
      </c>
      <c r="BE35" s="271">
        <f>SUM(BE32:BE34)</f>
        <v/>
      </c>
      <c r="BF35" s="271">
        <f>SUM(BF32:BF34)</f>
        <v/>
      </c>
      <c r="BG35" s="271">
        <f>SUM(BG32:BG34)</f>
        <v/>
      </c>
      <c r="BH35" s="271">
        <f>SUM(BH32:BH34)</f>
        <v/>
      </c>
      <c r="BI35" s="271">
        <f>SUM(BI32:BI34)</f>
        <v/>
      </c>
      <c r="BJ35" s="271">
        <f>SUM(BJ32:BJ34)</f>
        <v/>
      </c>
      <c r="BK35" s="271">
        <f>SUM(BK32:BK34)</f>
        <v/>
      </c>
      <c r="BL35" s="271">
        <f>SUM(BL32:BL34)</f>
        <v/>
      </c>
      <c r="BM35" s="271">
        <f>SUM(BM32:BM34)</f>
        <v/>
      </c>
      <c r="BN35" s="271">
        <f>SUM(BN32:BN34)</f>
        <v/>
      </c>
      <c r="BO35" s="271">
        <f>SUM(BO32:BO34)</f>
        <v/>
      </c>
      <c r="BP35" s="271">
        <f>SUM(BP32:BP34)</f>
        <v/>
      </c>
      <c r="BQ35" s="271">
        <f>SUM(BQ32:BQ34)</f>
        <v/>
      </c>
      <c r="BR35" s="271">
        <f>SUM(BR32:BR34)</f>
        <v/>
      </c>
      <c r="BS35" s="271">
        <f>SUM(BS32:BS34)</f>
        <v/>
      </c>
      <c r="BT35" s="271">
        <f>SUM(BT32:BT34)</f>
        <v/>
      </c>
      <c r="BU35" s="271">
        <f>SUM(BU32:BU34)</f>
        <v/>
      </c>
      <c r="BV35" s="271">
        <f>SUM(BV32:BV34)</f>
        <v/>
      </c>
      <c r="BW35" s="271">
        <f>SUM(BW32:BW34)</f>
        <v/>
      </c>
      <c r="BX35" s="271">
        <f>SUM(BX32:BX34)</f>
        <v/>
      </c>
      <c r="BY35" s="271">
        <f>SUM(BY32:BY34)</f>
        <v/>
      </c>
      <c r="BZ35" s="271">
        <f>SUM(BZ32:BZ34)</f>
        <v/>
      </c>
      <c r="CA35" s="271">
        <f>SUM(CA32:CA34)</f>
        <v/>
      </c>
      <c r="CB35" s="271">
        <f>SUM(CB32:CB34)</f>
        <v/>
      </c>
      <c r="CC35" s="271">
        <f>SUM(CC32:CC34)</f>
        <v/>
      </c>
      <c r="CD35" s="271">
        <f>SUM(CD32:CD34)</f>
        <v/>
      </c>
      <c r="CE35" s="271">
        <f>SUM(CE32:CE34)</f>
        <v/>
      </c>
      <c r="CF35" s="271">
        <f>SUM(CF32:CF34)</f>
        <v/>
      </c>
      <c r="CG35" s="271">
        <f>SUM(CG32:CG34)</f>
        <v/>
      </c>
      <c r="CH35" s="271">
        <f>SUM(CH32:CH34)</f>
        <v/>
      </c>
      <c r="CI35" s="271">
        <f>SUM(CI32:CI34)</f>
        <v/>
      </c>
      <c r="CJ35" s="271">
        <f>SUM(CJ32:CJ34)</f>
        <v/>
      </c>
      <c r="CK35" s="271">
        <f>SUM(CK32:CK34)</f>
        <v/>
      </c>
      <c r="CL35" s="271">
        <f>SUM(CL32:CL34)</f>
        <v/>
      </c>
      <c r="CM35" s="271">
        <f>SUM(CM32:CM34)</f>
        <v/>
      </c>
      <c r="CN35" s="271">
        <f>SUM(CN32:CN34)</f>
        <v/>
      </c>
      <c r="CO35" s="271">
        <f>SUM(CO32:CO34)</f>
        <v/>
      </c>
      <c r="CP35" s="271">
        <f>SUM(CP32:CP34)</f>
        <v/>
      </c>
      <c r="CQ35" s="271">
        <f>SUM(CQ32:CQ34)</f>
        <v/>
      </c>
      <c r="CR35" s="271">
        <f>SUM(CR32:CR34)</f>
        <v/>
      </c>
      <c r="CS35" s="271">
        <f>SUM(CS32:CS34)</f>
        <v/>
      </c>
      <c r="CT35" s="271">
        <f>SUM(CT32:CT34)</f>
        <v/>
      </c>
      <c r="CU35" s="271">
        <f>SUM(CU32:CU34)</f>
        <v/>
      </c>
      <c r="CV35" s="271">
        <f>SUM(CV32:CV34)</f>
        <v/>
      </c>
      <c r="CW35" s="271">
        <f>SUM(CW32:CW34)</f>
        <v/>
      </c>
      <c r="CX35" s="271">
        <f>SUM(CX32:CX34)</f>
        <v/>
      </c>
      <c r="CY35" s="271">
        <f>SUM(CY32:CY34)</f>
        <v/>
      </c>
      <c r="CZ35" s="271">
        <f>SUM(CZ32:CZ34)</f>
        <v/>
      </c>
      <c r="DA35" s="271">
        <f>SUM(DA32:DA34)</f>
        <v/>
      </c>
      <c r="DB35" s="271">
        <f>SUM(DB32:DB34)</f>
        <v/>
      </c>
      <c r="DC35" s="271">
        <f>SUM(DC32:DC34)</f>
        <v/>
      </c>
      <c r="DD35" s="271">
        <f>SUM(DD32:DD34)</f>
        <v/>
      </c>
      <c r="DE35" s="271">
        <f>SUM(DE32:DE34)</f>
        <v/>
      </c>
      <c r="DF35" s="271">
        <f>SUM(DF32:DF34)</f>
        <v/>
      </c>
      <c r="DG35" s="271">
        <f>SUM(DG32:DG34)</f>
        <v/>
      </c>
      <c r="DH35" s="271">
        <f>SUM(DH32:DH34)</f>
        <v/>
      </c>
      <c r="DI35" s="271">
        <f>SUM(DI32:DI34)</f>
        <v/>
      </c>
      <c r="DJ35" s="271">
        <f>SUM(DJ32:DJ34)</f>
        <v/>
      </c>
      <c r="DK35" s="271">
        <f>SUM(DK32:DK34)</f>
        <v/>
      </c>
      <c r="DL35" s="271">
        <f>SUM(DL32:DL34)</f>
        <v/>
      </c>
      <c r="DM35" s="271">
        <f>SUM(DM32:DM34)</f>
        <v/>
      </c>
      <c r="DN35" s="271">
        <f>SUM(DN32:DN34)</f>
        <v/>
      </c>
      <c r="DO35" s="271">
        <f>SUM(DO32:DO34)</f>
        <v/>
      </c>
      <c r="DP35" s="271">
        <f>SUM(DP32:DP34)</f>
        <v/>
      </c>
      <c r="DQ35" s="271">
        <f>SUM(DQ32:DQ34)</f>
        <v/>
      </c>
      <c r="DR35" s="271">
        <f>SUM(DR32:DR34)</f>
        <v/>
      </c>
      <c r="DS35" s="271">
        <f>SUM(DS32:DS34)</f>
        <v/>
      </c>
      <c r="DT35" s="271">
        <f>SUM(DT32:DT34)</f>
        <v/>
      </c>
      <c r="DU35" s="271">
        <f>SUM(DU32:DU34)</f>
        <v/>
      </c>
      <c r="DV35" s="271">
        <f>SUM(DV32:DV34)</f>
        <v/>
      </c>
      <c r="DW35" s="271">
        <f>SUM(DW32:DW34)</f>
        <v/>
      </c>
      <c r="DX35" s="271">
        <f>SUM(DX32:DX34)</f>
        <v/>
      </c>
      <c r="DY35" s="271">
        <f>SUM(DY32:DY34)</f>
        <v/>
      </c>
      <c r="DZ35" s="271">
        <f>SUM(DZ32:DZ34)</f>
        <v/>
      </c>
      <c r="EA35" s="271">
        <f>SUM(EA32:EA34)</f>
        <v/>
      </c>
      <c r="EB35" s="271">
        <f>SUM(EB32:EB34)</f>
        <v/>
      </c>
      <c r="EC35" s="271">
        <f>SUM(EC32:EC34)</f>
        <v/>
      </c>
      <c r="ED35" s="271">
        <f>SUM(ED32:ED34)</f>
        <v/>
      </c>
      <c r="EE35" s="271">
        <f>SUM(EE32:EE34)</f>
        <v/>
      </c>
      <c r="EF35" s="271">
        <f>SUM(EF32:EF34)</f>
        <v/>
      </c>
      <c r="EG35" s="271">
        <f>SUM(EG32:EG34)</f>
        <v/>
      </c>
      <c r="EH35" s="271">
        <f>SUM(EH32:EH34)</f>
        <v/>
      </c>
      <c r="EI35" s="271">
        <f>SUM(EI32:EI34)</f>
        <v/>
      </c>
      <c r="EJ35" s="271">
        <f>SUM(EJ32:EJ34)</f>
        <v/>
      </c>
      <c r="EK35" s="271">
        <f>SUM(EK32:EK34)</f>
        <v/>
      </c>
      <c r="EL35" s="271">
        <f>SUM(EL32:EL34)</f>
        <v/>
      </c>
      <c r="EM35" s="271">
        <f>SUM(EM32:EM34)</f>
        <v/>
      </c>
      <c r="EN35" s="271">
        <f>SUM(EN32:EN34)</f>
        <v/>
      </c>
      <c r="EO35" s="271">
        <f>SUM(EO32:EO34)</f>
        <v/>
      </c>
      <c r="EP35" s="271">
        <f>SUM(EP32:EP34)</f>
        <v/>
      </c>
      <c r="EQ35" s="271">
        <f>SUM(EQ32:EQ34)</f>
        <v/>
      </c>
      <c r="ER35" s="271">
        <f>SUM(ER32:ER34)</f>
        <v/>
      </c>
      <c r="ES35" s="271">
        <f>SUM(ES32:ES34)</f>
        <v/>
      </c>
      <c r="ET35" s="271">
        <f>SUM(ET32:ET34)</f>
        <v/>
      </c>
      <c r="EU35" s="271">
        <f>SUM(EU32:EU34)</f>
        <v/>
      </c>
      <c r="EV35" s="271">
        <f>SUM(EV32:EV34)</f>
        <v/>
      </c>
      <c r="EW35" s="271">
        <f>SUM(EW32:EW34)</f>
        <v/>
      </c>
      <c r="EX35" s="271">
        <f>SUM(EX32:EX34)</f>
        <v/>
      </c>
      <c r="EY35" s="271">
        <f>SUM(EY32:EY34)</f>
        <v/>
      </c>
      <c r="EZ35" s="271">
        <f>SUM(EZ32:EZ34)</f>
        <v/>
      </c>
      <c r="FA35" s="271">
        <f>SUM(FA32:FA34)</f>
        <v/>
      </c>
      <c r="FB35" s="271">
        <f>SUM(FB32:FB34)</f>
        <v/>
      </c>
      <c r="FC35" s="271">
        <f>SUM(FC32:FC34)</f>
        <v/>
      </c>
      <c r="FD35" s="271">
        <f>SUM(FD32:FD34)</f>
        <v/>
      </c>
      <c r="FE35" s="271">
        <f>SUM(FE32:FE34)</f>
        <v/>
      </c>
      <c r="FF35" s="271">
        <f>SUM(FF32:FF34)</f>
        <v/>
      </c>
      <c r="FG35" s="271">
        <f>SUM(FG32:FG34)</f>
        <v/>
      </c>
      <c r="FH35" s="271">
        <f>SUM(FH32:FH34)</f>
        <v/>
      </c>
      <c r="FI35" s="271">
        <f>SUM(FI32:FI34)</f>
        <v/>
      </c>
      <c r="FJ35" s="271">
        <f>SUM(FJ32:FJ34)</f>
        <v/>
      </c>
      <c r="FK35" s="271">
        <f>SUM(FK32:FK34)</f>
        <v/>
      </c>
      <c r="FL35" s="271">
        <f>SUM(FL32:FL34)</f>
        <v/>
      </c>
      <c r="FM35" s="271">
        <f>SUM(FM32:FM34)</f>
        <v/>
      </c>
      <c r="FN35" s="271">
        <f>SUM(FN32:FN34)</f>
        <v/>
      </c>
      <c r="FO35" s="271">
        <f>SUM(FO32:FO34)</f>
        <v/>
      </c>
      <c r="FP35" s="271">
        <f>SUM(FP32:FP34)</f>
        <v/>
      </c>
      <c r="FQ35" s="271">
        <f>SUM(FQ32:FQ34)</f>
        <v/>
      </c>
      <c r="FR35" s="271">
        <f>SUM(FR32:FR34)</f>
        <v/>
      </c>
      <c r="FS35" s="271">
        <f>SUM(FS32:FS34)</f>
        <v/>
      </c>
      <c r="FT35" s="271">
        <f>SUM(FT32:FT34)</f>
        <v/>
      </c>
      <c r="FU35" s="271">
        <f>SUM(FU32:FU34)</f>
        <v/>
      </c>
      <c r="FV35" s="271">
        <f>SUM(FV32:FV34)</f>
        <v/>
      </c>
      <c r="FW35" s="271">
        <f>SUM(FW32:FW34)</f>
        <v/>
      </c>
      <c r="FX35" s="271">
        <f>SUM(FX32:FX34)</f>
        <v/>
      </c>
      <c r="FY35" s="271">
        <f>SUM(FY32:FY34)</f>
        <v/>
      </c>
      <c r="FZ35" s="271">
        <f>SUM(FZ32:FZ34)</f>
        <v/>
      </c>
      <c r="GA35" s="271">
        <f>SUM(GA32:GA34)</f>
        <v/>
      </c>
      <c r="GB35" s="271">
        <f>SUM(GB32:GB34)</f>
        <v/>
      </c>
      <c r="GC35" s="271">
        <f>SUM(GC32:GC34)</f>
        <v/>
      </c>
      <c r="GD35" s="271">
        <f>SUM(GD32:GD34)</f>
        <v/>
      </c>
      <c r="GE35" s="271">
        <f>SUM(GE32:GE34)</f>
        <v/>
      </c>
      <c r="GF35" s="271">
        <f>SUM(GF32:GF34)</f>
        <v/>
      </c>
      <c r="GG35" s="271">
        <f>SUM(GG32:GG34)</f>
        <v/>
      </c>
      <c r="GH35" s="271">
        <f>SUM(GH32:GH34)</f>
        <v/>
      </c>
      <c r="GI35" s="271">
        <f>SUM(GI32:GI34)</f>
        <v/>
      </c>
      <c r="GJ35" s="271">
        <f>SUM(GJ32:GJ34)</f>
        <v/>
      </c>
      <c r="GK35" s="271">
        <f>SUM(GK32:GK34)</f>
        <v/>
      </c>
      <c r="GL35" s="271">
        <f>SUM(GL32:GL34)</f>
        <v/>
      </c>
      <c r="GM35" s="271">
        <f>SUM(GM32:GM34)</f>
        <v/>
      </c>
      <c r="GN35" s="271">
        <f>SUM(GN32:GN34)</f>
        <v/>
      </c>
      <c r="GO35" s="271">
        <f>SUM(GO32:GO34)</f>
        <v/>
      </c>
      <c r="GP35" s="271">
        <f>SUM(GP32:GP34)</f>
        <v/>
      </c>
      <c r="GQ35" s="271">
        <f>SUM(GQ32:GQ34)</f>
        <v/>
      </c>
      <c r="GR35" s="271">
        <f>SUM(GR32:GR34)</f>
        <v/>
      </c>
      <c r="GS35" s="271">
        <f>SUM(GS32:GS34)</f>
        <v/>
      </c>
      <c r="GT35" s="271">
        <f>SUM(GT32:GT34)</f>
        <v/>
      </c>
      <c r="GU35" s="271">
        <f>SUM(GU32:GU34)</f>
        <v/>
      </c>
      <c r="GV35" s="271">
        <f>SUM(GV32:GV34)</f>
        <v/>
      </c>
      <c r="GW35" s="271">
        <f>SUM(GW32:GW34)</f>
        <v/>
      </c>
      <c r="GX35" s="271">
        <f>SUM(GX32:GX34)</f>
        <v/>
      </c>
      <c r="GY35" s="271">
        <f>SUM(GY32:GY34)</f>
        <v/>
      </c>
      <c r="GZ35" s="271">
        <f>SUM(GZ32:GZ34)</f>
        <v/>
      </c>
      <c r="HA35" s="271">
        <f>SUM(HA32:HA34)</f>
        <v/>
      </c>
      <c r="HB35" s="271">
        <f>SUM(HB32:HB34)</f>
        <v/>
      </c>
      <c r="HC35" s="271">
        <f>SUM(HC32:HC34)</f>
        <v/>
      </c>
      <c r="HD35" s="271">
        <f>SUM(HD32:HD34)</f>
        <v/>
      </c>
      <c r="HE35" s="271">
        <f>SUM(HE32:HE34)</f>
        <v/>
      </c>
      <c r="HF35" s="271">
        <f>SUM(HF32:HF34)</f>
        <v/>
      </c>
      <c r="HG35" s="271">
        <f>SUM(HG32:HG34)</f>
        <v/>
      </c>
      <c r="HH35" s="271">
        <f>SUM(HH32:HH34)</f>
        <v/>
      </c>
      <c r="HI35" s="271">
        <f>SUM(HI32:HI34)</f>
        <v/>
      </c>
      <c r="HJ35" s="271">
        <f>SUM(HJ32:HJ34)</f>
        <v/>
      </c>
      <c r="HK35" s="271">
        <f>SUM(HK32:HK34)</f>
        <v/>
      </c>
      <c r="HL35" s="271">
        <f>SUM(HL32:HL34)</f>
        <v/>
      </c>
      <c r="HM35" s="271">
        <f>SUM(HM32:HM34)</f>
        <v/>
      </c>
      <c r="HN35" s="271">
        <f>SUM(HN32:HN34)</f>
        <v/>
      </c>
      <c r="HO35" s="271">
        <f>SUM(HO32:HO34)</f>
        <v/>
      </c>
      <c r="HP35" s="271">
        <f>SUM(HP32:HP34)</f>
        <v/>
      </c>
      <c r="HQ35" s="271">
        <f>SUM(HQ32:HQ34)</f>
        <v/>
      </c>
      <c r="HR35" s="271">
        <f>SUM(HR32:HR34)</f>
        <v/>
      </c>
      <c r="HS35" s="271">
        <f>SUM(HS32:HS34)</f>
        <v/>
      </c>
      <c r="HT35" s="271">
        <f>SUM(HT32:HT34)</f>
        <v/>
      </c>
      <c r="HU35" s="271">
        <f>SUM(HU32:HU34)</f>
        <v/>
      </c>
      <c r="JF35" s="271">
        <f>AP35</f>
        <v/>
      </c>
      <c r="JG35" s="271">
        <f>SUM(Z35:AK35)</f>
        <v/>
      </c>
      <c r="JH35" s="271">
        <f>SUM(AL35:AP35)</f>
        <v/>
      </c>
      <c r="JI35" s="271">
        <f>SUM(C35:AP35)</f>
        <v/>
      </c>
      <c r="JJ35" s="446" t="n"/>
      <c r="JM35" s="271" t="n">
        <v>-162010.7655833335</v>
      </c>
      <c r="KG35" s="137">
        <f>B35</f>
        <v/>
      </c>
      <c r="KH35" s="335">
        <f>AR35</f>
        <v/>
      </c>
    </row>
    <row r="36" ht="6" customHeight="1">
      <c r="A36" s="90" t="n"/>
      <c r="B36" s="141" t="n"/>
      <c r="C36" s="91" t="n"/>
      <c r="D36" s="91" t="n"/>
      <c r="E36" s="91" t="n"/>
      <c r="F36" s="91" t="n"/>
      <c r="G36" s="91" t="n"/>
      <c r="H36" s="91" t="n"/>
      <c r="I36" s="91" t="n"/>
      <c r="J36" s="177" t="n"/>
      <c r="K36" s="91" t="n"/>
      <c r="L36" s="91" t="n"/>
      <c r="M36" s="178" t="n"/>
      <c r="N36" s="178" t="n"/>
      <c r="O36" s="178" t="n"/>
      <c r="P36" s="178" t="n"/>
      <c r="Q36" s="178" t="n"/>
      <c r="R36" s="178" t="n"/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3" t="n"/>
      <c r="AR36" s="333" t="n"/>
      <c r="AS36" s="13" t="n"/>
      <c r="AT36" s="91" t="n"/>
      <c r="AU36" s="91" t="n"/>
      <c r="AV36" s="91" t="n"/>
      <c r="AW36" s="91" t="n"/>
      <c r="AX36" s="91" t="n"/>
      <c r="AY36" s="91" t="n"/>
      <c r="AZ36" s="91" t="n"/>
      <c r="BA36" s="91" t="n"/>
      <c r="BB36" s="91" t="n"/>
      <c r="BC36" s="91" t="n"/>
      <c r="BD36" s="302" t="n"/>
      <c r="BE36" s="91" t="n"/>
      <c r="BF36" s="91" t="n"/>
      <c r="BG36" s="91" t="n"/>
      <c r="BH36" s="91" t="n"/>
      <c r="BI36" s="91" t="n"/>
      <c r="BJ36" s="91" t="n"/>
      <c r="BK36" s="91" t="n"/>
      <c r="BL36" s="91" t="n"/>
      <c r="BM36" s="91" t="n"/>
      <c r="BN36" s="91" t="n"/>
      <c r="BO36" s="91" t="n"/>
      <c r="BP36" s="302" t="n"/>
      <c r="BQ36" s="91" t="n"/>
      <c r="BR36" s="91" t="n"/>
      <c r="BS36" s="91" t="n"/>
      <c r="BT36" s="91" t="n"/>
      <c r="BU36" s="91" t="n"/>
      <c r="BV36" s="91" t="n"/>
      <c r="BW36" s="91" t="n"/>
      <c r="BX36" s="91" t="n"/>
      <c r="BY36" s="91" t="n"/>
      <c r="BZ36" s="91" t="n"/>
      <c r="CA36" s="91" t="n"/>
      <c r="CB36" s="302" t="n"/>
      <c r="CC36" s="91" t="n"/>
      <c r="CD36" s="91" t="n"/>
      <c r="CE36" s="91" t="n"/>
      <c r="CF36" s="91" t="n"/>
      <c r="CG36" s="91" t="n"/>
      <c r="CH36" s="91" t="n"/>
      <c r="CI36" s="91" t="n"/>
      <c r="CJ36" s="91" t="n"/>
      <c r="CK36" s="91" t="n"/>
      <c r="CL36" s="91" t="n"/>
      <c r="CM36" s="91" t="n"/>
      <c r="CN36" s="302" t="n"/>
      <c r="CO36" s="91" t="n"/>
      <c r="CP36" s="91" t="n"/>
      <c r="CQ36" s="91" t="n"/>
      <c r="CR36" s="91" t="n"/>
      <c r="CS36" s="91" t="n"/>
      <c r="CT36" s="91" t="n"/>
      <c r="CU36" s="91" t="n"/>
      <c r="CV36" s="91" t="n"/>
      <c r="CW36" s="91" t="n"/>
      <c r="CX36" s="91" t="n"/>
      <c r="CY36" s="91" t="n"/>
      <c r="CZ36" s="302" t="n"/>
      <c r="DA36" s="91" t="n"/>
      <c r="DB36" s="91" t="n"/>
      <c r="DC36" s="91" t="n"/>
      <c r="DD36" s="91" t="n"/>
      <c r="DE36" s="91" t="n"/>
      <c r="DF36" s="91" t="n"/>
      <c r="DG36" s="91" t="n"/>
      <c r="DH36" s="91" t="n"/>
      <c r="DI36" s="91" t="n"/>
      <c r="DJ36" s="91" t="n"/>
      <c r="DK36" s="91" t="n"/>
      <c r="DL36" s="91" t="n"/>
      <c r="DM36" s="91" t="n"/>
      <c r="DN36" s="91" t="n"/>
      <c r="DO36" s="91" t="n"/>
      <c r="DP36" s="91" t="n"/>
      <c r="DQ36" s="91" t="n"/>
      <c r="DR36" s="91" t="n"/>
      <c r="DS36" s="91" t="n"/>
      <c r="DT36" s="91" t="n"/>
      <c r="DU36" s="91" t="n"/>
      <c r="DV36" s="91" t="n"/>
      <c r="DW36" s="91" t="n"/>
      <c r="DX36" s="91" t="n"/>
      <c r="DY36" s="91" t="n"/>
      <c r="DZ36" s="91" t="n"/>
      <c r="EA36" s="91" t="n"/>
      <c r="EB36" s="91" t="n"/>
      <c r="EC36" s="91" t="n"/>
      <c r="ED36" s="91" t="n"/>
      <c r="EE36" s="91" t="n"/>
      <c r="EF36" s="91" t="n"/>
      <c r="EG36" s="91" t="n"/>
      <c r="EH36" s="91" t="n"/>
      <c r="EI36" s="91" t="n"/>
      <c r="EJ36" s="91" t="n"/>
      <c r="EK36" s="91" t="n"/>
      <c r="EL36" s="91" t="n"/>
      <c r="EM36" s="91" t="n"/>
      <c r="EN36" s="91" t="n"/>
      <c r="EO36" s="91" t="n"/>
      <c r="EP36" s="91" t="n"/>
      <c r="EQ36" s="91" t="n"/>
      <c r="ER36" s="91" t="n"/>
      <c r="ES36" s="91" t="n"/>
      <c r="ET36" s="91" t="n"/>
      <c r="EU36" s="91" t="n"/>
      <c r="EV36" s="91" t="n"/>
      <c r="EW36" s="91" t="n"/>
      <c r="EX36" s="91" t="n"/>
      <c r="EY36" s="91" t="n"/>
      <c r="EZ36" s="91" t="n"/>
      <c r="FA36" s="91" t="n"/>
      <c r="FB36" s="91" t="n"/>
      <c r="FC36" s="91" t="n"/>
      <c r="FD36" s="91" t="n"/>
      <c r="FE36" s="91" t="n"/>
      <c r="FF36" s="91" t="n"/>
      <c r="FG36" s="91" t="n"/>
      <c r="FH36" s="91" t="n"/>
      <c r="FI36" s="91" t="n"/>
      <c r="FJ36" s="91" t="n"/>
      <c r="FK36" s="91" t="n"/>
      <c r="FL36" s="91" t="n"/>
      <c r="FM36" s="91" t="n"/>
      <c r="FN36" s="91" t="n"/>
      <c r="FO36" s="91" t="n"/>
      <c r="FP36" s="91" t="n"/>
      <c r="FQ36" s="91" t="n"/>
      <c r="FR36" s="91" t="n"/>
      <c r="FS36" s="91" t="n"/>
      <c r="FT36" s="91" t="n"/>
      <c r="FU36" s="91" t="n"/>
      <c r="FV36" s="91" t="n"/>
      <c r="FW36" s="91" t="n"/>
      <c r="FX36" s="91" t="n"/>
      <c r="FY36" s="91" t="n"/>
      <c r="FZ36" s="91" t="n"/>
      <c r="GA36" s="91" t="n"/>
      <c r="GB36" s="91" t="n"/>
      <c r="GC36" s="91" t="n"/>
      <c r="GD36" s="91" t="n"/>
      <c r="GE36" s="91" t="n"/>
      <c r="GF36" s="91" t="n"/>
      <c r="GG36" s="91" t="n"/>
      <c r="GH36" s="91" t="n"/>
      <c r="GI36" s="91" t="n"/>
      <c r="GJ36" s="91" t="n"/>
      <c r="GK36" s="91" t="n"/>
      <c r="GL36" s="91" t="n"/>
      <c r="GM36" s="91" t="n"/>
      <c r="GN36" s="91" t="n"/>
      <c r="GO36" s="91" t="n"/>
      <c r="GP36" s="91" t="n"/>
      <c r="GQ36" s="91" t="n"/>
      <c r="GR36" s="91" t="n"/>
      <c r="GS36" s="91" t="n"/>
      <c r="GT36" s="91" t="n"/>
      <c r="GU36" s="91" t="n"/>
      <c r="GV36" s="91" t="n"/>
      <c r="GW36" s="91" t="n"/>
      <c r="GX36" s="91" t="n"/>
      <c r="GY36" s="91" t="n"/>
      <c r="GZ36" s="91" t="n"/>
      <c r="HA36" s="91" t="n"/>
      <c r="HB36" s="91" t="n"/>
      <c r="HC36" s="91" t="n"/>
      <c r="HD36" s="91" t="n"/>
      <c r="HE36" s="91" t="n"/>
      <c r="HF36" s="91" t="n"/>
      <c r="HG36" s="91" t="n"/>
      <c r="HH36" s="91" t="n"/>
      <c r="HI36" s="91" t="n"/>
      <c r="HJ36" s="91" t="n"/>
      <c r="HK36" s="91" t="n"/>
      <c r="HL36" s="91" t="n"/>
      <c r="HM36" s="91" t="n"/>
      <c r="HN36" s="91" t="n"/>
      <c r="HO36" s="91" t="n"/>
      <c r="HP36" s="91" t="n"/>
      <c r="HQ36" s="91" t="n"/>
      <c r="HR36" s="91" t="n"/>
      <c r="HS36" s="91" t="n"/>
      <c r="HT36" s="91" t="n"/>
      <c r="HU36" s="91" t="n"/>
      <c r="JF36" s="91">
        <f>AP36</f>
        <v/>
      </c>
      <c r="JG36" s="91">
        <f>SUM(Z36:AK36)</f>
        <v/>
      </c>
      <c r="JH36" s="91">
        <f>SUM(AL36:AP36)</f>
        <v/>
      </c>
      <c r="JI36" s="91">
        <f>SUM(C36:AP36)</f>
        <v/>
      </c>
      <c r="JJ36" s="446" t="n"/>
      <c r="JM36" s="91" t="n"/>
      <c r="KG36" s="141">
        <f>B36</f>
        <v/>
      </c>
      <c r="KH36" s="333">
        <f>AR36</f>
        <v/>
      </c>
    </row>
    <row r="37" ht="16.2" customHeight="1">
      <c r="A37" s="81" t="inlineStr">
        <is>
          <t>DESPESAS DE OBRA (-) | Projeto (-)</t>
        </is>
      </c>
      <c r="B37" s="142" t="n"/>
      <c r="C37" s="82" t="n"/>
      <c r="D37" s="84" t="n"/>
      <c r="E37" s="82" t="n"/>
      <c r="F37" s="82" t="n"/>
      <c r="G37" s="82" t="n"/>
      <c r="H37" s="82" t="n"/>
      <c r="I37" s="83" t="n"/>
      <c r="J37" s="179" t="n"/>
      <c r="K37" s="109" t="n"/>
      <c r="L37" s="108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00" t="n"/>
      <c r="AR37" s="241" t="n"/>
      <c r="AS37" s="200" t="n"/>
      <c r="AT37" s="92" t="n"/>
      <c r="AU37" s="92" t="n"/>
      <c r="AV37" s="92" t="n"/>
      <c r="AW37" s="92" t="n"/>
      <c r="AX37" s="92" t="n"/>
      <c r="AY37" s="92" t="n"/>
      <c r="AZ37" s="92" t="n"/>
      <c r="BA37" s="92" t="n"/>
      <c r="BB37" s="92" t="n"/>
      <c r="BC37" s="92" t="n"/>
      <c r="BD37" s="303" t="n"/>
      <c r="BE37" s="272" t="n"/>
      <c r="BF37" s="92" t="n"/>
      <c r="BG37" s="92" t="n"/>
      <c r="BH37" s="92" t="n"/>
      <c r="BI37" s="92" t="n"/>
      <c r="BJ37" s="92" t="n"/>
      <c r="BK37" s="92" t="n"/>
      <c r="BL37" s="92" t="n"/>
      <c r="BM37" s="92" t="n"/>
      <c r="BN37" s="92" t="n"/>
      <c r="BO37" s="92" t="n"/>
      <c r="BP37" s="303" t="n"/>
      <c r="BQ37" s="272" t="n"/>
      <c r="BR37" s="92" t="n"/>
      <c r="BS37" s="92" t="n"/>
      <c r="BT37" s="92" t="n"/>
      <c r="BU37" s="92" t="n"/>
      <c r="BV37" s="92" t="n"/>
      <c r="BW37" s="92" t="n"/>
      <c r="BX37" s="92" t="n"/>
      <c r="BY37" s="92" t="n"/>
      <c r="BZ37" s="92" t="n"/>
      <c r="CA37" s="92" t="n"/>
      <c r="CB37" s="303" t="n"/>
      <c r="CC37" s="272" t="n"/>
      <c r="CD37" s="92" t="n"/>
      <c r="CE37" s="92" t="n"/>
      <c r="CF37" s="92" t="n"/>
      <c r="CG37" s="92" t="n"/>
      <c r="CH37" s="92" t="n"/>
      <c r="CI37" s="92" t="n"/>
      <c r="CJ37" s="92" t="n"/>
      <c r="CK37" s="92" t="n"/>
      <c r="CL37" s="92" t="n"/>
      <c r="CM37" s="92" t="n"/>
      <c r="CN37" s="303" t="n"/>
      <c r="CO37" s="272" t="n"/>
      <c r="CP37" s="92" t="n"/>
      <c r="CQ37" s="92" t="n"/>
      <c r="CR37" s="92" t="n"/>
      <c r="CS37" s="92" t="n"/>
      <c r="CT37" s="92" t="n"/>
      <c r="CU37" s="92" t="n"/>
      <c r="CV37" s="92" t="n"/>
      <c r="CW37" s="92" t="n"/>
      <c r="CX37" s="92" t="n"/>
      <c r="CY37" s="92" t="n"/>
      <c r="CZ37" s="303" t="n"/>
      <c r="DA37" s="272" t="n"/>
      <c r="DB37" s="92" t="n"/>
      <c r="DC37" s="92" t="n"/>
      <c r="DD37" s="92" t="n"/>
      <c r="DE37" s="92" t="n"/>
      <c r="DF37" s="92" t="n"/>
      <c r="DG37" s="92" t="n"/>
      <c r="DH37" s="92" t="n"/>
      <c r="DI37" s="92" t="n"/>
      <c r="DJ37" s="109" t="n"/>
      <c r="DK37" s="92" t="n"/>
      <c r="DL37" s="109" t="n"/>
      <c r="DM37" s="92" t="n"/>
      <c r="DN37" s="109" t="n"/>
      <c r="DO37" s="109" t="n"/>
      <c r="DP37" s="109" t="n"/>
      <c r="DQ37" s="109" t="n"/>
      <c r="DR37" s="109" t="n"/>
      <c r="DS37" s="109" t="n"/>
      <c r="DT37" s="109" t="n"/>
      <c r="DU37" s="109" t="n"/>
      <c r="DV37" s="109" t="n"/>
      <c r="DW37" s="109" t="n"/>
      <c r="DX37" s="109" t="n"/>
      <c r="DY37" s="109" t="n"/>
      <c r="DZ37" s="109" t="n"/>
      <c r="EA37" s="109" t="n"/>
      <c r="EB37" s="109" t="n"/>
      <c r="EC37" s="109" t="n"/>
      <c r="ED37" s="109" t="n"/>
      <c r="EE37" s="109" t="n"/>
      <c r="EF37" s="109" t="n"/>
      <c r="EG37" s="109" t="n"/>
      <c r="EH37" s="109" t="n"/>
      <c r="EI37" s="109" t="n"/>
      <c r="EJ37" s="109" t="n"/>
      <c r="EK37" s="109" t="n"/>
      <c r="EL37" s="109" t="n"/>
      <c r="EM37" s="109" t="n"/>
      <c r="EN37" s="109" t="n"/>
      <c r="EO37" s="109" t="n"/>
      <c r="EP37" s="109" t="n"/>
      <c r="EQ37" s="109" t="n"/>
      <c r="ER37" s="109" t="n"/>
      <c r="ES37" s="109" t="n"/>
      <c r="ET37" s="109" t="n"/>
      <c r="EU37" s="109" t="n"/>
      <c r="EV37" s="109" t="n"/>
      <c r="EW37" s="109" t="n"/>
      <c r="EX37" s="109" t="n"/>
      <c r="EY37" s="109" t="n"/>
      <c r="EZ37" s="109" t="n"/>
      <c r="FA37" s="109" t="n"/>
      <c r="FB37" s="109" t="n"/>
      <c r="FC37" s="109" t="n"/>
      <c r="FD37" s="109" t="n"/>
      <c r="FE37" s="109" t="n"/>
      <c r="FF37" s="109" t="n"/>
      <c r="FG37" s="109" t="n"/>
      <c r="FH37" s="109" t="n"/>
      <c r="FI37" s="109" t="n"/>
      <c r="FJ37" s="109" t="n"/>
      <c r="FK37" s="109" t="n"/>
      <c r="FL37" s="109" t="n"/>
      <c r="FM37" s="109" t="n"/>
      <c r="FN37" s="109" t="n"/>
      <c r="FO37" s="109" t="n"/>
      <c r="FP37" s="109" t="n"/>
      <c r="FQ37" s="109" t="n"/>
      <c r="FR37" s="109" t="n"/>
      <c r="FS37" s="109" t="n"/>
      <c r="FT37" s="109" t="n"/>
      <c r="FU37" s="109" t="n"/>
      <c r="FV37" s="109" t="n"/>
      <c r="FW37" s="109" t="n"/>
      <c r="FX37" s="109" t="n"/>
      <c r="FY37" s="109" t="n"/>
      <c r="FZ37" s="109" t="n"/>
      <c r="GA37" s="109" t="n"/>
      <c r="GB37" s="109" t="n"/>
      <c r="GC37" s="109" t="n"/>
      <c r="GD37" s="109" t="n"/>
      <c r="GE37" s="109" t="n"/>
      <c r="GF37" s="109" t="n"/>
      <c r="GG37" s="109" t="n"/>
      <c r="GH37" s="109" t="n"/>
      <c r="GI37" s="109" t="n"/>
      <c r="GJ37" s="109" t="n"/>
      <c r="GK37" s="109" t="n"/>
      <c r="GL37" s="109" t="n"/>
      <c r="GM37" s="109" t="n"/>
      <c r="GN37" s="109" t="n"/>
      <c r="GO37" s="109" t="n"/>
      <c r="GP37" s="109" t="n"/>
      <c r="GQ37" s="109" t="n"/>
      <c r="GR37" s="109" t="n"/>
      <c r="GS37" s="109" t="n"/>
      <c r="GT37" s="109" t="n"/>
      <c r="GU37" s="109" t="n"/>
      <c r="GV37" s="109" t="n"/>
      <c r="GW37" s="109" t="n"/>
      <c r="GX37" s="109" t="n"/>
      <c r="GY37" s="109" t="n"/>
      <c r="GZ37" s="109" t="n"/>
      <c r="HA37" s="109" t="n"/>
      <c r="HB37" s="109" t="n"/>
      <c r="HC37" s="109" t="n"/>
      <c r="HD37" s="109" t="n"/>
      <c r="HE37" s="109" t="n"/>
      <c r="HF37" s="109" t="n"/>
      <c r="HG37" s="109" t="n"/>
      <c r="HH37" s="109" t="n"/>
      <c r="HI37" s="109" t="n"/>
      <c r="HJ37" s="109" t="n"/>
      <c r="HK37" s="109" t="n"/>
      <c r="HL37" s="109" t="n"/>
      <c r="HM37" s="109" t="n"/>
      <c r="HN37" s="109" t="n"/>
      <c r="HO37" s="109" t="n"/>
      <c r="HP37" s="109" t="n"/>
      <c r="HQ37" s="109" t="n"/>
      <c r="HR37" s="109" t="n"/>
      <c r="HS37" s="109" t="n"/>
      <c r="HT37" s="109" t="n"/>
      <c r="HU37" s="109" t="n"/>
      <c r="JF37" s="92">
        <f>AP37</f>
        <v/>
      </c>
      <c r="JG37" s="92">
        <f>SUM(Z37:AK37)</f>
        <v/>
      </c>
      <c r="JH37" s="92">
        <f>SUM(AL37:AP37)</f>
        <v/>
      </c>
      <c r="JI37" s="92">
        <f>SUM(C37:AP37)</f>
        <v/>
      </c>
      <c r="JJ37" s="446" t="n"/>
      <c r="JM37" s="109" t="n"/>
      <c r="KG37" s="142">
        <f>B37</f>
        <v/>
      </c>
      <c r="KH37" s="241">
        <f>AR37</f>
        <v/>
      </c>
    </row>
    <row r="38" ht="18" customHeight="1">
      <c r="A38" s="7" t="inlineStr">
        <is>
          <t>OBRA - (revisão ABRIL/26)</t>
        </is>
      </c>
      <c r="B38" s="136">
        <f>SUM(C38:AP38)</f>
        <v/>
      </c>
      <c r="C38" s="85" t="n"/>
      <c r="D38" s="87" t="n"/>
      <c r="E38" s="85" t="n"/>
      <c r="F38" s="85" t="n"/>
      <c r="G38" s="85" t="n"/>
      <c r="H38" s="85" t="n"/>
      <c r="I38" s="86" t="n"/>
      <c r="J38" s="526" t="n"/>
      <c r="K38" s="527" t="n"/>
      <c r="L38" s="528" t="n"/>
      <c r="M38" s="529" t="n"/>
      <c r="N38" s="529" t="n"/>
      <c r="O38" s="529" t="n"/>
      <c r="P38" s="529" t="n"/>
      <c r="Q38" s="529" t="n"/>
      <c r="R38" s="529" t="n"/>
      <c r="S38" s="529" t="n"/>
      <c r="T38" s="529" t="n"/>
      <c r="U38" s="529" t="n"/>
      <c r="V38" s="529" t="n"/>
      <c r="W38" s="529" t="n"/>
      <c r="X38" s="529" t="n"/>
      <c r="Y38" s="529" t="n"/>
      <c r="Z38" s="529" t="n"/>
      <c r="AA38" s="529" t="n"/>
      <c r="AB38" s="529" t="n"/>
      <c r="AC38" s="529">
        <f>-124003.31+107752.3</f>
        <v/>
      </c>
      <c r="AD38" s="529" t="n">
        <v>-15360</v>
      </c>
      <c r="AE38" s="529" t="n">
        <v>-494572.5</v>
      </c>
      <c r="AF38" s="529" t="n">
        <v>-570102.1799999999</v>
      </c>
      <c r="AG38" s="529" t="n">
        <v>-1543804.35</v>
      </c>
      <c r="AH38" s="529" t="n">
        <v>-1436152.9</v>
      </c>
      <c r="AI38" s="529" t="n">
        <v>-1462529.72</v>
      </c>
      <c r="AJ38" s="529">
        <f>-2392797.39-19000</f>
        <v/>
      </c>
      <c r="AK38" s="529">
        <f>-3640788.84+55000</f>
        <v/>
      </c>
      <c r="AL38" s="529">
        <f>-2865171.27+29261.06</f>
        <v/>
      </c>
      <c r="AM38" s="529" t="n">
        <v>-798176.1899999999</v>
      </c>
      <c r="AN38" s="529" t="n">
        <v>-1093169.71</v>
      </c>
      <c r="AO38" s="529" t="n">
        <v>-1975027.38</v>
      </c>
      <c r="AP38" s="529" t="n">
        <v>-3609373.31</v>
      </c>
      <c r="AQ38" s="13" t="n"/>
      <c r="AR38" s="345">
        <f>SUM(AT38:HU38)</f>
        <v/>
      </c>
      <c r="AS38" s="13" t="n"/>
      <c r="AT38" s="87" t="n">
        <v>-6186623.486159776</v>
      </c>
      <c r="AU38" s="87" t="n">
        <v>-6156623.486159776</v>
      </c>
      <c r="AV38" s="87">
        <f>-4814839.46-224972.62-137837.64</f>
        <v/>
      </c>
      <c r="AW38" s="87" t="n">
        <v>-5312619.46</v>
      </c>
      <c r="AX38" s="87" t="n">
        <v>-5169839.46</v>
      </c>
      <c r="AY38" s="87" t="n">
        <v>-4677099.7</v>
      </c>
      <c r="AZ38" s="87" t="n">
        <v>-4782099.7</v>
      </c>
      <c r="BA38" s="87" t="n">
        <v>-2312321.53</v>
      </c>
      <c r="BB38" s="87" t="n">
        <v>-2710771.53</v>
      </c>
      <c r="BC38" s="87" t="n">
        <v>-2241942.99</v>
      </c>
      <c r="BD38" s="87" t="n">
        <v>-2091426.76</v>
      </c>
      <c r="BE38" s="87" t="n">
        <v>-1213525</v>
      </c>
      <c r="BF38" s="87" t="n">
        <v>-2251060.67</v>
      </c>
      <c r="BG38" s="87" t="n">
        <v>-743916.67</v>
      </c>
      <c r="BH38" s="87" t="n">
        <v>-918916.67</v>
      </c>
      <c r="BI38" s="87" t="n">
        <v>-918916.67</v>
      </c>
      <c r="BJ38" s="87" t="n">
        <v>-918916.67</v>
      </c>
      <c r="BK38" s="87" t="n">
        <v>-918916.67</v>
      </c>
      <c r="BL38" s="87" t="n">
        <v>-1001416.67</v>
      </c>
      <c r="BM38" s="87" t="n">
        <v>-1216416.67</v>
      </c>
      <c r="BN38" s="87" t="n">
        <v>-1216416.67</v>
      </c>
      <c r="BO38" s="87" t="n">
        <v>-2983083.33</v>
      </c>
      <c r="BP38" s="87" t="n">
        <v>-2983083.33</v>
      </c>
      <c r="BQ38" s="87" t="n">
        <v>-2768083.33</v>
      </c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  <c r="FX38" s="87" t="n"/>
      <c r="FY38" s="87" t="n"/>
      <c r="FZ38" s="87" t="n"/>
      <c r="GA38" s="87" t="n"/>
      <c r="GB38" s="87" t="n"/>
      <c r="GC38" s="87" t="n"/>
      <c r="GD38" s="87" t="n"/>
      <c r="GE38" s="87" t="n"/>
      <c r="GF38" s="87" t="n"/>
      <c r="GG38" s="87" t="n"/>
      <c r="GH38" s="87" t="n"/>
      <c r="GI38" s="87" t="n"/>
      <c r="GJ38" s="87" t="n"/>
      <c r="GK38" s="87" t="n"/>
      <c r="GL38" s="87" t="n"/>
      <c r="GM38" s="87" t="n"/>
      <c r="GN38" s="87" t="n"/>
      <c r="GO38" s="87" t="n"/>
      <c r="GP38" s="87" t="n"/>
      <c r="GQ38" s="87" t="n"/>
      <c r="GR38" s="87" t="n"/>
      <c r="GS38" s="87" t="n"/>
      <c r="GT38" s="87" t="n"/>
      <c r="GU38" s="87" t="n"/>
      <c r="GV38" s="87" t="n"/>
      <c r="GW38" s="87" t="n"/>
      <c r="GX38" s="87" t="n"/>
      <c r="GY38" s="87" t="n"/>
      <c r="GZ38" s="87" t="n"/>
      <c r="HA38" s="87" t="n"/>
      <c r="HB38" s="87" t="n"/>
      <c r="HC38" s="87" t="n"/>
      <c r="HD38" s="87" t="n"/>
      <c r="HE38" s="87" t="n"/>
      <c r="HF38" s="87" t="n"/>
      <c r="HG38" s="87" t="n"/>
      <c r="HH38" s="87" t="n"/>
      <c r="HI38" s="87" t="n"/>
      <c r="HJ38" s="87" t="n"/>
      <c r="HK38" s="87" t="n"/>
      <c r="HL38" s="87" t="n"/>
      <c r="HM38" s="87" t="n"/>
      <c r="HN38" s="87" t="n"/>
      <c r="HO38" s="87" t="n"/>
      <c r="HP38" s="87" t="n"/>
      <c r="HQ38" s="87" t="n"/>
      <c r="HR38" s="87" t="n"/>
      <c r="HS38" s="87" t="n"/>
      <c r="HT38" s="87" t="n"/>
      <c r="HU38" s="87" t="n"/>
      <c r="JF38" s="87">
        <f>AP38</f>
        <v/>
      </c>
      <c r="JG38" s="87">
        <f>SUM(Z38:AK38)</f>
        <v/>
      </c>
      <c r="JH38" s="87">
        <f>SUM(AL38:AP38)</f>
        <v/>
      </c>
      <c r="JI38" s="87">
        <f>SUM(C38:AP38)</f>
        <v/>
      </c>
      <c r="JJ38" s="446" t="n"/>
      <c r="JM38" s="469" t="n">
        <v>-3747210.946159777</v>
      </c>
      <c r="KG38" s="136">
        <f>B38</f>
        <v/>
      </c>
      <c r="KH38" s="345">
        <f>AR38</f>
        <v/>
      </c>
    </row>
    <row r="39" ht="18" customHeight="1">
      <c r="A39" s="7" t="inlineStr">
        <is>
          <t>Verba de pós obra</t>
        </is>
      </c>
      <c r="B39" s="136">
        <f>SUM(C39:AP39)</f>
        <v/>
      </c>
      <c r="C39" s="85" t="n"/>
      <c r="D39" s="87" t="n"/>
      <c r="E39" s="85" t="n"/>
      <c r="F39" s="85" t="n"/>
      <c r="G39" s="85" t="n"/>
      <c r="H39" s="85" t="n"/>
      <c r="I39" s="86" t="n"/>
      <c r="J39" s="526" t="n"/>
      <c r="K39" s="527" t="n"/>
      <c r="L39" s="528" t="n"/>
      <c r="M39" s="529" t="n"/>
      <c r="N39" s="529" t="n"/>
      <c r="O39" s="529" t="n"/>
      <c r="P39" s="529" t="n"/>
      <c r="Q39" s="529" t="n"/>
      <c r="R39" s="529" t="n"/>
      <c r="S39" s="529" t="n"/>
      <c r="T39" s="529" t="n"/>
      <c r="U39" s="529" t="n"/>
      <c r="V39" s="529" t="n"/>
      <c r="W39" s="529" t="n"/>
      <c r="X39" s="529" t="n"/>
      <c r="Y39" s="529" t="n"/>
      <c r="Z39" s="529" t="n"/>
      <c r="AA39" s="529" t="n"/>
      <c r="AB39" s="529" t="n"/>
      <c r="AC39" s="529" t="n"/>
      <c r="AD39" s="529" t="n"/>
      <c r="AE39" s="529" t="n"/>
      <c r="AF39" s="529" t="n"/>
      <c r="AG39" s="529" t="n"/>
      <c r="AH39" s="529" t="n"/>
      <c r="AI39" s="529" t="n"/>
      <c r="AJ39" s="529" t="n"/>
      <c r="AK39" s="529" t="n"/>
      <c r="AL39" s="529" t="n"/>
      <c r="AM39" s="529" t="n"/>
      <c r="AN39" s="529" t="n"/>
      <c r="AO39" s="529" t="n"/>
      <c r="AP39" s="529" t="n"/>
      <c r="AQ39" s="13" t="n"/>
      <c r="AR39" s="345">
        <f>SUM(AT39:HU39)</f>
        <v/>
      </c>
      <c r="AS39" s="13" t="n"/>
      <c r="AT39" s="87" t="n">
        <v>0</v>
      </c>
      <c r="AU39" s="87" t="n">
        <v>0</v>
      </c>
      <c r="AV39" s="87" t="n">
        <v>0</v>
      </c>
      <c r="AW39" s="87" t="n">
        <v>0</v>
      </c>
      <c r="AX39" s="87" t="n">
        <v>0</v>
      </c>
      <c r="AY39" s="87" t="n">
        <v>0</v>
      </c>
      <c r="AZ39" s="87" t="n">
        <v>0</v>
      </c>
      <c r="BA39" s="87" t="n">
        <v>0</v>
      </c>
      <c r="BB39" s="87" t="n">
        <v>0</v>
      </c>
      <c r="BC39" s="87" t="n">
        <v>0</v>
      </c>
      <c r="BD39" s="87" t="n">
        <v>0</v>
      </c>
      <c r="BE39" s="87" t="n">
        <v>0</v>
      </c>
      <c r="BF39" s="87" t="n">
        <v>0</v>
      </c>
      <c r="BG39" s="87" t="n">
        <v>0</v>
      </c>
      <c r="BH39" s="87" t="n">
        <v>0</v>
      </c>
      <c r="BI39" s="87" t="n">
        <v>0</v>
      </c>
      <c r="BJ39" s="87" t="n">
        <v>0</v>
      </c>
      <c r="BK39" s="87" t="n">
        <v>0</v>
      </c>
      <c r="BL39" s="87" t="n">
        <v>0</v>
      </c>
      <c r="BM39" s="87" t="n">
        <v>0</v>
      </c>
      <c r="BN39" s="87" t="n">
        <v>0</v>
      </c>
      <c r="BO39" s="87" t="n">
        <v>0</v>
      </c>
      <c r="BP39" s="87" t="n">
        <v>-74113.02066768291</v>
      </c>
      <c r="BQ39" s="87" t="n">
        <v>-74113.02066768291</v>
      </c>
      <c r="BR39" s="87" t="n">
        <v>-74113.02066768291</v>
      </c>
      <c r="BS39" s="87" t="n">
        <v>-74113.02066768291</v>
      </c>
      <c r="BT39" s="87" t="n">
        <v>-74113.02066768291</v>
      </c>
      <c r="BU39" s="87" t="n">
        <v>-74113.02066768291</v>
      </c>
      <c r="BV39" s="87" t="n">
        <v>-74113.02066768291</v>
      </c>
      <c r="BW39" s="87" t="n">
        <v>-74113.02066768291</v>
      </c>
      <c r="BX39" s="87" t="n">
        <v>-74113.02066768291</v>
      </c>
      <c r="BY39" s="87" t="n">
        <v>-74113.02066768291</v>
      </c>
      <c r="BZ39" s="87" t="n">
        <v>-74113.02066768291</v>
      </c>
      <c r="CA39" s="87" t="n">
        <v>-74113.02066768291</v>
      </c>
      <c r="CB39" s="87" t="n">
        <v>-74113.02066768291</v>
      </c>
      <c r="CC39" s="87" t="n">
        <v>-74113.02066768291</v>
      </c>
      <c r="CD39" s="87" t="n">
        <v>-74113.02066768291</v>
      </c>
      <c r="CE39" s="87" t="n">
        <v>-74113.02066768291</v>
      </c>
      <c r="CF39" s="87" t="n">
        <v>-74113.02066768291</v>
      </c>
      <c r="CG39" s="87" t="n">
        <v>-74113.02066768291</v>
      </c>
      <c r="CH39" s="87" t="n">
        <v>-74113.02066768291</v>
      </c>
      <c r="CI39" s="87" t="n">
        <v>-74113.02066768291</v>
      </c>
      <c r="CJ39" s="87" t="n">
        <v>-74113.02066768291</v>
      </c>
      <c r="CK39" s="87" t="n">
        <v>-74113.02066768291</v>
      </c>
      <c r="CL39" s="87" t="n">
        <v>-74113.02066768291</v>
      </c>
      <c r="CM39" s="87" t="n">
        <v>-74113.02066768291</v>
      </c>
      <c r="CN39" s="87" t="n"/>
      <c r="CO39" s="87" t="n"/>
      <c r="CP39" s="87" t="n"/>
      <c r="CQ39" s="87" t="n"/>
      <c r="CR39" s="87" t="n"/>
      <c r="CS39" s="87" t="n"/>
      <c r="CT39" s="87" t="n"/>
      <c r="CU39" s="87" t="n"/>
      <c r="CV39" s="87" t="n"/>
      <c r="CW39" s="87" t="n"/>
      <c r="CX39" s="87" t="n"/>
      <c r="CY39" s="87" t="n"/>
      <c r="CZ39" s="87" t="n"/>
      <c r="DA39" s="87" t="n"/>
      <c r="DB39" s="87" t="n"/>
      <c r="DC39" s="87" t="n"/>
      <c r="DD39" s="87" t="n"/>
      <c r="DE39" s="87" t="n"/>
      <c r="DF39" s="87" t="n"/>
      <c r="DG39" s="87" t="n"/>
      <c r="DH39" s="87" t="n"/>
      <c r="DI39" s="87" t="n"/>
      <c r="DJ39" s="87" t="n"/>
      <c r="DK39" s="87" t="n"/>
      <c r="DL39" s="87" t="n"/>
      <c r="DM39" s="87" t="n"/>
      <c r="DN39" s="87" t="n"/>
      <c r="DO39" s="87" t="n"/>
      <c r="DP39" s="87" t="n"/>
      <c r="DQ39" s="87" t="n"/>
      <c r="DR39" s="87" t="n"/>
      <c r="DS39" s="87" t="n"/>
      <c r="DT39" s="87" t="n"/>
      <c r="DU39" s="87" t="n"/>
      <c r="DV39" s="87" t="n"/>
      <c r="DW39" s="87" t="n"/>
      <c r="DX39" s="87" t="n"/>
      <c r="DY39" s="87" t="n"/>
      <c r="DZ39" s="87" t="n"/>
      <c r="EA39" s="87" t="n"/>
      <c r="EB39" s="87" t="n"/>
      <c r="EC39" s="87" t="n"/>
      <c r="ED39" s="87" t="n"/>
      <c r="EE39" s="87" t="n"/>
      <c r="EF39" s="87" t="n"/>
      <c r="EG39" s="87" t="n"/>
      <c r="EH39" s="87" t="n"/>
      <c r="EI39" s="87" t="n"/>
      <c r="EJ39" s="87" t="n"/>
      <c r="EK39" s="87" t="n"/>
      <c r="EL39" s="87" t="n"/>
      <c r="EM39" s="87" t="n"/>
      <c r="EN39" s="87" t="n"/>
      <c r="EO39" s="87" t="n"/>
      <c r="EP39" s="87" t="n"/>
      <c r="EQ39" s="87" t="n"/>
      <c r="ER39" s="87" t="n"/>
      <c r="ES39" s="87" t="n"/>
      <c r="ET39" s="87" t="n"/>
      <c r="EU39" s="87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87" t="n"/>
      <c r="FM39" s="87" t="n"/>
      <c r="FN39" s="87" t="n"/>
      <c r="FO39" s="87" t="n"/>
      <c r="FP39" s="87" t="n"/>
      <c r="FQ39" s="87" t="n"/>
      <c r="FR39" s="87" t="n"/>
      <c r="FS39" s="87" t="n"/>
      <c r="FT39" s="87" t="n"/>
      <c r="FU39" s="87" t="n"/>
      <c r="FV39" s="87" t="n"/>
      <c r="FW39" s="87" t="n"/>
      <c r="FX39" s="87" t="n"/>
      <c r="FY39" s="87" t="n"/>
      <c r="FZ39" s="87" t="n"/>
      <c r="GA39" s="87" t="n"/>
      <c r="GB39" s="87" t="n"/>
      <c r="GC39" s="87" t="n"/>
      <c r="GD39" s="87" t="n"/>
      <c r="GE39" s="87" t="n"/>
      <c r="GF39" s="87" t="n"/>
      <c r="GG39" s="87" t="n"/>
      <c r="GH39" s="87" t="n"/>
      <c r="GI39" s="87" t="n"/>
      <c r="GJ39" s="87" t="n"/>
      <c r="GK39" s="87" t="n"/>
      <c r="GL39" s="87" t="n"/>
      <c r="GM39" s="87" t="n"/>
      <c r="GN39" s="87" t="n"/>
      <c r="GO39" s="87" t="n"/>
      <c r="GP39" s="87" t="n"/>
      <c r="GQ39" s="87" t="n"/>
      <c r="GR39" s="87" t="n"/>
      <c r="GS39" s="87" t="n"/>
      <c r="GT39" s="87" t="n"/>
      <c r="GU39" s="87" t="n"/>
      <c r="GV39" s="87" t="n"/>
      <c r="GW39" s="87" t="n"/>
      <c r="GX39" s="87" t="n"/>
      <c r="GY39" s="87" t="n"/>
      <c r="GZ39" s="87" t="n"/>
      <c r="HA39" s="87" t="n"/>
      <c r="HB39" s="87" t="n"/>
      <c r="HC39" s="87" t="n"/>
      <c r="HD39" s="87" t="n"/>
      <c r="HE39" s="87" t="n"/>
      <c r="HF39" s="87" t="n"/>
      <c r="HG39" s="87" t="n"/>
      <c r="HH39" s="87" t="n"/>
      <c r="HI39" s="87" t="n"/>
      <c r="HJ39" s="87" t="n"/>
      <c r="HK39" s="87" t="n"/>
      <c r="HL39" s="87" t="n"/>
      <c r="HM39" s="87" t="n"/>
      <c r="HN39" s="87" t="n"/>
      <c r="HO39" s="87" t="n"/>
      <c r="HP39" s="87" t="n"/>
      <c r="HQ39" s="87" t="n"/>
      <c r="HR39" s="87" t="n"/>
      <c r="HS39" s="87" t="n"/>
      <c r="HT39" s="87" t="n"/>
      <c r="HU39" s="87" t="n"/>
      <c r="JF39" s="87" t="n"/>
      <c r="JG39" s="87" t="n"/>
      <c r="JH39" s="87">
        <f>SUM(AL39:AP39)</f>
        <v/>
      </c>
      <c r="JI39" s="87" t="n"/>
      <c r="JJ39" s="446" t="n"/>
      <c r="JM39" s="87" t="n">
        <v>0</v>
      </c>
      <c r="KG39" s="136">
        <f>B39</f>
        <v/>
      </c>
      <c r="KH39" s="345">
        <f>AR39</f>
        <v/>
      </c>
    </row>
    <row r="40" ht="16.2" customHeight="1">
      <c r="A40" s="7" t="inlineStr">
        <is>
          <t>CONTRAPARTIDA SAAE</t>
        </is>
      </c>
      <c r="B40" s="136">
        <f>SUM(C40:AP40)</f>
        <v/>
      </c>
      <c r="C40" s="85" t="n"/>
      <c r="D40" s="87" t="n"/>
      <c r="E40" s="85" t="n"/>
      <c r="F40" s="85" t="n"/>
      <c r="G40" s="85" t="n"/>
      <c r="H40" s="85" t="n"/>
      <c r="I40" s="86" t="n"/>
      <c r="J40" s="526" t="n"/>
      <c r="K40" s="527" t="n"/>
      <c r="L40" s="528" t="n"/>
      <c r="M40" s="529" t="n"/>
      <c r="N40" s="529" t="n"/>
      <c r="O40" s="529" t="n"/>
      <c r="P40" s="529" t="n"/>
      <c r="Q40" s="529" t="n"/>
      <c r="R40" s="529" t="n"/>
      <c r="S40" s="529" t="n"/>
      <c r="T40" s="529" t="n"/>
      <c r="U40" s="529" t="n"/>
      <c r="V40" s="529" t="n"/>
      <c r="W40" s="529" t="n"/>
      <c r="X40" s="529" t="n"/>
      <c r="Y40" s="529" t="n"/>
      <c r="Z40" s="529" t="n"/>
      <c r="AA40" s="529" t="n"/>
      <c r="AB40" s="529" t="n"/>
      <c r="AC40" s="529" t="n"/>
      <c r="AD40" s="529" t="n"/>
      <c r="AE40" s="529" t="n"/>
      <c r="AF40" s="529" t="n"/>
      <c r="AG40" s="529" t="n"/>
      <c r="AH40" s="529" t="n"/>
      <c r="AI40" s="529" t="n"/>
      <c r="AJ40" s="529" t="n"/>
      <c r="AK40" s="529" t="n"/>
      <c r="AL40" s="529" t="n"/>
      <c r="AM40" s="529" t="n"/>
      <c r="AN40" s="529" t="n"/>
      <c r="AO40" s="529" t="n"/>
      <c r="AP40" s="529" t="n"/>
      <c r="AQ40" s="13" t="n"/>
      <c r="AR40" s="345">
        <f>SUM(AT40:HU40)</f>
        <v/>
      </c>
      <c r="AS40" s="13" t="n"/>
      <c r="AT40" s="87" t="n">
        <v>0</v>
      </c>
      <c r="AU40" s="87" t="n">
        <v>0</v>
      </c>
      <c r="AV40" s="87" t="n">
        <v>0</v>
      </c>
      <c r="AW40" s="87" t="n">
        <v>0</v>
      </c>
      <c r="AX40" s="87" t="n">
        <v>0</v>
      </c>
      <c r="AY40" s="87" t="n">
        <v>0</v>
      </c>
      <c r="AZ40" s="87" t="n">
        <v>0</v>
      </c>
      <c r="BA40" s="87" t="n">
        <v>0</v>
      </c>
      <c r="BB40" s="87" t="n">
        <v>0</v>
      </c>
      <c r="BC40" s="87" t="n">
        <v>0</v>
      </c>
      <c r="BD40" s="87" t="n">
        <v>0</v>
      </c>
      <c r="BE40" s="87">
        <f>-1279528.22*1.05</f>
        <v/>
      </c>
      <c r="BF40" s="87" t="n">
        <v>0</v>
      </c>
      <c r="BG40" s="87" t="n">
        <v>0</v>
      </c>
      <c r="BH40" s="87" t="n">
        <v>0</v>
      </c>
      <c r="BI40" s="87" t="n">
        <v>0</v>
      </c>
      <c r="BJ40" s="87" t="n">
        <v>0</v>
      </c>
      <c r="BK40" s="87" t="n">
        <v>0</v>
      </c>
      <c r="BL40" s="87" t="n">
        <v>0</v>
      </c>
      <c r="BM40" s="87" t="n">
        <v>0</v>
      </c>
      <c r="BN40" s="87" t="n">
        <v>0</v>
      </c>
      <c r="BO40" s="87" t="n">
        <v>0</v>
      </c>
      <c r="BP40" s="87" t="n">
        <v>0</v>
      </c>
      <c r="BQ40" s="87" t="n">
        <v>0</v>
      </c>
      <c r="BR40" s="87" t="n">
        <v>0</v>
      </c>
      <c r="BS40" s="87" t="n">
        <v>0</v>
      </c>
      <c r="BT40" s="87" t="n">
        <v>0</v>
      </c>
      <c r="BU40" s="87" t="n">
        <v>0</v>
      </c>
      <c r="BV40" s="87" t="n">
        <v>0</v>
      </c>
      <c r="BW40" s="87" t="n">
        <v>0</v>
      </c>
      <c r="BX40" s="87" t="n">
        <v>0</v>
      </c>
      <c r="BY40" s="87" t="n">
        <v>0</v>
      </c>
      <c r="BZ40" s="87" t="n">
        <v>0</v>
      </c>
      <c r="CA40" s="87" t="n">
        <v>0</v>
      </c>
      <c r="CB40" s="87" t="n">
        <v>0</v>
      </c>
      <c r="CC40" s="87" t="n">
        <v>0</v>
      </c>
      <c r="CD40" s="87" t="n">
        <v>0</v>
      </c>
      <c r="CE40" s="87" t="n">
        <v>0</v>
      </c>
      <c r="CF40" s="87" t="n">
        <v>0</v>
      </c>
      <c r="CG40" s="87" t="n">
        <v>0</v>
      </c>
      <c r="CH40" s="87" t="n">
        <v>0</v>
      </c>
      <c r="CI40" s="87" t="n">
        <v>0</v>
      </c>
      <c r="CJ40" s="87" t="n">
        <v>0</v>
      </c>
      <c r="CK40" s="87" t="n">
        <v>0</v>
      </c>
      <c r="CL40" s="87" t="n">
        <v>0</v>
      </c>
      <c r="CM40" s="87" t="n">
        <v>0</v>
      </c>
      <c r="CN40" s="87" t="n">
        <v>0</v>
      </c>
      <c r="CO40" s="87" t="n">
        <v>0</v>
      </c>
      <c r="CP40" s="87" t="n">
        <v>0</v>
      </c>
      <c r="CQ40" s="87" t="n">
        <v>0</v>
      </c>
      <c r="CR40" s="87" t="n">
        <v>0</v>
      </c>
      <c r="CS40" s="87" t="n">
        <v>0</v>
      </c>
      <c r="CT40" s="87" t="n">
        <v>0</v>
      </c>
      <c r="CU40" s="87" t="n">
        <v>0</v>
      </c>
      <c r="CV40" s="87" t="n">
        <v>0</v>
      </c>
      <c r="CW40" s="87" t="n">
        <v>0</v>
      </c>
      <c r="CX40" s="87" t="n">
        <v>0</v>
      </c>
      <c r="CY40" s="87" t="n">
        <v>0</v>
      </c>
      <c r="CZ40" s="87" t="n">
        <v>0</v>
      </c>
      <c r="DA40" s="87" t="n">
        <v>0</v>
      </c>
      <c r="DB40" s="87" t="n">
        <v>0</v>
      </c>
      <c r="DC40" s="87" t="n">
        <v>0</v>
      </c>
      <c r="DD40" s="87" t="n">
        <v>0</v>
      </c>
      <c r="DE40" s="87" t="n">
        <v>0</v>
      </c>
      <c r="DF40" s="87" t="n">
        <v>0</v>
      </c>
      <c r="DG40" s="87" t="n">
        <v>0</v>
      </c>
      <c r="DH40" s="87" t="n">
        <v>0</v>
      </c>
      <c r="DI40" s="87" t="n">
        <v>0</v>
      </c>
      <c r="DJ40" s="87" t="n">
        <v>0</v>
      </c>
      <c r="DK40" s="87" t="n">
        <v>0</v>
      </c>
      <c r="DL40" s="87" t="n">
        <v>0</v>
      </c>
      <c r="DM40" s="87" t="n">
        <v>0</v>
      </c>
      <c r="DN40" s="87" t="n">
        <v>0</v>
      </c>
      <c r="DO40" s="87" t="n">
        <v>0</v>
      </c>
      <c r="DP40" s="87" t="n">
        <v>0</v>
      </c>
      <c r="DQ40" s="87" t="n">
        <v>0</v>
      </c>
      <c r="DR40" s="87" t="n">
        <v>0</v>
      </c>
      <c r="DS40" s="87" t="n">
        <v>0</v>
      </c>
      <c r="DT40" s="87" t="n">
        <v>0</v>
      </c>
      <c r="DU40" s="87" t="n">
        <v>0</v>
      </c>
      <c r="DV40" s="87" t="n">
        <v>0</v>
      </c>
      <c r="DW40" s="87" t="n">
        <v>0</v>
      </c>
      <c r="DX40" s="87" t="n">
        <v>0</v>
      </c>
      <c r="DY40" s="87" t="n">
        <v>0</v>
      </c>
      <c r="DZ40" s="87" t="n">
        <v>0</v>
      </c>
      <c r="EA40" s="87" t="n">
        <v>0</v>
      </c>
      <c r="EB40" s="87" t="n">
        <v>0</v>
      </c>
      <c r="EC40" s="87" t="n">
        <v>0</v>
      </c>
      <c r="ED40" s="87" t="n">
        <v>0</v>
      </c>
      <c r="EE40" s="87" t="n">
        <v>0</v>
      </c>
      <c r="EF40" s="87" t="n">
        <v>0</v>
      </c>
      <c r="EG40" s="87" t="n">
        <v>0</v>
      </c>
      <c r="EH40" s="87" t="n">
        <v>0</v>
      </c>
      <c r="EI40" s="87" t="n">
        <v>0</v>
      </c>
      <c r="EJ40" s="87" t="n">
        <v>0</v>
      </c>
      <c r="EK40" s="87" t="n">
        <v>0</v>
      </c>
      <c r="EL40" s="87" t="n">
        <v>0</v>
      </c>
      <c r="EM40" s="87" t="n">
        <v>0</v>
      </c>
      <c r="EN40" s="87" t="n">
        <v>0</v>
      </c>
      <c r="EO40" s="87" t="n">
        <v>0</v>
      </c>
      <c r="EP40" s="87" t="n">
        <v>0</v>
      </c>
      <c r="EQ40" s="87" t="n">
        <v>0</v>
      </c>
      <c r="ER40" s="87" t="n">
        <v>0</v>
      </c>
      <c r="ES40" s="87" t="n">
        <v>0</v>
      </c>
      <c r="ET40" s="87" t="n">
        <v>0</v>
      </c>
      <c r="EU40" s="87" t="n">
        <v>0</v>
      </c>
      <c r="EV40" s="87" t="n">
        <v>0</v>
      </c>
      <c r="EW40" s="87" t="n">
        <v>0</v>
      </c>
      <c r="EX40" s="87" t="n">
        <v>0</v>
      </c>
      <c r="EY40" s="87" t="n">
        <v>0</v>
      </c>
      <c r="EZ40" s="87" t="n">
        <v>0</v>
      </c>
      <c r="FA40" s="87" t="n">
        <v>0</v>
      </c>
      <c r="FB40" s="87" t="n">
        <v>0</v>
      </c>
      <c r="FC40" s="87" t="n">
        <v>0</v>
      </c>
      <c r="FD40" s="87" t="n">
        <v>0</v>
      </c>
      <c r="FE40" s="87" t="n">
        <v>0</v>
      </c>
      <c r="FF40" s="87" t="n">
        <v>0</v>
      </c>
      <c r="FG40" s="87" t="n">
        <v>0</v>
      </c>
      <c r="FH40" s="87" t="n">
        <v>0</v>
      </c>
      <c r="FI40" s="87" t="n">
        <v>0</v>
      </c>
      <c r="FJ40" s="87" t="n">
        <v>0</v>
      </c>
      <c r="FK40" s="87" t="n">
        <v>0</v>
      </c>
      <c r="FL40" s="87" t="n">
        <v>0</v>
      </c>
      <c r="FM40" s="87" t="n">
        <v>0</v>
      </c>
      <c r="FN40" s="87" t="n">
        <v>0</v>
      </c>
      <c r="FO40" s="87" t="n">
        <v>0</v>
      </c>
      <c r="FP40" s="87" t="n">
        <v>0</v>
      </c>
      <c r="FQ40" s="87" t="n">
        <v>0</v>
      </c>
      <c r="FR40" s="87" t="n">
        <v>0</v>
      </c>
      <c r="FS40" s="87" t="n">
        <v>0</v>
      </c>
      <c r="FT40" s="87" t="n">
        <v>0</v>
      </c>
      <c r="FU40" s="87" t="n">
        <v>0</v>
      </c>
      <c r="FV40" s="87" t="n">
        <v>0</v>
      </c>
      <c r="FW40" s="87" t="n">
        <v>0</v>
      </c>
      <c r="FX40" s="87" t="n">
        <v>0</v>
      </c>
      <c r="FY40" s="87" t="n">
        <v>0</v>
      </c>
      <c r="FZ40" s="87" t="n">
        <v>0</v>
      </c>
      <c r="GA40" s="87" t="n">
        <v>0</v>
      </c>
      <c r="GB40" s="87" t="n">
        <v>0</v>
      </c>
      <c r="GC40" s="87" t="n">
        <v>0</v>
      </c>
      <c r="GD40" s="87" t="n">
        <v>0</v>
      </c>
      <c r="GE40" s="87" t="n">
        <v>0</v>
      </c>
      <c r="GF40" s="87" t="n">
        <v>0</v>
      </c>
      <c r="GG40" s="87" t="n">
        <v>0</v>
      </c>
      <c r="GH40" s="87" t="n">
        <v>0</v>
      </c>
      <c r="GI40" s="87" t="n">
        <v>0</v>
      </c>
      <c r="GJ40" s="87" t="n">
        <v>0</v>
      </c>
      <c r="GK40" s="87" t="n">
        <v>0</v>
      </c>
      <c r="GL40" s="87" t="n">
        <v>0</v>
      </c>
      <c r="GM40" s="87" t="n">
        <v>0</v>
      </c>
      <c r="GN40" s="87" t="n">
        <v>0</v>
      </c>
      <c r="GO40" s="87" t="n">
        <v>0</v>
      </c>
      <c r="GP40" s="87" t="n">
        <v>0</v>
      </c>
      <c r="GQ40" s="87" t="n">
        <v>0</v>
      </c>
      <c r="GR40" s="87" t="n">
        <v>0</v>
      </c>
      <c r="GS40" s="87" t="n">
        <v>0</v>
      </c>
      <c r="GT40" s="87" t="n">
        <v>0</v>
      </c>
      <c r="GU40" s="87" t="n">
        <v>0</v>
      </c>
      <c r="GV40" s="87" t="n">
        <v>0</v>
      </c>
      <c r="GW40" s="87" t="n">
        <v>0</v>
      </c>
      <c r="GX40" s="87" t="n">
        <v>0</v>
      </c>
      <c r="GY40" s="87" t="n">
        <v>0</v>
      </c>
      <c r="GZ40" s="87" t="n">
        <v>0</v>
      </c>
      <c r="HA40" s="87" t="n">
        <v>0</v>
      </c>
      <c r="HB40" s="87" t="n">
        <v>0</v>
      </c>
      <c r="HC40" s="87" t="n">
        <v>0</v>
      </c>
      <c r="HD40" s="87" t="n">
        <v>0</v>
      </c>
      <c r="HE40" s="87" t="n">
        <v>0</v>
      </c>
      <c r="HF40" s="87" t="n">
        <v>0</v>
      </c>
      <c r="HG40" s="87" t="n">
        <v>0</v>
      </c>
      <c r="HH40" s="87" t="n">
        <v>0</v>
      </c>
      <c r="HI40" s="87" t="n">
        <v>0</v>
      </c>
      <c r="HJ40" s="87" t="n">
        <v>0</v>
      </c>
      <c r="HK40" s="87" t="n">
        <v>0</v>
      </c>
      <c r="HL40" s="87" t="n">
        <v>0</v>
      </c>
      <c r="HM40" s="87" t="n">
        <v>0</v>
      </c>
      <c r="HN40" s="87" t="n">
        <v>0</v>
      </c>
      <c r="HO40" s="87" t="n">
        <v>0</v>
      </c>
      <c r="HP40" s="87" t="n">
        <v>0</v>
      </c>
      <c r="HQ40" s="87" t="n">
        <v>0</v>
      </c>
      <c r="HR40" s="87" t="n">
        <v>0</v>
      </c>
      <c r="HS40" s="87" t="n">
        <v>0</v>
      </c>
      <c r="HT40" s="87" t="n">
        <v>0</v>
      </c>
      <c r="HU40" s="87" t="n">
        <v>0</v>
      </c>
      <c r="JF40" s="87">
        <f>AP40</f>
        <v/>
      </c>
      <c r="JG40" s="87">
        <f>SUM(Z40:AK40)</f>
        <v/>
      </c>
      <c r="JH40" s="87">
        <f>SUM(AL40:AP40)</f>
        <v/>
      </c>
      <c r="JI40" s="87">
        <f>SUM(C40:AP40)</f>
        <v/>
      </c>
      <c r="JJ40" s="446" t="n"/>
      <c r="JM40" s="87" t="n">
        <v>0</v>
      </c>
      <c r="KG40" s="136">
        <f>B40</f>
        <v/>
      </c>
      <c r="KH40" s="345">
        <f>AR40</f>
        <v/>
      </c>
    </row>
    <row r="41" ht="6.75" customHeight="1">
      <c r="A41" s="1" t="n"/>
      <c r="B41" s="128" t="n"/>
      <c r="C41" s="512" t="n"/>
      <c r="D41" s="512" t="n"/>
      <c r="E41" s="512" t="n"/>
      <c r="F41" s="512" t="n"/>
      <c r="G41" s="512" t="n"/>
      <c r="H41" s="512" t="n"/>
      <c r="I41" s="512" t="n"/>
      <c r="J41" s="513" t="n"/>
      <c r="K41" s="512" t="n"/>
      <c r="L41" s="512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514" t="n"/>
      <c r="AA41" s="514" t="n"/>
      <c r="AB41" s="514" t="n"/>
      <c r="AC41" s="514" t="n"/>
      <c r="AD41" s="514" t="n"/>
      <c r="AE41" s="514" t="n"/>
      <c r="AF41" s="514" t="n"/>
      <c r="AG41" s="514" t="n"/>
      <c r="AH41" s="514" t="n"/>
      <c r="AI41" s="514" t="n"/>
      <c r="AJ41" s="514" t="n"/>
      <c r="AK41" s="514" t="n"/>
      <c r="AL41" s="514" t="n"/>
      <c r="AM41" s="514" t="n"/>
      <c r="AN41" s="514" t="n"/>
      <c r="AO41" s="514" t="n"/>
      <c r="AP41" s="514" t="n"/>
      <c r="AQ41" s="512" t="n"/>
      <c r="AR41" s="533" t="n"/>
      <c r="AS41" s="512" t="n"/>
      <c r="AT41" s="512" t="n"/>
      <c r="AU41" s="512" t="n"/>
      <c r="AV41" s="512" t="n"/>
      <c r="AW41" s="512" t="n"/>
      <c r="AX41" s="512" t="n"/>
      <c r="AY41" s="512" t="n"/>
      <c r="AZ41" s="512" t="n"/>
      <c r="BA41" s="512" t="n"/>
      <c r="BB41" s="512" t="n"/>
      <c r="BC41" s="512" t="n"/>
      <c r="BD41" s="515" t="n"/>
      <c r="BE41" s="512" t="n"/>
      <c r="BF41" s="512" t="n"/>
      <c r="BG41" s="512" t="n"/>
      <c r="BH41" s="512" t="n"/>
      <c r="BI41" s="512" t="n"/>
      <c r="BJ41" s="512" t="n"/>
      <c r="BK41" s="512" t="n"/>
      <c r="BL41" s="512" t="n"/>
      <c r="BM41" s="512" t="n"/>
      <c r="BN41" s="512" t="n"/>
      <c r="BO41" s="512" t="n"/>
      <c r="BP41" s="515" t="n"/>
      <c r="BQ41" s="512" t="n"/>
      <c r="BR41" s="512" t="n"/>
      <c r="BS41" s="512" t="n"/>
      <c r="BT41" s="512" t="n"/>
      <c r="BU41" s="512" t="n"/>
      <c r="BV41" s="512" t="n"/>
      <c r="BW41" s="512" t="n"/>
      <c r="BX41" s="512" t="n"/>
      <c r="BY41" s="512" t="n"/>
      <c r="BZ41" s="512" t="n"/>
      <c r="CA41" s="512" t="n"/>
      <c r="CB41" s="515" t="n"/>
      <c r="CC41" s="512" t="n"/>
      <c r="CD41" s="512" t="n"/>
      <c r="CE41" s="512" t="n"/>
      <c r="CF41" s="512" t="n"/>
      <c r="CG41" s="512" t="n"/>
      <c r="CH41" s="512" t="n"/>
      <c r="CI41" s="512" t="n"/>
      <c r="CJ41" s="512" t="n"/>
      <c r="CK41" s="512" t="n"/>
      <c r="CL41" s="512" t="n"/>
      <c r="CM41" s="512" t="n"/>
      <c r="CN41" s="515" t="n"/>
      <c r="CO41" s="512" t="n"/>
      <c r="CP41" s="512" t="n"/>
      <c r="CQ41" s="512" t="n"/>
      <c r="CR41" s="512" t="n"/>
      <c r="CS41" s="512" t="n"/>
      <c r="CT41" s="512" t="n"/>
      <c r="CU41" s="512" t="n"/>
      <c r="CV41" s="512" t="n"/>
      <c r="CW41" s="512" t="n"/>
      <c r="CX41" s="512" t="n"/>
      <c r="CY41" s="512" t="n"/>
      <c r="CZ41" s="515" t="n"/>
      <c r="DA41" s="512" t="n"/>
      <c r="DB41" s="512" t="n"/>
      <c r="DC41" s="512" t="n"/>
      <c r="DD41" s="512" t="n"/>
      <c r="DE41" s="512" t="n"/>
      <c r="DF41" s="512" t="n"/>
      <c r="DG41" s="512" t="n"/>
      <c r="DH41" s="512" t="n"/>
      <c r="DI41" s="512" t="n"/>
      <c r="DJ41" s="512" t="n"/>
      <c r="DK41" s="512" t="n"/>
      <c r="DL41" s="512" t="n"/>
      <c r="DM41" s="512" t="n"/>
      <c r="DN41" s="512" t="n"/>
      <c r="DO41" s="512" t="n"/>
      <c r="DP41" s="512" t="n"/>
      <c r="DQ41" s="512" t="n"/>
      <c r="DR41" s="512" t="n"/>
      <c r="DS41" s="512" t="n"/>
      <c r="DT41" s="512" t="n"/>
      <c r="DU41" s="512" t="n"/>
      <c r="DV41" s="512" t="n"/>
      <c r="DW41" s="512" t="n"/>
      <c r="DX41" s="512" t="n"/>
      <c r="DY41" s="512" t="n"/>
      <c r="DZ41" s="512" t="n"/>
      <c r="EA41" s="512" t="n"/>
      <c r="EB41" s="512" t="n"/>
      <c r="EC41" s="512" t="n"/>
      <c r="ED41" s="512" t="n"/>
      <c r="EE41" s="512" t="n"/>
      <c r="EF41" s="512" t="n"/>
      <c r="EG41" s="512" t="n"/>
      <c r="EH41" s="512" t="n"/>
      <c r="EI41" s="512" t="n"/>
      <c r="EJ41" s="512" t="n"/>
      <c r="EK41" s="512" t="n"/>
      <c r="EL41" s="512" t="n"/>
      <c r="EM41" s="512" t="n"/>
      <c r="EN41" s="512" t="n"/>
      <c r="EO41" s="512" t="n"/>
      <c r="EP41" s="512" t="n"/>
      <c r="EQ41" s="512" t="n"/>
      <c r="ER41" s="512" t="n"/>
      <c r="ES41" s="512" t="n"/>
      <c r="ET41" s="512" t="n"/>
      <c r="EU41" s="512" t="n"/>
      <c r="EV41" s="512" t="n"/>
      <c r="EW41" s="512" t="n"/>
      <c r="EX41" s="512" t="n"/>
      <c r="EY41" s="512" t="n"/>
      <c r="EZ41" s="512" t="n"/>
      <c r="FA41" s="512" t="n"/>
      <c r="FB41" s="512" t="n"/>
      <c r="FC41" s="512" t="n"/>
      <c r="FD41" s="512" t="n"/>
      <c r="FE41" s="512" t="n"/>
      <c r="FF41" s="512" t="n"/>
      <c r="FG41" s="512" t="n"/>
      <c r="FH41" s="512" t="n"/>
      <c r="FI41" s="512" t="n"/>
      <c r="FJ41" s="512" t="n"/>
      <c r="FK41" s="512" t="n"/>
      <c r="FL41" s="512" t="n"/>
      <c r="FM41" s="512" t="n"/>
      <c r="FN41" s="512" t="n"/>
      <c r="FO41" s="512" t="n"/>
      <c r="FP41" s="512" t="n"/>
      <c r="FQ41" s="512" t="n"/>
      <c r="FR41" s="512" t="n"/>
      <c r="FS41" s="512" t="n"/>
      <c r="FT41" s="512" t="n"/>
      <c r="FU41" s="512" t="n"/>
      <c r="FV41" s="512" t="n"/>
      <c r="FW41" s="512" t="n"/>
      <c r="FX41" s="512" t="n"/>
      <c r="FY41" s="512" t="n"/>
      <c r="FZ41" s="512" t="n"/>
      <c r="GA41" s="512" t="n"/>
      <c r="GB41" s="512" t="n"/>
      <c r="GC41" s="512" t="n"/>
      <c r="GD41" s="512" t="n"/>
      <c r="GE41" s="512" t="n"/>
      <c r="GF41" s="512" t="n"/>
      <c r="GG41" s="512" t="n"/>
      <c r="GH41" s="512" t="n"/>
      <c r="GI41" s="512" t="n"/>
      <c r="GJ41" s="512" t="n"/>
      <c r="GK41" s="512" t="n"/>
      <c r="GL41" s="512" t="n"/>
      <c r="GM41" s="512" t="n"/>
      <c r="GN41" s="512" t="n"/>
      <c r="GO41" s="512" t="n"/>
      <c r="GP41" s="512" t="n"/>
      <c r="GQ41" s="512" t="n"/>
      <c r="GR41" s="512" t="n"/>
      <c r="GS41" s="512" t="n"/>
      <c r="GT41" s="512" t="n"/>
      <c r="GU41" s="512" t="n"/>
      <c r="GV41" s="512" t="n"/>
      <c r="GW41" s="512" t="n"/>
      <c r="GX41" s="512" t="n"/>
      <c r="GY41" s="512" t="n"/>
      <c r="GZ41" s="512" t="n"/>
      <c r="HA41" s="512" t="n"/>
      <c r="HB41" s="512" t="n"/>
      <c r="HC41" s="512" t="n"/>
      <c r="HD41" s="512" t="n"/>
      <c r="HE41" s="512" t="n"/>
      <c r="HF41" s="512" t="n"/>
      <c r="HG41" s="512" t="n"/>
      <c r="HH41" s="512" t="n"/>
      <c r="HI41" s="512" t="n"/>
      <c r="HJ41" s="512" t="n"/>
      <c r="HK41" s="512" t="n"/>
      <c r="HL41" s="512" t="n"/>
      <c r="HM41" s="512" t="n"/>
      <c r="HN41" s="512" t="n"/>
      <c r="HO41" s="512" t="n"/>
      <c r="HP41" s="512" t="n"/>
      <c r="HQ41" s="512" t="n"/>
      <c r="HR41" s="512" t="n"/>
      <c r="HS41" s="512" t="n"/>
      <c r="HT41" s="512" t="n"/>
      <c r="HU41" s="512" t="n"/>
      <c r="JF41" s="512">
        <f>AP41</f>
        <v/>
      </c>
      <c r="JG41" s="512">
        <f>SUM(Z41:AK41)</f>
        <v/>
      </c>
      <c r="JH41" s="512">
        <f>SUM(AL41:AP41)</f>
        <v/>
      </c>
      <c r="JI41" s="512">
        <f>SUM(C41:AP41)</f>
        <v/>
      </c>
      <c r="JJ41" s="446" t="n"/>
      <c r="JM41" s="512" t="n"/>
      <c r="KG41" s="128">
        <f>B41</f>
        <v/>
      </c>
      <c r="KH41" s="533">
        <f>AR41</f>
        <v/>
      </c>
    </row>
    <row r="42" ht="16.2" customHeight="1">
      <c r="A42" s="19" t="inlineStr">
        <is>
          <t>INCORPORAÇÃO (-)</t>
        </is>
      </c>
      <c r="B42" s="139" t="n"/>
      <c r="C42" s="20" t="n"/>
      <c r="D42" s="22" t="n"/>
      <c r="E42" s="20" t="n"/>
      <c r="F42" s="20" t="n"/>
      <c r="G42" s="20" t="n"/>
      <c r="H42" s="20" t="n"/>
      <c r="I42" s="21" t="n"/>
      <c r="J42" s="175" t="n"/>
      <c r="K42" s="21" t="n"/>
      <c r="L42" s="108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00" t="n"/>
      <c r="AR42" s="241" t="n"/>
      <c r="AS42" s="20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99" t="n"/>
      <c r="BE42" s="22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99" t="n"/>
      <c r="BQ42" s="22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99" t="n"/>
      <c r="CC42" s="22" t="n"/>
      <c r="CD42" s="20" t="n"/>
      <c r="CE42" s="20" t="n"/>
      <c r="CF42" s="20" t="n"/>
      <c r="CG42" s="20" t="n"/>
      <c r="CH42" s="20" t="n"/>
      <c r="CI42" s="20" t="n"/>
      <c r="CJ42" s="20" t="n"/>
      <c r="CK42" s="20" t="n"/>
      <c r="CL42" s="20" t="n"/>
      <c r="CM42" s="20" t="n"/>
      <c r="CN42" s="299" t="n"/>
      <c r="CO42" s="22" t="n"/>
      <c r="CP42" s="20" t="n"/>
      <c r="CQ42" s="20" t="n"/>
      <c r="CR42" s="20" t="n"/>
      <c r="CS42" s="20" t="n"/>
      <c r="CT42" s="20" t="n"/>
      <c r="CU42" s="20" t="n"/>
      <c r="CV42" s="20" t="n"/>
      <c r="CW42" s="20" t="n"/>
      <c r="CX42" s="20" t="n"/>
      <c r="CY42" s="20" t="n"/>
      <c r="CZ42" s="299" t="n"/>
      <c r="DA42" s="22" t="n"/>
      <c r="DB42" s="20" t="n"/>
      <c r="DC42" s="20" t="n"/>
      <c r="DD42" s="20" t="n"/>
      <c r="DE42" s="20" t="n"/>
      <c r="DF42" s="20" t="n"/>
      <c r="DG42" s="20" t="n"/>
      <c r="DH42" s="20" t="n"/>
      <c r="DI42" s="20" t="n"/>
      <c r="DJ42" s="21" t="n"/>
      <c r="DK42" s="20" t="n"/>
      <c r="DL42" s="21" t="n"/>
      <c r="DM42" s="20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 t="n"/>
      <c r="EG42" s="21" t="n"/>
      <c r="EH42" s="21" t="n"/>
      <c r="EI42" s="21" t="n"/>
      <c r="EJ42" s="21" t="n"/>
      <c r="EK42" s="21" t="n"/>
      <c r="EL42" s="21" t="n"/>
      <c r="EM42" s="21" t="n"/>
      <c r="EN42" s="21" t="n"/>
      <c r="EO42" s="21" t="n"/>
      <c r="EP42" s="21" t="n"/>
      <c r="EQ42" s="21" t="n"/>
      <c r="ER42" s="21" t="n"/>
      <c r="ES42" s="21" t="n"/>
      <c r="ET42" s="21" t="n"/>
      <c r="EU42" s="21" t="n"/>
      <c r="EV42" s="21" t="n"/>
      <c r="EW42" s="21" t="n"/>
      <c r="EX42" s="21" t="n"/>
      <c r="EY42" s="21" t="n"/>
      <c r="EZ42" s="21" t="n"/>
      <c r="FA42" s="21" t="n"/>
      <c r="FB42" s="21" t="n"/>
      <c r="FC42" s="21" t="n"/>
      <c r="FD42" s="21" t="n"/>
      <c r="FE42" s="21" t="n"/>
      <c r="FF42" s="21" t="n"/>
      <c r="FG42" s="21" t="n"/>
      <c r="FH42" s="21" t="n"/>
      <c r="FI42" s="21" t="n"/>
      <c r="FJ42" s="21" t="n"/>
      <c r="FK42" s="21" t="n"/>
      <c r="FL42" s="21" t="n"/>
      <c r="FM42" s="21" t="n"/>
      <c r="FN42" s="21" t="n"/>
      <c r="FO42" s="21" t="n"/>
      <c r="FP42" s="21" t="n"/>
      <c r="FQ42" s="21" t="n"/>
      <c r="FR42" s="21" t="n"/>
      <c r="FS42" s="21" t="n"/>
      <c r="FT42" s="21" t="n"/>
      <c r="FU42" s="21" t="n"/>
      <c r="FV42" s="21" t="n"/>
      <c r="FW42" s="21" t="n"/>
      <c r="FX42" s="21" t="n"/>
      <c r="FY42" s="21" t="n"/>
      <c r="FZ42" s="21" t="n"/>
      <c r="GA42" s="21" t="n"/>
      <c r="GB42" s="21" t="n"/>
      <c r="GC42" s="21" t="n"/>
      <c r="GD42" s="21" t="n"/>
      <c r="GE42" s="21" t="n"/>
      <c r="GF42" s="21" t="n"/>
      <c r="GG42" s="21" t="n"/>
      <c r="GH42" s="21" t="n"/>
      <c r="GI42" s="21" t="n"/>
      <c r="GJ42" s="21" t="n"/>
      <c r="GK42" s="21" t="n"/>
      <c r="GL42" s="21" t="n"/>
      <c r="GM42" s="21" t="n"/>
      <c r="GN42" s="21" t="n"/>
      <c r="GO42" s="21" t="n"/>
      <c r="GP42" s="21" t="n"/>
      <c r="GQ42" s="21" t="n"/>
      <c r="GR42" s="21" t="n"/>
      <c r="GS42" s="21" t="n"/>
      <c r="GT42" s="21" t="n"/>
      <c r="GU42" s="21" t="n"/>
      <c r="GV42" s="21" t="n"/>
      <c r="GW42" s="21" t="n"/>
      <c r="GX42" s="21" t="n"/>
      <c r="GY42" s="21" t="n"/>
      <c r="GZ42" s="21" t="n"/>
      <c r="HA42" s="21" t="n"/>
      <c r="HB42" s="21" t="n"/>
      <c r="HC42" s="21" t="n"/>
      <c r="HD42" s="21" t="n"/>
      <c r="HE42" s="21" t="n"/>
      <c r="HF42" s="21" t="n"/>
      <c r="HG42" s="21" t="n"/>
      <c r="HH42" s="21" t="n"/>
      <c r="HI42" s="21" t="n"/>
      <c r="HJ42" s="21" t="n"/>
      <c r="HK42" s="21" t="n"/>
      <c r="HL42" s="21" t="n"/>
      <c r="HM42" s="21" t="n"/>
      <c r="HN42" s="21" t="n"/>
      <c r="HO42" s="21" t="n"/>
      <c r="HP42" s="21" t="n"/>
      <c r="HQ42" s="21" t="n"/>
      <c r="HR42" s="21" t="n"/>
      <c r="HS42" s="21" t="n"/>
      <c r="HT42" s="21" t="n"/>
      <c r="HU42" s="21" t="n"/>
      <c r="JF42" s="20">
        <f>AP42</f>
        <v/>
      </c>
      <c r="JG42" s="20">
        <f>SUM(Z42:AK42)</f>
        <v/>
      </c>
      <c r="JH42" s="20">
        <f>SUM(AL42:AP42)</f>
        <v/>
      </c>
      <c r="JI42" s="20">
        <f>SUM(C42:AP42)</f>
        <v/>
      </c>
      <c r="JJ42" s="446" t="n"/>
      <c r="JM42" s="21" t="n"/>
      <c r="KG42" s="139">
        <f>B42</f>
        <v/>
      </c>
      <c r="KH42" s="241">
        <f>AR42</f>
        <v/>
      </c>
    </row>
    <row r="43" ht="16.2" customHeight="1">
      <c r="A43" s="7" t="inlineStr">
        <is>
          <t>Incorporação</t>
        </is>
      </c>
      <c r="B43" s="136">
        <f>SUM(C43:AP43)</f>
        <v/>
      </c>
      <c r="C43" s="85" t="n">
        <v>-22569.84</v>
      </c>
      <c r="D43" s="87" t="n">
        <v>-66761.36</v>
      </c>
      <c r="E43" s="85" t="n">
        <v>-22685</v>
      </c>
      <c r="F43" s="85" t="n">
        <v>-22753.06</v>
      </c>
      <c r="G43" s="85" t="n">
        <v>-22784.91</v>
      </c>
      <c r="H43" s="85" t="n">
        <v>-25995.64</v>
      </c>
      <c r="I43" s="86" t="n">
        <v>-23082.07</v>
      </c>
      <c r="J43" s="170" t="n">
        <v>-23105.15</v>
      </c>
      <c r="K43" s="86" t="n">
        <v>-28144.43</v>
      </c>
      <c r="L43" s="34" t="n">
        <v>-28223.13</v>
      </c>
      <c r="M43" s="159" t="n">
        <v>-28269.57</v>
      </c>
      <c r="N43" s="219" t="n">
        <v>-28285.85</v>
      </c>
      <c r="O43" s="219" t="n">
        <v>-30358.04</v>
      </c>
      <c r="P43" s="219" t="n">
        <v>-28421.11</v>
      </c>
      <c r="Q43" s="219" t="n">
        <v>-51733.24000000001</v>
      </c>
      <c r="R43" s="219" t="n">
        <v>-57539.95</v>
      </c>
      <c r="S43" s="219" t="n">
        <v>-30362.5</v>
      </c>
      <c r="T43" s="219" t="n">
        <v>-56077.16</v>
      </c>
      <c r="U43" s="219" t="n">
        <v>-30362.5</v>
      </c>
      <c r="V43" s="219" t="n">
        <v>-98850</v>
      </c>
      <c r="W43" s="219" t="n">
        <v>-36362.5</v>
      </c>
      <c r="X43" s="219" t="n">
        <v>-645250.9399999999</v>
      </c>
      <c r="Y43" s="219" t="n">
        <v>-280557.39</v>
      </c>
      <c r="Z43" s="219" t="n">
        <v>-29760.76</v>
      </c>
      <c r="AA43" s="219">
        <f>(-184611.43)+-24760.76</f>
        <v/>
      </c>
      <c r="AB43" s="219" t="n">
        <v>-90439.16</v>
      </c>
      <c r="AC43" s="219">
        <f>-49101.24-49521.52</f>
        <v/>
      </c>
      <c r="AD43" s="219" t="n">
        <v>-49311.19</v>
      </c>
      <c r="AE43" s="219" t="n">
        <v>-34527.34</v>
      </c>
      <c r="AF43" s="219" t="n">
        <v>-72132.67999999999</v>
      </c>
      <c r="AG43" s="219" t="n">
        <v>-18449.64</v>
      </c>
      <c r="AH43" s="219">
        <f>-19109.04+9315.02</f>
        <v/>
      </c>
      <c r="AI43" s="219" t="n">
        <v>-16205.14</v>
      </c>
      <c r="AJ43" s="219">
        <f>-54116.08+19000</f>
        <v/>
      </c>
      <c r="AK43" s="219" t="n">
        <v>-8356.98</v>
      </c>
      <c r="AL43" s="219" t="n">
        <v>-7658.2</v>
      </c>
      <c r="AM43" s="219" t="n">
        <v>-10641.73</v>
      </c>
      <c r="AN43" s="219">
        <f>-40182.18+30654.55</f>
        <v/>
      </c>
      <c r="AO43" s="219">
        <f>-63943+29012.57+24791.61</f>
        <v/>
      </c>
      <c r="AP43" s="219" t="n">
        <v>-11728.44</v>
      </c>
      <c r="AQ43" s="13" t="n"/>
      <c r="AR43" s="345">
        <f>SUM(AT43:HU43)</f>
        <v/>
      </c>
      <c r="AS43" s="13" t="n"/>
      <c r="AT43" s="87" t="n">
        <v>-8000</v>
      </c>
      <c r="AU43" s="87" t="n">
        <v>-8000</v>
      </c>
      <c r="AV43" s="87" t="n">
        <v>-8000</v>
      </c>
      <c r="AW43" s="87" t="n">
        <v>-8000</v>
      </c>
      <c r="AX43" s="87" t="n">
        <v>-8000</v>
      </c>
      <c r="AY43" s="87" t="n">
        <v>-8000</v>
      </c>
      <c r="AZ43" s="87" t="n">
        <v>-8000</v>
      </c>
      <c r="BA43" s="87" t="n">
        <v>-8000</v>
      </c>
      <c r="BB43" s="87" t="n">
        <v>-8000</v>
      </c>
      <c r="BC43" s="87" t="n">
        <v>-8000</v>
      </c>
      <c r="BD43" s="87" t="n">
        <v>-8000</v>
      </c>
      <c r="BE43" s="87" t="n">
        <v>-8000</v>
      </c>
      <c r="BF43" s="87" t="n">
        <v>-8000</v>
      </c>
      <c r="BG43" s="87" t="n">
        <v>-8000</v>
      </c>
      <c r="BH43" s="87" t="n">
        <v>-8000</v>
      </c>
      <c r="BI43" s="87" t="n">
        <v>-8000</v>
      </c>
      <c r="BJ43" s="87" t="n">
        <v>-8000</v>
      </c>
      <c r="BK43" s="87" t="n">
        <v>-8000</v>
      </c>
      <c r="BL43" s="87" t="n">
        <v>-8000</v>
      </c>
      <c r="BM43" s="87" t="n">
        <v>-8000</v>
      </c>
      <c r="BN43" s="87" t="n">
        <v>-8000</v>
      </c>
      <c r="BO43" s="87" t="n">
        <v>-8000</v>
      </c>
      <c r="BP43" s="87" t="n">
        <v>-8000</v>
      </c>
      <c r="BQ43" s="87" t="n">
        <v>-8000</v>
      </c>
      <c r="BR43" s="87" t="n">
        <v>-8000</v>
      </c>
      <c r="BS43" s="87" t="n"/>
      <c r="BT43" s="87" t="n"/>
      <c r="BU43" s="87" t="n"/>
      <c r="BV43" s="87" t="n"/>
      <c r="BW43" s="87" t="n"/>
      <c r="BX43" s="87" t="n"/>
      <c r="BY43" s="87" t="n"/>
      <c r="BZ43" s="87" t="n"/>
      <c r="CA43" s="87" t="n"/>
      <c r="CB43" s="87" t="n"/>
      <c r="CC43" s="87" t="n"/>
      <c r="CD43" s="87" t="n"/>
      <c r="CE43" s="87" t="n"/>
      <c r="CF43" s="87" t="n"/>
      <c r="CG43" s="87" t="n"/>
      <c r="CH43" s="87" t="n"/>
      <c r="CI43" s="87" t="n"/>
      <c r="CJ43" s="87" t="n"/>
      <c r="CK43" s="87" t="n"/>
      <c r="CL43" s="87" t="n"/>
      <c r="CM43" s="87" t="n"/>
      <c r="CN43" s="87" t="n"/>
      <c r="CO43" s="87" t="n"/>
      <c r="CP43" s="87" t="n"/>
      <c r="CQ43" s="87" t="n"/>
      <c r="CR43" s="87" t="n"/>
      <c r="CS43" s="87" t="n"/>
      <c r="CT43" s="87" t="n"/>
      <c r="CU43" s="87" t="n"/>
      <c r="CV43" s="87" t="n"/>
      <c r="CW43" s="87" t="n"/>
      <c r="CX43" s="87" t="n"/>
      <c r="CY43" s="87" t="n"/>
      <c r="CZ43" s="87" t="n"/>
      <c r="DA43" s="87" t="n"/>
      <c r="DB43" s="87" t="n"/>
      <c r="DC43" s="87" t="n"/>
      <c r="DD43" s="87" t="n"/>
      <c r="DE43" s="87" t="n"/>
      <c r="DF43" s="87" t="n"/>
      <c r="DG43" s="87" t="n"/>
      <c r="DH43" s="87" t="n"/>
      <c r="DI43" s="87" t="n"/>
      <c r="DJ43" s="87" t="n"/>
      <c r="DK43" s="87" t="n"/>
      <c r="DL43" s="87" t="n"/>
      <c r="DM43" s="87" t="n"/>
      <c r="DN43" s="87" t="n"/>
      <c r="DO43" s="87" t="n"/>
      <c r="DP43" s="87" t="n"/>
      <c r="DQ43" s="87" t="n"/>
      <c r="DR43" s="87" t="n"/>
      <c r="DS43" s="87" t="n"/>
      <c r="DT43" s="87" t="n"/>
      <c r="DU43" s="87" t="n"/>
      <c r="DV43" s="87" t="n"/>
      <c r="DW43" s="87" t="n"/>
      <c r="DX43" s="87" t="n"/>
      <c r="DY43" s="87" t="n">
        <v>0</v>
      </c>
      <c r="DZ43" s="87" t="n">
        <v>0</v>
      </c>
      <c r="EA43" s="87" t="n">
        <v>0</v>
      </c>
      <c r="EB43" s="87" t="n">
        <v>0</v>
      </c>
      <c r="EC43" s="87" t="n">
        <v>0</v>
      </c>
      <c r="ED43" s="87" t="n">
        <v>0</v>
      </c>
      <c r="EE43" s="87" t="n">
        <v>0</v>
      </c>
      <c r="EF43" s="87" t="n">
        <v>0</v>
      </c>
      <c r="EG43" s="87" t="n">
        <v>0</v>
      </c>
      <c r="EH43" s="87" t="n">
        <v>0</v>
      </c>
      <c r="EI43" s="87" t="n">
        <v>0</v>
      </c>
      <c r="EJ43" s="87" t="n">
        <v>0</v>
      </c>
      <c r="EK43" s="87" t="n">
        <v>0</v>
      </c>
      <c r="EL43" s="87" t="n">
        <v>0</v>
      </c>
      <c r="EM43" s="87" t="n">
        <v>0</v>
      </c>
      <c r="EN43" s="87" t="n">
        <v>0</v>
      </c>
      <c r="EO43" s="87" t="n">
        <v>0</v>
      </c>
      <c r="EP43" s="87" t="n">
        <v>0</v>
      </c>
      <c r="EQ43" s="87" t="n">
        <v>0</v>
      </c>
      <c r="ER43" s="87" t="n">
        <v>0</v>
      </c>
      <c r="ES43" s="87" t="n">
        <v>0</v>
      </c>
      <c r="ET43" s="87" t="n">
        <v>0</v>
      </c>
      <c r="EU43" s="87" t="n">
        <v>0</v>
      </c>
      <c r="EV43" s="87" t="n">
        <v>0</v>
      </c>
      <c r="EW43" s="87" t="n">
        <v>0</v>
      </c>
      <c r="EX43" s="87" t="n">
        <v>0</v>
      </c>
      <c r="EY43" s="87" t="n">
        <v>0</v>
      </c>
      <c r="EZ43" s="87" t="n">
        <v>0</v>
      </c>
      <c r="FA43" s="87" t="n">
        <v>0</v>
      </c>
      <c r="FB43" s="87" t="n">
        <v>0</v>
      </c>
      <c r="FC43" s="87" t="n">
        <v>0</v>
      </c>
      <c r="FD43" s="87" t="n">
        <v>0</v>
      </c>
      <c r="FE43" s="87" t="n">
        <v>0</v>
      </c>
      <c r="FF43" s="87" t="n">
        <v>0</v>
      </c>
      <c r="FG43" s="87" t="n">
        <v>0</v>
      </c>
      <c r="FH43" s="87" t="n">
        <v>0</v>
      </c>
      <c r="FI43" s="87" t="n">
        <v>0</v>
      </c>
      <c r="FJ43" s="87" t="n">
        <v>0</v>
      </c>
      <c r="FK43" s="87" t="n">
        <v>0</v>
      </c>
      <c r="FL43" s="87" t="n">
        <v>0</v>
      </c>
      <c r="FM43" s="87" t="n">
        <v>0</v>
      </c>
      <c r="FN43" s="87" t="n">
        <v>0</v>
      </c>
      <c r="FO43" s="87" t="n">
        <v>0</v>
      </c>
      <c r="FP43" s="87" t="n">
        <v>0</v>
      </c>
      <c r="FQ43" s="87" t="n">
        <v>0</v>
      </c>
      <c r="FR43" s="87" t="n">
        <v>0</v>
      </c>
      <c r="FS43" s="87" t="n">
        <v>0</v>
      </c>
      <c r="FT43" s="87" t="n">
        <v>0</v>
      </c>
      <c r="FU43" s="87" t="n">
        <v>0</v>
      </c>
      <c r="FV43" s="87" t="n">
        <v>0</v>
      </c>
      <c r="FW43" s="87" t="n">
        <v>0</v>
      </c>
      <c r="FX43" s="87" t="n">
        <v>0</v>
      </c>
      <c r="FY43" s="87" t="n">
        <v>0</v>
      </c>
      <c r="FZ43" s="87" t="n">
        <v>0</v>
      </c>
      <c r="GA43" s="87" t="n">
        <v>0</v>
      </c>
      <c r="GB43" s="87" t="n">
        <v>0</v>
      </c>
      <c r="GC43" s="87" t="n">
        <v>0</v>
      </c>
      <c r="GD43" s="87" t="n">
        <v>0</v>
      </c>
      <c r="GE43" s="87" t="n">
        <v>0</v>
      </c>
      <c r="GF43" s="87" t="n">
        <v>0</v>
      </c>
      <c r="GG43" s="87" t="n">
        <v>0</v>
      </c>
      <c r="GH43" s="87" t="n">
        <v>0</v>
      </c>
      <c r="GI43" s="87" t="n">
        <v>0</v>
      </c>
      <c r="GJ43" s="87" t="n">
        <v>0</v>
      </c>
      <c r="GK43" s="87" t="n">
        <v>0</v>
      </c>
      <c r="GL43" s="87" t="n">
        <v>0</v>
      </c>
      <c r="GM43" s="87" t="n">
        <v>0</v>
      </c>
      <c r="GN43" s="87" t="n">
        <v>0</v>
      </c>
      <c r="GO43" s="87" t="n">
        <v>0</v>
      </c>
      <c r="GP43" s="87" t="n">
        <v>0</v>
      </c>
      <c r="GQ43" s="87" t="n">
        <v>0</v>
      </c>
      <c r="GR43" s="87" t="n">
        <v>0</v>
      </c>
      <c r="GS43" s="87" t="n">
        <v>0</v>
      </c>
      <c r="GT43" s="87" t="n">
        <v>0</v>
      </c>
      <c r="GU43" s="87" t="n">
        <v>0</v>
      </c>
      <c r="GV43" s="87" t="n">
        <v>0</v>
      </c>
      <c r="GW43" s="87" t="n">
        <v>0</v>
      </c>
      <c r="GX43" s="87" t="n">
        <v>0</v>
      </c>
      <c r="GY43" s="87" t="n">
        <v>0</v>
      </c>
      <c r="GZ43" s="87" t="n">
        <v>0</v>
      </c>
      <c r="HA43" s="87" t="n">
        <v>0</v>
      </c>
      <c r="HB43" s="87" t="n">
        <v>0</v>
      </c>
      <c r="HC43" s="87" t="n">
        <v>0</v>
      </c>
      <c r="HD43" s="87" t="n">
        <v>0</v>
      </c>
      <c r="HE43" s="87" t="n">
        <v>0</v>
      </c>
      <c r="HF43" s="87" t="n">
        <v>0</v>
      </c>
      <c r="HG43" s="87" t="n">
        <v>0</v>
      </c>
      <c r="HH43" s="87" t="n">
        <v>0</v>
      </c>
      <c r="HI43" s="87" t="n">
        <v>0</v>
      </c>
      <c r="HJ43" s="87" t="n">
        <v>0</v>
      </c>
      <c r="HK43" s="87" t="n">
        <v>0</v>
      </c>
      <c r="HL43" s="87" t="n">
        <v>0</v>
      </c>
      <c r="HM43" s="87" t="n">
        <v>0</v>
      </c>
      <c r="HN43" s="87" t="n">
        <v>0</v>
      </c>
      <c r="HO43" s="87" t="n">
        <v>0</v>
      </c>
      <c r="HP43" s="87" t="n">
        <v>0</v>
      </c>
      <c r="HQ43" s="87" t="n">
        <v>0</v>
      </c>
      <c r="HR43" s="87" t="n">
        <v>0</v>
      </c>
      <c r="HS43" s="87" t="n">
        <v>0</v>
      </c>
      <c r="HT43" s="87" t="n">
        <v>0</v>
      </c>
      <c r="HU43" s="87" t="n">
        <v>0</v>
      </c>
      <c r="JF43" s="87">
        <f>AP43</f>
        <v/>
      </c>
      <c r="JG43" s="87">
        <f>SUM(Z43:AK43)</f>
        <v/>
      </c>
      <c r="JH43" s="87">
        <f>SUM(AL43:AP43)</f>
        <v/>
      </c>
      <c r="JI43" s="87">
        <f>SUM(C43:AP43)</f>
        <v/>
      </c>
      <c r="JJ43" s="446" t="n"/>
      <c r="JM43" s="87" t="n">
        <v>-8000</v>
      </c>
      <c r="KG43" s="136">
        <f>B43</f>
        <v/>
      </c>
      <c r="KH43" s="345">
        <f>AR43</f>
        <v/>
      </c>
    </row>
    <row r="44" ht="16.2" customHeight="1">
      <c r="A44" s="1" t="inlineStr">
        <is>
          <t>Gerenciamento</t>
        </is>
      </c>
      <c r="B44" s="136">
        <f>SUM(C44:AP44)</f>
        <v/>
      </c>
      <c r="C44" s="53" t="n"/>
      <c r="D44" s="53" t="n"/>
      <c r="E44" s="53" t="n"/>
      <c r="F44" s="53" t="n"/>
      <c r="G44" s="53" t="n"/>
      <c r="H44" s="53" t="n"/>
      <c r="I44" s="53" t="n"/>
      <c r="J44" s="185" t="n"/>
      <c r="K44" s="53" t="n"/>
      <c r="L44" s="53" t="n"/>
      <c r="M44" s="186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  <c r="AD44" s="337" t="n">
        <v>-8000</v>
      </c>
      <c r="AE44" s="337" t="n">
        <v>-8000</v>
      </c>
      <c r="AF44" s="337" t="n">
        <v>-8000</v>
      </c>
      <c r="AG44" s="337" t="n">
        <v>-8000</v>
      </c>
      <c r="AH44" s="337" t="n">
        <v>-8000</v>
      </c>
      <c r="AI44" s="337" t="n">
        <v>-8840.610000000001</v>
      </c>
      <c r="AJ44" s="337" t="n">
        <v>-8840.610000000001</v>
      </c>
      <c r="AK44" s="337" t="n">
        <v>-8840.610000000001</v>
      </c>
      <c r="AL44" s="337" t="n">
        <v>-8840.610000000001</v>
      </c>
      <c r="AM44" s="337" t="n">
        <v>-8840.610000000001</v>
      </c>
      <c r="AN44" s="337" t="n">
        <v>-8840.610000000001</v>
      </c>
      <c r="AO44" s="337" t="n">
        <v>-8840.610000000001</v>
      </c>
      <c r="AP44" s="337" t="n">
        <v>-8840.610000000001</v>
      </c>
      <c r="AQ44" s="13" t="n"/>
      <c r="AR44" s="345">
        <f>SUM(AT44:HU44)</f>
        <v/>
      </c>
      <c r="AS44" s="13" t="n"/>
      <c r="AT44" s="26" t="n">
        <v>-8840.610000000001</v>
      </c>
      <c r="AU44" s="26" t="n">
        <v>-8840.610000000001</v>
      </c>
      <c r="AV44" s="26" t="n">
        <v>-8840.610000000001</v>
      </c>
      <c r="AW44" s="26" t="n">
        <v>-8840.610000000001</v>
      </c>
      <c r="AX44" s="26" t="n">
        <v>-8840.610000000001</v>
      </c>
      <c r="AY44" s="26" t="n">
        <v>-8840.610000000001</v>
      </c>
      <c r="AZ44" s="26" t="n">
        <v>-8840.610000000001</v>
      </c>
      <c r="BA44" s="26" t="n">
        <v>-8840.610000000001</v>
      </c>
      <c r="BB44" s="26" t="n">
        <v>-8840.610000000001</v>
      </c>
      <c r="BC44" s="26" t="n">
        <v>-8840.610000000001</v>
      </c>
      <c r="BD44" s="26" t="n">
        <v>-8840.610000000001</v>
      </c>
      <c r="BE44" s="26" t="n">
        <v>-8840.610000000001</v>
      </c>
      <c r="BF44" s="26" t="n">
        <v>-8840.610000000001</v>
      </c>
      <c r="BG44" s="26" t="n">
        <v>-8840.610000000001</v>
      </c>
      <c r="BH44" s="26" t="n">
        <v>-8840.610000000001</v>
      </c>
      <c r="BI44" s="26" t="n">
        <v>-8840.610000000001</v>
      </c>
      <c r="BJ44" s="26" t="n">
        <v>-8840.610000000001</v>
      </c>
      <c r="BK44" s="26" t="n">
        <v>-8840.610000000001</v>
      </c>
      <c r="BL44" s="26" t="n">
        <v>-8840.610000000001</v>
      </c>
      <c r="BM44" s="26" t="n">
        <v>-8840.610000000001</v>
      </c>
      <c r="BN44" s="26" t="n">
        <v>-8840.610000000001</v>
      </c>
      <c r="BO44" s="26" t="n">
        <v>-8840.610000000001</v>
      </c>
      <c r="BP44" s="26" t="n">
        <v>-8840.610000000001</v>
      </c>
      <c r="BQ44" s="26" t="n">
        <v>-8840.610000000001</v>
      </c>
      <c r="BR44" s="26" t="n">
        <v>-8840.610000000001</v>
      </c>
      <c r="BS44" s="26" t="n">
        <v>-8840.610000000001</v>
      </c>
      <c r="BT44" s="26" t="n">
        <v>-8840.610000000001</v>
      </c>
      <c r="BU44" s="26" t="n">
        <v>-8840.610000000001</v>
      </c>
      <c r="BV44" s="26" t="n">
        <v>-8840.610000000001</v>
      </c>
      <c r="BW44" s="26" t="n">
        <v>-8840.610000000001</v>
      </c>
      <c r="BX44" s="26" t="n">
        <v>-8840.610000000001</v>
      </c>
      <c r="BY44" s="26" t="n">
        <v>-8840.610000000001</v>
      </c>
      <c r="BZ44" s="26" t="n">
        <v>-8840.610000000001</v>
      </c>
      <c r="CA44" s="26" t="n">
        <v>-8840.610000000001</v>
      </c>
      <c r="CB44" s="26" t="n">
        <v>-8840.610000000001</v>
      </c>
      <c r="CC44" s="26" t="n">
        <v>-8840.610000000001</v>
      </c>
      <c r="CD44" s="26" t="n">
        <v>-8840.610000000001</v>
      </c>
      <c r="CE44" s="26" t="n">
        <v>-8840.610000000001</v>
      </c>
      <c r="CF44" s="26" t="n">
        <v>-8840.610000000001</v>
      </c>
      <c r="CG44" s="26" t="n">
        <v>-8840.610000000001</v>
      </c>
      <c r="CH44" s="26" t="n">
        <v>-8840.610000000001</v>
      </c>
      <c r="CI44" s="26" t="n">
        <v>-8840.610000000001</v>
      </c>
      <c r="CJ44" s="26" t="n">
        <v>-8840.610000000001</v>
      </c>
      <c r="CK44" s="26" t="n">
        <v>-8840.610000000001</v>
      </c>
      <c r="CL44" s="26" t="n">
        <v>-8840.610000000001</v>
      </c>
      <c r="CM44" s="26" t="n">
        <v>-8840.610000000001</v>
      </c>
      <c r="CN44" s="26" t="n">
        <v>-8840.610000000001</v>
      </c>
      <c r="CO44" s="26" t="n"/>
      <c r="CP44" s="26" t="n"/>
      <c r="CQ44" s="26" t="n"/>
      <c r="CR44" s="26" t="n"/>
      <c r="CS44" s="26" t="n"/>
      <c r="CT44" s="26" t="n"/>
      <c r="CU44" s="26" t="n"/>
      <c r="CV44" s="26" t="n"/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  <c r="DG44" s="26" t="n"/>
      <c r="DH44" s="26" t="n"/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  <c r="DS44" s="26" t="n"/>
      <c r="DT44" s="26" t="n"/>
      <c r="DU44" s="26" t="n"/>
      <c r="DV44" s="26" t="n"/>
      <c r="DW44" s="26" t="n"/>
      <c r="DX44" s="26" t="n"/>
      <c r="DY44" s="26" t="n">
        <v>0</v>
      </c>
      <c r="DZ44" s="26" t="n">
        <v>0</v>
      </c>
      <c r="EA44" s="26" t="n">
        <v>0</v>
      </c>
      <c r="EB44" s="26" t="n">
        <v>0</v>
      </c>
      <c r="EC44" s="26" t="n">
        <v>0</v>
      </c>
      <c r="ED44" s="26" t="n">
        <v>0</v>
      </c>
      <c r="EE44" s="26" t="n">
        <v>0</v>
      </c>
      <c r="EF44" s="26" t="n">
        <v>0</v>
      </c>
      <c r="EG44" s="26" t="n">
        <v>0</v>
      </c>
      <c r="EH44" s="26" t="n">
        <v>0</v>
      </c>
      <c r="EI44" s="26" t="n">
        <v>0</v>
      </c>
      <c r="EJ44" s="26" t="n">
        <v>0</v>
      </c>
      <c r="EK44" s="26" t="n">
        <v>0</v>
      </c>
      <c r="EL44" s="26" t="n">
        <v>0</v>
      </c>
      <c r="EM44" s="26" t="n">
        <v>0</v>
      </c>
      <c r="EN44" s="26" t="n">
        <v>0</v>
      </c>
      <c r="EO44" s="26" t="n">
        <v>0</v>
      </c>
      <c r="EP44" s="26" t="n">
        <v>0</v>
      </c>
      <c r="EQ44" s="26" t="n">
        <v>0</v>
      </c>
      <c r="ER44" s="26" t="n">
        <v>0</v>
      </c>
      <c r="ES44" s="26" t="n">
        <v>0</v>
      </c>
      <c r="ET44" s="26" t="n">
        <v>0</v>
      </c>
      <c r="EU44" s="26" t="n">
        <v>0</v>
      </c>
      <c r="EV44" s="26" t="n">
        <v>0</v>
      </c>
      <c r="EW44" s="26" t="n">
        <v>0</v>
      </c>
      <c r="EX44" s="26" t="n">
        <v>0</v>
      </c>
      <c r="EY44" s="26" t="n">
        <v>0</v>
      </c>
      <c r="EZ44" s="26" t="n">
        <v>0</v>
      </c>
      <c r="FA44" s="26" t="n">
        <v>0</v>
      </c>
      <c r="FB44" s="26" t="n">
        <v>0</v>
      </c>
      <c r="FC44" s="26" t="n">
        <v>0</v>
      </c>
      <c r="FD44" s="26" t="n">
        <v>0</v>
      </c>
      <c r="FE44" s="26" t="n">
        <v>0</v>
      </c>
      <c r="FF44" s="26" t="n">
        <v>0</v>
      </c>
      <c r="FG44" s="26" t="n">
        <v>0</v>
      </c>
      <c r="FH44" s="26" t="n">
        <v>0</v>
      </c>
      <c r="FI44" s="26" t="n">
        <v>0</v>
      </c>
      <c r="FJ44" s="26" t="n">
        <v>0</v>
      </c>
      <c r="FK44" s="26" t="n">
        <v>0</v>
      </c>
      <c r="FL44" s="26" t="n">
        <v>0</v>
      </c>
      <c r="FM44" s="26" t="n">
        <v>0</v>
      </c>
      <c r="FN44" s="26" t="n">
        <v>0</v>
      </c>
      <c r="FO44" s="26" t="n">
        <v>0</v>
      </c>
      <c r="FP44" s="26" t="n">
        <v>0</v>
      </c>
      <c r="FQ44" s="26" t="n">
        <v>0</v>
      </c>
      <c r="FR44" s="26" t="n">
        <v>0</v>
      </c>
      <c r="FS44" s="26" t="n">
        <v>0</v>
      </c>
      <c r="FT44" s="26" t="n">
        <v>0</v>
      </c>
      <c r="FU44" s="26" t="n">
        <v>0</v>
      </c>
      <c r="FV44" s="26" t="n">
        <v>0</v>
      </c>
      <c r="FW44" s="26" t="n">
        <v>0</v>
      </c>
      <c r="FX44" s="26" t="n">
        <v>0</v>
      </c>
      <c r="FY44" s="26" t="n">
        <v>0</v>
      </c>
      <c r="FZ44" s="26" t="n">
        <v>0</v>
      </c>
      <c r="GA44" s="26" t="n">
        <v>0</v>
      </c>
      <c r="GB44" s="26" t="n">
        <v>0</v>
      </c>
      <c r="GC44" s="26" t="n">
        <v>0</v>
      </c>
      <c r="GD44" s="26" t="n">
        <v>0</v>
      </c>
      <c r="GE44" s="26" t="n">
        <v>0</v>
      </c>
      <c r="GF44" s="26" t="n">
        <v>0</v>
      </c>
      <c r="GG44" s="26" t="n">
        <v>0</v>
      </c>
      <c r="GH44" s="26" t="n">
        <v>0</v>
      </c>
      <c r="GI44" s="26" t="n">
        <v>0</v>
      </c>
      <c r="GJ44" s="26" t="n">
        <v>0</v>
      </c>
      <c r="GK44" s="26" t="n">
        <v>0</v>
      </c>
      <c r="GL44" s="26" t="n">
        <v>0</v>
      </c>
      <c r="GM44" s="26" t="n">
        <v>0</v>
      </c>
      <c r="GN44" s="26" t="n">
        <v>0</v>
      </c>
      <c r="GO44" s="26" t="n">
        <v>0</v>
      </c>
      <c r="GP44" s="26" t="n">
        <v>0</v>
      </c>
      <c r="GQ44" s="26" t="n">
        <v>0</v>
      </c>
      <c r="GR44" s="26" t="n">
        <v>0</v>
      </c>
      <c r="GS44" s="26" t="n">
        <v>0</v>
      </c>
      <c r="GT44" s="26" t="n">
        <v>0</v>
      </c>
      <c r="GU44" s="26" t="n">
        <v>0</v>
      </c>
      <c r="GV44" s="26" t="n">
        <v>0</v>
      </c>
      <c r="GW44" s="26" t="n">
        <v>0</v>
      </c>
      <c r="GX44" s="26" t="n">
        <v>0</v>
      </c>
      <c r="GY44" s="26" t="n">
        <v>0</v>
      </c>
      <c r="GZ44" s="26" t="n">
        <v>0</v>
      </c>
      <c r="HA44" s="26" t="n">
        <v>0</v>
      </c>
      <c r="HB44" s="26" t="n">
        <v>0</v>
      </c>
      <c r="HC44" s="26" t="n">
        <v>0</v>
      </c>
      <c r="HD44" s="26" t="n">
        <v>0</v>
      </c>
      <c r="HE44" s="26" t="n">
        <v>0</v>
      </c>
      <c r="HF44" s="26" t="n">
        <v>0</v>
      </c>
      <c r="HG44" s="26" t="n">
        <v>0</v>
      </c>
      <c r="HH44" s="26" t="n">
        <v>0</v>
      </c>
      <c r="HI44" s="26" t="n">
        <v>0</v>
      </c>
      <c r="HJ44" s="26" t="n">
        <v>0</v>
      </c>
      <c r="HK44" s="26" t="n">
        <v>0</v>
      </c>
      <c r="HL44" s="26" t="n">
        <v>0</v>
      </c>
      <c r="HM44" s="26" t="n">
        <v>0</v>
      </c>
      <c r="HN44" s="26" t="n">
        <v>0</v>
      </c>
      <c r="HO44" s="26" t="n">
        <v>0</v>
      </c>
      <c r="HP44" s="26" t="n">
        <v>0</v>
      </c>
      <c r="HQ44" s="26" t="n">
        <v>0</v>
      </c>
      <c r="HR44" s="26" t="n">
        <v>0</v>
      </c>
      <c r="HS44" s="26" t="n">
        <v>0</v>
      </c>
      <c r="HT44" s="26" t="n">
        <v>0</v>
      </c>
      <c r="HU44" s="26" t="n">
        <v>0</v>
      </c>
      <c r="JF44" s="26">
        <f>AP44</f>
        <v/>
      </c>
      <c r="JG44" s="26">
        <f>SUM(Z44:AK44)</f>
        <v/>
      </c>
      <c r="JH44" s="26">
        <f>SUM(AL44:AP44)</f>
        <v/>
      </c>
      <c r="JI44" s="26">
        <f>SUM(C44:AP44)</f>
        <v/>
      </c>
      <c r="JJ44" s="446" t="n"/>
      <c r="JM44" s="26" t="n">
        <v>-8840.610000000001</v>
      </c>
      <c r="KG44" s="136">
        <f>B44</f>
        <v/>
      </c>
      <c r="KH44" s="345">
        <f>AR44</f>
        <v/>
      </c>
    </row>
    <row r="45" ht="6.6" customHeight="1">
      <c r="A45" s="1" t="n"/>
      <c r="B45" s="128" t="n"/>
      <c r="C45" s="512" t="n"/>
      <c r="D45" s="512" t="n"/>
      <c r="E45" s="512" t="n"/>
      <c r="F45" s="512" t="n"/>
      <c r="G45" s="512" t="n"/>
      <c r="H45" s="512" t="n"/>
      <c r="I45" s="512" t="n"/>
      <c r="J45" s="513" t="n"/>
      <c r="K45" s="512" t="n"/>
      <c r="L45" s="512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514" t="n"/>
      <c r="AA45" s="514" t="n"/>
      <c r="AB45" s="514" t="n"/>
      <c r="AC45" s="514" t="n"/>
      <c r="AD45" s="514" t="n"/>
      <c r="AE45" s="514" t="n"/>
      <c r="AF45" s="514" t="n"/>
      <c r="AG45" s="514" t="n"/>
      <c r="AH45" s="514" t="n"/>
      <c r="AI45" s="514" t="n"/>
      <c r="AJ45" s="514" t="n"/>
      <c r="AK45" s="514" t="n"/>
      <c r="AL45" s="514" t="n"/>
      <c r="AM45" s="514" t="n"/>
      <c r="AN45" s="514" t="n"/>
      <c r="AO45" s="514" t="n"/>
      <c r="AP45" s="514" t="n"/>
      <c r="AQ45" s="512" t="n"/>
      <c r="AR45" s="533" t="n"/>
      <c r="AS45" s="512" t="n"/>
      <c r="AT45" s="512" t="n"/>
      <c r="AU45" s="512" t="n"/>
      <c r="AV45" s="512" t="n"/>
      <c r="AW45" s="512" t="n"/>
      <c r="AX45" s="512" t="n"/>
      <c r="AY45" s="512" t="n"/>
      <c r="AZ45" s="512" t="n"/>
      <c r="BA45" s="512" t="n"/>
      <c r="BB45" s="512" t="n"/>
      <c r="BC45" s="512" t="n"/>
      <c r="BD45" s="515" t="n"/>
      <c r="BE45" s="512" t="n"/>
      <c r="BF45" s="512" t="n"/>
      <c r="BG45" s="512" t="n"/>
      <c r="BH45" s="512" t="n"/>
      <c r="BI45" s="512" t="n"/>
      <c r="BJ45" s="512" t="n"/>
      <c r="BK45" s="512" t="n"/>
      <c r="BL45" s="512" t="n"/>
      <c r="BM45" s="512" t="n"/>
      <c r="BN45" s="512" t="n"/>
      <c r="BO45" s="512" t="n"/>
      <c r="BP45" s="515" t="n"/>
      <c r="BQ45" s="512" t="n"/>
      <c r="BR45" s="512" t="n"/>
      <c r="BS45" s="512" t="n"/>
      <c r="BT45" s="512" t="n"/>
      <c r="BU45" s="512" t="n"/>
      <c r="BV45" s="512" t="n"/>
      <c r="BW45" s="512" t="n"/>
      <c r="BX45" s="512" t="n"/>
      <c r="BY45" s="512" t="n"/>
      <c r="BZ45" s="512" t="n"/>
      <c r="CA45" s="512" t="n"/>
      <c r="CB45" s="515" t="n"/>
      <c r="CC45" s="512" t="n"/>
      <c r="CD45" s="512" t="n"/>
      <c r="CE45" s="512" t="n"/>
      <c r="CF45" s="512" t="n"/>
      <c r="CG45" s="512" t="n"/>
      <c r="CH45" s="512" t="n"/>
      <c r="CI45" s="512" t="n"/>
      <c r="CJ45" s="512" t="n"/>
      <c r="CK45" s="512" t="n"/>
      <c r="CL45" s="512" t="n"/>
      <c r="CM45" s="512" t="n"/>
      <c r="CN45" s="515" t="n"/>
      <c r="CO45" s="512" t="n"/>
      <c r="CP45" s="512" t="n"/>
      <c r="CQ45" s="512" t="n"/>
      <c r="CR45" s="512" t="n"/>
      <c r="CS45" s="512" t="n"/>
      <c r="CT45" s="512" t="n"/>
      <c r="CU45" s="512" t="n"/>
      <c r="CV45" s="512" t="n"/>
      <c r="CW45" s="512" t="n"/>
      <c r="CX45" s="512" t="n"/>
      <c r="CY45" s="512" t="n"/>
      <c r="CZ45" s="515" t="n"/>
      <c r="DA45" s="512" t="n"/>
      <c r="DB45" s="512" t="n"/>
      <c r="DC45" s="512" t="n"/>
      <c r="DD45" s="512" t="n"/>
      <c r="DE45" s="512" t="n"/>
      <c r="DF45" s="512" t="n"/>
      <c r="DG45" s="512" t="n"/>
      <c r="DH45" s="512" t="n"/>
      <c r="DI45" s="512" t="n"/>
      <c r="DJ45" s="512" t="n"/>
      <c r="DK45" s="512" t="n"/>
      <c r="DL45" s="512" t="n"/>
      <c r="DM45" s="512" t="n"/>
      <c r="DN45" s="512" t="n"/>
      <c r="DO45" s="512" t="n"/>
      <c r="DP45" s="512" t="n"/>
      <c r="DQ45" s="512" t="n"/>
      <c r="DR45" s="512" t="n"/>
      <c r="DS45" s="512" t="n"/>
      <c r="DT45" s="512" t="n"/>
      <c r="DU45" s="512" t="n"/>
      <c r="DV45" s="512" t="n"/>
      <c r="DW45" s="512" t="n"/>
      <c r="DX45" s="512" t="n"/>
      <c r="DY45" s="512" t="n"/>
      <c r="DZ45" s="512" t="n"/>
      <c r="EA45" s="512" t="n"/>
      <c r="EB45" s="512" t="n"/>
      <c r="EC45" s="512" t="n"/>
      <c r="ED45" s="512" t="n"/>
      <c r="EE45" s="512" t="n"/>
      <c r="EF45" s="512" t="n"/>
      <c r="EG45" s="512" t="n"/>
      <c r="EH45" s="512" t="n"/>
      <c r="EI45" s="512" t="n"/>
      <c r="EJ45" s="512" t="n"/>
      <c r="EK45" s="512" t="n"/>
      <c r="EL45" s="512" t="n"/>
      <c r="EM45" s="512" t="n"/>
      <c r="EN45" s="512" t="n"/>
      <c r="EO45" s="512" t="n"/>
      <c r="EP45" s="512" t="n"/>
      <c r="EQ45" s="512" t="n"/>
      <c r="ER45" s="512" t="n"/>
      <c r="ES45" s="512" t="n"/>
      <c r="ET45" s="512" t="n"/>
      <c r="EU45" s="512" t="n"/>
      <c r="EV45" s="512" t="n"/>
      <c r="EW45" s="512" t="n"/>
      <c r="EX45" s="512" t="n"/>
      <c r="EY45" s="512" t="n"/>
      <c r="EZ45" s="512" t="n"/>
      <c r="FA45" s="512" t="n"/>
      <c r="FB45" s="512" t="n"/>
      <c r="FC45" s="512" t="n"/>
      <c r="FD45" s="512" t="n"/>
      <c r="FE45" s="512" t="n"/>
      <c r="FF45" s="512" t="n"/>
      <c r="FG45" s="512" t="n"/>
      <c r="FH45" s="512" t="n"/>
      <c r="FI45" s="512" t="n"/>
      <c r="FJ45" s="512" t="n"/>
      <c r="FK45" s="512" t="n"/>
      <c r="FL45" s="512" t="n"/>
      <c r="FM45" s="512" t="n"/>
      <c r="FN45" s="512" t="n"/>
      <c r="FO45" s="512" t="n"/>
      <c r="FP45" s="512" t="n"/>
      <c r="FQ45" s="512" t="n"/>
      <c r="FR45" s="512" t="n"/>
      <c r="FS45" s="512" t="n"/>
      <c r="FT45" s="512" t="n"/>
      <c r="FU45" s="512" t="n"/>
      <c r="FV45" s="512" t="n"/>
      <c r="FW45" s="512" t="n"/>
      <c r="FX45" s="512" t="n"/>
      <c r="FY45" s="512" t="n"/>
      <c r="FZ45" s="512" t="n"/>
      <c r="GA45" s="512" t="n"/>
      <c r="GB45" s="512" t="n"/>
      <c r="GC45" s="512" t="n"/>
      <c r="GD45" s="512" t="n"/>
      <c r="GE45" s="512" t="n"/>
      <c r="GF45" s="512" t="n"/>
      <c r="GG45" s="512" t="n"/>
      <c r="GH45" s="512" t="n"/>
      <c r="GI45" s="512" t="n"/>
      <c r="GJ45" s="512" t="n"/>
      <c r="GK45" s="512" t="n"/>
      <c r="GL45" s="512" t="n"/>
      <c r="GM45" s="512" t="n"/>
      <c r="GN45" s="512" t="n"/>
      <c r="GO45" s="512" t="n"/>
      <c r="GP45" s="512" t="n"/>
      <c r="GQ45" s="512" t="n"/>
      <c r="GR45" s="512" t="n"/>
      <c r="GS45" s="512" t="n"/>
      <c r="GT45" s="512" t="n"/>
      <c r="GU45" s="512" t="n"/>
      <c r="GV45" s="512" t="n"/>
      <c r="GW45" s="512" t="n"/>
      <c r="GX45" s="512" t="n"/>
      <c r="GY45" s="512" t="n"/>
      <c r="GZ45" s="512" t="n"/>
      <c r="HA45" s="512" t="n"/>
      <c r="HB45" s="512" t="n"/>
      <c r="HC45" s="512" t="n"/>
      <c r="HD45" s="512" t="n"/>
      <c r="HE45" s="512" t="n"/>
      <c r="HF45" s="512" t="n"/>
      <c r="HG45" s="512" t="n"/>
      <c r="HH45" s="512" t="n"/>
      <c r="HI45" s="512" t="n"/>
      <c r="HJ45" s="512" t="n"/>
      <c r="HK45" s="512" t="n"/>
      <c r="HL45" s="512" t="n"/>
      <c r="HM45" s="512" t="n"/>
      <c r="HN45" s="512" t="n"/>
      <c r="HO45" s="512" t="n"/>
      <c r="HP45" s="512" t="n"/>
      <c r="HQ45" s="512" t="n"/>
      <c r="HR45" s="512" t="n"/>
      <c r="HS45" s="512" t="n"/>
      <c r="HT45" s="512" t="n"/>
      <c r="HU45" s="512" t="n"/>
      <c r="JF45" s="512">
        <f>AP45</f>
        <v/>
      </c>
      <c r="JG45" s="512">
        <f>SUM(Z45:AK45)</f>
        <v/>
      </c>
      <c r="JH45" s="512">
        <f>SUM(AL45:AP45)</f>
        <v/>
      </c>
      <c r="JI45" s="512">
        <f>SUM(C45:AP45)</f>
        <v/>
      </c>
      <c r="JJ45" s="446" t="n"/>
      <c r="JM45" s="512" t="n"/>
      <c r="KG45" s="128">
        <f>B45</f>
        <v/>
      </c>
      <c r="KH45" s="533">
        <f>AR45</f>
        <v/>
      </c>
    </row>
    <row r="46" ht="16.2" customHeight="1">
      <c r="A46" s="19" t="inlineStr">
        <is>
          <t>DESPESAS JÚRIDICAS (-)</t>
        </is>
      </c>
      <c r="B46" s="139" t="n"/>
      <c r="C46" s="20" t="n"/>
      <c r="D46" s="22" t="n"/>
      <c r="E46" s="20" t="n"/>
      <c r="F46" s="20" t="n"/>
      <c r="G46" s="20" t="n"/>
      <c r="H46" s="20" t="n"/>
      <c r="I46" s="21" t="n"/>
      <c r="J46" s="175" t="n"/>
      <c r="K46" s="21" t="n"/>
      <c r="L46" s="108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00" t="n"/>
      <c r="AR46" s="241" t="n"/>
      <c r="AS46" s="20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299" t="n"/>
      <c r="BE46" s="22" t="n"/>
      <c r="BF46" s="20" t="n"/>
      <c r="BG46" s="20" t="n"/>
      <c r="BH46" s="20" t="n"/>
      <c r="BI46" s="20" t="n"/>
      <c r="BJ46" s="20" t="n"/>
      <c r="BK46" s="20" t="n"/>
      <c r="BL46" s="20" t="n"/>
      <c r="BM46" s="20" t="n"/>
      <c r="BN46" s="20" t="n"/>
      <c r="BO46" s="20" t="n"/>
      <c r="BP46" s="299" t="n"/>
      <c r="BQ46" s="22" t="n"/>
      <c r="BR46" s="20" t="n"/>
      <c r="BS46" s="20" t="n"/>
      <c r="BT46" s="20" t="n"/>
      <c r="BU46" s="20" t="n"/>
      <c r="BV46" s="20" t="n"/>
      <c r="BW46" s="20" t="n"/>
      <c r="BX46" s="20" t="n"/>
      <c r="BY46" s="20" t="n"/>
      <c r="BZ46" s="20" t="n"/>
      <c r="CA46" s="20" t="n"/>
      <c r="CB46" s="299" t="n"/>
      <c r="CC46" s="22" t="n"/>
      <c r="CD46" s="20" t="n"/>
      <c r="CE46" s="20" t="n"/>
      <c r="CF46" s="20" t="n"/>
      <c r="CG46" s="20" t="n"/>
      <c r="CH46" s="20" t="n"/>
      <c r="CI46" s="20" t="n"/>
      <c r="CJ46" s="20" t="n"/>
      <c r="CK46" s="20" t="n"/>
      <c r="CL46" s="20" t="n"/>
      <c r="CM46" s="20" t="n"/>
      <c r="CN46" s="299" t="n"/>
      <c r="CO46" s="22" t="n"/>
      <c r="CP46" s="20" t="n"/>
      <c r="CQ46" s="20" t="n"/>
      <c r="CR46" s="20" t="n"/>
      <c r="CS46" s="20" t="n"/>
      <c r="CT46" s="20" t="n"/>
      <c r="CU46" s="20" t="n"/>
      <c r="CV46" s="20" t="n"/>
      <c r="CW46" s="20" t="n"/>
      <c r="CX46" s="20" t="n"/>
      <c r="CY46" s="20" t="n"/>
      <c r="CZ46" s="299" t="n"/>
      <c r="DA46" s="22" t="n"/>
      <c r="DB46" s="20" t="n"/>
      <c r="DC46" s="20" t="n"/>
      <c r="DD46" s="20" t="n"/>
      <c r="DE46" s="20" t="n"/>
      <c r="DF46" s="20" t="n"/>
      <c r="DG46" s="20" t="n"/>
      <c r="DH46" s="20" t="n"/>
      <c r="DI46" s="20" t="n"/>
      <c r="DJ46" s="21" t="n"/>
      <c r="DK46" s="20" t="n"/>
      <c r="DL46" s="21" t="n"/>
      <c r="DM46" s="20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 t="n"/>
      <c r="EG46" s="21" t="n"/>
      <c r="EH46" s="21" t="n"/>
      <c r="EI46" s="21" t="n"/>
      <c r="EJ46" s="21" t="n"/>
      <c r="EK46" s="21" t="n"/>
      <c r="EL46" s="21" t="n"/>
      <c r="EM46" s="21" t="n"/>
      <c r="EN46" s="21" t="n"/>
      <c r="EO46" s="21" t="n"/>
      <c r="EP46" s="21" t="n"/>
      <c r="EQ46" s="21" t="n"/>
      <c r="ER46" s="21" t="n"/>
      <c r="ES46" s="21" t="n"/>
      <c r="ET46" s="21" t="n"/>
      <c r="EU46" s="21" t="n"/>
      <c r="EV46" s="21" t="n"/>
      <c r="EW46" s="21" t="n"/>
      <c r="EX46" s="21" t="n"/>
      <c r="EY46" s="21" t="n"/>
      <c r="EZ46" s="21" t="n"/>
      <c r="FA46" s="21" t="n"/>
      <c r="FB46" s="21" t="n"/>
      <c r="FC46" s="21" t="n"/>
      <c r="FD46" s="21" t="n"/>
      <c r="FE46" s="21" t="n"/>
      <c r="FF46" s="21" t="n"/>
      <c r="FG46" s="21" t="n"/>
      <c r="FH46" s="21" t="n"/>
      <c r="FI46" s="21" t="n"/>
      <c r="FJ46" s="21" t="n"/>
      <c r="FK46" s="21" t="n"/>
      <c r="FL46" s="21" t="n"/>
      <c r="FM46" s="21" t="n"/>
      <c r="FN46" s="21" t="n"/>
      <c r="FO46" s="21" t="n"/>
      <c r="FP46" s="21" t="n"/>
      <c r="FQ46" s="21" t="n"/>
      <c r="FR46" s="21" t="n"/>
      <c r="FS46" s="21" t="n"/>
      <c r="FT46" s="21" t="n"/>
      <c r="FU46" s="21" t="n"/>
      <c r="FV46" s="21" t="n"/>
      <c r="FW46" s="21" t="n"/>
      <c r="FX46" s="21" t="n"/>
      <c r="FY46" s="21" t="n"/>
      <c r="FZ46" s="21" t="n"/>
      <c r="GA46" s="21" t="n"/>
      <c r="GB46" s="21" t="n"/>
      <c r="GC46" s="21" t="n"/>
      <c r="GD46" s="21" t="n"/>
      <c r="GE46" s="21" t="n"/>
      <c r="GF46" s="21" t="n"/>
      <c r="GG46" s="21" t="n"/>
      <c r="GH46" s="21" t="n"/>
      <c r="GI46" s="21" t="n"/>
      <c r="GJ46" s="21" t="n"/>
      <c r="GK46" s="21" t="n"/>
      <c r="GL46" s="21" t="n"/>
      <c r="GM46" s="21" t="n"/>
      <c r="GN46" s="21" t="n"/>
      <c r="GO46" s="21" t="n"/>
      <c r="GP46" s="21" t="n"/>
      <c r="GQ46" s="21" t="n"/>
      <c r="GR46" s="21" t="n"/>
      <c r="GS46" s="21" t="n"/>
      <c r="GT46" s="21" t="n"/>
      <c r="GU46" s="21" t="n"/>
      <c r="GV46" s="21" t="n"/>
      <c r="GW46" s="21" t="n"/>
      <c r="GX46" s="21" t="n"/>
      <c r="GY46" s="21" t="n"/>
      <c r="GZ46" s="21" t="n"/>
      <c r="HA46" s="21" t="n"/>
      <c r="HB46" s="21" t="n"/>
      <c r="HC46" s="21" t="n"/>
      <c r="HD46" s="21" t="n"/>
      <c r="HE46" s="21" t="n"/>
      <c r="HF46" s="21" t="n"/>
      <c r="HG46" s="21" t="n"/>
      <c r="HH46" s="21" t="n"/>
      <c r="HI46" s="21" t="n"/>
      <c r="HJ46" s="21" t="n"/>
      <c r="HK46" s="21" t="n"/>
      <c r="HL46" s="21" t="n"/>
      <c r="HM46" s="21" t="n"/>
      <c r="HN46" s="21" t="n"/>
      <c r="HO46" s="21" t="n"/>
      <c r="HP46" s="21" t="n"/>
      <c r="HQ46" s="21" t="n"/>
      <c r="HR46" s="21" t="n"/>
      <c r="HS46" s="21" t="n"/>
      <c r="HT46" s="21" t="n"/>
      <c r="HU46" s="21" t="n"/>
      <c r="JF46" s="20">
        <f>AP46</f>
        <v/>
      </c>
      <c r="JG46" s="20">
        <f>SUM(Z46:AK46)</f>
        <v/>
      </c>
      <c r="JH46" s="20">
        <f>SUM(AL46:AP46)</f>
        <v/>
      </c>
      <c r="JI46" s="20">
        <f>SUM(C46:AP46)</f>
        <v/>
      </c>
      <c r="JJ46" s="446" t="n"/>
      <c r="JM46" s="21" t="n"/>
      <c r="KG46" s="139">
        <f>B46</f>
        <v/>
      </c>
      <c r="KH46" s="241">
        <f>AR46</f>
        <v/>
      </c>
    </row>
    <row r="47" ht="18.75" customHeight="1">
      <c r="A47" s="7" t="inlineStr">
        <is>
          <t>Despesas juridicas</t>
        </is>
      </c>
      <c r="B47" s="136">
        <f>SUM(C47:AP47)</f>
        <v/>
      </c>
      <c r="C47" s="85" t="n"/>
      <c r="D47" s="87" t="n"/>
      <c r="E47" s="85" t="n"/>
      <c r="F47" s="85" t="n"/>
      <c r="G47" s="85" t="n"/>
      <c r="H47" s="85" t="n"/>
      <c r="I47" s="86" t="n"/>
      <c r="J47" s="218" t="n"/>
      <c r="K47" s="113" t="n"/>
      <c r="L47" s="122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>
        <f>50092.5732500069-959.8</f>
        <v/>
      </c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13" t="n"/>
      <c r="AR47" s="342">
        <f>SUM(AT47:HU47)</f>
        <v/>
      </c>
      <c r="AS47" s="13" t="n"/>
      <c r="AT47" s="26" t="n">
        <v>0</v>
      </c>
      <c r="AU47" s="26" t="n">
        <v>0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0</v>
      </c>
      <c r="BQ47" s="26" t="n">
        <v>0</v>
      </c>
      <c r="BR47" s="26" t="n">
        <v>0</v>
      </c>
      <c r="BS47" s="26" t="n">
        <v>0</v>
      </c>
      <c r="BT47" s="26" t="n">
        <v>0</v>
      </c>
      <c r="BU47" s="26" t="n">
        <v>0</v>
      </c>
      <c r="BV47" s="26" t="n">
        <v>0</v>
      </c>
      <c r="BW47" s="26" t="n">
        <v>0</v>
      </c>
      <c r="BX47" s="26" t="n">
        <v>0</v>
      </c>
      <c r="BY47" s="26" t="n">
        <v>0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0</v>
      </c>
      <c r="CN47" s="26" t="n">
        <v>0</v>
      </c>
      <c r="CO47" s="26" t="n">
        <v>0</v>
      </c>
      <c r="CP47" s="26" t="n">
        <v>0</v>
      </c>
      <c r="CQ47" s="26" t="n">
        <v>0</v>
      </c>
      <c r="CR47" s="26" t="n">
        <v>0</v>
      </c>
      <c r="CS47" s="26" t="n">
        <v>0</v>
      </c>
      <c r="CT47" s="26" t="n">
        <v>0</v>
      </c>
      <c r="CU47" s="26" t="n">
        <v>0</v>
      </c>
      <c r="CV47" s="26" t="n">
        <v>0</v>
      </c>
      <c r="CW47" s="26" t="n">
        <v>0</v>
      </c>
      <c r="CX47" s="26" t="n">
        <v>0</v>
      </c>
      <c r="CY47" s="26" t="n">
        <v>0</v>
      </c>
      <c r="CZ47" s="26" t="n">
        <v>0</v>
      </c>
      <c r="DA47" s="26" t="n">
        <v>0</v>
      </c>
      <c r="DB47" s="26" t="n">
        <v>0</v>
      </c>
      <c r="DC47" s="26" t="n">
        <v>0</v>
      </c>
      <c r="DD47" s="26" t="n">
        <v>0</v>
      </c>
      <c r="DE47" s="26" t="n">
        <v>0</v>
      </c>
      <c r="DF47" s="26" t="n">
        <v>0</v>
      </c>
      <c r="DG47" s="26" t="n">
        <v>0</v>
      </c>
      <c r="DH47" s="26" t="n">
        <v>0</v>
      </c>
      <c r="DI47" s="26" t="n">
        <v>0</v>
      </c>
      <c r="DJ47" s="26" t="n">
        <v>0</v>
      </c>
      <c r="DK47" s="26" t="n">
        <v>0</v>
      </c>
      <c r="DL47" s="26" t="n">
        <v>0</v>
      </c>
      <c r="DM47" s="26" t="n">
        <v>0</v>
      </c>
      <c r="DN47" s="26" t="n">
        <v>0</v>
      </c>
      <c r="DO47" s="26" t="n">
        <v>0</v>
      </c>
      <c r="DP47" s="26" t="n">
        <v>0</v>
      </c>
      <c r="DQ47" s="26" t="n">
        <v>0</v>
      </c>
      <c r="DR47" s="26" t="n">
        <v>0</v>
      </c>
      <c r="DS47" s="26" t="n">
        <v>0</v>
      </c>
      <c r="DT47" s="26" t="n">
        <v>0</v>
      </c>
      <c r="DU47" s="26" t="n">
        <v>0</v>
      </c>
      <c r="DV47" s="26" t="n">
        <v>0</v>
      </c>
      <c r="DW47" s="26" t="n">
        <v>0</v>
      </c>
      <c r="DX47" s="26" t="n">
        <v>0</v>
      </c>
      <c r="DY47" s="26" t="n">
        <v>0</v>
      </c>
      <c r="DZ47" s="26" t="n">
        <v>0</v>
      </c>
      <c r="EA47" s="26" t="n">
        <v>0</v>
      </c>
      <c r="EB47" s="26" t="n">
        <v>0</v>
      </c>
      <c r="EC47" s="26" t="n">
        <v>0</v>
      </c>
      <c r="ED47" s="26" t="n">
        <v>0</v>
      </c>
      <c r="EE47" s="26" t="n">
        <v>0</v>
      </c>
      <c r="EF47" s="26" t="n">
        <v>0</v>
      </c>
      <c r="EG47" s="26" t="n">
        <v>0</v>
      </c>
      <c r="EH47" s="26" t="n">
        <v>0</v>
      </c>
      <c r="EI47" s="26" t="n">
        <v>0</v>
      </c>
      <c r="EJ47" s="26" t="n">
        <v>0</v>
      </c>
      <c r="EK47" s="26" t="n">
        <v>0</v>
      </c>
      <c r="EL47" s="26" t="n">
        <v>0</v>
      </c>
      <c r="EM47" s="26" t="n">
        <v>0</v>
      </c>
      <c r="EN47" s="26" t="n">
        <v>0</v>
      </c>
      <c r="EO47" s="26" t="n">
        <v>0</v>
      </c>
      <c r="EP47" s="26" t="n">
        <v>0</v>
      </c>
      <c r="EQ47" s="26" t="n">
        <v>0</v>
      </c>
      <c r="ER47" s="26" t="n">
        <v>0</v>
      </c>
      <c r="ES47" s="26" t="n">
        <v>0</v>
      </c>
      <c r="ET47" s="26" t="n">
        <v>0</v>
      </c>
      <c r="EU47" s="26" t="n">
        <v>0</v>
      </c>
      <c r="EV47" s="26" t="n">
        <v>0</v>
      </c>
      <c r="EW47" s="26" t="n">
        <v>0</v>
      </c>
      <c r="EX47" s="26" t="n">
        <v>0</v>
      </c>
      <c r="EY47" s="26" t="n">
        <v>0</v>
      </c>
      <c r="EZ47" s="26" t="n">
        <v>0</v>
      </c>
      <c r="FA47" s="26" t="n">
        <v>0</v>
      </c>
      <c r="FB47" s="26" t="n">
        <v>0</v>
      </c>
      <c r="FC47" s="26" t="n">
        <v>0</v>
      </c>
      <c r="FD47" s="26" t="n">
        <v>0</v>
      </c>
      <c r="FE47" s="26" t="n">
        <v>0</v>
      </c>
      <c r="FF47" s="26" t="n">
        <v>0</v>
      </c>
      <c r="FG47" s="26" t="n">
        <v>0</v>
      </c>
      <c r="FH47" s="26" t="n">
        <v>0</v>
      </c>
      <c r="FI47" s="26" t="n">
        <v>0</v>
      </c>
      <c r="FJ47" s="26" t="n">
        <v>0</v>
      </c>
      <c r="FK47" s="26" t="n">
        <v>0</v>
      </c>
      <c r="FL47" s="26" t="n">
        <v>0</v>
      </c>
      <c r="FM47" s="26" t="n">
        <v>0</v>
      </c>
      <c r="FN47" s="26" t="n">
        <v>0</v>
      </c>
      <c r="FO47" s="26" t="n">
        <v>0</v>
      </c>
      <c r="FP47" s="26" t="n">
        <v>0</v>
      </c>
      <c r="FQ47" s="26" t="n">
        <v>0</v>
      </c>
      <c r="FR47" s="26" t="n">
        <v>0</v>
      </c>
      <c r="FS47" s="26" t="n">
        <v>0</v>
      </c>
      <c r="FT47" s="26" t="n">
        <v>0</v>
      </c>
      <c r="FU47" s="26" t="n">
        <v>0</v>
      </c>
      <c r="FV47" s="26" t="n">
        <v>0</v>
      </c>
      <c r="FW47" s="26" t="n">
        <v>0</v>
      </c>
      <c r="FX47" s="26" t="n">
        <v>0</v>
      </c>
      <c r="FY47" s="26" t="n">
        <v>0</v>
      </c>
      <c r="FZ47" s="26" t="n">
        <v>0</v>
      </c>
      <c r="GA47" s="26" t="n">
        <v>0</v>
      </c>
      <c r="GB47" s="26" t="n">
        <v>0</v>
      </c>
      <c r="GC47" s="26" t="n">
        <v>0</v>
      </c>
      <c r="GD47" s="26" t="n">
        <v>0</v>
      </c>
      <c r="GE47" s="26" t="n">
        <v>0</v>
      </c>
      <c r="GF47" s="26" t="n">
        <v>0</v>
      </c>
      <c r="GG47" s="26" t="n">
        <v>0</v>
      </c>
      <c r="GH47" s="26" t="n">
        <v>0</v>
      </c>
      <c r="GI47" s="26" t="n">
        <v>0</v>
      </c>
      <c r="GJ47" s="26" t="n">
        <v>0</v>
      </c>
      <c r="GK47" s="26" t="n">
        <v>0</v>
      </c>
      <c r="GL47" s="26" t="n">
        <v>0</v>
      </c>
      <c r="GM47" s="26" t="n">
        <v>0</v>
      </c>
      <c r="GN47" s="26" t="n">
        <v>0</v>
      </c>
      <c r="GO47" s="26" t="n">
        <v>0</v>
      </c>
      <c r="GP47" s="26" t="n">
        <v>0</v>
      </c>
      <c r="GQ47" s="26" t="n">
        <v>0</v>
      </c>
      <c r="GR47" s="26" t="n">
        <v>0</v>
      </c>
      <c r="GS47" s="26" t="n">
        <v>0</v>
      </c>
      <c r="GT47" s="26" t="n">
        <v>0</v>
      </c>
      <c r="GU47" s="26" t="n">
        <v>0</v>
      </c>
      <c r="GV47" s="26" t="n">
        <v>0</v>
      </c>
      <c r="GW47" s="26" t="n">
        <v>0</v>
      </c>
      <c r="GX47" s="26" t="n">
        <v>0</v>
      </c>
      <c r="GY47" s="26" t="n">
        <v>0</v>
      </c>
      <c r="GZ47" s="26" t="n">
        <v>0</v>
      </c>
      <c r="HA47" s="26" t="n">
        <v>0</v>
      </c>
      <c r="HB47" s="26" t="n">
        <v>0</v>
      </c>
      <c r="HC47" s="26" t="n">
        <v>0</v>
      </c>
      <c r="HD47" s="26" t="n">
        <v>0</v>
      </c>
      <c r="HE47" s="26" t="n">
        <v>0</v>
      </c>
      <c r="HF47" s="26" t="n">
        <v>0</v>
      </c>
      <c r="HG47" s="26" t="n">
        <v>0</v>
      </c>
      <c r="HH47" s="26" t="n">
        <v>0</v>
      </c>
      <c r="HI47" s="26" t="n">
        <v>0</v>
      </c>
      <c r="HJ47" s="26" t="n">
        <v>0</v>
      </c>
      <c r="HK47" s="26" t="n">
        <v>0</v>
      </c>
      <c r="HL47" s="26" t="n">
        <v>0</v>
      </c>
      <c r="HM47" s="26" t="n">
        <v>0</v>
      </c>
      <c r="HN47" s="26" t="n">
        <v>0</v>
      </c>
      <c r="HO47" s="26" t="n">
        <v>0</v>
      </c>
      <c r="HP47" s="26" t="n">
        <v>0</v>
      </c>
      <c r="HQ47" s="26" t="n">
        <v>0</v>
      </c>
      <c r="HR47" s="26" t="n">
        <v>0</v>
      </c>
      <c r="HS47" s="26" t="n">
        <v>0</v>
      </c>
      <c r="HT47" s="26" t="n">
        <v>0</v>
      </c>
      <c r="HU47" s="26" t="n">
        <v>0</v>
      </c>
      <c r="JF47" s="26">
        <f>AP47</f>
        <v/>
      </c>
      <c r="JG47" s="26">
        <f>SUM(Z47:AK47)</f>
        <v/>
      </c>
      <c r="JH47" s="26">
        <f>SUM(AL47:AP47)</f>
        <v/>
      </c>
      <c r="JI47" s="26">
        <f>SUM(C47:AP47)</f>
        <v/>
      </c>
      <c r="JJ47" s="446" t="n"/>
      <c r="JM47" s="26" t="n">
        <v>0</v>
      </c>
      <c r="KG47" s="136">
        <f>B47</f>
        <v/>
      </c>
      <c r="KH47" s="342">
        <f>AR47</f>
        <v/>
      </c>
    </row>
    <row r="48" ht="6" customHeight="1">
      <c r="A48" s="1" t="n"/>
      <c r="B48" s="128" t="n"/>
      <c r="C48" s="512" t="n"/>
      <c r="D48" s="512" t="n"/>
      <c r="E48" s="512" t="n"/>
      <c r="F48" s="512" t="n"/>
      <c r="G48" s="512" t="n"/>
      <c r="H48" s="512" t="n"/>
      <c r="I48" s="512" t="n"/>
      <c r="J48" s="513" t="n"/>
      <c r="K48" s="512" t="n"/>
      <c r="L48" s="512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2" t="n"/>
      <c r="AR48" s="533" t="n"/>
      <c r="AS48" s="512" t="n"/>
      <c r="AT48" s="512" t="n"/>
      <c r="AU48" s="512" t="n"/>
      <c r="AV48" s="512" t="n"/>
      <c r="AW48" s="512" t="n"/>
      <c r="AX48" s="512" t="n"/>
      <c r="AY48" s="512" t="n"/>
      <c r="AZ48" s="512" t="n"/>
      <c r="BA48" s="512" t="n"/>
      <c r="BB48" s="512" t="n"/>
      <c r="BC48" s="512" t="n"/>
      <c r="BD48" s="515" t="n"/>
      <c r="BE48" s="512" t="n"/>
      <c r="BF48" s="512" t="n"/>
      <c r="BG48" s="512" t="n"/>
      <c r="BH48" s="512" t="n"/>
      <c r="BI48" s="512" t="n"/>
      <c r="BJ48" s="512" t="n"/>
      <c r="BK48" s="512" t="n"/>
      <c r="BL48" s="512" t="n"/>
      <c r="BM48" s="512" t="n"/>
      <c r="BN48" s="512" t="n"/>
      <c r="BO48" s="512" t="n"/>
      <c r="BP48" s="515" t="n"/>
      <c r="BQ48" s="512" t="n"/>
      <c r="BR48" s="512" t="n"/>
      <c r="BS48" s="512" t="n"/>
      <c r="BT48" s="512" t="n"/>
      <c r="BU48" s="512" t="n"/>
      <c r="BV48" s="512" t="n"/>
      <c r="BW48" s="512" t="n"/>
      <c r="BX48" s="512" t="n"/>
      <c r="BY48" s="512" t="n"/>
      <c r="BZ48" s="512" t="n"/>
      <c r="CA48" s="512" t="n"/>
      <c r="CB48" s="515" t="n"/>
      <c r="CC48" s="512" t="n"/>
      <c r="CD48" s="512" t="n"/>
      <c r="CE48" s="512" t="n"/>
      <c r="CF48" s="512" t="n"/>
      <c r="CG48" s="512" t="n"/>
      <c r="CH48" s="512" t="n"/>
      <c r="CI48" s="512" t="n"/>
      <c r="CJ48" s="512" t="n"/>
      <c r="CK48" s="512" t="n"/>
      <c r="CL48" s="512" t="n"/>
      <c r="CM48" s="512" t="n"/>
      <c r="CN48" s="515" t="n"/>
      <c r="CO48" s="512" t="n"/>
      <c r="CP48" s="512" t="n"/>
      <c r="CQ48" s="512" t="n"/>
      <c r="CR48" s="512" t="n"/>
      <c r="CS48" s="512" t="n"/>
      <c r="CT48" s="512" t="n"/>
      <c r="CU48" s="512" t="n"/>
      <c r="CV48" s="512" t="n"/>
      <c r="CW48" s="512" t="n"/>
      <c r="CX48" s="512" t="n"/>
      <c r="CY48" s="512" t="n"/>
      <c r="CZ48" s="515" t="n"/>
      <c r="DA48" s="512" t="n"/>
      <c r="DB48" s="512" t="n"/>
      <c r="DC48" s="512" t="n"/>
      <c r="DD48" s="512" t="n"/>
      <c r="DE48" s="512" t="n"/>
      <c r="DF48" s="512" t="n"/>
      <c r="DG48" s="512" t="n"/>
      <c r="DH48" s="512" t="n"/>
      <c r="DI48" s="512" t="n"/>
      <c r="DJ48" s="512" t="n"/>
      <c r="DK48" s="512" t="n"/>
      <c r="DL48" s="512" t="n"/>
      <c r="DM48" s="512" t="n"/>
      <c r="DN48" s="512" t="n"/>
      <c r="DO48" s="512" t="n"/>
      <c r="DP48" s="512" t="n"/>
      <c r="DQ48" s="512" t="n"/>
      <c r="DR48" s="512" t="n"/>
      <c r="DS48" s="512" t="n"/>
      <c r="DT48" s="512" t="n"/>
      <c r="DU48" s="512" t="n"/>
      <c r="DV48" s="512" t="n"/>
      <c r="DW48" s="512" t="n"/>
      <c r="DX48" s="512" t="n"/>
      <c r="DY48" s="512" t="n"/>
      <c r="DZ48" s="512" t="n"/>
      <c r="EA48" s="512" t="n"/>
      <c r="EB48" s="512" t="n"/>
      <c r="EC48" s="512" t="n"/>
      <c r="ED48" s="512" t="n"/>
      <c r="EE48" s="512" t="n"/>
      <c r="EF48" s="512" t="n"/>
      <c r="EG48" s="512" t="n"/>
      <c r="EH48" s="512" t="n"/>
      <c r="EI48" s="512" t="n"/>
      <c r="EJ48" s="512" t="n"/>
      <c r="EK48" s="512" t="n"/>
      <c r="EL48" s="512" t="n"/>
      <c r="EM48" s="512" t="n"/>
      <c r="EN48" s="512" t="n"/>
      <c r="EO48" s="512" t="n"/>
      <c r="EP48" s="512" t="n"/>
      <c r="EQ48" s="512" t="n"/>
      <c r="ER48" s="512" t="n"/>
      <c r="ES48" s="512" t="n"/>
      <c r="ET48" s="512" t="n"/>
      <c r="EU48" s="512" t="n"/>
      <c r="EV48" s="512" t="n"/>
      <c r="EW48" s="512" t="n"/>
      <c r="EX48" s="512" t="n"/>
      <c r="EY48" s="512" t="n"/>
      <c r="EZ48" s="512" t="n"/>
      <c r="FA48" s="512" t="n"/>
      <c r="FB48" s="512" t="n"/>
      <c r="FC48" s="512" t="n"/>
      <c r="FD48" s="512" t="n"/>
      <c r="FE48" s="512" t="n"/>
      <c r="FF48" s="512" t="n"/>
      <c r="FG48" s="512" t="n"/>
      <c r="FH48" s="512" t="n"/>
      <c r="FI48" s="512" t="n"/>
      <c r="FJ48" s="512" t="n"/>
      <c r="FK48" s="512" t="n"/>
      <c r="FL48" s="512" t="n"/>
      <c r="FM48" s="512" t="n"/>
      <c r="FN48" s="512" t="n"/>
      <c r="FO48" s="512" t="n"/>
      <c r="FP48" s="512" t="n"/>
      <c r="FQ48" s="512" t="n"/>
      <c r="FR48" s="512" t="n"/>
      <c r="FS48" s="512" t="n"/>
      <c r="FT48" s="512" t="n"/>
      <c r="FU48" s="512" t="n"/>
      <c r="FV48" s="512" t="n"/>
      <c r="FW48" s="512" t="n"/>
      <c r="FX48" s="512" t="n"/>
      <c r="FY48" s="512" t="n"/>
      <c r="FZ48" s="512" t="n"/>
      <c r="GA48" s="512" t="n"/>
      <c r="GB48" s="512" t="n"/>
      <c r="GC48" s="512" t="n"/>
      <c r="GD48" s="512" t="n"/>
      <c r="GE48" s="512" t="n"/>
      <c r="GF48" s="512" t="n"/>
      <c r="GG48" s="512" t="n"/>
      <c r="GH48" s="512" t="n"/>
      <c r="GI48" s="512" t="n"/>
      <c r="GJ48" s="512" t="n"/>
      <c r="GK48" s="512" t="n"/>
      <c r="GL48" s="512" t="n"/>
      <c r="GM48" s="512" t="n"/>
      <c r="GN48" s="512" t="n"/>
      <c r="GO48" s="512" t="n"/>
      <c r="GP48" s="512" t="n"/>
      <c r="GQ48" s="512" t="n"/>
      <c r="GR48" s="512" t="n"/>
      <c r="GS48" s="512" t="n"/>
      <c r="GT48" s="512" t="n"/>
      <c r="GU48" s="512" t="n"/>
      <c r="GV48" s="512" t="n"/>
      <c r="GW48" s="512" t="n"/>
      <c r="GX48" s="512" t="n"/>
      <c r="GY48" s="512" t="n"/>
      <c r="GZ48" s="512" t="n"/>
      <c r="HA48" s="512" t="n"/>
      <c r="HB48" s="512" t="n"/>
      <c r="HC48" s="512" t="n"/>
      <c r="HD48" s="512" t="n"/>
      <c r="HE48" s="512" t="n"/>
      <c r="HF48" s="512" t="n"/>
      <c r="HG48" s="512" t="n"/>
      <c r="HH48" s="512" t="n"/>
      <c r="HI48" s="512" t="n"/>
      <c r="HJ48" s="512" t="n"/>
      <c r="HK48" s="512" t="n"/>
      <c r="HL48" s="512" t="n"/>
      <c r="HM48" s="512" t="n"/>
      <c r="HN48" s="512" t="n"/>
      <c r="HO48" s="512" t="n"/>
      <c r="HP48" s="512" t="n"/>
      <c r="HQ48" s="512" t="n"/>
      <c r="HR48" s="512" t="n"/>
      <c r="HS48" s="512" t="n"/>
      <c r="HT48" s="512" t="n"/>
      <c r="HU48" s="512" t="n"/>
      <c r="JF48" s="512">
        <f>AP48</f>
        <v/>
      </c>
      <c r="JG48" s="512">
        <f>SUM(Z48:AK48)</f>
        <v/>
      </c>
      <c r="JH48" s="512">
        <f>SUM(AL48:AP48)</f>
        <v/>
      </c>
      <c r="JI48" s="512">
        <f>SUM(C48:AP48)</f>
        <v/>
      </c>
      <c r="JJ48" s="446" t="n"/>
      <c r="JM48" s="512" t="n"/>
      <c r="KG48" s="128">
        <f>B48</f>
        <v/>
      </c>
      <c r="KH48" s="533">
        <f>AR48</f>
        <v/>
      </c>
    </row>
    <row r="49" ht="16.2" customHeight="1">
      <c r="A49" s="19" t="inlineStr">
        <is>
          <t>OUTRAS DESPESAS (-)</t>
        </is>
      </c>
      <c r="B49" s="139" t="n"/>
      <c r="C49" s="20" t="n"/>
      <c r="D49" s="22" t="n"/>
      <c r="E49" s="20" t="n"/>
      <c r="F49" s="20" t="n"/>
      <c r="G49" s="20" t="n"/>
      <c r="H49" s="20" t="n"/>
      <c r="I49" s="21" t="n"/>
      <c r="J49" s="175" t="n"/>
      <c r="K49" s="21" t="n"/>
      <c r="L49" s="108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00" t="n"/>
      <c r="AR49" s="241" t="n"/>
      <c r="AS49" s="20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99" t="n"/>
      <c r="BE49" s="22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99" t="n"/>
      <c r="BQ49" s="22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99" t="n"/>
      <c r="CC49" s="22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99" t="n"/>
      <c r="CO49" s="22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99" t="n"/>
      <c r="DA49" s="22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1" t="n"/>
      <c r="DK49" s="20" t="n"/>
      <c r="DL49" s="21" t="n"/>
      <c r="DM49" s="20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 t="n"/>
      <c r="EG49" s="21" t="n"/>
      <c r="EH49" s="21" t="n"/>
      <c r="EI49" s="21" t="n"/>
      <c r="EJ49" s="21" t="n"/>
      <c r="EK49" s="21" t="n"/>
      <c r="EL49" s="21" t="n"/>
      <c r="EM49" s="21" t="n"/>
      <c r="EN49" s="21" t="n"/>
      <c r="EO49" s="21" t="n"/>
      <c r="EP49" s="21" t="n"/>
      <c r="EQ49" s="21" t="n"/>
      <c r="ER49" s="21" t="n"/>
      <c r="ES49" s="21" t="n"/>
      <c r="ET49" s="21" t="n"/>
      <c r="EU49" s="21" t="n"/>
      <c r="EV49" s="21" t="n"/>
      <c r="EW49" s="21" t="n"/>
      <c r="EX49" s="21" t="n"/>
      <c r="EY49" s="21" t="n"/>
      <c r="EZ49" s="21" t="n"/>
      <c r="FA49" s="21" t="n"/>
      <c r="FB49" s="21" t="n"/>
      <c r="FC49" s="21" t="n"/>
      <c r="FD49" s="21" t="n"/>
      <c r="FE49" s="21" t="n"/>
      <c r="FF49" s="21" t="n"/>
      <c r="FG49" s="21" t="n"/>
      <c r="FH49" s="21" t="n"/>
      <c r="FI49" s="21" t="n"/>
      <c r="FJ49" s="21" t="n"/>
      <c r="FK49" s="21" t="n"/>
      <c r="FL49" s="21" t="n"/>
      <c r="FM49" s="21" t="n"/>
      <c r="FN49" s="21" t="n"/>
      <c r="FO49" s="21" t="n"/>
      <c r="FP49" s="21" t="n"/>
      <c r="FQ49" s="21" t="n"/>
      <c r="FR49" s="21" t="n"/>
      <c r="FS49" s="21" t="n"/>
      <c r="FT49" s="21" t="n"/>
      <c r="FU49" s="21" t="n"/>
      <c r="FV49" s="21" t="n"/>
      <c r="FW49" s="21" t="n"/>
      <c r="FX49" s="21" t="n"/>
      <c r="FY49" s="21" t="n"/>
      <c r="FZ49" s="21" t="n"/>
      <c r="GA49" s="21" t="n"/>
      <c r="GB49" s="21" t="n"/>
      <c r="GC49" s="21" t="n"/>
      <c r="GD49" s="21" t="n"/>
      <c r="GE49" s="21" t="n"/>
      <c r="GF49" s="21" t="n"/>
      <c r="GG49" s="21" t="n"/>
      <c r="GH49" s="21" t="n"/>
      <c r="GI49" s="21" t="n"/>
      <c r="GJ49" s="21" t="n"/>
      <c r="GK49" s="21" t="n"/>
      <c r="GL49" s="21" t="n"/>
      <c r="GM49" s="21" t="n"/>
      <c r="GN49" s="21" t="n"/>
      <c r="GO49" s="21" t="n"/>
      <c r="GP49" s="21" t="n"/>
      <c r="GQ49" s="21" t="n"/>
      <c r="GR49" s="21" t="n"/>
      <c r="GS49" s="21" t="n"/>
      <c r="GT49" s="21" t="n"/>
      <c r="GU49" s="21" t="n"/>
      <c r="GV49" s="21" t="n"/>
      <c r="GW49" s="21" t="n"/>
      <c r="GX49" s="21" t="n"/>
      <c r="GY49" s="21" t="n"/>
      <c r="GZ49" s="21" t="n"/>
      <c r="HA49" s="21" t="n"/>
      <c r="HB49" s="21" t="n"/>
      <c r="HC49" s="21" t="n"/>
      <c r="HD49" s="21" t="n"/>
      <c r="HE49" s="21" t="n"/>
      <c r="HF49" s="21" t="n"/>
      <c r="HG49" s="21" t="n"/>
      <c r="HH49" s="21" t="n"/>
      <c r="HI49" s="21" t="n"/>
      <c r="HJ49" s="21" t="n"/>
      <c r="HK49" s="21" t="n"/>
      <c r="HL49" s="21" t="n"/>
      <c r="HM49" s="21" t="n"/>
      <c r="HN49" s="21" t="n"/>
      <c r="HO49" s="21" t="n"/>
      <c r="HP49" s="21" t="n"/>
      <c r="HQ49" s="21" t="n"/>
      <c r="HR49" s="21" t="n"/>
      <c r="HS49" s="21" t="n"/>
      <c r="HT49" s="21" t="n"/>
      <c r="HU49" s="21" t="n"/>
      <c r="JF49" s="20">
        <f>AP49</f>
        <v/>
      </c>
      <c r="JG49" s="20">
        <f>SUM(Z49:AK49)</f>
        <v/>
      </c>
      <c r="JH49" s="20">
        <f>SUM(AL49:AP49)</f>
        <v/>
      </c>
      <c r="JI49" s="20">
        <f>SUM(C49:AP49)</f>
        <v/>
      </c>
      <c r="JJ49" s="446" t="n"/>
      <c r="JM49" s="21" t="n"/>
      <c r="KG49" s="139">
        <f>B49</f>
        <v/>
      </c>
      <c r="KH49" s="241">
        <f>AR49</f>
        <v/>
      </c>
    </row>
    <row r="50" ht="16.2" customHeight="1">
      <c r="A50" s="58" t="inlineStr">
        <is>
          <t>Outras Despesas (adm)</t>
        </is>
      </c>
      <c r="B50" s="136">
        <f>SUM(C50:AP50)</f>
        <v/>
      </c>
      <c r="C50" s="33" t="n"/>
      <c r="D50" s="76" t="n"/>
      <c r="E50" s="33" t="n"/>
      <c r="F50" s="33" t="n"/>
      <c r="G50" s="33" t="n"/>
      <c r="H50" s="33" t="n"/>
      <c r="I50" s="75" t="n"/>
      <c r="J50" s="223" t="n"/>
      <c r="K50" s="119" t="n"/>
      <c r="L50" s="122" t="n">
        <v>-1243.93</v>
      </c>
      <c r="M50" s="219" t="n"/>
      <c r="N50" s="219" t="n"/>
      <c r="O50" s="219" t="n">
        <v>-339</v>
      </c>
      <c r="P50" s="219" t="n"/>
      <c r="Q50" s="219" t="n"/>
      <c r="R50" s="219" t="n"/>
      <c r="S50" s="219" t="n"/>
      <c r="T50" s="219" t="n"/>
      <c r="U50" s="219" t="n"/>
      <c r="V50" s="219" t="n">
        <v>-389</v>
      </c>
      <c r="W50" s="219" t="n">
        <v>0</v>
      </c>
      <c r="X50" s="219" t="n">
        <v>-4</v>
      </c>
      <c r="Y50" s="219" t="n">
        <v>-1155.21</v>
      </c>
      <c r="Z50" s="219" t="n">
        <v>-148.25</v>
      </c>
      <c r="AA50" s="219" t="n">
        <v>-344.9</v>
      </c>
      <c r="AB50" s="219" t="n">
        <v>-459.58</v>
      </c>
      <c r="AC50" s="219">
        <f>-26826.58-250</f>
        <v/>
      </c>
      <c r="AD50" s="219" t="n">
        <v>-6297.44</v>
      </c>
      <c r="AE50" s="219" t="n">
        <v>-4312.64</v>
      </c>
      <c r="AF50" s="219" t="n">
        <v>-4226.87</v>
      </c>
      <c r="AG50" s="219" t="n">
        <v>-4662.58</v>
      </c>
      <c r="AH50" s="219" t="n">
        <v>-4676.65</v>
      </c>
      <c r="AI50" s="219" t="n">
        <v>-5244.59</v>
      </c>
      <c r="AJ50" s="219" t="n">
        <v>-5086.32</v>
      </c>
      <c r="AK50" s="219" t="n">
        <v>-4749.4</v>
      </c>
      <c r="AL50" s="219" t="n">
        <v>-4366.28</v>
      </c>
      <c r="AM50" s="219" t="n">
        <v>-4868.24</v>
      </c>
      <c r="AN50" s="219" t="n">
        <v>-4811.9</v>
      </c>
      <c r="AO50" s="219" t="n">
        <v>-4832.51</v>
      </c>
      <c r="AP50" s="219" t="n">
        <v>-4927.16</v>
      </c>
      <c r="AQ50" s="13" t="n"/>
      <c r="AR50" s="345">
        <f>SUM(AT50:HU50)</f>
        <v/>
      </c>
      <c r="AS50" s="13" t="n"/>
      <c r="AT50" s="76" t="n">
        <v>-8000</v>
      </c>
      <c r="AU50" s="76" t="n">
        <v>-8000</v>
      </c>
      <c r="AV50" s="76" t="n">
        <v>-8000</v>
      </c>
      <c r="AW50" s="76" t="n">
        <v>-8000</v>
      </c>
      <c r="AX50" s="76" t="n">
        <v>-8000</v>
      </c>
      <c r="AY50" s="76" t="n">
        <v>-8000</v>
      </c>
      <c r="AZ50" s="76" t="n">
        <v>-8000</v>
      </c>
      <c r="BA50" s="76" t="n">
        <v>-8000</v>
      </c>
      <c r="BB50" s="76" t="n">
        <v>-8000</v>
      </c>
      <c r="BC50" s="76" t="n">
        <v>-8000</v>
      </c>
      <c r="BD50" s="76" t="n">
        <v>-8000</v>
      </c>
      <c r="BE50" s="76" t="n">
        <v>-8000</v>
      </c>
      <c r="BF50" s="76" t="n">
        <v>-8000</v>
      </c>
      <c r="BG50" s="76" t="n">
        <v>-8000</v>
      </c>
      <c r="BH50" s="76" t="n">
        <v>-8000</v>
      </c>
      <c r="BI50" s="76" t="n">
        <v>-8000</v>
      </c>
      <c r="BJ50" s="76" t="n">
        <v>-8000</v>
      </c>
      <c r="BK50" s="76" t="n">
        <v>-8000</v>
      </c>
      <c r="BL50" s="76" t="n">
        <v>-8000</v>
      </c>
      <c r="BM50" s="76" t="n">
        <v>-8000</v>
      </c>
      <c r="BN50" s="76" t="n">
        <v>-8000</v>
      </c>
      <c r="BO50" s="76" t="n">
        <v>-8000</v>
      </c>
      <c r="BP50" s="76" t="n">
        <v>-8000</v>
      </c>
      <c r="BQ50" s="76" t="n">
        <v>-8000</v>
      </c>
      <c r="BR50" s="76" t="n">
        <v>-8000</v>
      </c>
      <c r="BS50" s="76" t="n">
        <v>-8000</v>
      </c>
      <c r="BT50" s="76" t="n">
        <v>-8000</v>
      </c>
      <c r="BU50" s="76" t="n">
        <v>-8000</v>
      </c>
      <c r="BV50" s="76" t="n">
        <v>-8000</v>
      </c>
      <c r="BW50" s="76" t="n">
        <v>-8000</v>
      </c>
      <c r="BX50" s="76" t="n">
        <v>-8000</v>
      </c>
      <c r="BY50" s="76" t="n">
        <v>-8000</v>
      </c>
      <c r="BZ50" s="76" t="n">
        <v>-8000</v>
      </c>
      <c r="CA50" s="76" t="n">
        <v>-8000</v>
      </c>
      <c r="CB50" s="76" t="n">
        <v>-8000</v>
      </c>
      <c r="CC50" s="76" t="n">
        <v>-8000</v>
      </c>
      <c r="CD50" s="76" t="n">
        <v>-8000</v>
      </c>
      <c r="CE50" s="76" t="n">
        <v>-8000</v>
      </c>
      <c r="CF50" s="76" t="n">
        <v>-8000</v>
      </c>
      <c r="CG50" s="76" t="n">
        <v>-8000</v>
      </c>
      <c r="CH50" s="76" t="n">
        <v>-8000</v>
      </c>
      <c r="CI50" s="76" t="n">
        <v>-8000</v>
      </c>
      <c r="CJ50" s="76" t="n">
        <v>-8000</v>
      </c>
      <c r="CK50" s="76" t="n">
        <v>-8000</v>
      </c>
      <c r="CL50" s="76" t="n">
        <v>-8000</v>
      </c>
      <c r="CM50" s="76" t="n">
        <v>-8000</v>
      </c>
      <c r="CN50" s="76" t="n">
        <v>-8000</v>
      </c>
      <c r="CO50" s="76" t="n">
        <v>-8000</v>
      </c>
      <c r="CP50" s="76" t="n">
        <v>-8000</v>
      </c>
      <c r="CQ50" s="76" t="n">
        <v>-8000</v>
      </c>
      <c r="CR50" s="76" t="n">
        <v>-8000</v>
      </c>
      <c r="CS50" s="76" t="n">
        <v>-8000</v>
      </c>
      <c r="CT50" s="76" t="n">
        <v>-8000</v>
      </c>
      <c r="CU50" s="76" t="n">
        <v>-8000</v>
      </c>
      <c r="CV50" s="76" t="n">
        <v>-8000</v>
      </c>
      <c r="CW50" s="76" t="n">
        <v>-8000</v>
      </c>
      <c r="CX50" s="76" t="n">
        <v>-8000</v>
      </c>
      <c r="CY50" s="76" t="n">
        <v>-8000</v>
      </c>
      <c r="CZ50" s="76" t="n">
        <v>-8000</v>
      </c>
      <c r="DA50" s="76" t="n">
        <v>-8000</v>
      </c>
      <c r="DB50" s="76" t="n">
        <v>-8000</v>
      </c>
      <c r="DC50" s="76" t="n">
        <v>-8000</v>
      </c>
      <c r="DD50" s="76" t="n">
        <v>-8000</v>
      </c>
      <c r="DE50" s="76" t="n">
        <v>-8000</v>
      </c>
      <c r="DF50" s="76" t="n">
        <v>-8000</v>
      </c>
      <c r="DG50" s="76" t="n">
        <v>-8000</v>
      </c>
      <c r="DH50" s="76" t="n">
        <v>-8000</v>
      </c>
      <c r="DI50" s="76" t="n">
        <v>-8000</v>
      </c>
      <c r="DJ50" s="76" t="n">
        <v>-8000</v>
      </c>
      <c r="DK50" s="76" t="n">
        <v>-8000</v>
      </c>
      <c r="DL50" s="76" t="n">
        <v>-8000</v>
      </c>
      <c r="DM50" s="76" t="n">
        <v>-8000</v>
      </c>
      <c r="DN50" s="76" t="n">
        <v>-8000</v>
      </c>
      <c r="DO50" s="76" t="n">
        <v>-8000</v>
      </c>
      <c r="DP50" s="76" t="n">
        <v>-8000</v>
      </c>
      <c r="DQ50" s="76" t="n">
        <v>-8000</v>
      </c>
      <c r="DR50" s="76" t="n"/>
      <c r="DS50" s="76" t="n"/>
      <c r="DT50" s="76" t="n"/>
      <c r="DU50" s="76" t="n"/>
      <c r="DV50" s="76" t="n"/>
      <c r="DW50" s="76" t="n"/>
      <c r="DX50" s="76" t="n"/>
      <c r="DY50" s="76" t="n"/>
      <c r="DZ50" s="76" t="n"/>
      <c r="EA50" s="76" t="n"/>
      <c r="EB50" s="76" t="n"/>
      <c r="EC50" s="76" t="n"/>
      <c r="ED50" s="76" t="n"/>
      <c r="EE50" s="76" t="n"/>
      <c r="EF50" s="76" t="n"/>
      <c r="EG50" s="76" t="n"/>
      <c r="EH50" s="76" t="n"/>
      <c r="EI50" s="76" t="n"/>
      <c r="EJ50" s="76" t="n"/>
      <c r="EK50" s="76" t="n"/>
      <c r="EL50" s="76" t="n"/>
      <c r="EM50" s="76" t="n"/>
      <c r="EN50" s="76" t="n"/>
      <c r="EO50" s="76" t="n"/>
      <c r="EP50" s="76" t="n"/>
      <c r="EQ50" s="76" t="n"/>
      <c r="ER50" s="76" t="n"/>
      <c r="ES50" s="76" t="n"/>
      <c r="ET50" s="76" t="n"/>
      <c r="EU50" s="76" t="n"/>
      <c r="EV50" s="76" t="n"/>
      <c r="EW50" s="76" t="n"/>
      <c r="EX50" s="76" t="n"/>
      <c r="EY50" s="76" t="n"/>
      <c r="EZ50" s="76" t="n"/>
      <c r="FA50" s="76" t="n"/>
      <c r="FB50" s="76" t="n"/>
      <c r="FC50" s="76" t="n"/>
      <c r="FD50" s="76" t="n"/>
      <c r="FE50" s="76" t="n"/>
      <c r="FF50" s="76" t="n"/>
      <c r="FG50" s="76" t="n"/>
      <c r="FH50" s="76" t="n"/>
      <c r="FI50" s="76" t="n"/>
      <c r="FJ50" s="76" t="n"/>
      <c r="FK50" s="76" t="n"/>
      <c r="FL50" s="76" t="n"/>
      <c r="FM50" s="76" t="n"/>
      <c r="FN50" s="76" t="n"/>
      <c r="FO50" s="76" t="n"/>
      <c r="FP50" s="76" t="n"/>
      <c r="FQ50" s="76" t="n"/>
      <c r="FR50" s="76" t="n"/>
      <c r="FS50" s="76" t="n"/>
      <c r="FT50" s="76" t="n"/>
      <c r="FU50" s="76" t="n"/>
      <c r="FV50" s="76" t="n"/>
      <c r="FW50" s="76" t="n"/>
      <c r="FX50" s="76" t="n"/>
      <c r="FY50" s="76" t="n"/>
      <c r="FZ50" s="76" t="n"/>
      <c r="GA50" s="76" t="n"/>
      <c r="GB50" s="76" t="n"/>
      <c r="GC50" s="76" t="n"/>
      <c r="GD50" s="76" t="n"/>
      <c r="GE50" s="76" t="n"/>
      <c r="GF50" s="76" t="n"/>
      <c r="GG50" s="76" t="n"/>
      <c r="GH50" s="76" t="n"/>
      <c r="GI50" s="76" t="n"/>
      <c r="GJ50" s="76" t="n"/>
      <c r="GK50" s="76" t="n"/>
      <c r="GL50" s="76" t="n"/>
      <c r="GM50" s="76" t="n"/>
      <c r="GN50" s="76" t="n"/>
      <c r="GO50" s="76" t="n"/>
      <c r="GP50" s="76" t="n"/>
      <c r="GQ50" s="76" t="n"/>
      <c r="GR50" s="76" t="n"/>
      <c r="GS50" s="76" t="n"/>
      <c r="GT50" s="76" t="n"/>
      <c r="GU50" s="76" t="n"/>
      <c r="GV50" s="76" t="n"/>
      <c r="GW50" s="76" t="n"/>
      <c r="GX50" s="76" t="n"/>
      <c r="GY50" s="76" t="n"/>
      <c r="GZ50" s="76" t="n"/>
      <c r="HA50" s="76" t="n"/>
      <c r="HB50" s="76" t="n"/>
      <c r="HC50" s="76" t="n"/>
      <c r="HD50" s="76" t="n"/>
      <c r="HE50" s="76" t="n"/>
      <c r="HF50" s="76" t="n"/>
      <c r="HG50" s="76" t="n"/>
      <c r="HH50" s="76" t="n"/>
      <c r="HI50" s="76" t="n"/>
      <c r="HJ50" s="76" t="n"/>
      <c r="HK50" s="76" t="n"/>
      <c r="HL50" s="76" t="n"/>
      <c r="HM50" s="76" t="n"/>
      <c r="HN50" s="76" t="n"/>
      <c r="HO50" s="76" t="n"/>
      <c r="HP50" s="76" t="n"/>
      <c r="HQ50" s="76" t="n"/>
      <c r="HR50" s="76" t="n"/>
      <c r="HS50" s="76" t="n"/>
      <c r="HT50" s="76" t="n"/>
      <c r="HU50" s="76" t="n"/>
      <c r="JF50" s="76">
        <f>AP50</f>
        <v/>
      </c>
      <c r="JG50" s="76">
        <f>SUM(Z50:AK50)</f>
        <v/>
      </c>
      <c r="JH50" s="76">
        <f>SUM(AL50:AP50)</f>
        <v/>
      </c>
      <c r="JI50" s="76">
        <f>SUM(C50:AP50)</f>
        <v/>
      </c>
      <c r="JJ50" s="446" t="n"/>
      <c r="JM50" s="76" t="n">
        <v>-8000</v>
      </c>
      <c r="KG50" s="136">
        <f>B50</f>
        <v/>
      </c>
      <c r="KH50" s="345">
        <f>AR50</f>
        <v/>
      </c>
    </row>
    <row r="51" ht="6" customHeight="1">
      <c r="A51" s="23" t="n"/>
      <c r="B51" s="265" t="n"/>
      <c r="C51" s="105" t="n"/>
      <c r="D51" s="104" t="n"/>
      <c r="E51" s="105" t="n"/>
      <c r="F51" s="105" t="n"/>
      <c r="G51" s="105" t="n"/>
      <c r="H51" s="105" t="n"/>
      <c r="I51" s="106" t="n"/>
      <c r="J51" s="180" t="n"/>
      <c r="K51" s="105" t="n"/>
      <c r="L51" s="105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  <c r="AF51" s="181" t="n"/>
      <c r="AG51" s="181" t="n"/>
      <c r="AH51" s="181" t="n"/>
      <c r="AI51" s="181" t="n"/>
      <c r="AJ51" s="181" t="n"/>
      <c r="AK51" s="181" t="n"/>
      <c r="AL51" s="181" t="n"/>
      <c r="AM51" s="181" t="n"/>
      <c r="AN51" s="181" t="n"/>
      <c r="AO51" s="181" t="n"/>
      <c r="AP51" s="181" t="n"/>
      <c r="AQ51" s="13" t="n"/>
      <c r="AR51" s="345" t="n"/>
      <c r="AS51" s="13" t="n"/>
      <c r="AT51" s="105" t="n"/>
      <c r="AU51" s="105" t="n"/>
      <c r="AV51" s="105" t="n"/>
      <c r="AW51" s="105" t="n"/>
      <c r="AX51" s="105" t="n"/>
      <c r="AY51" s="105" t="n"/>
      <c r="AZ51" s="105" t="n"/>
      <c r="BA51" s="105" t="n"/>
      <c r="BB51" s="105" t="n"/>
      <c r="BC51" s="105" t="n"/>
      <c r="BD51" s="304" t="n"/>
      <c r="BE51" s="104" t="n"/>
      <c r="BF51" s="105" t="n"/>
      <c r="BG51" s="105" t="n"/>
      <c r="BH51" s="105" t="n"/>
      <c r="BI51" s="105" t="n"/>
      <c r="BJ51" s="105" t="n"/>
      <c r="BK51" s="105" t="n"/>
      <c r="BL51" s="105" t="n"/>
      <c r="BM51" s="105" t="n"/>
      <c r="BN51" s="105" t="n"/>
      <c r="BO51" s="105" t="n"/>
      <c r="BP51" s="304" t="n"/>
      <c r="BQ51" s="104" t="n"/>
      <c r="BR51" s="105" t="n"/>
      <c r="BS51" s="105" t="n"/>
      <c r="BT51" s="105" t="n"/>
      <c r="BU51" s="105" t="n"/>
      <c r="BV51" s="105" t="n"/>
      <c r="BW51" s="105" t="n"/>
      <c r="BX51" s="105" t="n"/>
      <c r="BY51" s="105" t="n"/>
      <c r="BZ51" s="105" t="n"/>
      <c r="CA51" s="105" t="n"/>
      <c r="CB51" s="304" t="n"/>
      <c r="CC51" s="104" t="n"/>
      <c r="CD51" s="105" t="n"/>
      <c r="CE51" s="105" t="n"/>
      <c r="CF51" s="105" t="n"/>
      <c r="CG51" s="105" t="n"/>
      <c r="CH51" s="105" t="n"/>
      <c r="CI51" s="105" t="n"/>
      <c r="CJ51" s="105" t="n"/>
      <c r="CK51" s="105" t="n"/>
      <c r="CL51" s="105" t="n"/>
      <c r="CM51" s="105" t="n"/>
      <c r="CN51" s="304" t="n"/>
      <c r="CO51" s="104" t="n"/>
      <c r="CP51" s="105" t="n"/>
      <c r="CQ51" s="105" t="n"/>
      <c r="CR51" s="105" t="n"/>
      <c r="CS51" s="105" t="n"/>
      <c r="CT51" s="105" t="n"/>
      <c r="CU51" s="105" t="n"/>
      <c r="CV51" s="105" t="n"/>
      <c r="CW51" s="105" t="n"/>
      <c r="CX51" s="105" t="n"/>
      <c r="CY51" s="105" t="n"/>
      <c r="CZ51" s="304" t="n"/>
      <c r="DA51" s="104" t="n"/>
      <c r="DB51" s="105" t="n"/>
      <c r="DC51" s="105" t="n"/>
      <c r="DD51" s="105" t="n"/>
      <c r="DE51" s="105" t="n"/>
      <c r="DF51" s="105" t="n"/>
      <c r="DG51" s="105" t="n"/>
      <c r="DH51" s="105" t="n"/>
      <c r="DI51" s="105" t="n"/>
      <c r="DJ51" s="106" t="n"/>
      <c r="DK51" s="105" t="n"/>
      <c r="DL51" s="106" t="n"/>
      <c r="DM51" s="105" t="n"/>
      <c r="DN51" s="106" t="n"/>
      <c r="DO51" s="106" t="n"/>
      <c r="DP51" s="106" t="n"/>
      <c r="DQ51" s="106" t="n"/>
      <c r="DR51" s="106" t="n"/>
      <c r="DS51" s="106" t="n"/>
      <c r="DT51" s="106" t="n"/>
      <c r="DU51" s="106" t="n"/>
      <c r="DV51" s="106" t="n"/>
      <c r="DW51" s="106" t="n"/>
      <c r="DX51" s="106" t="n"/>
      <c r="DY51" s="106" t="n"/>
      <c r="DZ51" s="106" t="n"/>
      <c r="EA51" s="106" t="n"/>
      <c r="EB51" s="106" t="n"/>
      <c r="EC51" s="106" t="n"/>
      <c r="ED51" s="106" t="n"/>
      <c r="EE51" s="106" t="n"/>
      <c r="EF51" s="106" t="n"/>
      <c r="EG51" s="106" t="n"/>
      <c r="EH51" s="106" t="n"/>
      <c r="EI51" s="106" t="n"/>
      <c r="EJ51" s="106" t="n"/>
      <c r="EK51" s="106" t="n"/>
      <c r="EL51" s="106" t="n"/>
      <c r="EM51" s="106" t="n"/>
      <c r="EN51" s="106" t="n"/>
      <c r="EO51" s="106" t="n"/>
      <c r="EP51" s="106" t="n"/>
      <c r="EQ51" s="106" t="n"/>
      <c r="ER51" s="106" t="n"/>
      <c r="ES51" s="106" t="n"/>
      <c r="ET51" s="106" t="n"/>
      <c r="EU51" s="106" t="n"/>
      <c r="EV51" s="106" t="n"/>
      <c r="EW51" s="106" t="n"/>
      <c r="EX51" s="106" t="n"/>
      <c r="EY51" s="106" t="n"/>
      <c r="EZ51" s="106" t="n"/>
      <c r="FA51" s="106" t="n"/>
      <c r="FB51" s="106" t="n"/>
      <c r="FC51" s="106" t="n"/>
      <c r="FD51" s="106" t="n"/>
      <c r="FE51" s="106" t="n"/>
      <c r="FF51" s="106" t="n"/>
      <c r="FG51" s="106" t="n"/>
      <c r="FH51" s="106" t="n"/>
      <c r="FI51" s="106" t="n"/>
      <c r="FJ51" s="106" t="n"/>
      <c r="FK51" s="106" t="n"/>
      <c r="FL51" s="106" t="n"/>
      <c r="FM51" s="106" t="n"/>
      <c r="FN51" s="106" t="n"/>
      <c r="FO51" s="106" t="n"/>
      <c r="FP51" s="106" t="n"/>
      <c r="FQ51" s="106" t="n"/>
      <c r="FR51" s="106" t="n"/>
      <c r="FS51" s="106" t="n"/>
      <c r="FT51" s="106" t="n"/>
      <c r="FU51" s="106" t="n"/>
      <c r="FV51" s="106" t="n"/>
      <c r="FW51" s="106" t="n"/>
      <c r="FX51" s="106" t="n"/>
      <c r="FY51" s="106" t="n"/>
      <c r="FZ51" s="106" t="n"/>
      <c r="GA51" s="106" t="n"/>
      <c r="GB51" s="106" t="n"/>
      <c r="GC51" s="106" t="n"/>
      <c r="GD51" s="106" t="n"/>
      <c r="GE51" s="106" t="n"/>
      <c r="GF51" s="106" t="n"/>
      <c r="GG51" s="106" t="n"/>
      <c r="GH51" s="106" t="n"/>
      <c r="GI51" s="106" t="n"/>
      <c r="GJ51" s="106" t="n"/>
      <c r="GK51" s="106" t="n"/>
      <c r="GL51" s="106" t="n"/>
      <c r="GM51" s="106" t="n"/>
      <c r="GN51" s="106" t="n"/>
      <c r="GO51" s="106" t="n"/>
      <c r="GP51" s="106" t="n"/>
      <c r="GQ51" s="106" t="n"/>
      <c r="GR51" s="106" t="n"/>
      <c r="GS51" s="106" t="n"/>
      <c r="GT51" s="106" t="n"/>
      <c r="GU51" s="106" t="n"/>
      <c r="GV51" s="106" t="n"/>
      <c r="GW51" s="106" t="n"/>
      <c r="GX51" s="106" t="n"/>
      <c r="GY51" s="106" t="n"/>
      <c r="GZ51" s="106" t="n"/>
      <c r="HA51" s="106" t="n"/>
      <c r="HB51" s="106" t="n"/>
      <c r="HC51" s="106" t="n"/>
      <c r="HD51" s="106" t="n"/>
      <c r="HE51" s="106" t="n"/>
      <c r="HF51" s="106" t="n"/>
      <c r="HG51" s="106" t="n"/>
      <c r="HH51" s="106" t="n"/>
      <c r="HI51" s="106" t="n"/>
      <c r="HJ51" s="106" t="n"/>
      <c r="HK51" s="106" t="n"/>
      <c r="HL51" s="106" t="n"/>
      <c r="HM51" s="106" t="n"/>
      <c r="HN51" s="106" t="n"/>
      <c r="HO51" s="106" t="n"/>
      <c r="HP51" s="106" t="n"/>
      <c r="HQ51" s="106" t="n"/>
      <c r="HR51" s="106" t="n"/>
      <c r="HS51" s="106" t="n"/>
      <c r="HT51" s="106" t="n"/>
      <c r="HU51" s="106" t="n"/>
      <c r="JF51" s="105">
        <f>AP51</f>
        <v/>
      </c>
      <c r="JG51" s="105">
        <f>SUM(Z51:AK51)</f>
        <v/>
      </c>
      <c r="JH51" s="105">
        <f>SUM(AL51:AP51)</f>
        <v/>
      </c>
      <c r="JI51" s="105">
        <f>SUM(C51:AP51)</f>
        <v/>
      </c>
      <c r="JJ51" s="446" t="n"/>
      <c r="JM51" s="106" t="n"/>
      <c r="KG51" s="265">
        <f>B51</f>
        <v/>
      </c>
      <c r="KH51" s="345">
        <f>AR51</f>
        <v/>
      </c>
    </row>
    <row r="52" ht="16.2" customFormat="1" customHeight="1" s="267">
      <c r="A52" s="73" t="inlineStr">
        <is>
          <t>TOTAL DE DESPESAS OPERACIONAIS (-)</t>
        </is>
      </c>
      <c r="B52" s="268">
        <f>SUM(C52:AP52)</f>
        <v/>
      </c>
      <c r="C52" s="255">
        <f>C50+C47+C43+C38+C35+C29</f>
        <v/>
      </c>
      <c r="D52" s="255">
        <f>D50+D47+D43+D38+D35+D29</f>
        <v/>
      </c>
      <c r="E52" s="255">
        <f>E50+E47+E43+E38+E35+E29</f>
        <v/>
      </c>
      <c r="F52" s="255">
        <f>F50+F47+F43+F38+F35+F29</f>
        <v/>
      </c>
      <c r="G52" s="255">
        <f>G50+G47+G43+G38+G35+G29</f>
        <v/>
      </c>
      <c r="H52" s="255">
        <f>H50+H47+H43+H38+H35+H29</f>
        <v/>
      </c>
      <c r="I52" s="255">
        <f>I50+I47+I43+I38+I35+I29</f>
        <v/>
      </c>
      <c r="J52" s="255">
        <f>J50+J47+J43+J38+J35+J29</f>
        <v/>
      </c>
      <c r="K52" s="255">
        <f>K50+K47+K43+K38+K35+K29</f>
        <v/>
      </c>
      <c r="L52" s="255">
        <f>L50+L47+L43+L38+L35+L29</f>
        <v/>
      </c>
      <c r="M52" s="255">
        <f>M50+M47+M43+M38+M35+M29</f>
        <v/>
      </c>
      <c r="N52" s="255">
        <f>N50+N47+N43+N38+N35+N29</f>
        <v/>
      </c>
      <c r="O52" s="255">
        <f>O50+O47+O43+O38+O35+O29</f>
        <v/>
      </c>
      <c r="P52" s="255">
        <f>P50+P47+P43+P38+P35+P29</f>
        <v/>
      </c>
      <c r="Q52" s="255">
        <f>Q50+Q47+Q43+Q38+Q35+Q29</f>
        <v/>
      </c>
      <c r="R52" s="255">
        <f>R50+R47+R43+R38+R35+R29</f>
        <v/>
      </c>
      <c r="S52" s="255">
        <f>S50+S47+S43+S38+S35+S29</f>
        <v/>
      </c>
      <c r="T52" s="255">
        <f>T50+T47+T43+T38+T35+T29</f>
        <v/>
      </c>
      <c r="U52" s="255">
        <f>U50+U47+U43+U38+U35+U29</f>
        <v/>
      </c>
      <c r="V52" s="255">
        <f>V50+V47+V43+V38+V35+V29</f>
        <v/>
      </c>
      <c r="W52" s="255">
        <f>W50+W47+W43+W38+W35+W29</f>
        <v/>
      </c>
      <c r="X52" s="255">
        <f>X50+X47+X43+X38+X35+X29</f>
        <v/>
      </c>
      <c r="Y52" s="255">
        <f>Y50+Y47+Y43+Y38+Y35+Y29</f>
        <v/>
      </c>
      <c r="Z52" s="255">
        <f>Z50+Z47+Z43+Z38+Z35+Z29</f>
        <v/>
      </c>
      <c r="AA52" s="255">
        <f>AA50+AA47+AA43+AA38+AA35+AA29</f>
        <v/>
      </c>
      <c r="AB52" s="255">
        <f>AB50+AB47+AB43+AB38+AB35+AB29</f>
        <v/>
      </c>
      <c r="AC52" s="255">
        <f>AC50+AC47+AC43+AC38+AC35+AC29+AC44</f>
        <v/>
      </c>
      <c r="AD52" s="255">
        <f>AD50+AD47+AD43+AD38+AD35+AD29+AD44</f>
        <v/>
      </c>
      <c r="AE52" s="255">
        <f>AE50+AE47+AE43+AE38+AE35+AE29+AE44</f>
        <v/>
      </c>
      <c r="AF52" s="255">
        <f>AF50+AF47+AF43+AF38+AF35+AF29+AF44</f>
        <v/>
      </c>
      <c r="AG52" s="255">
        <f>AG50+AG47+AG43+AG38+AG35+AG29+AG44</f>
        <v/>
      </c>
      <c r="AH52" s="255">
        <f>AH50+AH47+AH43+AH38+AH35+AH29+AH44</f>
        <v/>
      </c>
      <c r="AI52" s="255">
        <f>AI50+AI47+AI43+AI38+AI35+AI29+AI44</f>
        <v/>
      </c>
      <c r="AJ52" s="255">
        <f>AJ50+AJ47+AJ43+AJ38+AJ35+AJ29+AJ44</f>
        <v/>
      </c>
      <c r="AK52" s="255">
        <f>AK50+AK47+AK43+AK38+AK35+AK29+AK44</f>
        <v/>
      </c>
      <c r="AL52" s="255">
        <f>AL50+AL47+AL43+AL38+AL35+AL29+AL44</f>
        <v/>
      </c>
      <c r="AM52" s="255">
        <f>AM50+AM47+AM43+AM38+AM35+AM29+AM44</f>
        <v/>
      </c>
      <c r="AN52" s="255">
        <f>AN50+AN47+AN43+AN38+AN35+AN29+AN44</f>
        <v/>
      </c>
      <c r="AO52" s="255">
        <f>AO50+AO47+AO43+AO38+AO35+AO29+AO44</f>
        <v/>
      </c>
      <c r="AP52" s="255">
        <f>AP50+AP47+AP43+AP38+AP35+AP29+AP44</f>
        <v/>
      </c>
      <c r="AQ52" s="13" t="n"/>
      <c r="AR52" s="245">
        <f>SUM(AT52:HU52)</f>
        <v/>
      </c>
      <c r="AS52" s="13" t="n"/>
      <c r="AT52" s="255">
        <f>AT50+AT47+AT43+AT38+AT35+AT29+AT44+AT40+AT39</f>
        <v/>
      </c>
      <c r="AU52" s="255">
        <f>AU50+AU47+AU43+AU38+AU35+AU29+AU44+AU40+AU39</f>
        <v/>
      </c>
      <c r="AV52" s="255">
        <f>AV50+AV47+AV43+AV38+AV35+AV29+AV44+AV40+AV39</f>
        <v/>
      </c>
      <c r="AW52" s="255">
        <f>AW50+AW47+AW43+AW38+AW35+AW29+AW44+AW40+AW39</f>
        <v/>
      </c>
      <c r="AX52" s="255">
        <f>AX50+AX47+AX43+AX38+AX35+AX29+AX44+AX40+AX39</f>
        <v/>
      </c>
      <c r="AY52" s="255">
        <f>AY50+AY47+AY43+AY38+AY35+AY29+AY44+AY40+AY39</f>
        <v/>
      </c>
      <c r="AZ52" s="255">
        <f>AZ50+AZ47+AZ43+AZ38+AZ35+AZ29+AZ44+AZ40+AZ39</f>
        <v/>
      </c>
      <c r="BA52" s="255">
        <f>BA50+BA47+BA43+BA38+BA35+BA29+BA44+BA40+BA39</f>
        <v/>
      </c>
      <c r="BB52" s="255">
        <f>BB50+BB47+BB43+BB38+BB35+BB29+BB44+BB40+BB39</f>
        <v/>
      </c>
      <c r="BC52" s="255">
        <f>BC50+BC47+BC43+BC38+BC35+BC29+BC44+BC40+BC39</f>
        <v/>
      </c>
      <c r="BD52" s="255">
        <f>BD50+BD47+BD43+BD38+BD35+BD29+BD44+BD40+BD39</f>
        <v/>
      </c>
      <c r="BE52" s="255">
        <f>BE50+BE47+BE43+BE38+BE35+BE29+BE44+BE40+BE39</f>
        <v/>
      </c>
      <c r="BF52" s="255">
        <f>BF50+BF47+BF43+BF38+BF35+BF29+BF44+BF40+BF39</f>
        <v/>
      </c>
      <c r="BG52" s="255">
        <f>BG50+BG47+BG43+BG38+BG35+BG29+BG44+BG40+BG39</f>
        <v/>
      </c>
      <c r="BH52" s="255">
        <f>BH50+BH47+BH43+BH38+BH35+BH29+BH44+BH40+BH39</f>
        <v/>
      </c>
      <c r="BI52" s="255">
        <f>BI50+BI47+BI43+BI38+BI35+BI29+BI44+BI40+BI39</f>
        <v/>
      </c>
      <c r="BJ52" s="255">
        <f>BJ50+BJ47+BJ43+BJ38+BJ35+BJ29+BJ44+BJ40+BJ39</f>
        <v/>
      </c>
      <c r="BK52" s="255">
        <f>BK50+BK47+BK43+BK38+BK35+BK29+BK44+BK40+BK39</f>
        <v/>
      </c>
      <c r="BL52" s="255">
        <f>BL50+BL47+BL43+BL38+BL35+BL29+BL44+BL40+BL39</f>
        <v/>
      </c>
      <c r="BM52" s="255">
        <f>BM50+BM47+BM43+BM38+BM35+BM29+BM44+BM40+BM39</f>
        <v/>
      </c>
      <c r="BN52" s="255">
        <f>BN50+BN47+BN43+BN38+BN35+BN29+BN44+BN40+BN39</f>
        <v/>
      </c>
      <c r="BO52" s="255">
        <f>BO50+BO47+BO43+BO38+BO35+BO29+BO44+BO40+BO39</f>
        <v/>
      </c>
      <c r="BP52" s="255">
        <f>BP50+BP47+BP43+BP38+BP35+BP29+BP44+BP40+BP39</f>
        <v/>
      </c>
      <c r="BQ52" s="255">
        <f>BQ50+BQ47+BQ43+BQ38+BQ35+BQ29+BQ44+BQ40+BQ39</f>
        <v/>
      </c>
      <c r="BR52" s="255">
        <f>BR50+BR47+BR43+BR38+BR35+BR29+BR44+BR40+BR39</f>
        <v/>
      </c>
      <c r="BS52" s="255">
        <f>BS50+BS47+BS43+BS38+BS35+BS29+BS44+BS40+BS39</f>
        <v/>
      </c>
      <c r="BT52" s="255">
        <f>BT50+BT47+BT43+BT38+BT35+BT29+BT44+BT40+BT39</f>
        <v/>
      </c>
      <c r="BU52" s="255">
        <f>BU50+BU47+BU43+BU38+BU35+BU29+BU44+BU40+BU39</f>
        <v/>
      </c>
      <c r="BV52" s="255">
        <f>BV50+BV47+BV43+BV38+BV35+BV29+BV44+BV40+BV39</f>
        <v/>
      </c>
      <c r="BW52" s="255">
        <f>BW50+BW47+BW43+BW38+BW35+BW29+BW44+BW40+BW39</f>
        <v/>
      </c>
      <c r="BX52" s="255">
        <f>BX50+BX47+BX43+BX38+BX35+BX29+BX44+BX40+BX39</f>
        <v/>
      </c>
      <c r="BY52" s="255">
        <f>BY50+BY47+BY43+BY38+BY35+BY29+BY44+BY40+BY39</f>
        <v/>
      </c>
      <c r="BZ52" s="255">
        <f>BZ50+BZ47+BZ43+BZ38+BZ35+BZ29+BZ44+BZ40+BZ39</f>
        <v/>
      </c>
      <c r="CA52" s="255">
        <f>CA50+CA47+CA43+CA38+CA35+CA29+CA44+CA40+CA39</f>
        <v/>
      </c>
      <c r="CB52" s="255">
        <f>CB50+CB47+CB43+CB38+CB35+CB29+CB44+CB40+CB39</f>
        <v/>
      </c>
      <c r="CC52" s="255">
        <f>CC50+CC47+CC43+CC38+CC35+CC29+CC44+CC40+CC39</f>
        <v/>
      </c>
      <c r="CD52" s="255">
        <f>CD50+CD47+CD43+CD38+CD35+CD29+CD44+CD40+CD39</f>
        <v/>
      </c>
      <c r="CE52" s="255">
        <f>CE50+CE47+CE43+CE38+CE35+CE29+CE44+CE40+CE39</f>
        <v/>
      </c>
      <c r="CF52" s="255">
        <f>CF50+CF47+CF43+CF38+CF35+CF29+CF44+CF40+CF39</f>
        <v/>
      </c>
      <c r="CG52" s="255">
        <f>CG50+CG47+CG43+CG38+CG35+CG29+CG44+CG40+CG39</f>
        <v/>
      </c>
      <c r="CH52" s="255">
        <f>CH50+CH47+CH43+CH38+CH35+CH29+CH44+CH40+CH39</f>
        <v/>
      </c>
      <c r="CI52" s="255">
        <f>CI50+CI47+CI43+CI38+CI35+CI29+CI44+CI40+CI39</f>
        <v/>
      </c>
      <c r="CJ52" s="255">
        <f>CJ50+CJ47+CJ43+CJ38+CJ35+CJ29+CJ44+CJ40+CJ39</f>
        <v/>
      </c>
      <c r="CK52" s="255">
        <f>CK50+CK47+CK43+CK38+CK35+CK29+CK44+CK40+CK39</f>
        <v/>
      </c>
      <c r="CL52" s="255">
        <f>CL50+CL47+CL43+CL38+CL35+CL29+CL44+CL40+CL39</f>
        <v/>
      </c>
      <c r="CM52" s="255">
        <f>CM50+CM47+CM43+CM38+CM35+CM29+CM44+CM40+CM39</f>
        <v/>
      </c>
      <c r="CN52" s="255">
        <f>CN50+CN47+CN43+CN38+CN35+CN29+CN44+CN40+CN39</f>
        <v/>
      </c>
      <c r="CO52" s="255">
        <f>CO50+CO47+CO43+CO38+CO35+CO29+CO44+CO40+CO39</f>
        <v/>
      </c>
      <c r="CP52" s="255">
        <f>CP50+CP47+CP43+CP38+CP35+CP29+CP44+CP40+CP39</f>
        <v/>
      </c>
      <c r="CQ52" s="255">
        <f>CQ50+CQ47+CQ43+CQ38+CQ35+CQ29+CQ44+CQ40+CQ39</f>
        <v/>
      </c>
      <c r="CR52" s="255">
        <f>CR50+CR47+CR43+CR38+CR35+CR29+CR44+CR40+CR39</f>
        <v/>
      </c>
      <c r="CS52" s="255">
        <f>CS50+CS47+CS43+CS38+CS35+CS29+CS44+CS40+CS39</f>
        <v/>
      </c>
      <c r="CT52" s="255">
        <f>CT50+CT47+CT43+CT38+CT35+CT29+CT44+CT40+CT39</f>
        <v/>
      </c>
      <c r="CU52" s="255">
        <f>CU50+CU47+CU43+CU38+CU35+CU29+CU44+CU40+CU39</f>
        <v/>
      </c>
      <c r="CV52" s="255">
        <f>CV50+CV47+CV43+CV38+CV35+CV29+CV44+CV40+CV39</f>
        <v/>
      </c>
      <c r="CW52" s="255">
        <f>CW50+CW47+CW43+CW38+CW35+CW29+CW44+CW40+CW39</f>
        <v/>
      </c>
      <c r="CX52" s="255">
        <f>CX50+CX47+CX43+CX38+CX35+CX29+CX44+CX40+CX39</f>
        <v/>
      </c>
      <c r="CY52" s="255">
        <f>CY50+CY47+CY43+CY38+CY35+CY29+CY44+CY40+CY39</f>
        <v/>
      </c>
      <c r="CZ52" s="255">
        <f>CZ50+CZ47+CZ43+CZ38+CZ35+CZ29+CZ44+CZ40+CZ39</f>
        <v/>
      </c>
      <c r="DA52" s="255">
        <f>DA50+DA47+DA43+DA38+DA35+DA29+DA44+DA40+DA39</f>
        <v/>
      </c>
      <c r="DB52" s="255">
        <f>DB50+DB47+DB43+DB38+DB35+DB29+DB44+DB40+DB39</f>
        <v/>
      </c>
      <c r="DC52" s="255">
        <f>DC50+DC47+DC43+DC38+DC35+DC29+DC44+DC40+DC39</f>
        <v/>
      </c>
      <c r="DD52" s="255">
        <f>DD50+DD47+DD43+DD38+DD35+DD29+DD44+DD40+DD39</f>
        <v/>
      </c>
      <c r="DE52" s="255">
        <f>DE50+DE47+DE43+DE38+DE35+DE29+DE44+DE40+DE39</f>
        <v/>
      </c>
      <c r="DF52" s="255">
        <f>DF50+DF47+DF43+DF38+DF35+DF29+DF44+DF40+DF39</f>
        <v/>
      </c>
      <c r="DG52" s="255">
        <f>DG50+DG47+DG43+DG38+DG35+DG29+DG44+DG40+DG39</f>
        <v/>
      </c>
      <c r="DH52" s="255">
        <f>DH50+DH47+DH43+DH38+DH35+DH29+DH44+DH40+DH39</f>
        <v/>
      </c>
      <c r="DI52" s="255">
        <f>DI50+DI47+DI43+DI38+DI35+DI29+DI44+DI40+DI39</f>
        <v/>
      </c>
      <c r="DJ52" s="255">
        <f>DJ50+DJ47+DJ43+DJ38+DJ35+DJ29+DJ44+DJ40+DJ39</f>
        <v/>
      </c>
      <c r="DK52" s="255">
        <f>DK50+DK47+DK43+DK38+DK35+DK29+DK44+DK40+DK39</f>
        <v/>
      </c>
      <c r="DL52" s="255">
        <f>DL50+DL47+DL43+DL38+DL35+DL29+DL44+DL40+DL39</f>
        <v/>
      </c>
      <c r="DM52" s="255">
        <f>DM50+DM47+DM43+DM38+DM35+DM29+DM44+DM40+DM39</f>
        <v/>
      </c>
      <c r="DN52" s="255">
        <f>DN50+DN47+DN43+DN38+DN35+DN29+DN44+DN40+DN39</f>
        <v/>
      </c>
      <c r="DO52" s="255">
        <f>DO50+DO47+DO43+DO38+DO35+DO29+DO44+DO40+DO39</f>
        <v/>
      </c>
      <c r="DP52" s="255">
        <f>DP50+DP47+DP43+DP38+DP35+DP29+DP44+DP40+DP39</f>
        <v/>
      </c>
      <c r="DQ52" s="255">
        <f>DQ50+DQ47+DQ43+DQ38+DQ35+DQ29+DQ44+DQ40+DQ39</f>
        <v/>
      </c>
      <c r="DR52" s="255">
        <f>DR50+DR47+DR43+DR38+DR35+DR29+DR44+DR40+DR39</f>
        <v/>
      </c>
      <c r="DS52" s="255">
        <f>DS50+DS47+DS43+DS38+DS35+DS29+DS44+DS40+DS39</f>
        <v/>
      </c>
      <c r="DT52" s="255">
        <f>DT50+DT47+DT43+DT38+DT35+DT29+DT44+DT40+DT39</f>
        <v/>
      </c>
      <c r="DU52" s="255">
        <f>DU50+DU47+DU43+DU38+DU35+DU29+DU44+DU40+DU39</f>
        <v/>
      </c>
      <c r="DV52" s="255">
        <f>DV50+DV47+DV43+DV38+DV35+DV29+DV44+DV40+DV39</f>
        <v/>
      </c>
      <c r="DW52" s="255">
        <f>DW50+DW47+DW43+DW38+DW35+DW29+DW44+DW40+DW39</f>
        <v/>
      </c>
      <c r="DX52" s="255">
        <f>DX50+DX47+DX43+DX38+DX35+DX29+DX44+DX40+DX39</f>
        <v/>
      </c>
      <c r="DY52" s="255">
        <f>DY50+DY47+DY43+DY38+DY35+DY29+DY44+DY40+DY39</f>
        <v/>
      </c>
      <c r="DZ52" s="255">
        <f>DZ50+DZ47+DZ43+DZ38+DZ35+DZ29+DZ44+DZ40+DZ39</f>
        <v/>
      </c>
      <c r="EA52" s="255">
        <f>EA50+EA47+EA43+EA38+EA35+EA29+EA44+EA40+EA39</f>
        <v/>
      </c>
      <c r="EB52" s="255">
        <f>EB50+EB47+EB43+EB38+EB35+EB29+EB44+EB40+EB39</f>
        <v/>
      </c>
      <c r="EC52" s="255">
        <f>EC50+EC47+EC43+EC38+EC35+EC29+EC44+EC40+EC39</f>
        <v/>
      </c>
      <c r="ED52" s="255">
        <f>ED50+ED47+ED43+ED38+ED35+ED29+ED44+ED40+ED39</f>
        <v/>
      </c>
      <c r="EE52" s="255">
        <f>EE50+EE47+EE43+EE38+EE35+EE29+EE44+EE40+EE39</f>
        <v/>
      </c>
      <c r="EF52" s="255">
        <f>EF50+EF47+EF43+EF38+EF35+EF29+EF44+EF40+EF39</f>
        <v/>
      </c>
      <c r="EG52" s="255">
        <f>EG50+EG47+EG43+EG38+EG35+EG29+EG44+EG40+EG39</f>
        <v/>
      </c>
      <c r="EH52" s="255">
        <f>EH50+EH47+EH43+EH38+EH35+EH29+EH44+EH40+EH39</f>
        <v/>
      </c>
      <c r="EI52" s="255">
        <f>EI50+EI47+EI43+EI38+EI35+EI29+EI44+EI40+EI39</f>
        <v/>
      </c>
      <c r="EJ52" s="255">
        <f>EJ50+EJ47+EJ43+EJ38+EJ35+EJ29+EJ44+EJ40+EJ39</f>
        <v/>
      </c>
      <c r="EK52" s="255">
        <f>EK50+EK47+EK43+EK38+EK35+EK29+EK44+EK40+EK39</f>
        <v/>
      </c>
      <c r="EL52" s="255">
        <f>EL50+EL47+EL43+EL38+EL35+EL29+EL44+EL40+EL39</f>
        <v/>
      </c>
      <c r="EM52" s="255">
        <f>EM50+EM47+EM43+EM38+EM35+EM29+EM44+EM40+EM39</f>
        <v/>
      </c>
      <c r="EN52" s="255">
        <f>EN50+EN47+EN43+EN38+EN35+EN29+EN44+EN40+EN39</f>
        <v/>
      </c>
      <c r="EO52" s="255">
        <f>EO50+EO47+EO43+EO38+EO35+EO29+EO44+EO40+EO39</f>
        <v/>
      </c>
      <c r="EP52" s="255">
        <f>EP50+EP47+EP43+EP38+EP35+EP29+EP44+EP40+EP39</f>
        <v/>
      </c>
      <c r="EQ52" s="255">
        <f>EQ50+EQ47+EQ43+EQ38+EQ35+EQ29+EQ44+EQ40+EQ39</f>
        <v/>
      </c>
      <c r="ER52" s="255">
        <f>ER50+ER47+ER43+ER38+ER35+ER29+ER44+ER40+ER39</f>
        <v/>
      </c>
      <c r="ES52" s="255">
        <f>ES50+ES47+ES43+ES38+ES35+ES29+ES44+ES40+ES39</f>
        <v/>
      </c>
      <c r="ET52" s="255">
        <f>ET50+ET47+ET43+ET38+ET35+ET29+ET44+ET40+ET39</f>
        <v/>
      </c>
      <c r="EU52" s="255">
        <f>EU50+EU47+EU43+EU38+EU35+EU29+EU44+EU40+EU39</f>
        <v/>
      </c>
      <c r="EV52" s="255">
        <f>EV50+EV47+EV43+EV38+EV35+EV29+EV44+EV40+EV39</f>
        <v/>
      </c>
      <c r="EW52" s="255">
        <f>EW50+EW47+EW43+EW38+EW35+EW29+EW44+EW40+EW39</f>
        <v/>
      </c>
      <c r="EX52" s="255">
        <f>EX50+EX47+EX43+EX38+EX35+EX29+EX44+EX40+EX39</f>
        <v/>
      </c>
      <c r="EY52" s="255">
        <f>EY50+EY47+EY43+EY38+EY35+EY29+EY44+EY40+EY39</f>
        <v/>
      </c>
      <c r="EZ52" s="255">
        <f>EZ50+EZ47+EZ43+EZ38+EZ35+EZ29+EZ44+EZ40+EZ39</f>
        <v/>
      </c>
      <c r="FA52" s="255">
        <f>FA50+FA47+FA43+FA38+FA35+FA29+FA44+FA40+FA39</f>
        <v/>
      </c>
      <c r="FB52" s="255">
        <f>FB50+FB47+FB43+FB38+FB35+FB29+FB44+FB40+FB39</f>
        <v/>
      </c>
      <c r="FC52" s="255">
        <f>FC50+FC47+FC43+FC38+FC35+FC29+FC44+FC40+FC39</f>
        <v/>
      </c>
      <c r="FD52" s="255">
        <f>FD50+FD47+FD43+FD38+FD35+FD29+FD44+FD40+FD39</f>
        <v/>
      </c>
      <c r="FE52" s="255">
        <f>FE50+FE47+FE43+FE38+FE35+FE29+FE44+FE40+FE39</f>
        <v/>
      </c>
      <c r="FF52" s="255">
        <f>FF50+FF47+FF43+FF38+FF35+FF29+FF44+FF40+FF39</f>
        <v/>
      </c>
      <c r="FG52" s="255">
        <f>FG50+FG47+FG43+FG38+FG35+FG29+FG44+FG40+FG39</f>
        <v/>
      </c>
      <c r="FH52" s="255">
        <f>FH50+FH47+FH43+FH38+FH35+FH29+FH44+FH40+FH39</f>
        <v/>
      </c>
      <c r="FI52" s="255">
        <f>FI50+FI47+FI43+FI38+FI35+FI29+FI44+FI40+FI39</f>
        <v/>
      </c>
      <c r="FJ52" s="255">
        <f>FJ50+FJ47+FJ43+FJ38+FJ35+FJ29+FJ44+FJ40+FJ39</f>
        <v/>
      </c>
      <c r="FK52" s="255">
        <f>FK50+FK47+FK43+FK38+FK35+FK29+FK44+FK40+FK39</f>
        <v/>
      </c>
      <c r="FL52" s="255">
        <f>FL50+FL47+FL43+FL38+FL35+FL29+FL44+FL40+FL39</f>
        <v/>
      </c>
      <c r="FM52" s="255">
        <f>FM50+FM47+FM43+FM38+FM35+FM29+FM44+FM40+FM39</f>
        <v/>
      </c>
      <c r="FN52" s="255">
        <f>FN50+FN47+FN43+FN38+FN35+FN29+FN44+FN40+FN39</f>
        <v/>
      </c>
      <c r="FO52" s="255">
        <f>FO50+FO47+FO43+FO38+FO35+FO29+FO44+FO40+FO39</f>
        <v/>
      </c>
      <c r="FP52" s="255">
        <f>FP50+FP47+FP43+FP38+FP35+FP29+FP44+FP40+FP39</f>
        <v/>
      </c>
      <c r="FQ52" s="255">
        <f>FQ50+FQ47+FQ43+FQ38+FQ35+FQ29+FQ44+FQ40+FQ39</f>
        <v/>
      </c>
      <c r="FR52" s="255">
        <f>FR50+FR47+FR43+FR38+FR35+FR29+FR44+FR40+FR39</f>
        <v/>
      </c>
      <c r="FS52" s="255">
        <f>FS50+FS47+FS43+FS38+FS35+FS29+FS44+FS40+FS39</f>
        <v/>
      </c>
      <c r="FT52" s="255">
        <f>FT50+FT47+FT43+FT38+FT35+FT29+FT44+FT40+FT39</f>
        <v/>
      </c>
      <c r="FU52" s="255">
        <f>FU50+FU47+FU43+FU38+FU35+FU29+FU44+FU40+FU39</f>
        <v/>
      </c>
      <c r="FV52" s="255">
        <f>FV50+FV47+FV43+FV38+FV35+FV29+FV44+FV40+FV39</f>
        <v/>
      </c>
      <c r="FW52" s="255">
        <f>FW50+FW47+FW43+FW38+FW35+FW29+FW44+FW40+FW39</f>
        <v/>
      </c>
      <c r="FX52" s="255">
        <f>FX50+FX47+FX43+FX38+FX35+FX29+FX44+FX40+FX39</f>
        <v/>
      </c>
      <c r="FY52" s="255">
        <f>FY50+FY47+FY43+FY38+FY35+FY29+FY44+FY40+FY39</f>
        <v/>
      </c>
      <c r="FZ52" s="255">
        <f>FZ50+FZ47+FZ43+FZ38+FZ35+FZ29+FZ44+FZ40+FZ39</f>
        <v/>
      </c>
      <c r="GA52" s="255">
        <f>GA50+GA47+GA43+GA38+GA35+GA29+GA44+GA40+GA39</f>
        <v/>
      </c>
      <c r="GB52" s="255">
        <f>GB50+GB47+GB43+GB38+GB35+GB29+GB44+GB40+GB39</f>
        <v/>
      </c>
      <c r="GC52" s="255">
        <f>GC50+GC47+GC43+GC38+GC35+GC29+GC44+GC40+GC39</f>
        <v/>
      </c>
      <c r="GD52" s="255">
        <f>GD50+GD47+GD43+GD38+GD35+GD29+GD44+GD40+GD39</f>
        <v/>
      </c>
      <c r="GE52" s="255">
        <f>GE50+GE47+GE43+GE38+GE35+GE29+GE44+GE40+GE39</f>
        <v/>
      </c>
      <c r="GF52" s="255">
        <f>GF50+GF47+GF43+GF38+GF35+GF29+GF44+GF40+GF39</f>
        <v/>
      </c>
      <c r="GG52" s="255">
        <f>GG50+GG47+GG43+GG38+GG35+GG29+GG44+GG40+GG39</f>
        <v/>
      </c>
      <c r="GH52" s="255">
        <f>GH50+GH47+GH43+GH38+GH35+GH29+GH44+GH40+GH39</f>
        <v/>
      </c>
      <c r="GI52" s="255">
        <f>GI50+GI47+GI43+GI38+GI35+GI29+GI44+GI40+GI39</f>
        <v/>
      </c>
      <c r="GJ52" s="255">
        <f>GJ50+GJ47+GJ43+GJ38+GJ35+GJ29+GJ44+GJ40+GJ39</f>
        <v/>
      </c>
      <c r="GK52" s="255">
        <f>GK50+GK47+GK43+GK38+GK35+GK29+GK44+GK40+GK39</f>
        <v/>
      </c>
      <c r="GL52" s="255">
        <f>GL50+GL47+GL43+GL38+GL35+GL29+GL44+GL40+GL39</f>
        <v/>
      </c>
      <c r="GM52" s="255">
        <f>GM50+GM47+GM43+GM38+GM35+GM29+GM44+GM40+GM39</f>
        <v/>
      </c>
      <c r="GN52" s="255">
        <f>GN50+GN47+GN43+GN38+GN35+GN29+GN44+GN40+GN39</f>
        <v/>
      </c>
      <c r="GO52" s="255">
        <f>GO50+GO47+GO43+GO38+GO35+GO29+GO44+GO40+GO39</f>
        <v/>
      </c>
      <c r="GP52" s="255">
        <f>GP50+GP47+GP43+GP38+GP35+GP29+GP44+GP40+GP39</f>
        <v/>
      </c>
      <c r="GQ52" s="255">
        <f>GQ50+GQ47+GQ43+GQ38+GQ35+GQ29+GQ44+GQ40+GQ39</f>
        <v/>
      </c>
      <c r="GR52" s="255">
        <f>GR50+GR47+GR43+GR38+GR35+GR29+GR44+GR40+GR39</f>
        <v/>
      </c>
      <c r="GS52" s="255">
        <f>GS50+GS47+GS43+GS38+GS35+GS29+GS44+GS40+GS39</f>
        <v/>
      </c>
      <c r="GT52" s="255">
        <f>GT50+GT47+GT43+GT38+GT35+GT29+GT44+GT40+GT39</f>
        <v/>
      </c>
      <c r="GU52" s="255">
        <f>GU50+GU47+GU43+GU38+GU35+GU29+GU44+GU40+GU39</f>
        <v/>
      </c>
      <c r="GV52" s="255">
        <f>GV50+GV47+GV43+GV38+GV35+GV29+GV44+GV40+GV39</f>
        <v/>
      </c>
      <c r="GW52" s="255">
        <f>GW50+GW47+GW43+GW38+GW35+GW29+GW44+GW40+GW39</f>
        <v/>
      </c>
      <c r="GX52" s="255">
        <f>GX50+GX47+GX43+GX38+GX35+GX29+GX44+GX40+GX39</f>
        <v/>
      </c>
      <c r="GY52" s="255">
        <f>GY50+GY47+GY43+GY38+GY35+GY29+GY44+GY40+GY39</f>
        <v/>
      </c>
      <c r="GZ52" s="255">
        <f>GZ50+GZ47+GZ43+GZ38+GZ35+GZ29+GZ44+GZ40+GZ39</f>
        <v/>
      </c>
      <c r="HA52" s="255">
        <f>HA50+HA47+HA43+HA38+HA35+HA29+HA44+HA40+HA39</f>
        <v/>
      </c>
      <c r="HB52" s="255">
        <f>HB50+HB47+HB43+HB38+HB35+HB29+HB44+HB40+HB39</f>
        <v/>
      </c>
      <c r="HC52" s="255">
        <f>HC50+HC47+HC43+HC38+HC35+HC29+HC44+HC40+HC39</f>
        <v/>
      </c>
      <c r="HD52" s="255">
        <f>HD50+HD47+HD43+HD38+HD35+HD29+HD44+HD40+HD39</f>
        <v/>
      </c>
      <c r="HE52" s="255">
        <f>HE50+HE47+HE43+HE38+HE35+HE29+HE44+HE40+HE39</f>
        <v/>
      </c>
      <c r="HF52" s="255">
        <f>HF50+HF47+HF43+HF38+HF35+HF29+HF44+HF40+HF39</f>
        <v/>
      </c>
      <c r="HG52" s="255">
        <f>HG50+HG47+HG43+HG38+HG35+HG29+HG44+HG40+HG39</f>
        <v/>
      </c>
      <c r="HH52" s="255">
        <f>HH50+HH47+HH43+HH38+HH35+HH29+HH44+HH40+HH39</f>
        <v/>
      </c>
      <c r="HI52" s="255">
        <f>HI50+HI47+HI43+HI38+HI35+HI29+HI44+HI40+HI39</f>
        <v/>
      </c>
      <c r="HJ52" s="255">
        <f>HJ50+HJ47+HJ43+HJ38+HJ35+HJ29+HJ44+HJ40+HJ39</f>
        <v/>
      </c>
      <c r="HK52" s="255">
        <f>HK50+HK47+HK43+HK38+HK35+HK29+HK44+HK40+HK39</f>
        <v/>
      </c>
      <c r="HL52" s="255">
        <f>HL50+HL47+HL43+HL38+HL35+HL29+HL44+HL40+HL39</f>
        <v/>
      </c>
      <c r="HM52" s="255">
        <f>HM50+HM47+HM43+HM38+HM35+HM29+HM44+HM40+HM39</f>
        <v/>
      </c>
      <c r="HN52" s="255">
        <f>HN50+HN47+HN43+HN38+HN35+HN29+HN44+HN40+HN39</f>
        <v/>
      </c>
      <c r="HO52" s="255">
        <f>HO50+HO47+HO43+HO38+HO35+HO29+HO44+HO40+HO39</f>
        <v/>
      </c>
      <c r="HP52" s="255">
        <f>HP50+HP47+HP43+HP38+HP35+HP29+HP44+HP40+HP39</f>
        <v/>
      </c>
      <c r="HQ52" s="255">
        <f>HQ50+HQ47+HQ43+HQ38+HQ35+HQ29+HQ44+HQ40+HQ39</f>
        <v/>
      </c>
      <c r="HR52" s="255">
        <f>HR50+HR47+HR43+HR38+HR35+HR29+HR44+HR40+HR39</f>
        <v/>
      </c>
      <c r="HS52" s="255">
        <f>HS50+HS47+HS43+HS38+HS35+HS29+HS44+HS40+HS39</f>
        <v/>
      </c>
      <c r="HT52" s="255">
        <f>HT50+HT47+HT43+HT38+HT35+HT29+HT44+HT40+HT39</f>
        <v/>
      </c>
      <c r="HU52" s="255">
        <f>HU50+HU47+HU43+HU38+HU35+HU29+HU44+HU40+HU39</f>
        <v/>
      </c>
      <c r="JF52" s="255">
        <f>AP52</f>
        <v/>
      </c>
      <c r="JG52" s="255">
        <f>SUM(Z52:AK52)</f>
        <v/>
      </c>
      <c r="JH52" s="255">
        <f>SUM(AL52:AP52)</f>
        <v/>
      </c>
      <c r="JI52" s="255">
        <f>SUM(C52:AP52)</f>
        <v/>
      </c>
      <c r="JJ52" s="446" t="n"/>
      <c r="JM52" s="255" t="n">
        <v>-4184406.671260871</v>
      </c>
      <c r="KG52" s="268">
        <f>B52</f>
        <v/>
      </c>
      <c r="KH52" s="245">
        <f>AR52</f>
        <v/>
      </c>
    </row>
    <row r="53" ht="15.75" customHeight="1">
      <c r="A53" s="74" t="inlineStr">
        <is>
          <t>TOTAL ACUMULADO DE DESPESAS OP.(-)</t>
        </is>
      </c>
      <c r="B53" s="269">
        <f>SUM(C53:AP53)</f>
        <v/>
      </c>
      <c r="C53" s="59" t="n"/>
      <c r="D53" s="59">
        <f>C53+D52</f>
        <v/>
      </c>
      <c r="E53" s="59">
        <f>D53+E52</f>
        <v/>
      </c>
      <c r="F53" s="59">
        <f>D53+F52</f>
        <v/>
      </c>
      <c r="G53" s="59">
        <f>E53+G52</f>
        <v/>
      </c>
      <c r="H53" s="59">
        <f>F53+H52</f>
        <v/>
      </c>
      <c r="I53" s="103">
        <f>G53+I52</f>
        <v/>
      </c>
      <c r="J53" s="182">
        <f>I53+J52</f>
        <v/>
      </c>
      <c r="K53" s="103">
        <f>J53+K52</f>
        <v/>
      </c>
      <c r="L53" s="59">
        <f>K53+L52</f>
        <v/>
      </c>
      <c r="M53" s="59">
        <f>L53+M52</f>
        <v/>
      </c>
      <c r="N53" s="59">
        <f>M53+N52</f>
        <v/>
      </c>
      <c r="O53" s="59">
        <f>N53+O52</f>
        <v/>
      </c>
      <c r="P53" s="59">
        <f>O53+P52</f>
        <v/>
      </c>
      <c r="Q53" s="59">
        <f>P53+Q52</f>
        <v/>
      </c>
      <c r="R53" s="59">
        <f>Q53+R52</f>
        <v/>
      </c>
      <c r="S53" s="59">
        <f>R53+S52</f>
        <v/>
      </c>
      <c r="T53" s="59">
        <f>S53+T52</f>
        <v/>
      </c>
      <c r="U53" s="59">
        <f>T53+U52</f>
        <v/>
      </c>
      <c r="V53" s="59">
        <f>U53+V52</f>
        <v/>
      </c>
      <c r="W53" s="59">
        <f>V53+W52</f>
        <v/>
      </c>
      <c r="X53" s="59">
        <f>W53+X52</f>
        <v/>
      </c>
      <c r="Y53" s="59">
        <f>X53+Y52</f>
        <v/>
      </c>
      <c r="Z53" s="59">
        <f>Y53+Z52</f>
        <v/>
      </c>
      <c r="AA53" s="59">
        <f>Z53+AA52</f>
        <v/>
      </c>
      <c r="AB53" s="59">
        <f>AA53+AB52</f>
        <v/>
      </c>
      <c r="AC53" s="59">
        <f>AB53+AC52</f>
        <v/>
      </c>
      <c r="AD53" s="59">
        <f>AC53+AD52</f>
        <v/>
      </c>
      <c r="AE53" s="59">
        <f>AD53+AE52</f>
        <v/>
      </c>
      <c r="AF53" s="59">
        <f>AE53+AF52</f>
        <v/>
      </c>
      <c r="AG53" s="59">
        <f>AF53+AG52</f>
        <v/>
      </c>
      <c r="AH53" s="59">
        <f>AG53+AH52</f>
        <v/>
      </c>
      <c r="AI53" s="59">
        <f>AH53+AI52</f>
        <v/>
      </c>
      <c r="AJ53" s="59">
        <f>AI53+AJ52</f>
        <v/>
      </c>
      <c r="AK53" s="59">
        <f>AJ53+AK52</f>
        <v/>
      </c>
      <c r="AL53" s="59">
        <f>AK53+AL52</f>
        <v/>
      </c>
      <c r="AM53" s="59">
        <f>AL53+AM52</f>
        <v/>
      </c>
      <c r="AN53" s="59">
        <f>AM53+AN52</f>
        <v/>
      </c>
      <c r="AO53" s="59">
        <f>AN53+AO52</f>
        <v/>
      </c>
      <c r="AP53" s="59">
        <f>AO53+AP52</f>
        <v/>
      </c>
      <c r="AQ53" s="13" t="n"/>
      <c r="AR53" s="183">
        <f>W53+AR52</f>
        <v/>
      </c>
      <c r="AS53" s="13" t="n"/>
      <c r="AT53" s="59">
        <f>AP53+AT52</f>
        <v/>
      </c>
      <c r="AU53" s="59">
        <f>AT53+AU52</f>
        <v/>
      </c>
      <c r="AV53" s="59">
        <f>AU53+AV52</f>
        <v/>
      </c>
      <c r="AW53" s="59">
        <f>AV53+AW52</f>
        <v/>
      </c>
      <c r="AX53" s="59">
        <f>AW53+AX52</f>
        <v/>
      </c>
      <c r="AY53" s="59">
        <f>AX53+AY52</f>
        <v/>
      </c>
      <c r="AZ53" s="59">
        <f>AY53+AZ52</f>
        <v/>
      </c>
      <c r="BA53" s="59">
        <f>AZ53+BA52</f>
        <v/>
      </c>
      <c r="BB53" s="59">
        <f>BA53+BB52</f>
        <v/>
      </c>
      <c r="BC53" s="59">
        <f>BB53+BC52</f>
        <v/>
      </c>
      <c r="BD53" s="305">
        <f>BC53+BD52</f>
        <v/>
      </c>
      <c r="BE53" s="100">
        <f>BD53+BE52</f>
        <v/>
      </c>
      <c r="BF53" s="59">
        <f>BE53+BF52</f>
        <v/>
      </c>
      <c r="BG53" s="59">
        <f>BF53+BG52</f>
        <v/>
      </c>
      <c r="BH53" s="59">
        <f>BG53+BH52</f>
        <v/>
      </c>
      <c r="BI53" s="59">
        <f>BH53+BI52</f>
        <v/>
      </c>
      <c r="BJ53" s="59">
        <f>BI53+BJ52</f>
        <v/>
      </c>
      <c r="BK53" s="59">
        <f>BJ53+BK52</f>
        <v/>
      </c>
      <c r="BL53" s="59">
        <f>BK53+BL52</f>
        <v/>
      </c>
      <c r="BM53" s="59">
        <f>BL53+BM52</f>
        <v/>
      </c>
      <c r="BN53" s="59">
        <f>BM53+BN52</f>
        <v/>
      </c>
      <c r="BO53" s="59">
        <f>BN53+BO52</f>
        <v/>
      </c>
      <c r="BP53" s="305">
        <f>BO53+BP52</f>
        <v/>
      </c>
      <c r="BQ53" s="100">
        <f>BP53+BQ52</f>
        <v/>
      </c>
      <c r="BR53" s="59">
        <f>BQ53+BR52</f>
        <v/>
      </c>
      <c r="BS53" s="59">
        <f>BR53+BS52</f>
        <v/>
      </c>
      <c r="BT53" s="59">
        <f>BS53+BT52</f>
        <v/>
      </c>
      <c r="BU53" s="59">
        <f>BT53+BU52</f>
        <v/>
      </c>
      <c r="BV53" s="59">
        <f>BU53+BV52</f>
        <v/>
      </c>
      <c r="BW53" s="59">
        <f>BV53+BW52</f>
        <v/>
      </c>
      <c r="BX53" s="59">
        <f>BW53+BX52</f>
        <v/>
      </c>
      <c r="BY53" s="59">
        <f>BX53+BY52</f>
        <v/>
      </c>
      <c r="BZ53" s="59">
        <f>BY53+BZ52</f>
        <v/>
      </c>
      <c r="CA53" s="59">
        <f>BZ53+CA52</f>
        <v/>
      </c>
      <c r="CB53" s="305">
        <f>CA53+CB52</f>
        <v/>
      </c>
      <c r="CC53" s="100">
        <f>CB53+CC52</f>
        <v/>
      </c>
      <c r="CD53" s="59">
        <f>CC53+CD52</f>
        <v/>
      </c>
      <c r="CE53" s="59">
        <f>CD53+CE52</f>
        <v/>
      </c>
      <c r="CF53" s="59">
        <f>CE53+CF52</f>
        <v/>
      </c>
      <c r="CG53" s="59">
        <f>CF53+CG52</f>
        <v/>
      </c>
      <c r="CH53" s="59">
        <f>CG53+CH52</f>
        <v/>
      </c>
      <c r="CI53" s="59">
        <f>CH53+CI52</f>
        <v/>
      </c>
      <c r="CJ53" s="59">
        <f>CI53+CJ52</f>
        <v/>
      </c>
      <c r="CK53" s="59">
        <f>CJ53+CK52</f>
        <v/>
      </c>
      <c r="CL53" s="59">
        <f>CK53+CL52</f>
        <v/>
      </c>
      <c r="CM53" s="59">
        <f>CL53+CM52</f>
        <v/>
      </c>
      <c r="CN53" s="305">
        <f>CM53+CN52</f>
        <v/>
      </c>
      <c r="CO53" s="100">
        <f>CN53+CO52</f>
        <v/>
      </c>
      <c r="CP53" s="59">
        <f>CO53+CP52</f>
        <v/>
      </c>
      <c r="CQ53" s="59">
        <f>CP53+CQ52</f>
        <v/>
      </c>
      <c r="CR53" s="59">
        <f>CQ53+CR52</f>
        <v/>
      </c>
      <c r="CS53" s="59">
        <f>CR53+CS52</f>
        <v/>
      </c>
      <c r="CT53" s="59">
        <f>CS53+CT52</f>
        <v/>
      </c>
      <c r="CU53" s="59">
        <f>CT53+CU52</f>
        <v/>
      </c>
      <c r="CV53" s="59">
        <f>CU53+CV52</f>
        <v/>
      </c>
      <c r="CW53" s="59">
        <f>CV53+CW52</f>
        <v/>
      </c>
      <c r="CX53" s="59">
        <f>CW53+CX52</f>
        <v/>
      </c>
      <c r="CY53" s="59">
        <f>CX53+CY52</f>
        <v/>
      </c>
      <c r="CZ53" s="305">
        <f>CY53+CZ52</f>
        <v/>
      </c>
      <c r="DA53" s="100">
        <f>CZ53+DA52</f>
        <v/>
      </c>
      <c r="DB53" s="59">
        <f>DA53+DB52</f>
        <v/>
      </c>
      <c r="DC53" s="59">
        <f>DB53+DC52</f>
        <v/>
      </c>
      <c r="DD53" s="59">
        <f>DC53+DD52</f>
        <v/>
      </c>
      <c r="DE53" s="59">
        <f>DD53+DE52</f>
        <v/>
      </c>
      <c r="DF53" s="59">
        <f>DE53+DF52</f>
        <v/>
      </c>
      <c r="DG53" s="59">
        <f>DF53+DG52</f>
        <v/>
      </c>
      <c r="DH53" s="59">
        <f>DG53+DH52</f>
        <v/>
      </c>
      <c r="DI53" s="59">
        <f>DH53+DI52</f>
        <v/>
      </c>
      <c r="DJ53" s="103">
        <f>DI53+DJ52</f>
        <v/>
      </c>
      <c r="DK53" s="59">
        <f>DJ53+DK52</f>
        <v/>
      </c>
      <c r="DL53" s="103">
        <f>DK53+DL52</f>
        <v/>
      </c>
      <c r="DM53" s="59">
        <f>DL53+DM52</f>
        <v/>
      </c>
      <c r="DN53" s="103">
        <f>DM53+DN52</f>
        <v/>
      </c>
      <c r="DO53" s="103">
        <f>DN53+DO52</f>
        <v/>
      </c>
      <c r="DP53" s="103">
        <f>DO53+DP52</f>
        <v/>
      </c>
      <c r="DQ53" s="103">
        <f>DP53+DQ52</f>
        <v/>
      </c>
      <c r="DR53" s="103">
        <f>DQ53+DR52</f>
        <v/>
      </c>
      <c r="DS53" s="103">
        <f>DR53+DS52</f>
        <v/>
      </c>
      <c r="DT53" s="103">
        <f>DS53+DT52</f>
        <v/>
      </c>
      <c r="DU53" s="103">
        <f>DT53+DU52</f>
        <v/>
      </c>
      <c r="DV53" s="103">
        <f>DU53+DV52</f>
        <v/>
      </c>
      <c r="DW53" s="103">
        <f>DV53+DW52</f>
        <v/>
      </c>
      <c r="DX53" s="103">
        <f>DW53+DX52</f>
        <v/>
      </c>
      <c r="DY53" s="103">
        <f>DX53+DY52</f>
        <v/>
      </c>
      <c r="DZ53" s="103">
        <f>DY53+DZ52</f>
        <v/>
      </c>
      <c r="EA53" s="103">
        <f>DZ53+EA52</f>
        <v/>
      </c>
      <c r="EB53" s="103">
        <f>EA53+EB52</f>
        <v/>
      </c>
      <c r="EC53" s="103">
        <f>EB53+EC52</f>
        <v/>
      </c>
      <c r="ED53" s="103">
        <f>EC53+ED52</f>
        <v/>
      </c>
      <c r="EE53" s="103">
        <f>ED53+EE52</f>
        <v/>
      </c>
      <c r="EF53" s="103">
        <f>EE53+EF52</f>
        <v/>
      </c>
      <c r="EG53" s="103">
        <f>EF53+EG52</f>
        <v/>
      </c>
      <c r="EH53" s="103">
        <f>EG53+EH52</f>
        <v/>
      </c>
      <c r="EI53" s="103">
        <f>EH53+EI52</f>
        <v/>
      </c>
      <c r="EJ53" s="103">
        <f>EI53+EJ52</f>
        <v/>
      </c>
      <c r="EK53" s="103">
        <f>EJ53+EK52</f>
        <v/>
      </c>
      <c r="EL53" s="103">
        <f>EK53+EL52</f>
        <v/>
      </c>
      <c r="EM53" s="103">
        <f>EL53+EM52</f>
        <v/>
      </c>
      <c r="EN53" s="103">
        <f>EM53+EN52</f>
        <v/>
      </c>
      <c r="EO53" s="103">
        <f>EN53+EO52</f>
        <v/>
      </c>
      <c r="EP53" s="103">
        <f>EO53+EP52</f>
        <v/>
      </c>
      <c r="EQ53" s="103">
        <f>EP53+EQ52</f>
        <v/>
      </c>
      <c r="ER53" s="103">
        <f>EQ53+ER52</f>
        <v/>
      </c>
      <c r="ES53" s="103">
        <f>ER53+ES52</f>
        <v/>
      </c>
      <c r="ET53" s="103">
        <f>ES53+ET52</f>
        <v/>
      </c>
      <c r="EU53" s="103">
        <f>ET53+EU52</f>
        <v/>
      </c>
      <c r="EV53" s="103">
        <f>EU53+EV52</f>
        <v/>
      </c>
      <c r="EW53" s="103">
        <f>EV53+EW52</f>
        <v/>
      </c>
      <c r="EX53" s="103">
        <f>EW53+EX52</f>
        <v/>
      </c>
      <c r="EY53" s="103">
        <f>EX53+EY52</f>
        <v/>
      </c>
      <c r="EZ53" s="103">
        <f>EY53+EZ52</f>
        <v/>
      </c>
      <c r="FA53" s="103">
        <f>EZ53+FA52</f>
        <v/>
      </c>
      <c r="FB53" s="103">
        <f>FA53+FB52</f>
        <v/>
      </c>
      <c r="FC53" s="103">
        <f>FB53+FC52</f>
        <v/>
      </c>
      <c r="FD53" s="103">
        <f>FC53+FD52</f>
        <v/>
      </c>
      <c r="FE53" s="103">
        <f>FD53+FE52</f>
        <v/>
      </c>
      <c r="FF53" s="103">
        <f>FE53+FF52</f>
        <v/>
      </c>
      <c r="FG53" s="103">
        <f>FF53+FG52</f>
        <v/>
      </c>
      <c r="FH53" s="103">
        <f>FG53+FH52</f>
        <v/>
      </c>
      <c r="FI53" s="103">
        <f>FH53+FI52</f>
        <v/>
      </c>
      <c r="FJ53" s="103">
        <f>FI53+FJ52</f>
        <v/>
      </c>
      <c r="FK53" s="103">
        <f>FJ53+FK52</f>
        <v/>
      </c>
      <c r="FL53" s="103">
        <f>FK53+FL52</f>
        <v/>
      </c>
      <c r="FM53" s="103">
        <f>FL53+FM52</f>
        <v/>
      </c>
      <c r="FN53" s="103">
        <f>FM53+FN52</f>
        <v/>
      </c>
      <c r="FO53" s="103">
        <f>FN53+FO52</f>
        <v/>
      </c>
      <c r="FP53" s="103">
        <f>FO53+FP52</f>
        <v/>
      </c>
      <c r="FQ53" s="103">
        <f>FP53+FQ52</f>
        <v/>
      </c>
      <c r="FR53" s="103">
        <f>FQ53+FR52</f>
        <v/>
      </c>
      <c r="FS53" s="103">
        <f>FR53+FS52</f>
        <v/>
      </c>
      <c r="FT53" s="103">
        <f>FS53+FT52</f>
        <v/>
      </c>
      <c r="FU53" s="103">
        <f>FT53+FU52</f>
        <v/>
      </c>
      <c r="FV53" s="103">
        <f>FU53+FV52</f>
        <v/>
      </c>
      <c r="FW53" s="103">
        <f>FV53+FW52</f>
        <v/>
      </c>
      <c r="FX53" s="103">
        <f>FW53+FX52</f>
        <v/>
      </c>
      <c r="FY53" s="103">
        <f>FX53+FY52</f>
        <v/>
      </c>
      <c r="FZ53" s="103">
        <f>FY53+FZ52</f>
        <v/>
      </c>
      <c r="GA53" s="103">
        <f>FZ53+GA52</f>
        <v/>
      </c>
      <c r="GB53" s="103">
        <f>GA53+GB52</f>
        <v/>
      </c>
      <c r="GC53" s="103">
        <f>GB53+GC52</f>
        <v/>
      </c>
      <c r="GD53" s="103">
        <f>GC53+GD52</f>
        <v/>
      </c>
      <c r="GE53" s="103">
        <f>GD53+GE52</f>
        <v/>
      </c>
      <c r="GF53" s="103">
        <f>GE53+GF52</f>
        <v/>
      </c>
      <c r="GG53" s="103">
        <f>GF53+GG52</f>
        <v/>
      </c>
      <c r="GH53" s="103">
        <f>GG53+GH52</f>
        <v/>
      </c>
      <c r="GI53" s="103">
        <f>GH53+GI52</f>
        <v/>
      </c>
      <c r="GJ53" s="103">
        <f>GI53+GJ52</f>
        <v/>
      </c>
      <c r="GK53" s="103">
        <f>GJ53+GK52</f>
        <v/>
      </c>
      <c r="GL53" s="103">
        <f>GK53+GL52</f>
        <v/>
      </c>
      <c r="GM53" s="103">
        <f>GL53+GM52</f>
        <v/>
      </c>
      <c r="GN53" s="103">
        <f>GM53+GN52</f>
        <v/>
      </c>
      <c r="GO53" s="103">
        <f>GN53+GO52</f>
        <v/>
      </c>
      <c r="GP53" s="103">
        <f>GO53+GP52</f>
        <v/>
      </c>
      <c r="GQ53" s="103">
        <f>GP53+GQ52</f>
        <v/>
      </c>
      <c r="GR53" s="103">
        <f>GQ53+GR52</f>
        <v/>
      </c>
      <c r="GS53" s="103">
        <f>GR53+GS52</f>
        <v/>
      </c>
      <c r="GT53" s="103">
        <f>GS53+GT52</f>
        <v/>
      </c>
      <c r="GU53" s="103">
        <f>GT53+GU52</f>
        <v/>
      </c>
      <c r="GV53" s="103">
        <f>GU53+GV52</f>
        <v/>
      </c>
      <c r="GW53" s="103">
        <f>GV53+GW52</f>
        <v/>
      </c>
      <c r="GX53" s="103">
        <f>GW53+GX52</f>
        <v/>
      </c>
      <c r="GY53" s="103">
        <f>GX53+GY52</f>
        <v/>
      </c>
      <c r="GZ53" s="103">
        <f>GY53+GZ52</f>
        <v/>
      </c>
      <c r="HA53" s="103">
        <f>GZ53+HA52</f>
        <v/>
      </c>
      <c r="HB53" s="103">
        <f>HA53+HB52</f>
        <v/>
      </c>
      <c r="HC53" s="103">
        <f>HB53+HC52</f>
        <v/>
      </c>
      <c r="HD53" s="103">
        <f>HC53+HD52</f>
        <v/>
      </c>
      <c r="HE53" s="103">
        <f>HD53+HE52</f>
        <v/>
      </c>
      <c r="HF53" s="103">
        <f>HE53+HF52</f>
        <v/>
      </c>
      <c r="HG53" s="103">
        <f>HF53+HG52</f>
        <v/>
      </c>
      <c r="HH53" s="103">
        <f>HG53+HH52</f>
        <v/>
      </c>
      <c r="HI53" s="103">
        <f>HH53+HI52</f>
        <v/>
      </c>
      <c r="HJ53" s="103">
        <f>HI53+HJ52</f>
        <v/>
      </c>
      <c r="HK53" s="103">
        <f>HJ53+HK52</f>
        <v/>
      </c>
      <c r="HL53" s="103">
        <f>HK53+HL52</f>
        <v/>
      </c>
      <c r="HM53" s="103">
        <f>HL53+HM52</f>
        <v/>
      </c>
      <c r="HN53" s="103">
        <f>HM53+HN52</f>
        <v/>
      </c>
      <c r="HO53" s="103">
        <f>HN53+HO52</f>
        <v/>
      </c>
      <c r="HP53" s="103">
        <f>HO53+HP52</f>
        <v/>
      </c>
      <c r="HQ53" s="103">
        <f>HP53+HQ52</f>
        <v/>
      </c>
      <c r="HR53" s="103">
        <f>HQ53+HR52</f>
        <v/>
      </c>
      <c r="HS53" s="103">
        <f>HR53+HS52</f>
        <v/>
      </c>
      <c r="HT53" s="103">
        <f>HS53+HT52</f>
        <v/>
      </c>
      <c r="HU53" s="103">
        <f>HT53+HU52</f>
        <v/>
      </c>
      <c r="JF53" s="100">
        <f>AP53</f>
        <v/>
      </c>
      <c r="JG53" s="100">
        <f>SUM(Z53:AK53)</f>
        <v/>
      </c>
      <c r="JH53" s="100">
        <f>SUM(AL53:AP53)</f>
        <v/>
      </c>
      <c r="JI53" s="100">
        <f>SUM(C53:AP53)</f>
        <v/>
      </c>
      <c r="JJ53" s="446" t="n"/>
      <c r="JM53" s="59" t="n">
        <v>-34156967.47126087</v>
      </c>
      <c r="KG53" s="269">
        <f>B53</f>
        <v/>
      </c>
      <c r="KH53" s="183">
        <f>AR53</f>
        <v/>
      </c>
    </row>
    <row r="54" ht="15.75" customHeight="1">
      <c r="A54" s="54" t="n"/>
      <c r="B54" s="144" t="n"/>
      <c r="C54" s="69" t="n"/>
      <c r="D54" s="69" t="n"/>
      <c r="E54" s="69" t="n"/>
      <c r="F54" s="69" t="n"/>
      <c r="G54" s="69" t="n"/>
      <c r="H54" s="69" t="n"/>
      <c r="I54" s="203" t="n"/>
      <c r="J54" s="184" t="n"/>
      <c r="K54" s="95" t="n"/>
      <c r="L54" s="95" t="n"/>
      <c r="M54" s="225" t="n"/>
      <c r="N54" s="225" t="n"/>
      <c r="O54" s="225" t="n"/>
      <c r="P54" s="225" t="n"/>
      <c r="Q54" s="225" t="n"/>
      <c r="R54" s="225" t="n"/>
      <c r="S54" s="225" t="n"/>
      <c r="T54" s="225" t="n"/>
      <c r="U54" s="225" t="n"/>
      <c r="V54" s="225" t="n"/>
      <c r="W54" s="225" t="n"/>
      <c r="X54" s="225" t="n"/>
      <c r="Y54" s="225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13" t="n"/>
      <c r="AR54" s="242" t="n"/>
      <c r="AS54" s="13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306" t="n"/>
      <c r="BE54" s="95" t="n"/>
      <c r="BF54" s="95" t="n"/>
      <c r="BG54" s="95" t="n"/>
      <c r="BH54" s="95" t="n"/>
      <c r="BI54" s="95" t="n"/>
      <c r="BJ54" s="95" t="n"/>
      <c r="BK54" s="95" t="n"/>
      <c r="BL54" s="95" t="n"/>
      <c r="BM54" s="95" t="n"/>
      <c r="BN54" s="95" t="n"/>
      <c r="BO54" s="95" t="n"/>
      <c r="BP54" s="306" t="n"/>
      <c r="BQ54" s="95" t="n"/>
      <c r="BR54" s="95" t="n"/>
      <c r="BS54" s="95" t="n"/>
      <c r="BT54" s="95" t="n"/>
      <c r="BU54" s="95" t="n"/>
      <c r="BV54" s="95" t="n"/>
      <c r="BW54" s="95" t="n"/>
      <c r="BX54" s="95" t="n"/>
      <c r="BY54" s="95" t="n"/>
      <c r="BZ54" s="95" t="n"/>
      <c r="CA54" s="95" t="n"/>
      <c r="CB54" s="306" t="n"/>
      <c r="CC54" s="95" t="n"/>
      <c r="CD54" s="95" t="n"/>
      <c r="CE54" s="95" t="n"/>
      <c r="CF54" s="95" t="n"/>
      <c r="CG54" s="95" t="n"/>
      <c r="CH54" s="95" t="n"/>
      <c r="CI54" s="95" t="n"/>
      <c r="CJ54" s="95" t="n"/>
      <c r="CK54" s="95" t="n"/>
      <c r="CL54" s="95" t="n"/>
      <c r="CM54" s="95" t="n"/>
      <c r="CN54" s="306" t="n"/>
      <c r="CO54" s="95" t="n"/>
      <c r="CP54" s="95" t="n"/>
      <c r="CQ54" s="95" t="n"/>
      <c r="CR54" s="95" t="n"/>
      <c r="CS54" s="95" t="n"/>
      <c r="CT54" s="95" t="n"/>
      <c r="CU54" s="95" t="n"/>
      <c r="CV54" s="95" t="n"/>
      <c r="CW54" s="95" t="n"/>
      <c r="CX54" s="95" t="n"/>
      <c r="CY54" s="95" t="n"/>
      <c r="CZ54" s="306" t="n"/>
      <c r="DA54" s="95" t="n"/>
      <c r="DB54" s="95" t="n"/>
      <c r="DC54" s="95" t="n"/>
      <c r="DD54" s="95" t="n"/>
      <c r="DE54" s="95" t="n"/>
      <c r="DF54" s="95" t="n"/>
      <c r="DG54" s="95" t="n"/>
      <c r="DH54" s="95" t="n"/>
      <c r="DI54" s="95" t="n"/>
      <c r="DJ54" s="95" t="n"/>
      <c r="DK54" s="95" t="n"/>
      <c r="DL54" s="95" t="n"/>
      <c r="DM54" s="95" t="n"/>
      <c r="DN54" s="95" t="n"/>
      <c r="DO54" s="95" t="n"/>
      <c r="DP54" s="95" t="n"/>
      <c r="DQ54" s="95" t="n"/>
      <c r="DR54" s="95" t="n"/>
      <c r="DS54" s="95" t="n"/>
      <c r="DT54" s="95" t="n"/>
      <c r="DU54" s="95" t="n"/>
      <c r="DV54" s="95" t="n"/>
      <c r="DW54" s="95" t="n"/>
      <c r="DX54" s="95" t="n"/>
      <c r="DY54" s="95" t="n"/>
      <c r="DZ54" s="95" t="n"/>
      <c r="EA54" s="95" t="n"/>
      <c r="EB54" s="95" t="n"/>
      <c r="EC54" s="95" t="n"/>
      <c r="ED54" s="95" t="n"/>
      <c r="EE54" s="95" t="n"/>
      <c r="EF54" s="95" t="n"/>
      <c r="EG54" s="95" t="n"/>
      <c r="EH54" s="95" t="n"/>
      <c r="EI54" s="95" t="n"/>
      <c r="EJ54" s="95" t="n"/>
      <c r="EK54" s="95" t="n"/>
      <c r="EL54" s="95" t="n"/>
      <c r="EM54" s="95" t="n"/>
      <c r="EN54" s="95" t="n"/>
      <c r="EO54" s="95" t="n"/>
      <c r="EP54" s="95" t="n"/>
      <c r="EQ54" s="95" t="n"/>
      <c r="ER54" s="95" t="n"/>
      <c r="ES54" s="95" t="n"/>
      <c r="ET54" s="95" t="n"/>
      <c r="EU54" s="95" t="n"/>
      <c r="EV54" s="95" t="n"/>
      <c r="EW54" s="95" t="n"/>
      <c r="EX54" s="95" t="n"/>
      <c r="EY54" s="95" t="n"/>
      <c r="EZ54" s="95" t="n"/>
      <c r="FA54" s="95" t="n"/>
      <c r="FB54" s="95" t="n"/>
      <c r="FC54" s="95" t="n"/>
      <c r="FD54" s="95" t="n"/>
      <c r="FE54" s="95" t="n"/>
      <c r="FF54" s="95" t="n"/>
      <c r="FG54" s="95" t="n"/>
      <c r="FH54" s="95" t="n"/>
      <c r="FI54" s="95" t="n"/>
      <c r="FJ54" s="95" t="n"/>
      <c r="FK54" s="95" t="n"/>
      <c r="FL54" s="95" t="n"/>
      <c r="FM54" s="95" t="n"/>
      <c r="FN54" s="95" t="n"/>
      <c r="FO54" s="95" t="n"/>
      <c r="FP54" s="95" t="n"/>
      <c r="FQ54" s="95" t="n"/>
      <c r="FR54" s="95" t="n"/>
      <c r="FS54" s="95" t="n"/>
      <c r="FT54" s="95" t="n"/>
      <c r="FU54" s="95" t="n"/>
      <c r="FV54" s="95" t="n"/>
      <c r="FW54" s="95" t="n"/>
      <c r="FX54" s="95" t="n"/>
      <c r="FY54" s="95" t="n"/>
      <c r="FZ54" s="95" t="n"/>
      <c r="GA54" s="95" t="n"/>
      <c r="GB54" s="95" t="n"/>
      <c r="GC54" s="95" t="n"/>
      <c r="GD54" s="95" t="n"/>
      <c r="GE54" s="95" t="n"/>
      <c r="GF54" s="95" t="n"/>
      <c r="GG54" s="95" t="n"/>
      <c r="GH54" s="95" t="n"/>
      <c r="GI54" s="95" t="n"/>
      <c r="GJ54" s="95" t="n"/>
      <c r="GK54" s="95" t="n"/>
      <c r="GL54" s="95" t="n"/>
      <c r="GM54" s="95" t="n"/>
      <c r="GN54" s="95" t="n"/>
      <c r="GO54" s="95" t="n"/>
      <c r="GP54" s="95" t="n"/>
      <c r="GQ54" s="95" t="n"/>
      <c r="GR54" s="95" t="n"/>
      <c r="GS54" s="95" t="n"/>
      <c r="GT54" s="95" t="n"/>
      <c r="GU54" s="95" t="n"/>
      <c r="GV54" s="95" t="n"/>
      <c r="GW54" s="95" t="n"/>
      <c r="GX54" s="95" t="n"/>
      <c r="GY54" s="95" t="n"/>
      <c r="GZ54" s="95" t="n"/>
      <c r="HA54" s="95" t="n"/>
      <c r="HB54" s="95" t="n"/>
      <c r="HC54" s="95" t="n"/>
      <c r="HD54" s="95" t="n"/>
      <c r="HE54" s="95" t="n"/>
      <c r="HF54" s="95" t="n"/>
      <c r="HG54" s="95" t="n"/>
      <c r="HH54" s="95" t="n"/>
      <c r="HI54" s="95" t="n"/>
      <c r="HJ54" s="95" t="n"/>
      <c r="HK54" s="95" t="n"/>
      <c r="HL54" s="95" t="n"/>
      <c r="HM54" s="95" t="n"/>
      <c r="HN54" s="95" t="n"/>
      <c r="HO54" s="95" t="n"/>
      <c r="HP54" s="95" t="n"/>
      <c r="HQ54" s="95" t="n"/>
      <c r="HR54" s="95" t="n"/>
      <c r="HS54" s="95" t="n"/>
      <c r="HT54" s="95" t="n"/>
      <c r="HU54" s="95" t="n"/>
      <c r="JF54" s="95">
        <f>AP54</f>
        <v/>
      </c>
      <c r="JG54" s="95">
        <f>SUM(Z54:AK54)</f>
        <v/>
      </c>
      <c r="JH54" s="95">
        <f>SUM(AL54:AP54)</f>
        <v/>
      </c>
      <c r="JI54" s="95">
        <f>SUM(C54:AP54)</f>
        <v/>
      </c>
      <c r="JJ54" s="446" t="n"/>
      <c r="JM54" s="95" t="n"/>
      <c r="KG54" s="144">
        <f>B54</f>
        <v/>
      </c>
      <c r="KH54" s="242">
        <f>AR54</f>
        <v/>
      </c>
    </row>
    <row r="55" ht="18" customHeight="1">
      <c r="A55" s="19" t="inlineStr">
        <is>
          <t>IMPOSTOS (-)</t>
        </is>
      </c>
      <c r="B55" s="139" t="n"/>
      <c r="C55" s="20" t="n"/>
      <c r="D55" s="22" t="n"/>
      <c r="E55" s="20" t="n"/>
      <c r="F55" s="20" t="n"/>
      <c r="G55" s="20" t="n"/>
      <c r="H55" s="20" t="n"/>
      <c r="I55" s="21" t="n"/>
      <c r="J55" s="175" t="n"/>
      <c r="K55" s="21" t="n"/>
      <c r="L55" s="108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00" t="n"/>
      <c r="AR55" s="241" t="n"/>
      <c r="AS55" s="20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299" t="n"/>
      <c r="BE55" s="22" t="n"/>
      <c r="BF55" s="20" t="n"/>
      <c r="BG55" s="20" t="n"/>
      <c r="BH55" s="20" t="n"/>
      <c r="BI55" s="20" t="n"/>
      <c r="BJ55" s="20" t="n"/>
      <c r="BK55" s="20" t="n"/>
      <c r="BL55" s="20" t="n"/>
      <c r="BM55" s="20" t="n"/>
      <c r="BN55" s="20" t="n"/>
      <c r="BO55" s="20" t="n"/>
      <c r="BP55" s="299" t="n"/>
      <c r="BQ55" s="22" t="n"/>
      <c r="BR55" s="20" t="n"/>
      <c r="BS55" s="20" t="n"/>
      <c r="BT55" s="20" t="n"/>
      <c r="BU55" s="20" t="n"/>
      <c r="BV55" s="20" t="n"/>
      <c r="BW55" s="20" t="n"/>
      <c r="BX55" s="20" t="n"/>
      <c r="BY55" s="20" t="n"/>
      <c r="BZ55" s="20" t="n"/>
      <c r="CA55" s="20" t="n"/>
      <c r="CB55" s="299" t="n"/>
      <c r="CC55" s="22" t="n"/>
      <c r="CD55" s="20" t="n"/>
      <c r="CE55" s="20" t="n"/>
      <c r="CF55" s="20" t="n"/>
      <c r="CG55" s="20" t="n"/>
      <c r="CH55" s="20" t="n"/>
      <c r="CI55" s="20" t="n"/>
      <c r="CJ55" s="20" t="n"/>
      <c r="CK55" s="20" t="n"/>
      <c r="CL55" s="20" t="n"/>
      <c r="CM55" s="20" t="n"/>
      <c r="CN55" s="299" t="n"/>
      <c r="CO55" s="22" t="n"/>
      <c r="CP55" s="20" t="n"/>
      <c r="CQ55" s="20" t="n"/>
      <c r="CR55" s="20" t="n"/>
      <c r="CS55" s="20" t="n"/>
      <c r="CT55" s="20" t="n"/>
      <c r="CU55" s="20" t="n"/>
      <c r="CV55" s="20" t="n"/>
      <c r="CW55" s="20" t="n"/>
      <c r="CX55" s="20" t="n"/>
      <c r="CY55" s="20" t="n"/>
      <c r="CZ55" s="299" t="n"/>
      <c r="DA55" s="22" t="n"/>
      <c r="DB55" s="20" t="n"/>
      <c r="DC55" s="20" t="n"/>
      <c r="DD55" s="20" t="n"/>
      <c r="DE55" s="20" t="n"/>
      <c r="DF55" s="20" t="n"/>
      <c r="DG55" s="20" t="n"/>
      <c r="DH55" s="20" t="n"/>
      <c r="DI55" s="20" t="n"/>
      <c r="DJ55" s="21" t="n"/>
      <c r="DK55" s="20" t="n"/>
      <c r="DL55" s="21" t="n"/>
      <c r="DM55" s="20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 t="n"/>
      <c r="EG55" s="21" t="n"/>
      <c r="EH55" s="21" t="n"/>
      <c r="EI55" s="21" t="n"/>
      <c r="EJ55" s="21" t="n"/>
      <c r="EK55" s="21" t="n"/>
      <c r="EL55" s="21" t="n"/>
      <c r="EM55" s="21" t="n"/>
      <c r="EN55" s="21" t="n"/>
      <c r="EO55" s="21" t="n"/>
      <c r="EP55" s="21" t="n"/>
      <c r="EQ55" s="21" t="n"/>
      <c r="ER55" s="21" t="n"/>
      <c r="ES55" s="21" t="n"/>
      <c r="ET55" s="21" t="n"/>
      <c r="EU55" s="21" t="n"/>
      <c r="EV55" s="21" t="n"/>
      <c r="EW55" s="21" t="n"/>
      <c r="EX55" s="21" t="n"/>
      <c r="EY55" s="21" t="n"/>
      <c r="EZ55" s="21" t="n"/>
      <c r="FA55" s="21" t="n"/>
      <c r="FB55" s="21" t="n"/>
      <c r="FC55" s="21" t="n"/>
      <c r="FD55" s="21" t="n"/>
      <c r="FE55" s="21" t="n"/>
      <c r="FF55" s="21" t="n"/>
      <c r="FG55" s="21" t="n"/>
      <c r="FH55" s="21" t="n"/>
      <c r="FI55" s="21" t="n"/>
      <c r="FJ55" s="21" t="n"/>
      <c r="FK55" s="21" t="n"/>
      <c r="FL55" s="21" t="n"/>
      <c r="FM55" s="21" t="n"/>
      <c r="FN55" s="21" t="n"/>
      <c r="FO55" s="21" t="n"/>
      <c r="FP55" s="21" t="n"/>
      <c r="FQ55" s="21" t="n"/>
      <c r="FR55" s="21" t="n"/>
      <c r="FS55" s="21" t="n"/>
      <c r="FT55" s="21" t="n"/>
      <c r="FU55" s="21" t="n"/>
      <c r="FV55" s="21" t="n"/>
      <c r="FW55" s="21" t="n"/>
      <c r="FX55" s="21" t="n"/>
      <c r="FY55" s="21" t="n"/>
      <c r="FZ55" s="21" t="n"/>
      <c r="GA55" s="21" t="n"/>
      <c r="GB55" s="21" t="n"/>
      <c r="GC55" s="21" t="n"/>
      <c r="GD55" s="21" t="n"/>
      <c r="GE55" s="21" t="n"/>
      <c r="GF55" s="21" t="n"/>
      <c r="GG55" s="21" t="n"/>
      <c r="GH55" s="21" t="n"/>
      <c r="GI55" s="21" t="n"/>
      <c r="GJ55" s="21" t="n"/>
      <c r="GK55" s="21" t="n"/>
      <c r="GL55" s="21" t="n"/>
      <c r="GM55" s="21" t="n"/>
      <c r="GN55" s="21" t="n"/>
      <c r="GO55" s="21" t="n"/>
      <c r="GP55" s="21" t="n"/>
      <c r="GQ55" s="21" t="n"/>
      <c r="GR55" s="21" t="n"/>
      <c r="GS55" s="21" t="n"/>
      <c r="GT55" s="21" t="n"/>
      <c r="GU55" s="21" t="n"/>
      <c r="GV55" s="21" t="n"/>
      <c r="GW55" s="21" t="n"/>
      <c r="GX55" s="21" t="n"/>
      <c r="GY55" s="21" t="n"/>
      <c r="GZ55" s="21" t="n"/>
      <c r="HA55" s="21" t="n"/>
      <c r="HB55" s="21" t="n"/>
      <c r="HC55" s="21" t="n"/>
      <c r="HD55" s="21" t="n"/>
      <c r="HE55" s="21" t="n"/>
      <c r="HF55" s="21" t="n"/>
      <c r="HG55" s="21" t="n"/>
      <c r="HH55" s="21" t="n"/>
      <c r="HI55" s="21" t="n"/>
      <c r="HJ55" s="21" t="n"/>
      <c r="HK55" s="21" t="n"/>
      <c r="HL55" s="21" t="n"/>
      <c r="HM55" s="21" t="n"/>
      <c r="HN55" s="21" t="n"/>
      <c r="HO55" s="21" t="n"/>
      <c r="HP55" s="21" t="n"/>
      <c r="HQ55" s="21" t="n"/>
      <c r="HR55" s="21" t="n"/>
      <c r="HS55" s="21" t="n"/>
      <c r="HT55" s="21" t="n"/>
      <c r="HU55" s="21" t="n"/>
      <c r="JF55" s="20">
        <f>AP55</f>
        <v/>
      </c>
      <c r="JG55" s="20">
        <f>SUM(Z55:AK55)</f>
        <v/>
      </c>
      <c r="JH55" s="20">
        <f>SUM(AL55:AP55)</f>
        <v/>
      </c>
      <c r="JI55" s="20">
        <f>SUM(C55:AP55)</f>
        <v/>
      </c>
      <c r="JJ55" s="446" t="n"/>
      <c r="JM55" s="21" t="n"/>
      <c r="KG55" s="139">
        <f>B55</f>
        <v/>
      </c>
      <c r="KH55" s="241">
        <f>AR55</f>
        <v/>
      </c>
    </row>
    <row r="56" ht="16.2" customHeight="1">
      <c r="A56" s="7" t="inlineStr">
        <is>
          <t>Impostos</t>
        </is>
      </c>
      <c r="B56" s="136">
        <f>SUM(C56:AP56)</f>
        <v/>
      </c>
      <c r="C56" s="85" t="n"/>
      <c r="D56" s="87" t="n"/>
      <c r="E56" s="85" t="n"/>
      <c r="F56" s="85" t="n"/>
      <c r="G56" s="85" t="n"/>
      <c r="H56" s="85" t="n"/>
      <c r="I56" s="86" t="n"/>
      <c r="J56" s="218" t="n"/>
      <c r="K56" s="113" t="n"/>
      <c r="L56" s="122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>
        <f>-210474.96-5661</f>
        <v/>
      </c>
      <c r="AD56" s="219">
        <f>-120603.87-111025.76</f>
        <v/>
      </c>
      <c r="AE56" s="219" t="n">
        <v>-112006.6</v>
      </c>
      <c r="AF56" s="219" t="n">
        <v>-432705.99</v>
      </c>
      <c r="AG56" s="219" t="n">
        <v>-118838.98</v>
      </c>
      <c r="AH56" s="219" t="n">
        <v>-116123.91</v>
      </c>
      <c r="AI56" s="219" t="n">
        <v>-354372.51</v>
      </c>
      <c r="AJ56" s="219" t="n">
        <v>-173967.62</v>
      </c>
      <c r="AK56" s="219" t="n">
        <v>-179418.92</v>
      </c>
      <c r="AL56" s="219" t="n">
        <v>-488063.29</v>
      </c>
      <c r="AM56" s="219" t="n">
        <v>-163274.46</v>
      </c>
      <c r="AN56" s="219" t="n">
        <v>-135237.18</v>
      </c>
      <c r="AO56" s="219" t="n">
        <v>-875555.1899999999</v>
      </c>
      <c r="AP56" s="219" t="n">
        <v>-284941.98</v>
      </c>
      <c r="AQ56" s="13" t="n"/>
      <c r="AR56" s="345">
        <f>SUM(AT56:HU56)</f>
        <v/>
      </c>
      <c r="AS56" s="87" t="n"/>
      <c r="AT56" s="85">
        <f>(AP8+AP9+AP12)*6.75%*-1</f>
        <v/>
      </c>
      <c r="AU56" s="85">
        <f>(AT8+AT9+AT12)*6.75%*-1</f>
        <v/>
      </c>
      <c r="AV56" s="85">
        <f>(AU8+AU9+AU12)*6.75%*-1</f>
        <v/>
      </c>
      <c r="AW56" s="85">
        <f>(AV8+AV9+AV12)*6.75%*-1</f>
        <v/>
      </c>
      <c r="AX56" s="85">
        <f>(AW8+AW9+AW12)*6.75%*-1</f>
        <v/>
      </c>
      <c r="AY56" s="85">
        <f>(AX8+AX9+AX12)*6.75%*-1</f>
        <v/>
      </c>
      <c r="AZ56" s="85">
        <f>(AY8+AY9+AY12)*6.75%*-1</f>
        <v/>
      </c>
      <c r="BA56" s="85">
        <f>(AZ8+AZ9+AZ12)*6.75%*-1</f>
        <v/>
      </c>
      <c r="BB56" s="85">
        <f>(BA8+BA9+BA12)*6.75%*-1</f>
        <v/>
      </c>
      <c r="BC56" s="85">
        <f>(BB8+BB9+BB12)*6.75%*-1</f>
        <v/>
      </c>
      <c r="BD56" s="85">
        <f>(BC8+BC9+BC12)*6.75%*-1</f>
        <v/>
      </c>
      <c r="BE56" s="85">
        <f>(BD8+BD9+BD12)*6.75%*-1</f>
        <v/>
      </c>
      <c r="BF56" s="85">
        <f>(BE8+BE9+BE12)*6.75%*-1</f>
        <v/>
      </c>
      <c r="BG56" s="85">
        <f>(BF8+BF9+BF12)*6.75%*-1</f>
        <v/>
      </c>
      <c r="BH56" s="85">
        <f>(BG8+BG9+BG12)*6.75%*-1</f>
        <v/>
      </c>
      <c r="BI56" s="85">
        <f>(BH8+BH9+BH12)*6.75%*-1</f>
        <v/>
      </c>
      <c r="BJ56" s="85">
        <f>(BI8+BI9+BI12)*6.75%*-1</f>
        <v/>
      </c>
      <c r="BK56" s="85">
        <f>(BJ8+BJ9+BJ12)*6.75%*-1</f>
        <v/>
      </c>
      <c r="BL56" s="85">
        <f>(BK8+BK9+BK12)*6.75%*-1</f>
        <v/>
      </c>
      <c r="BM56" s="85">
        <f>(BL8+BL9+BL12)*6.75%*-1</f>
        <v/>
      </c>
      <c r="BN56" s="85">
        <f>(BM8+BM9+BM12)*6.75%*-1</f>
        <v/>
      </c>
      <c r="BO56" s="85">
        <f>(BN8+BN9+BN12)*6.75%*-1</f>
        <v/>
      </c>
      <c r="BP56" s="296">
        <f>(BO8+BO9+BO12)*6.75%*-1</f>
        <v/>
      </c>
      <c r="BQ56" s="87">
        <f>(BP8+BP9+BP12)*6.75%*-1</f>
        <v/>
      </c>
      <c r="BR56" s="85">
        <f>(BQ8+BQ9+BQ12)*6.75%*-1</f>
        <v/>
      </c>
      <c r="BS56" s="85">
        <f>(BR8+BR9+BR12)*6.75%*-1</f>
        <v/>
      </c>
      <c r="BT56" s="85">
        <f>(BS8+BS9+BS12)*6.75%*-1</f>
        <v/>
      </c>
      <c r="BU56" s="85">
        <f>(BT8+BT9+BT12)*6.75%*-1</f>
        <v/>
      </c>
      <c r="BV56" s="85">
        <f>(BU8+BU9+BU12)*6.75%*-1</f>
        <v/>
      </c>
      <c r="BW56" s="85">
        <f>(BV8+BV9+BV12)*6.75%*-1</f>
        <v/>
      </c>
      <c r="BX56" s="85">
        <f>(BW8+BW9+BW12)*6.75%*-1</f>
        <v/>
      </c>
      <c r="BY56" s="85">
        <f>(BX8+BX9+BX12)*6.75%*-1</f>
        <v/>
      </c>
      <c r="BZ56" s="85">
        <f>(BY8+BY9+BY12)*6.75%*-1</f>
        <v/>
      </c>
      <c r="CA56" s="85">
        <f>(BZ8+BZ9+BZ12)*6.75%*-1</f>
        <v/>
      </c>
      <c r="CB56" s="296">
        <f>(CA8+CA9+CA12)*6.75%*-1</f>
        <v/>
      </c>
      <c r="CC56" s="87">
        <f>(CB8+CB9+CB12)*6.75%*-1</f>
        <v/>
      </c>
      <c r="CD56" s="85">
        <f>(CC8+CC9+CC12)*6.75%*-1</f>
        <v/>
      </c>
      <c r="CE56" s="85">
        <f>(CD8+CD9+CD12)*6.75%*-1</f>
        <v/>
      </c>
      <c r="CF56" s="85">
        <f>(CE8+CE9+CE12)*6.75%*-1</f>
        <v/>
      </c>
      <c r="CG56" s="85">
        <f>(CF8+CF9+CF12)*6.75%*-1</f>
        <v/>
      </c>
      <c r="CH56" s="85">
        <f>(CG8+CG9+CG12)*6.75%*-1</f>
        <v/>
      </c>
      <c r="CI56" s="85">
        <f>(CH8+CH9+CH12)*6.75%*-1</f>
        <v/>
      </c>
      <c r="CJ56" s="85">
        <f>(CI8+CI9+CI12)*6.75%*-1</f>
        <v/>
      </c>
      <c r="CK56" s="85">
        <f>(CJ8+CJ9+CJ12)*6.75%*-1</f>
        <v/>
      </c>
      <c r="CL56" s="85">
        <f>(CK8+CK9+CK12)*6.75%*-1</f>
        <v/>
      </c>
      <c r="CM56" s="85">
        <f>(CL8+CL9+CL12)*6.75%*-1</f>
        <v/>
      </c>
      <c r="CN56" s="296">
        <f>(CM8+CM9+CM12)*6.75%*-1</f>
        <v/>
      </c>
      <c r="CO56" s="87">
        <f>(CN8+CN9+CN12)*6.75%*-1</f>
        <v/>
      </c>
      <c r="CP56" s="85">
        <f>(CO8+CO9+CO12)*6.75%*-1</f>
        <v/>
      </c>
      <c r="CQ56" s="85">
        <f>(CP8+CP9+CP12)*6.75%*-1</f>
        <v/>
      </c>
      <c r="CR56" s="85">
        <f>(CQ8+CQ9+CQ12)*6.75%*-1</f>
        <v/>
      </c>
      <c r="CS56" s="85">
        <f>(CR8+CR9+CR12)*6.75%*-1</f>
        <v/>
      </c>
      <c r="CT56" s="85">
        <f>(CS8+CS9+CS12)*6.75%*-1</f>
        <v/>
      </c>
      <c r="CU56" s="85">
        <f>(CT8+CT9+CT12)*6.75%*-1</f>
        <v/>
      </c>
      <c r="CV56" s="85">
        <f>(CU8+CU9+CU12)*6.75%*-1</f>
        <v/>
      </c>
      <c r="CW56" s="85">
        <f>(CV8+CV9+CV12)*6.75%*-1</f>
        <v/>
      </c>
      <c r="CX56" s="85">
        <f>(CW8+CW9+CW12)*6.75%*-1</f>
        <v/>
      </c>
      <c r="CY56" s="85">
        <f>(CX8+CX9+CX12)*6.75%*-1</f>
        <v/>
      </c>
      <c r="CZ56" s="296">
        <f>(CY8+CY9+CY12)*6.75%*-1</f>
        <v/>
      </c>
      <c r="DA56" s="87">
        <f>(CZ8+CZ9+CZ12)*6.75%*-1</f>
        <v/>
      </c>
      <c r="DB56" s="85">
        <f>(DA8+DA9+DA12)*6.75%*-1</f>
        <v/>
      </c>
      <c r="DC56" s="85">
        <f>(DB8+DB9+DB12)*6.75%*-1</f>
        <v/>
      </c>
      <c r="DD56" s="85">
        <f>(DC8+DC9+DC12)*6.75%*-1</f>
        <v/>
      </c>
      <c r="DE56" s="85">
        <f>(DD8+DD9+DD12)*6.75%*-1</f>
        <v/>
      </c>
      <c r="DF56" s="85">
        <f>(DE8+DE9+DE12)*6.75%*-1</f>
        <v/>
      </c>
      <c r="DG56" s="85">
        <f>(DF8+DF9+DF12)*6.75%*-1</f>
        <v/>
      </c>
      <c r="DH56" s="85">
        <f>(DG8+DG9+DG12)*6.75%*-1</f>
        <v/>
      </c>
      <c r="DI56" s="85">
        <f>(DH8+DH9+DH12)*6.75%*-1</f>
        <v/>
      </c>
      <c r="DJ56" s="85">
        <f>(DI8+DI9+DI12)*6.75%*-1</f>
        <v/>
      </c>
      <c r="DK56" s="85">
        <f>(DJ8+DJ9+DJ12)*6.75%*-1</f>
        <v/>
      </c>
      <c r="DL56" s="85">
        <f>(DK8+DK9+DK12)*6.75%*-1</f>
        <v/>
      </c>
      <c r="DM56" s="85">
        <f>(DL8+DL9+DL12)*6.75%*-1</f>
        <v/>
      </c>
      <c r="DN56" s="85">
        <f>(DM8+DM9+DM12)*6.75%*-1</f>
        <v/>
      </c>
      <c r="DO56" s="85">
        <f>(DN8+DN9+DN12)*6.75%*-1</f>
        <v/>
      </c>
      <c r="DP56" s="85">
        <f>(DO8+DO9+DO12)*6.75%*-1</f>
        <v/>
      </c>
      <c r="DQ56" s="85">
        <f>(DP8+DP9+DP12)*6.75%*-1</f>
        <v/>
      </c>
      <c r="DR56" s="85">
        <f>(DQ8+DQ9+DQ12)*6.75%*-1</f>
        <v/>
      </c>
      <c r="DS56" s="85">
        <f>(DR8+DR9+DR12)*6.75%*-1</f>
        <v/>
      </c>
      <c r="DT56" s="85">
        <f>(DS8+DS9+DS12)*6.75%*-1</f>
        <v/>
      </c>
      <c r="DU56" s="85">
        <f>(DT8+DT9+DT12)*6.75%*-1</f>
        <v/>
      </c>
      <c r="DV56" s="85">
        <f>(DU8+DU9+DU12)*6.75%*-1</f>
        <v/>
      </c>
      <c r="DW56" s="85">
        <f>(DV8+DV9+DV12)*6.75%*-1</f>
        <v/>
      </c>
      <c r="DX56" s="85">
        <f>(DW8+DW9+DW12)*6.75%*-1</f>
        <v/>
      </c>
      <c r="DY56" s="87">
        <f>(DU8+DU9+DU12)*6.75%*-1</f>
        <v/>
      </c>
      <c r="DZ56" s="87">
        <f>(DY8+DY9+DY12)*6.75%*-1</f>
        <v/>
      </c>
      <c r="EA56" s="85">
        <f>(DZ8+DZ9+DZ12)*6.75%*-1</f>
        <v/>
      </c>
      <c r="EB56" s="85">
        <f>(EA8+EA9+EA12)*6.75%*-1</f>
        <v/>
      </c>
      <c r="EC56" s="85">
        <f>(EB8+EB9+EB12)*6.75%*-1</f>
        <v/>
      </c>
      <c r="ED56" s="85">
        <f>(EC8+EC9+EC12)*6.75%*-1</f>
        <v/>
      </c>
      <c r="EE56" s="85">
        <f>(ED8+ED9+ED12)*6.75%*-1</f>
        <v/>
      </c>
      <c r="EF56" s="85">
        <f>(EE8+EE9+EE12)*6.75%*-1</f>
        <v/>
      </c>
      <c r="EG56" s="85">
        <f>(EF8+EF9+EF12)*6.75%*-1</f>
        <v/>
      </c>
      <c r="EH56" s="85">
        <f>(EG8+EG9+EG12)*6.75%*-1</f>
        <v/>
      </c>
      <c r="EI56" s="86">
        <f>(EH8+EH9+EH12)*6.75%*-1</f>
        <v/>
      </c>
      <c r="EJ56" s="86">
        <f>(EI8+EI9+EI12)*6.75%*-1</f>
        <v/>
      </c>
      <c r="EK56" s="85">
        <f>(EJ8+EJ9+EJ12)*6.75%*-1</f>
        <v/>
      </c>
      <c r="EL56" s="85">
        <f>(EK8+EK9+EK12)*6.75%*-1</f>
        <v/>
      </c>
      <c r="EM56" s="85">
        <f>(EL8+EL9+EL12)*6.75%*-1</f>
        <v/>
      </c>
      <c r="EN56" s="85">
        <f>(EM8+EM9+EM12)*6.75%*-1</f>
        <v/>
      </c>
      <c r="EO56" s="85">
        <f>(EN8+EN9+EN12)*6.75%*-1</f>
        <v/>
      </c>
      <c r="EP56" s="85">
        <f>(EO8+EO9+EO12)*6.75%*-1</f>
        <v/>
      </c>
      <c r="EQ56" s="85">
        <f>(EP8+EP9+EP12)*6.75%*-1</f>
        <v/>
      </c>
      <c r="ER56" s="85">
        <f>(EQ8+EQ9+EQ12)*6.75%*-1</f>
        <v/>
      </c>
      <c r="ES56" s="85">
        <f>(ER8+ER9+ER12)*6.75%*-1</f>
        <v/>
      </c>
      <c r="ET56" s="85">
        <f>(ES8+ES9+ES12)*6.75%*-1</f>
        <v/>
      </c>
      <c r="EU56" s="85">
        <f>(ET8+ET9+ET12)*6.75%*-1</f>
        <v/>
      </c>
      <c r="EV56" s="296">
        <f>(EU8+EU9+EU12)*6.75%*-1</f>
        <v/>
      </c>
      <c r="EW56" s="87">
        <f>(EV8+EV9+EV12)*6.75%*-1</f>
        <v/>
      </c>
      <c r="EX56" s="85">
        <f>(EW8+EW9+EW12)*6.75%*-1</f>
        <v/>
      </c>
      <c r="EY56" s="85">
        <f>(EX8+EX9+EX12)*6.75%*-1</f>
        <v/>
      </c>
      <c r="EZ56" s="85">
        <f>(EY8+EY9+EY12)*6.75%*-1</f>
        <v/>
      </c>
      <c r="FA56" s="85">
        <f>(EZ8+EZ9+EZ12)*6.75%*-1</f>
        <v/>
      </c>
      <c r="FB56" s="85">
        <f>(FA8+FA9+FA12)*6.75%*-1</f>
        <v/>
      </c>
      <c r="FC56" s="85">
        <f>(FB8+FB9+FB12)*6.75%*-1</f>
        <v/>
      </c>
      <c r="FD56" s="85">
        <f>(FC8+FC9+FC12)*6.75%*-1</f>
        <v/>
      </c>
      <c r="FE56" s="85">
        <f>(FD8+FD9+FD12)*6.75%*-1</f>
        <v/>
      </c>
      <c r="FF56" s="85">
        <f>(FE8+FE9+FE12)*6.75%*-1</f>
        <v/>
      </c>
      <c r="FG56" s="85">
        <f>(FF8+FF9+FF12)*6.75%*-1</f>
        <v/>
      </c>
      <c r="FH56" s="296">
        <f>(FG8+FG9+FG12)*6.75%*-1</f>
        <v/>
      </c>
      <c r="FI56" s="87">
        <f>(FH8+FH9+FH12)*6.75%*-1</f>
        <v/>
      </c>
      <c r="FJ56" s="85">
        <f>(FI8+FI9+FI12)*6.75%*-1</f>
        <v/>
      </c>
      <c r="FK56" s="85">
        <f>(FJ8+FJ9+FJ12)*6.75%*-1</f>
        <v/>
      </c>
      <c r="FL56" s="85">
        <f>(FK8+FK9+FK12)*6.75%*-1</f>
        <v/>
      </c>
      <c r="FM56" s="85">
        <f>(FL8+FL9+FL12)*6.75%*-1</f>
        <v/>
      </c>
      <c r="FN56" s="85">
        <f>(FM8+FM9+FM12)*6.75%*-1</f>
        <v/>
      </c>
      <c r="FO56" s="85">
        <f>(FN8+FN9+FN12)*6.75%*-1</f>
        <v/>
      </c>
      <c r="FP56" s="85">
        <f>(FO8+FO9+FO12)*6.75%*-1</f>
        <v/>
      </c>
      <c r="FQ56" s="85">
        <f>(FP8+FP9+FP12)*6.75%*-1</f>
        <v/>
      </c>
      <c r="FR56" s="85">
        <f>(FQ8+FQ9+FQ12)*6.75%*-1</f>
        <v/>
      </c>
      <c r="FS56" s="85">
        <f>(FR8+FR9+FR12)*6.75%*-1</f>
        <v/>
      </c>
      <c r="FT56" s="85">
        <f>(FS8+FS9+FS12)*6.75%*-1</f>
        <v/>
      </c>
      <c r="FU56" s="85">
        <f>(FT8+FT9+FT12)*6.75%*-1</f>
        <v/>
      </c>
      <c r="FV56" s="85">
        <f>(FU8+FU9+FU12)*6.75%*-1</f>
        <v/>
      </c>
      <c r="FW56" s="85">
        <f>(FV8+FV9+FV12)*6.75%*-1</f>
        <v/>
      </c>
      <c r="FX56" s="85">
        <f>(FW8+FW9+FW12)*6.75%*-1</f>
        <v/>
      </c>
      <c r="FY56" s="85">
        <f>(FX8+FX9+FX12)*6.75%*-1</f>
        <v/>
      </c>
      <c r="FZ56" s="85">
        <f>(FY8+FY9+FY12)*6.75%*-1</f>
        <v/>
      </c>
      <c r="GA56" s="85">
        <f>(FZ8+FZ9+FZ12)*6.75%*-1</f>
        <v/>
      </c>
      <c r="GB56" s="85">
        <f>(GA8+GA9+GA12)*6.75%*-1</f>
        <v/>
      </c>
      <c r="GC56" s="85">
        <f>(GB8+GB9+GB12)*6.75%*-1</f>
        <v/>
      </c>
      <c r="GD56" s="85">
        <f>(GC8+GC9+GC12)*6.75%*-1</f>
        <v/>
      </c>
      <c r="GE56" s="85">
        <f>(GD8+GD9+GD12)*6.75%*-1</f>
        <v/>
      </c>
      <c r="GF56" s="85">
        <f>(GE8+GE9+GE12)*6.75%*-1</f>
        <v/>
      </c>
      <c r="GG56" s="85">
        <f>(GF8+GF9+GF12)*6.75%*-1</f>
        <v/>
      </c>
      <c r="GH56" s="85">
        <f>(GG8+GG9+GG12)*6.75%*-1</f>
        <v/>
      </c>
      <c r="GI56" s="85">
        <f>(GH8+GH9+GH12)*6.75%*-1</f>
        <v/>
      </c>
      <c r="GJ56" s="85">
        <f>(GI8+GI9+GI12)*6.75%*-1</f>
        <v/>
      </c>
      <c r="GK56" s="85">
        <f>(GJ8+GJ9+GJ12)*6.75%*-1</f>
        <v/>
      </c>
      <c r="GL56" s="85">
        <f>(GK8+GK9+GK12)*6.75%*-1</f>
        <v/>
      </c>
      <c r="GM56" s="85">
        <f>(GL8+GL9+GL12)*6.75%*-1</f>
        <v/>
      </c>
      <c r="GN56" s="85">
        <f>(GM8+GM9+GM12)*6.75%*-1</f>
        <v/>
      </c>
      <c r="GO56" s="85">
        <f>(GN8+GN9+GN12)*6.75%*-1</f>
        <v/>
      </c>
      <c r="GP56" s="85">
        <f>(GO8+GO9+GO12)*6.75%*-1</f>
        <v/>
      </c>
      <c r="GQ56" s="85">
        <f>(GP8+GP9+GP12)*6.75%*-1</f>
        <v/>
      </c>
      <c r="GR56" s="85">
        <f>(GQ8+GQ9+GQ12)*6.75%*-1</f>
        <v/>
      </c>
      <c r="GS56" s="85">
        <f>(GR8+GR9+GR12)*6.75%*-1</f>
        <v/>
      </c>
      <c r="GT56" s="85">
        <f>(GS8+GS9+GS12)*6.75%*-1</f>
        <v/>
      </c>
      <c r="GU56" s="85">
        <f>(GT8+GT9+GT12)*6.75%*-1</f>
        <v/>
      </c>
      <c r="GV56" s="85">
        <f>(GU8+GU9+GU12)*6.75%*-1</f>
        <v/>
      </c>
      <c r="GW56" s="85">
        <f>(GV8+GV9+GV12)*6.75%*-1</f>
        <v/>
      </c>
      <c r="GX56" s="85">
        <f>(GW8+GW9+GW12)*6.75%*-1</f>
        <v/>
      </c>
      <c r="GY56" s="85">
        <f>(GX8+GX9+GX12)*6.75%*-1</f>
        <v/>
      </c>
      <c r="GZ56" s="85">
        <f>(GY8+GY9+GY12)*6.75%*-1</f>
        <v/>
      </c>
      <c r="HA56" s="85">
        <f>(GZ8+GZ9+GZ12)*6.75%*-1</f>
        <v/>
      </c>
      <c r="HB56" s="85">
        <f>(HA8+HA9+HA12)*6.75%*-1</f>
        <v/>
      </c>
      <c r="HC56" s="85">
        <f>(HB8+HB9+HB12)*6.75%*-1</f>
        <v/>
      </c>
      <c r="HD56" s="85">
        <f>(HC8+HC9+HC12)*6.75%*-1</f>
        <v/>
      </c>
      <c r="HE56" s="85">
        <f>(HD8+HD9+HD12)*6.75%*-1</f>
        <v/>
      </c>
      <c r="HF56" s="85">
        <f>(HE8+HE9+HE12)*6.75%*-1</f>
        <v/>
      </c>
      <c r="HG56" s="85">
        <f>(HF8+HF9+HF12)*6.75%*-1</f>
        <v/>
      </c>
      <c r="HH56" s="85">
        <f>(HG8+HG9+HG12)*6.75%*-1</f>
        <v/>
      </c>
      <c r="HI56" s="85">
        <f>(HH8+HH9+HH12)*6.75%*-1</f>
        <v/>
      </c>
      <c r="HJ56" s="85">
        <f>(HI8+HI9+HI12)*6.75%*-1</f>
        <v/>
      </c>
      <c r="HK56" s="85">
        <f>(HJ8+HJ9+HJ12)*6.75%*-1</f>
        <v/>
      </c>
      <c r="HL56" s="85">
        <f>(HK8+HK9+HK12)*6.75%*-1</f>
        <v/>
      </c>
      <c r="HM56" s="85">
        <f>(HL8+HL9+HL12)*6.75%*-1</f>
        <v/>
      </c>
      <c r="HN56" s="85">
        <f>(HM8+HM9+HM12)*6.75%*-1</f>
        <v/>
      </c>
      <c r="HO56" s="85">
        <f>(HN8+HN9+HN12)*6.75%*-1</f>
        <v/>
      </c>
      <c r="HP56" s="85">
        <f>(HO8+HO9+HO12)*6.75%*-1</f>
        <v/>
      </c>
      <c r="HQ56" s="85">
        <f>(HP8+HP9+HP12)*6.75%*-1</f>
        <v/>
      </c>
      <c r="HR56" s="85">
        <f>(HQ8+HQ9+HQ12)*6.75%*-1</f>
        <v/>
      </c>
      <c r="HS56" s="85">
        <f>(HR8+HR9+HR12)*6.75%*-1</f>
        <v/>
      </c>
      <c r="HT56" s="85">
        <f>(HS8+HS9+HS12)*6.75%*-1</f>
        <v/>
      </c>
      <c r="HU56" s="85">
        <f>(HT8+HT9+HT12)*6.75%*-1</f>
        <v/>
      </c>
      <c r="JF56" s="87">
        <f>AP56</f>
        <v/>
      </c>
      <c r="JG56" s="87">
        <f>SUM(Z56:AK56)</f>
        <v/>
      </c>
      <c r="JH56" s="87">
        <f>SUM(AL56:AP56)</f>
        <v/>
      </c>
      <c r="JI56" s="87">
        <f>SUM(C56:AP56)</f>
        <v/>
      </c>
      <c r="JJ56" s="446" t="n"/>
      <c r="JM56" s="85" t="n">
        <v>-253307.5942500001</v>
      </c>
      <c r="KG56" s="136">
        <f>B56</f>
        <v/>
      </c>
      <c r="KH56" s="345">
        <f>AR56</f>
        <v/>
      </c>
    </row>
    <row r="57" ht="16.2" customHeight="1">
      <c r="A57" s="1" t="n"/>
      <c r="B57" s="145" t="n"/>
      <c r="C57" s="53" t="n"/>
      <c r="D57" s="53" t="n"/>
      <c r="E57" s="53" t="n"/>
      <c r="F57" s="53" t="n"/>
      <c r="G57" s="53" t="n"/>
      <c r="H57" s="53" t="n"/>
      <c r="I57" s="53" t="n"/>
      <c r="J57" s="185" t="n"/>
      <c r="K57" s="53" t="n"/>
      <c r="L57" s="53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13" t="n"/>
      <c r="AR57" s="240" t="n"/>
      <c r="AS57" s="1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307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307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307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307" t="n"/>
      <c r="CO57" s="53" t="n"/>
      <c r="CP57" s="53" t="n"/>
      <c r="CQ57" s="53" t="n"/>
      <c r="CR57" s="53" t="n"/>
      <c r="CS57" s="53" t="n"/>
      <c r="CT57" s="53" t="n"/>
      <c r="CU57" s="53" t="n"/>
      <c r="CV57" s="53" t="n"/>
      <c r="CW57" s="53" t="n"/>
      <c r="CX57" s="53" t="n"/>
      <c r="CY57" s="53" t="n"/>
      <c r="CZ57" s="307" t="n"/>
      <c r="DA57" s="53" t="n"/>
      <c r="DB57" s="53" t="n"/>
      <c r="DC57" s="53" t="n"/>
      <c r="DD57" s="53" t="n"/>
      <c r="DE57" s="53" t="n"/>
      <c r="DF57" s="53" t="n"/>
      <c r="DG57" s="53" t="n"/>
      <c r="DH57" s="53" t="n"/>
      <c r="DI57" s="53" t="n"/>
      <c r="DJ57" s="53" t="n"/>
      <c r="DK57" s="53" t="n"/>
      <c r="DL57" s="53" t="n"/>
      <c r="DM57" s="53" t="n"/>
      <c r="DN57" s="53" t="n"/>
      <c r="DO57" s="53" t="n"/>
      <c r="DP57" s="53" t="n"/>
      <c r="DQ57" s="53" t="n"/>
      <c r="DR57" s="53" t="n"/>
      <c r="DS57" s="53" t="n"/>
      <c r="DT57" s="53" t="n"/>
      <c r="DU57" s="53" t="n"/>
      <c r="DV57" s="53" t="n"/>
      <c r="DW57" s="53" t="n"/>
      <c r="DX57" s="53" t="n"/>
      <c r="DY57" s="53" t="n"/>
      <c r="DZ57" s="53" t="n"/>
      <c r="EA57" s="53" t="n"/>
      <c r="EB57" s="53" t="n"/>
      <c r="EC57" s="53" t="n"/>
      <c r="ED57" s="53" t="n"/>
      <c r="EE57" s="53" t="n"/>
      <c r="EF57" s="53" t="n"/>
      <c r="EG57" s="53" t="n"/>
      <c r="EH57" s="53" t="n"/>
      <c r="EI57" s="53" t="n"/>
      <c r="EJ57" s="53" t="n"/>
      <c r="EK57" s="53" t="n"/>
      <c r="EL57" s="53" t="n"/>
      <c r="EM57" s="53" t="n"/>
      <c r="EN57" s="53" t="n"/>
      <c r="EO57" s="53" t="n"/>
      <c r="EP57" s="53" t="n"/>
      <c r="EQ57" s="53" t="n"/>
      <c r="ER57" s="53" t="n"/>
      <c r="ES57" s="53" t="n"/>
      <c r="ET57" s="53" t="n"/>
      <c r="EU57" s="53" t="n"/>
      <c r="EV57" s="53" t="n"/>
      <c r="EW57" s="53" t="n"/>
      <c r="EX57" s="53" t="n"/>
      <c r="EY57" s="53" t="n"/>
      <c r="EZ57" s="53" t="n"/>
      <c r="FA57" s="53" t="n"/>
      <c r="FB57" s="53" t="n"/>
      <c r="FC57" s="53" t="n"/>
      <c r="FD57" s="53" t="n"/>
      <c r="FE57" s="53" t="n"/>
      <c r="FF57" s="53" t="n"/>
      <c r="FG57" s="53" t="n"/>
      <c r="FH57" s="53" t="n"/>
      <c r="FI57" s="53" t="n"/>
      <c r="FJ57" s="53" t="n"/>
      <c r="FK57" s="53" t="n"/>
      <c r="FL57" s="53" t="n"/>
      <c r="FM57" s="53" t="n"/>
      <c r="FN57" s="53" t="n"/>
      <c r="FO57" s="53" t="n"/>
      <c r="FP57" s="53" t="n"/>
      <c r="FQ57" s="53" t="n"/>
      <c r="FR57" s="53" t="n"/>
      <c r="FS57" s="53" t="n"/>
      <c r="FT57" s="53" t="n"/>
      <c r="FU57" s="53" t="n"/>
      <c r="FV57" s="53" t="n"/>
      <c r="FW57" s="53" t="n"/>
      <c r="FX57" s="53" t="n"/>
      <c r="FY57" s="53" t="n"/>
      <c r="FZ57" s="53" t="n"/>
      <c r="GA57" s="53" t="n"/>
      <c r="GB57" s="53" t="n"/>
      <c r="GC57" s="53" t="n"/>
      <c r="GD57" s="53" t="n"/>
      <c r="GE57" s="53" t="n"/>
      <c r="GF57" s="53" t="n"/>
      <c r="GG57" s="53" t="n"/>
      <c r="GH57" s="53" t="n"/>
      <c r="GI57" s="53" t="n"/>
      <c r="GJ57" s="53" t="n"/>
      <c r="GK57" s="53" t="n"/>
      <c r="GL57" s="53" t="n"/>
      <c r="GM57" s="53" t="n"/>
      <c r="GN57" s="53" t="n"/>
      <c r="GO57" s="53" t="n"/>
      <c r="GP57" s="53" t="n"/>
      <c r="GQ57" s="53" t="n"/>
      <c r="GR57" s="53" t="n"/>
      <c r="GS57" s="53" t="n"/>
      <c r="GT57" s="53" t="n"/>
      <c r="GU57" s="53" t="n"/>
      <c r="GV57" s="53" t="n"/>
      <c r="GW57" s="53" t="n"/>
      <c r="GX57" s="53" t="n"/>
      <c r="GY57" s="53" t="n"/>
      <c r="GZ57" s="53" t="n"/>
      <c r="HA57" s="53" t="n"/>
      <c r="HB57" s="53" t="n"/>
      <c r="HC57" s="53" t="n"/>
      <c r="HD57" s="53" t="n"/>
      <c r="HE57" s="53" t="n"/>
      <c r="HF57" s="53" t="n"/>
      <c r="HG57" s="53" t="n"/>
      <c r="HH57" s="53" t="n"/>
      <c r="HI57" s="53" t="n"/>
      <c r="HJ57" s="53" t="n"/>
      <c r="HK57" s="53" t="n"/>
      <c r="HL57" s="53" t="n"/>
      <c r="HM57" s="53" t="n"/>
      <c r="HN57" s="53" t="n"/>
      <c r="HO57" s="53" t="n"/>
      <c r="HP57" s="53" t="n"/>
      <c r="HQ57" s="53" t="n"/>
      <c r="HR57" s="53" t="n"/>
      <c r="HS57" s="53" t="n"/>
      <c r="HT57" s="53" t="n"/>
      <c r="HU57" s="53" t="n"/>
      <c r="JF57" s="53">
        <f>AP57</f>
        <v/>
      </c>
      <c r="JG57" s="53">
        <f>SUM(Z57:AK57)</f>
        <v/>
      </c>
      <c r="JH57" s="53">
        <f>SUM(AL57:AP57)</f>
        <v/>
      </c>
      <c r="JI57" s="53">
        <f>SUM(C57:AP57)</f>
        <v/>
      </c>
      <c r="JJ57" s="446" t="n"/>
      <c r="JM57" s="53" t="n"/>
      <c r="KG57" s="145">
        <f>B57</f>
        <v/>
      </c>
      <c r="KH57" s="240">
        <f>AR57</f>
        <v/>
      </c>
    </row>
    <row r="58" ht="16.2" customHeight="1">
      <c r="A58" s="19" t="inlineStr">
        <is>
          <t>DESAPROPRIAÇÃO (-)</t>
        </is>
      </c>
      <c r="B58" s="139" t="n"/>
      <c r="C58" s="20" t="n"/>
      <c r="D58" s="22" t="n"/>
      <c r="E58" s="20" t="n"/>
      <c r="F58" s="20" t="n"/>
      <c r="G58" s="20" t="n"/>
      <c r="H58" s="20" t="n"/>
      <c r="I58" s="21" t="n"/>
      <c r="J58" s="175" t="n"/>
      <c r="K58" s="21" t="n"/>
      <c r="L58" s="108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00" t="n"/>
      <c r="AR58" s="241" t="n"/>
      <c r="AS58" s="20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99" t="n"/>
      <c r="BE58" s="22" t="n"/>
      <c r="BF58" s="20" t="n"/>
      <c r="BG58" s="20" t="n"/>
      <c r="BH58" s="20" t="n"/>
      <c r="BI58" s="20" t="n"/>
      <c r="BJ58" s="20" t="n"/>
      <c r="BK58" s="20" t="n"/>
      <c r="BL58" s="20" t="n"/>
      <c r="BM58" s="20" t="n"/>
      <c r="BN58" s="20" t="n"/>
      <c r="BO58" s="20" t="n"/>
      <c r="BP58" s="299" t="n"/>
      <c r="BQ58" s="22" t="n"/>
      <c r="BR58" s="20" t="n"/>
      <c r="BS58" s="20" t="n"/>
      <c r="BT58" s="20" t="n"/>
      <c r="BU58" s="20" t="n"/>
      <c r="BV58" s="20" t="n"/>
      <c r="BW58" s="20" t="n"/>
      <c r="BX58" s="20" t="n"/>
      <c r="BY58" s="20" t="n"/>
      <c r="BZ58" s="20" t="n"/>
      <c r="CA58" s="20" t="n"/>
      <c r="CB58" s="299" t="n"/>
      <c r="CC58" s="22" t="n"/>
      <c r="CD58" s="20" t="n"/>
      <c r="CE58" s="20" t="n"/>
      <c r="CF58" s="20" t="n"/>
      <c r="CG58" s="20" t="n"/>
      <c r="CH58" s="20" t="n"/>
      <c r="CI58" s="20" t="n"/>
      <c r="CJ58" s="20" t="n"/>
      <c r="CK58" s="20" t="n"/>
      <c r="CL58" s="20" t="n"/>
      <c r="CM58" s="20" t="n"/>
      <c r="CN58" s="299" t="n"/>
      <c r="CO58" s="22" t="n"/>
      <c r="CP58" s="20" t="n"/>
      <c r="CQ58" s="20" t="n"/>
      <c r="CR58" s="20" t="n"/>
      <c r="CS58" s="20" t="n"/>
      <c r="CT58" s="20" t="n"/>
      <c r="CU58" s="20" t="n"/>
      <c r="CV58" s="20" t="n"/>
      <c r="CW58" s="20" t="n"/>
      <c r="CX58" s="20" t="n"/>
      <c r="CY58" s="20" t="n"/>
      <c r="CZ58" s="299" t="n"/>
      <c r="DA58" s="22" t="n"/>
      <c r="DB58" s="20" t="n"/>
      <c r="DC58" s="20" t="n"/>
      <c r="DD58" s="20" t="n"/>
      <c r="DE58" s="20" t="n"/>
      <c r="DF58" s="20" t="n"/>
      <c r="DG58" s="20" t="n"/>
      <c r="DH58" s="20" t="n"/>
      <c r="DI58" s="20" t="n"/>
      <c r="DJ58" s="21" t="n"/>
      <c r="DK58" s="20" t="n"/>
      <c r="DL58" s="21" t="n"/>
      <c r="DM58" s="20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 t="n"/>
      <c r="EG58" s="21" t="n"/>
      <c r="EH58" s="21" t="n"/>
      <c r="EI58" s="21" t="n"/>
      <c r="EJ58" s="21" t="n"/>
      <c r="EK58" s="21" t="n"/>
      <c r="EL58" s="21" t="n"/>
      <c r="EM58" s="21" t="n"/>
      <c r="EN58" s="21" t="n"/>
      <c r="EO58" s="21" t="n"/>
      <c r="EP58" s="21" t="n"/>
      <c r="EQ58" s="21" t="n"/>
      <c r="ER58" s="21" t="n"/>
      <c r="ES58" s="21" t="n"/>
      <c r="ET58" s="21" t="n"/>
      <c r="EU58" s="21" t="n"/>
      <c r="EV58" s="21" t="n"/>
      <c r="EW58" s="21" t="n"/>
      <c r="EX58" s="21" t="n"/>
      <c r="EY58" s="21" t="n"/>
      <c r="EZ58" s="21" t="n"/>
      <c r="FA58" s="21" t="n"/>
      <c r="FB58" s="21" t="n"/>
      <c r="FC58" s="21" t="n"/>
      <c r="FD58" s="21" t="n"/>
      <c r="FE58" s="21" t="n"/>
      <c r="FF58" s="21" t="n"/>
      <c r="FG58" s="21" t="n"/>
      <c r="FH58" s="21" t="n"/>
      <c r="FI58" s="21" t="n"/>
      <c r="FJ58" s="21" t="n"/>
      <c r="FK58" s="21" t="n"/>
      <c r="FL58" s="21" t="n"/>
      <c r="FM58" s="21" t="n"/>
      <c r="FN58" s="21" t="n"/>
      <c r="FO58" s="21" t="n"/>
      <c r="FP58" s="21" t="n"/>
      <c r="FQ58" s="21" t="n"/>
      <c r="FR58" s="21" t="n"/>
      <c r="FS58" s="21" t="n"/>
      <c r="FT58" s="21" t="n"/>
      <c r="FU58" s="21" t="n"/>
      <c r="FV58" s="21" t="n"/>
      <c r="FW58" s="21" t="n"/>
      <c r="FX58" s="21" t="n"/>
      <c r="FY58" s="21" t="n"/>
      <c r="FZ58" s="21" t="n"/>
      <c r="GA58" s="21" t="n"/>
      <c r="GB58" s="21" t="n"/>
      <c r="GC58" s="21" t="n"/>
      <c r="GD58" s="21" t="n"/>
      <c r="GE58" s="21" t="n"/>
      <c r="GF58" s="21" t="n"/>
      <c r="GG58" s="21" t="n"/>
      <c r="GH58" s="21" t="n"/>
      <c r="GI58" s="21" t="n"/>
      <c r="GJ58" s="21" t="n"/>
      <c r="GK58" s="21" t="n"/>
      <c r="GL58" s="21" t="n"/>
      <c r="GM58" s="21" t="n"/>
      <c r="GN58" s="21" t="n"/>
      <c r="GO58" s="21" t="n"/>
      <c r="GP58" s="21" t="n"/>
      <c r="GQ58" s="21" t="n"/>
      <c r="GR58" s="21" t="n"/>
      <c r="GS58" s="21" t="n"/>
      <c r="GT58" s="21" t="n"/>
      <c r="GU58" s="21" t="n"/>
      <c r="GV58" s="21" t="n"/>
      <c r="GW58" s="21" t="n"/>
      <c r="GX58" s="21" t="n"/>
      <c r="GY58" s="21" t="n"/>
      <c r="GZ58" s="21" t="n"/>
      <c r="HA58" s="21" t="n"/>
      <c r="HB58" s="21" t="n"/>
      <c r="HC58" s="21" t="n"/>
      <c r="HD58" s="21" t="n"/>
      <c r="HE58" s="21" t="n"/>
      <c r="HF58" s="21" t="n"/>
      <c r="HG58" s="21" t="n"/>
      <c r="HH58" s="21" t="n"/>
      <c r="HI58" s="21" t="n"/>
      <c r="HJ58" s="21" t="n"/>
      <c r="HK58" s="21" t="n"/>
      <c r="HL58" s="21" t="n"/>
      <c r="HM58" s="21" t="n"/>
      <c r="HN58" s="21" t="n"/>
      <c r="HO58" s="21" t="n"/>
      <c r="HP58" s="21" t="n"/>
      <c r="HQ58" s="21" t="n"/>
      <c r="HR58" s="21" t="n"/>
      <c r="HS58" s="21" t="n"/>
      <c r="HT58" s="21" t="n"/>
      <c r="HU58" s="21" t="n"/>
      <c r="JF58" s="20">
        <f>AP58</f>
        <v/>
      </c>
      <c r="JG58" s="20">
        <f>SUM(Z58:AK58)</f>
        <v/>
      </c>
      <c r="JH58" s="20">
        <f>SUM(AL58:AP58)</f>
        <v/>
      </c>
      <c r="JI58" s="20">
        <f>SUM(C58:AP58)</f>
        <v/>
      </c>
      <c r="JJ58" s="446" t="n"/>
      <c r="JM58" s="21" t="n"/>
      <c r="KG58" s="139">
        <f>B58</f>
        <v/>
      </c>
      <c r="KH58" s="241">
        <f>AR58</f>
        <v/>
      </c>
    </row>
    <row r="59" ht="16.2" customHeight="1">
      <c r="A59" s="7" t="inlineStr">
        <is>
          <t>Desapropriação</t>
        </is>
      </c>
      <c r="B59" s="136">
        <f>SUM(C59:AP59)</f>
        <v/>
      </c>
      <c r="C59" s="85" t="n">
        <v>0</v>
      </c>
      <c r="D59" s="87" t="n">
        <v>0</v>
      </c>
      <c r="E59" s="85" t="n">
        <v>0</v>
      </c>
      <c r="F59" s="85" t="n">
        <v>0</v>
      </c>
      <c r="G59" s="85" t="n">
        <v>0</v>
      </c>
      <c r="H59" s="85" t="n"/>
      <c r="I59" s="86" t="n">
        <v>0</v>
      </c>
      <c r="J59" s="170" t="n">
        <v>0</v>
      </c>
      <c r="K59" s="86" t="n">
        <v>0</v>
      </c>
      <c r="L59" s="34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  <c r="AG59" s="159" t="n">
        <v>-2778000</v>
      </c>
      <c r="AH59" s="159" t="n">
        <v>0</v>
      </c>
      <c r="AI59" s="159" t="n">
        <v>0</v>
      </c>
      <c r="AJ59" s="159" t="n">
        <v>0</v>
      </c>
      <c r="AK59" s="159" t="n">
        <v>0</v>
      </c>
      <c r="AL59" s="159" t="n">
        <v>0</v>
      </c>
      <c r="AM59" s="159" t="n">
        <v>0</v>
      </c>
      <c r="AN59" s="159" t="n">
        <v>0</v>
      </c>
      <c r="AO59" s="159" t="n">
        <v>0</v>
      </c>
      <c r="AP59" s="159" t="n">
        <v>0</v>
      </c>
      <c r="AQ59" s="13" t="n"/>
      <c r="AR59" s="345">
        <f>SUM(AT59:HU59)</f>
        <v/>
      </c>
      <c r="AS59" s="13" t="n"/>
      <c r="AT59" s="85" t="n">
        <v>0</v>
      </c>
      <c r="AU59" s="85" t="n">
        <v>0</v>
      </c>
      <c r="AV59" s="85" t="n">
        <v>0</v>
      </c>
      <c r="AW59" s="85" t="n">
        <v>0</v>
      </c>
      <c r="AX59" s="85" t="n">
        <v>0</v>
      </c>
      <c r="AY59" s="85" t="n">
        <v>0</v>
      </c>
      <c r="AZ59" s="85" t="n">
        <v>0</v>
      </c>
      <c r="BA59" s="85" t="n">
        <v>0</v>
      </c>
      <c r="BB59" s="85" t="n">
        <v>0</v>
      </c>
      <c r="BC59" s="85" t="n">
        <v>0</v>
      </c>
      <c r="BD59" s="85" t="n">
        <v>0</v>
      </c>
      <c r="BE59" s="85" t="n">
        <v>0</v>
      </c>
      <c r="BF59" s="85" t="n">
        <v>0</v>
      </c>
      <c r="BG59" s="85" t="n">
        <v>0</v>
      </c>
      <c r="BH59" s="85" t="n">
        <v>0</v>
      </c>
      <c r="BI59" s="85" t="n">
        <v>0</v>
      </c>
      <c r="BJ59" s="85" t="n">
        <v>0</v>
      </c>
      <c r="BK59" s="85" t="n">
        <v>0</v>
      </c>
      <c r="BL59" s="85" t="n">
        <v>0</v>
      </c>
      <c r="BM59" s="85" t="n">
        <v>0</v>
      </c>
      <c r="BN59" s="85" t="n">
        <v>0</v>
      </c>
      <c r="BO59" s="85" t="n">
        <v>0</v>
      </c>
      <c r="BP59" s="85" t="n">
        <v>0</v>
      </c>
      <c r="BQ59" s="85" t="n">
        <v>0</v>
      </c>
      <c r="BR59" s="85" t="n">
        <v>0</v>
      </c>
      <c r="BS59" s="85" t="n">
        <v>0</v>
      </c>
      <c r="BT59" s="85" t="n">
        <v>0</v>
      </c>
      <c r="BU59" s="85" t="n">
        <v>0</v>
      </c>
      <c r="BV59" s="85" t="n">
        <v>0</v>
      </c>
      <c r="BW59" s="85" t="n">
        <v>0</v>
      </c>
      <c r="BX59" s="85" t="n">
        <v>0</v>
      </c>
      <c r="BY59" s="85" t="n">
        <v>0</v>
      </c>
      <c r="BZ59" s="85" t="n">
        <v>0</v>
      </c>
      <c r="CA59" s="85" t="n">
        <v>0</v>
      </c>
      <c r="CB59" s="85" t="n">
        <v>0</v>
      </c>
      <c r="CC59" s="85" t="n">
        <v>0</v>
      </c>
      <c r="CD59" s="85" t="n">
        <v>0</v>
      </c>
      <c r="CE59" s="85" t="n">
        <v>0</v>
      </c>
      <c r="CF59" s="85" t="n">
        <v>0</v>
      </c>
      <c r="CG59" s="85" t="n">
        <v>0</v>
      </c>
      <c r="CH59" s="85" t="n">
        <v>0</v>
      </c>
      <c r="CI59" s="85" t="n">
        <v>0</v>
      </c>
      <c r="CJ59" s="85" t="n">
        <v>0</v>
      </c>
      <c r="CK59" s="85" t="n">
        <v>0</v>
      </c>
      <c r="CL59" s="85" t="n">
        <v>0</v>
      </c>
      <c r="CM59" s="85" t="n">
        <v>0</v>
      </c>
      <c r="CN59" s="85" t="n">
        <v>0</v>
      </c>
      <c r="CO59" s="85" t="n">
        <v>0</v>
      </c>
      <c r="CP59" s="85" t="n">
        <v>0</v>
      </c>
      <c r="CQ59" s="85" t="n">
        <v>0</v>
      </c>
      <c r="CR59" s="85" t="n">
        <v>0</v>
      </c>
      <c r="CS59" s="85" t="n">
        <v>0</v>
      </c>
      <c r="CT59" s="85" t="n">
        <v>0</v>
      </c>
      <c r="CU59" s="85" t="n">
        <v>0</v>
      </c>
      <c r="CV59" s="85" t="n">
        <v>0</v>
      </c>
      <c r="CW59" s="85" t="n">
        <v>0</v>
      </c>
      <c r="CX59" s="85" t="n">
        <v>0</v>
      </c>
      <c r="CY59" s="85" t="n">
        <v>0</v>
      </c>
      <c r="CZ59" s="85" t="n">
        <v>0</v>
      </c>
      <c r="DA59" s="85" t="n">
        <v>0</v>
      </c>
      <c r="DB59" s="85" t="n">
        <v>0</v>
      </c>
      <c r="DC59" s="85" t="n">
        <v>0</v>
      </c>
      <c r="DD59" s="85" t="n">
        <v>0</v>
      </c>
      <c r="DE59" s="85" t="n">
        <v>0</v>
      </c>
      <c r="DF59" s="85" t="n">
        <v>0</v>
      </c>
      <c r="DG59" s="85" t="n">
        <v>0</v>
      </c>
      <c r="DH59" s="85" t="n">
        <v>0</v>
      </c>
      <c r="DI59" s="85" t="n">
        <v>0</v>
      </c>
      <c r="DJ59" s="85" t="n">
        <v>0</v>
      </c>
      <c r="DK59" s="85" t="n">
        <v>0</v>
      </c>
      <c r="DL59" s="85" t="n">
        <v>0</v>
      </c>
      <c r="DM59" s="85" t="n">
        <v>0</v>
      </c>
      <c r="DN59" s="85" t="n">
        <v>0</v>
      </c>
      <c r="DO59" s="85" t="n">
        <v>0</v>
      </c>
      <c r="DP59" s="85" t="n">
        <v>0</v>
      </c>
      <c r="DQ59" s="85" t="n">
        <v>0</v>
      </c>
      <c r="DR59" s="85" t="n">
        <v>0</v>
      </c>
      <c r="DS59" s="85" t="n">
        <v>0</v>
      </c>
      <c r="DT59" s="85" t="n">
        <v>0</v>
      </c>
      <c r="DU59" s="85" t="n">
        <v>0</v>
      </c>
      <c r="DV59" s="85" t="n">
        <v>0</v>
      </c>
      <c r="DW59" s="85" t="n">
        <v>0</v>
      </c>
      <c r="DX59" s="85" t="n">
        <v>0</v>
      </c>
      <c r="DY59" s="85" t="n">
        <v>0</v>
      </c>
      <c r="DZ59" s="85" t="n">
        <v>0</v>
      </c>
      <c r="EA59" s="85" t="n">
        <v>0</v>
      </c>
      <c r="EB59" s="85" t="n">
        <v>0</v>
      </c>
      <c r="EC59" s="85" t="n">
        <v>0</v>
      </c>
      <c r="ED59" s="85" t="n">
        <v>0</v>
      </c>
      <c r="EE59" s="85" t="n">
        <v>0</v>
      </c>
      <c r="EF59" s="85" t="n">
        <v>0</v>
      </c>
      <c r="EG59" s="85" t="n">
        <v>0</v>
      </c>
      <c r="EH59" s="85" t="n">
        <v>0</v>
      </c>
      <c r="EI59" s="85" t="n">
        <v>0</v>
      </c>
      <c r="EJ59" s="85" t="n">
        <v>0</v>
      </c>
      <c r="EK59" s="85" t="n">
        <v>0</v>
      </c>
      <c r="EL59" s="85" t="n">
        <v>0</v>
      </c>
      <c r="EM59" s="85" t="n">
        <v>0</v>
      </c>
      <c r="EN59" s="85" t="n">
        <v>0</v>
      </c>
      <c r="EO59" s="85" t="n">
        <v>0</v>
      </c>
      <c r="EP59" s="85" t="n">
        <v>0</v>
      </c>
      <c r="EQ59" s="85" t="n">
        <v>0</v>
      </c>
      <c r="ER59" s="85" t="n">
        <v>0</v>
      </c>
      <c r="ES59" s="85" t="n">
        <v>0</v>
      </c>
      <c r="ET59" s="85" t="n">
        <v>0</v>
      </c>
      <c r="EU59" s="85" t="n">
        <v>0</v>
      </c>
      <c r="EV59" s="85" t="n">
        <v>0</v>
      </c>
      <c r="EW59" s="85" t="n">
        <v>0</v>
      </c>
      <c r="EX59" s="85" t="n">
        <v>0</v>
      </c>
      <c r="EY59" s="85" t="n">
        <v>0</v>
      </c>
      <c r="EZ59" s="85" t="n">
        <v>0</v>
      </c>
      <c r="FA59" s="85" t="n">
        <v>0</v>
      </c>
      <c r="FB59" s="85" t="n">
        <v>0</v>
      </c>
      <c r="FC59" s="85" t="n">
        <v>0</v>
      </c>
      <c r="FD59" s="85" t="n">
        <v>0</v>
      </c>
      <c r="FE59" s="85" t="n">
        <v>0</v>
      </c>
      <c r="FF59" s="85" t="n">
        <v>0</v>
      </c>
      <c r="FG59" s="85" t="n">
        <v>0</v>
      </c>
      <c r="FH59" s="85" t="n">
        <v>0</v>
      </c>
      <c r="FI59" s="85" t="n">
        <v>0</v>
      </c>
      <c r="FJ59" s="85" t="n">
        <v>0</v>
      </c>
      <c r="FK59" s="85" t="n">
        <v>0</v>
      </c>
      <c r="FL59" s="85" t="n">
        <v>0</v>
      </c>
      <c r="FM59" s="85" t="n">
        <v>0</v>
      </c>
      <c r="FN59" s="85" t="n">
        <v>0</v>
      </c>
      <c r="FO59" s="85" t="n">
        <v>0</v>
      </c>
      <c r="FP59" s="85" t="n">
        <v>0</v>
      </c>
      <c r="FQ59" s="85" t="n">
        <v>0</v>
      </c>
      <c r="FR59" s="85" t="n">
        <v>0</v>
      </c>
      <c r="FS59" s="85" t="n">
        <v>0</v>
      </c>
      <c r="FT59" s="85" t="n">
        <v>0</v>
      </c>
      <c r="FU59" s="85" t="n">
        <v>0</v>
      </c>
      <c r="FV59" s="85" t="n">
        <v>0</v>
      </c>
      <c r="FW59" s="85" t="n">
        <v>0</v>
      </c>
      <c r="FX59" s="85" t="n">
        <v>0</v>
      </c>
      <c r="FY59" s="85" t="n">
        <v>0</v>
      </c>
      <c r="FZ59" s="85" t="n">
        <v>0</v>
      </c>
      <c r="GA59" s="85" t="n">
        <v>0</v>
      </c>
      <c r="GB59" s="85" t="n">
        <v>0</v>
      </c>
      <c r="GC59" s="85" t="n">
        <v>0</v>
      </c>
      <c r="GD59" s="85" t="n">
        <v>0</v>
      </c>
      <c r="GE59" s="85" t="n">
        <v>0</v>
      </c>
      <c r="GF59" s="85" t="n">
        <v>0</v>
      </c>
      <c r="GG59" s="85" t="n">
        <v>0</v>
      </c>
      <c r="GH59" s="85" t="n">
        <v>0</v>
      </c>
      <c r="GI59" s="85" t="n">
        <v>0</v>
      </c>
      <c r="GJ59" s="85" t="n">
        <v>0</v>
      </c>
      <c r="GK59" s="85" t="n">
        <v>0</v>
      </c>
      <c r="GL59" s="85" t="n">
        <v>0</v>
      </c>
      <c r="GM59" s="85" t="n">
        <v>0</v>
      </c>
      <c r="GN59" s="85" t="n">
        <v>0</v>
      </c>
      <c r="GO59" s="85" t="n">
        <v>0</v>
      </c>
      <c r="GP59" s="85" t="n">
        <v>0</v>
      </c>
      <c r="GQ59" s="85" t="n">
        <v>0</v>
      </c>
      <c r="GR59" s="85" t="n">
        <v>0</v>
      </c>
      <c r="GS59" s="85" t="n">
        <v>0</v>
      </c>
      <c r="GT59" s="85" t="n">
        <v>0</v>
      </c>
      <c r="GU59" s="85" t="n">
        <v>0</v>
      </c>
      <c r="GV59" s="85" t="n">
        <v>0</v>
      </c>
      <c r="GW59" s="85" t="n">
        <v>0</v>
      </c>
      <c r="GX59" s="85" t="n">
        <v>0</v>
      </c>
      <c r="GY59" s="85" t="n">
        <v>0</v>
      </c>
      <c r="GZ59" s="85" t="n">
        <v>0</v>
      </c>
      <c r="HA59" s="85" t="n">
        <v>0</v>
      </c>
      <c r="HB59" s="85" t="n">
        <v>0</v>
      </c>
      <c r="HC59" s="85" t="n">
        <v>0</v>
      </c>
      <c r="HD59" s="85" t="n">
        <v>0</v>
      </c>
      <c r="HE59" s="85" t="n">
        <v>0</v>
      </c>
      <c r="HF59" s="85" t="n">
        <v>0</v>
      </c>
      <c r="HG59" s="85" t="n">
        <v>0</v>
      </c>
      <c r="HH59" s="85" t="n">
        <v>0</v>
      </c>
      <c r="HI59" s="85" t="n">
        <v>0</v>
      </c>
      <c r="HJ59" s="85" t="n">
        <v>0</v>
      </c>
      <c r="HK59" s="85" t="n">
        <v>0</v>
      </c>
      <c r="HL59" s="85" t="n">
        <v>0</v>
      </c>
      <c r="HM59" s="85" t="n">
        <v>0</v>
      </c>
      <c r="HN59" s="85" t="n">
        <v>0</v>
      </c>
      <c r="HO59" s="85" t="n">
        <v>0</v>
      </c>
      <c r="HP59" s="85" t="n">
        <v>0</v>
      </c>
      <c r="HQ59" s="85" t="n">
        <v>0</v>
      </c>
      <c r="HR59" s="85" t="n">
        <v>0</v>
      </c>
      <c r="HS59" s="85" t="n">
        <v>0</v>
      </c>
      <c r="HT59" s="85" t="n">
        <v>0</v>
      </c>
      <c r="HU59" s="85" t="n">
        <v>0</v>
      </c>
      <c r="JF59" s="87">
        <f>AP59</f>
        <v/>
      </c>
      <c r="JG59" s="87">
        <f>SUM(Z59:AK59)</f>
        <v/>
      </c>
      <c r="JH59" s="87">
        <f>SUM(AL59:AP59)</f>
        <v/>
      </c>
      <c r="JI59" s="87">
        <f>SUM(C59:AP59)</f>
        <v/>
      </c>
      <c r="JJ59" s="446" t="n"/>
      <c r="JM59" s="85" t="n">
        <v>0</v>
      </c>
      <c r="KG59" s="136">
        <f>B59</f>
        <v/>
      </c>
      <c r="KH59" s="345">
        <f>AR59</f>
        <v/>
      </c>
    </row>
    <row r="60" ht="7.2" customHeight="1">
      <c r="A60" s="1" t="n"/>
      <c r="B60" s="143" t="n"/>
      <c r="C60" s="53" t="n"/>
      <c r="D60" s="53" t="n"/>
      <c r="E60" s="53" t="n"/>
      <c r="F60" s="53" t="n"/>
      <c r="G60" s="53" t="n"/>
      <c r="H60" s="53" t="n"/>
      <c r="I60" s="53" t="n"/>
      <c r="J60" s="185" t="n"/>
      <c r="K60" s="53" t="n"/>
      <c r="L60" s="53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3" t="n"/>
      <c r="AR60" s="240" t="n"/>
      <c r="AS60" s="1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307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307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307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307" t="n"/>
      <c r="CO60" s="53" t="n"/>
      <c r="CP60" s="53" t="n"/>
      <c r="CQ60" s="53" t="n"/>
      <c r="CR60" s="53" t="n"/>
      <c r="CS60" s="53" t="n"/>
      <c r="CT60" s="53" t="n"/>
      <c r="CU60" s="53" t="n"/>
      <c r="CV60" s="53" t="n"/>
      <c r="CW60" s="53" t="n"/>
      <c r="CX60" s="53" t="n"/>
      <c r="CY60" s="53" t="n"/>
      <c r="CZ60" s="307" t="n"/>
      <c r="DA60" s="53" t="n"/>
      <c r="DB60" s="53" t="n"/>
      <c r="DC60" s="53" t="n"/>
      <c r="DD60" s="53" t="n"/>
      <c r="DE60" s="53" t="n"/>
      <c r="DF60" s="53" t="n"/>
      <c r="DG60" s="53" t="n"/>
      <c r="DH60" s="53" t="n"/>
      <c r="DI60" s="53" t="n"/>
      <c r="DJ60" s="53" t="n"/>
      <c r="DK60" s="53" t="n"/>
      <c r="DL60" s="53" t="n"/>
      <c r="DM60" s="53" t="n"/>
      <c r="DN60" s="53" t="n"/>
      <c r="DO60" s="53" t="n"/>
      <c r="DP60" s="53" t="n"/>
      <c r="DQ60" s="53" t="n"/>
      <c r="DR60" s="53" t="n"/>
      <c r="DS60" s="53" t="n"/>
      <c r="DT60" s="53" t="n"/>
      <c r="DU60" s="53" t="n"/>
      <c r="DV60" s="53" t="n"/>
      <c r="DW60" s="53" t="n"/>
      <c r="DX60" s="53" t="n"/>
      <c r="DY60" s="53" t="n"/>
      <c r="DZ60" s="53" t="n"/>
      <c r="EA60" s="53" t="n"/>
      <c r="EB60" s="53" t="n"/>
      <c r="EC60" s="53" t="n"/>
      <c r="ED60" s="53" t="n"/>
      <c r="EE60" s="53" t="n"/>
      <c r="EF60" s="53" t="n"/>
      <c r="EG60" s="53" t="n"/>
      <c r="EH60" s="53" t="n"/>
      <c r="EI60" s="53" t="n"/>
      <c r="EJ60" s="53" t="n"/>
      <c r="EK60" s="53" t="n"/>
      <c r="EL60" s="53" t="n"/>
      <c r="EM60" s="53" t="n"/>
      <c r="EN60" s="53" t="n"/>
      <c r="EO60" s="53" t="n"/>
      <c r="EP60" s="53" t="n"/>
      <c r="EQ60" s="53" t="n"/>
      <c r="ER60" s="53" t="n"/>
      <c r="ES60" s="53" t="n"/>
      <c r="ET60" s="53" t="n"/>
      <c r="EU60" s="53" t="n"/>
      <c r="EV60" s="53" t="n"/>
      <c r="EW60" s="53" t="n"/>
      <c r="EX60" s="53" t="n"/>
      <c r="EY60" s="53" t="n"/>
      <c r="EZ60" s="53" t="n"/>
      <c r="FA60" s="53" t="n"/>
      <c r="FB60" s="53" t="n"/>
      <c r="FC60" s="53" t="n"/>
      <c r="FD60" s="53" t="n"/>
      <c r="FE60" s="53" t="n"/>
      <c r="FF60" s="53" t="n"/>
      <c r="FG60" s="53" t="n"/>
      <c r="FH60" s="53" t="n"/>
      <c r="FI60" s="53" t="n"/>
      <c r="FJ60" s="53" t="n"/>
      <c r="FK60" s="53" t="n"/>
      <c r="FL60" s="53" t="n"/>
      <c r="FM60" s="53" t="n"/>
      <c r="FN60" s="53" t="n"/>
      <c r="FO60" s="53" t="n"/>
      <c r="FP60" s="53" t="n"/>
      <c r="FQ60" s="53" t="n"/>
      <c r="FR60" s="53" t="n"/>
      <c r="FS60" s="53" t="n"/>
      <c r="FT60" s="53" t="n"/>
      <c r="FU60" s="53" t="n"/>
      <c r="FV60" s="53" t="n"/>
      <c r="FW60" s="53" t="n"/>
      <c r="FX60" s="53" t="n"/>
      <c r="FY60" s="53" t="n"/>
      <c r="FZ60" s="53" t="n"/>
      <c r="GA60" s="53" t="n"/>
      <c r="GB60" s="53" t="n"/>
      <c r="GC60" s="53" t="n"/>
      <c r="GD60" s="53" t="n"/>
      <c r="GE60" s="53" t="n"/>
      <c r="GF60" s="53" t="n"/>
      <c r="GG60" s="53" t="n"/>
      <c r="GH60" s="53" t="n"/>
      <c r="GI60" s="53" t="n"/>
      <c r="GJ60" s="53" t="n"/>
      <c r="GK60" s="53" t="n"/>
      <c r="GL60" s="53" t="n"/>
      <c r="GM60" s="53" t="n"/>
      <c r="GN60" s="53" t="n"/>
      <c r="GO60" s="53" t="n"/>
      <c r="GP60" s="53" t="n"/>
      <c r="GQ60" s="53" t="n"/>
      <c r="GR60" s="53" t="n"/>
      <c r="GS60" s="53" t="n"/>
      <c r="GT60" s="53" t="n"/>
      <c r="GU60" s="53" t="n"/>
      <c r="GV60" s="53" t="n"/>
      <c r="GW60" s="53" t="n"/>
      <c r="GX60" s="53" t="n"/>
      <c r="GY60" s="53" t="n"/>
      <c r="GZ60" s="53" t="n"/>
      <c r="HA60" s="53" t="n"/>
      <c r="HB60" s="53" t="n"/>
      <c r="HC60" s="53" t="n"/>
      <c r="HD60" s="53" t="n"/>
      <c r="HE60" s="53" t="n"/>
      <c r="HF60" s="53" t="n"/>
      <c r="HG60" s="53" t="n"/>
      <c r="HH60" s="53" t="n"/>
      <c r="HI60" s="53" t="n"/>
      <c r="HJ60" s="53" t="n"/>
      <c r="HK60" s="53" t="n"/>
      <c r="HL60" s="53" t="n"/>
      <c r="HM60" s="53" t="n"/>
      <c r="HN60" s="53" t="n"/>
      <c r="HO60" s="53" t="n"/>
      <c r="HP60" s="53" t="n"/>
      <c r="HQ60" s="53" t="n"/>
      <c r="HR60" s="53" t="n"/>
      <c r="HS60" s="53" t="n"/>
      <c r="HT60" s="53" t="n"/>
      <c r="HU60" s="53" t="n"/>
      <c r="JF60" s="53">
        <f>AP60</f>
        <v/>
      </c>
      <c r="JG60" s="53">
        <f>SUM(Z60:AK60)</f>
        <v/>
      </c>
      <c r="JH60" s="53">
        <f>SUM(AL60:AP60)</f>
        <v/>
      </c>
      <c r="JI60" s="53">
        <f>SUM(C60:AP60)</f>
        <v/>
      </c>
      <c r="JJ60" s="446" t="n"/>
      <c r="JM60" s="53" t="n"/>
      <c r="KG60" s="143">
        <f>B60</f>
        <v/>
      </c>
      <c r="KH60" s="240">
        <f>AR60</f>
        <v/>
      </c>
    </row>
    <row r="61" ht="16.2" customHeight="1">
      <c r="A61" s="19" t="inlineStr">
        <is>
          <t>DISTRATOS (-)</t>
        </is>
      </c>
      <c r="B61" s="139" t="n"/>
      <c r="C61" s="20" t="n"/>
      <c r="D61" s="22" t="n"/>
      <c r="E61" s="20" t="n"/>
      <c r="F61" s="20" t="n"/>
      <c r="G61" s="20" t="n"/>
      <c r="H61" s="20" t="n"/>
      <c r="I61" s="21" t="n"/>
      <c r="J61" s="175" t="n"/>
      <c r="K61" s="21" t="n"/>
      <c r="L61" s="108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00" t="n"/>
      <c r="AR61" s="241" t="n"/>
      <c r="AS61" s="20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99" t="n"/>
      <c r="BE61" s="22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99" t="n"/>
      <c r="BQ61" s="22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99" t="n"/>
      <c r="CC61" s="22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99" t="n"/>
      <c r="CO61" s="22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99" t="n"/>
      <c r="DA61" s="22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1" t="n"/>
      <c r="DK61" s="20" t="n"/>
      <c r="DL61" s="21" t="n"/>
      <c r="DM61" s="20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 t="n"/>
      <c r="EG61" s="21" t="n"/>
      <c r="EH61" s="21" t="n"/>
      <c r="EI61" s="21" t="n"/>
      <c r="EJ61" s="21" t="n"/>
      <c r="EK61" s="21" t="n"/>
      <c r="EL61" s="21" t="n"/>
      <c r="EM61" s="21" t="n"/>
      <c r="EN61" s="21" t="n"/>
      <c r="EO61" s="21" t="n"/>
      <c r="EP61" s="21" t="n"/>
      <c r="EQ61" s="21" t="n"/>
      <c r="ER61" s="21" t="n"/>
      <c r="ES61" s="21" t="n"/>
      <c r="ET61" s="21" t="n"/>
      <c r="EU61" s="21" t="n"/>
      <c r="EV61" s="21" t="n"/>
      <c r="EW61" s="21" t="n"/>
      <c r="EX61" s="21" t="n"/>
      <c r="EY61" s="21" t="n"/>
      <c r="EZ61" s="21" t="n"/>
      <c r="FA61" s="21" t="n"/>
      <c r="FB61" s="21" t="n"/>
      <c r="FC61" s="21" t="n"/>
      <c r="FD61" s="21" t="n"/>
      <c r="FE61" s="21" t="n"/>
      <c r="FF61" s="21" t="n"/>
      <c r="FG61" s="21" t="n"/>
      <c r="FH61" s="21" t="n"/>
      <c r="FI61" s="21" t="n"/>
      <c r="FJ61" s="21" t="n"/>
      <c r="FK61" s="21" t="n"/>
      <c r="FL61" s="21" t="n"/>
      <c r="FM61" s="21" t="n"/>
      <c r="FN61" s="21" t="n"/>
      <c r="FO61" s="21" t="n"/>
      <c r="FP61" s="21" t="n"/>
      <c r="FQ61" s="21" t="n"/>
      <c r="FR61" s="21" t="n"/>
      <c r="FS61" s="21" t="n"/>
      <c r="FT61" s="21" t="n"/>
      <c r="FU61" s="21" t="n"/>
      <c r="FV61" s="21" t="n"/>
      <c r="FW61" s="21" t="n"/>
      <c r="FX61" s="21" t="n"/>
      <c r="FY61" s="21" t="n"/>
      <c r="FZ61" s="21" t="n"/>
      <c r="GA61" s="21" t="n"/>
      <c r="GB61" s="21" t="n"/>
      <c r="GC61" s="21" t="n"/>
      <c r="GD61" s="21" t="n"/>
      <c r="GE61" s="21" t="n"/>
      <c r="GF61" s="21" t="n"/>
      <c r="GG61" s="21" t="n"/>
      <c r="GH61" s="21" t="n"/>
      <c r="GI61" s="21" t="n"/>
      <c r="GJ61" s="21" t="n"/>
      <c r="GK61" s="21" t="n"/>
      <c r="GL61" s="21" t="n"/>
      <c r="GM61" s="21" t="n"/>
      <c r="GN61" s="21" t="n"/>
      <c r="GO61" s="21" t="n"/>
      <c r="GP61" s="21" t="n"/>
      <c r="GQ61" s="21" t="n"/>
      <c r="GR61" s="21" t="n"/>
      <c r="GS61" s="21" t="n"/>
      <c r="GT61" s="21" t="n"/>
      <c r="GU61" s="21" t="n"/>
      <c r="GV61" s="21" t="n"/>
      <c r="GW61" s="21" t="n"/>
      <c r="GX61" s="21" t="n"/>
      <c r="GY61" s="21" t="n"/>
      <c r="GZ61" s="21" t="n"/>
      <c r="HA61" s="21" t="n"/>
      <c r="HB61" s="21" t="n"/>
      <c r="HC61" s="21" t="n"/>
      <c r="HD61" s="21" t="n"/>
      <c r="HE61" s="21" t="n"/>
      <c r="HF61" s="21" t="n"/>
      <c r="HG61" s="21" t="n"/>
      <c r="HH61" s="21" t="n"/>
      <c r="HI61" s="21" t="n"/>
      <c r="HJ61" s="21" t="n"/>
      <c r="HK61" s="21" t="n"/>
      <c r="HL61" s="21" t="n"/>
      <c r="HM61" s="21" t="n"/>
      <c r="HN61" s="21" t="n"/>
      <c r="HO61" s="21" t="n"/>
      <c r="HP61" s="21" t="n"/>
      <c r="HQ61" s="21" t="n"/>
      <c r="HR61" s="21" t="n"/>
      <c r="HS61" s="21" t="n"/>
      <c r="HT61" s="21" t="n"/>
      <c r="HU61" s="21" t="n"/>
      <c r="JF61" s="20">
        <f>AP61</f>
        <v/>
      </c>
      <c r="JG61" s="20">
        <f>SUM(Z61:AK61)</f>
        <v/>
      </c>
      <c r="JH61" s="20">
        <f>SUM(AL61:AP61)</f>
        <v/>
      </c>
      <c r="JI61" s="20">
        <f>SUM(C61:AP61)</f>
        <v/>
      </c>
      <c r="JJ61" s="446" t="n"/>
      <c r="JM61" s="21" t="n"/>
      <c r="KG61" s="139">
        <f>B61</f>
        <v/>
      </c>
      <c r="KH61" s="241">
        <f>AR61</f>
        <v/>
      </c>
    </row>
    <row r="62" ht="16.2" customHeight="1">
      <c r="A62" s="7" t="inlineStr">
        <is>
          <t>Devoluções</t>
        </is>
      </c>
      <c r="B62" s="136">
        <f>SUM(C62:AP62)</f>
        <v/>
      </c>
      <c r="C62" s="85" t="n"/>
      <c r="D62" s="87" t="n"/>
      <c r="E62" s="85" t="n"/>
      <c r="F62" s="85" t="n"/>
      <c r="G62" s="85" t="n"/>
      <c r="H62" s="85" t="n"/>
      <c r="I62" s="86" t="n"/>
      <c r="J62" s="228" t="n"/>
      <c r="K62" s="229" t="n"/>
      <c r="L62" s="122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>
        <v>-138044.5</v>
      </c>
      <c r="AE62" s="219" t="n">
        <v>0</v>
      </c>
      <c r="AF62" s="219" t="n">
        <v>0</v>
      </c>
      <c r="AG62" s="219" t="n">
        <v>0</v>
      </c>
      <c r="AH62" s="219" t="n">
        <v>0</v>
      </c>
      <c r="AI62" s="219" t="n">
        <v>0</v>
      </c>
      <c r="AJ62" s="219">
        <f>-59410.58-59410.58-59359.09</f>
        <v/>
      </c>
      <c r="AK62" s="219" t="n"/>
      <c r="AL62" s="219" t="n"/>
      <c r="AM62" s="219" t="n"/>
      <c r="AN62" s="219" t="n"/>
      <c r="AO62" s="219" t="n"/>
      <c r="AP62" s="219" t="n"/>
      <c r="AQ62" s="13" t="n"/>
      <c r="AR62" s="345">
        <f>SUM(AT62:HU62)</f>
        <v/>
      </c>
      <c r="AS62" s="13" t="n"/>
      <c r="AT62" s="85" t="n">
        <v>-91053.071</v>
      </c>
      <c r="AU62" s="85" t="n">
        <v>0</v>
      </c>
      <c r="AV62" s="85" t="n">
        <v>0</v>
      </c>
      <c r="AW62" s="85" t="n">
        <v>0</v>
      </c>
      <c r="AX62" s="85" t="n">
        <v>0</v>
      </c>
      <c r="AY62" s="85" t="n">
        <v>0</v>
      </c>
      <c r="AZ62" s="85" t="n">
        <v>0</v>
      </c>
      <c r="BA62" s="85" t="n">
        <v>0</v>
      </c>
      <c r="BB62" s="85" t="n">
        <v>0</v>
      </c>
      <c r="BC62" s="85" t="n">
        <v>0</v>
      </c>
      <c r="BD62" s="296" t="n">
        <v>0</v>
      </c>
      <c r="BE62" s="87" t="n">
        <v>0</v>
      </c>
      <c r="BF62" s="85" t="n">
        <v>0</v>
      </c>
      <c r="BG62" s="85" t="n">
        <v>0</v>
      </c>
      <c r="BH62" s="85" t="n">
        <v>0</v>
      </c>
      <c r="BI62" s="85" t="n">
        <v>0</v>
      </c>
      <c r="BJ62" s="85" t="n">
        <v>0</v>
      </c>
      <c r="BK62" s="85" t="n">
        <v>0</v>
      </c>
      <c r="BL62" s="85" t="n">
        <v>0</v>
      </c>
      <c r="BM62" s="85" t="n">
        <v>0</v>
      </c>
      <c r="BN62" s="85" t="n">
        <v>0</v>
      </c>
      <c r="BO62" s="85" t="n">
        <v>0</v>
      </c>
      <c r="BP62" s="296" t="n">
        <v>0</v>
      </c>
      <c r="BQ62" s="87" t="n">
        <v>0</v>
      </c>
      <c r="BR62" s="85" t="n">
        <v>0</v>
      </c>
      <c r="BS62" s="85" t="n">
        <v>0</v>
      </c>
      <c r="BT62" s="85" t="n">
        <v>0</v>
      </c>
      <c r="BU62" s="85" t="n">
        <v>0</v>
      </c>
      <c r="BV62" s="85" t="n">
        <v>0</v>
      </c>
      <c r="BW62" s="85" t="n">
        <v>0</v>
      </c>
      <c r="BX62" s="85" t="n">
        <v>0</v>
      </c>
      <c r="BY62" s="85" t="n">
        <v>0</v>
      </c>
      <c r="BZ62" s="85" t="n">
        <v>0</v>
      </c>
      <c r="CA62" s="85" t="n">
        <v>0</v>
      </c>
      <c r="CB62" s="296" t="n">
        <v>0</v>
      </c>
      <c r="CC62" s="87" t="n">
        <v>0</v>
      </c>
      <c r="CD62" s="85" t="n">
        <v>0</v>
      </c>
      <c r="CE62" s="85" t="n">
        <v>0</v>
      </c>
      <c r="CF62" s="85" t="n">
        <v>0</v>
      </c>
      <c r="CG62" s="85" t="n">
        <v>0</v>
      </c>
      <c r="CH62" s="85" t="n">
        <v>0</v>
      </c>
      <c r="CI62" s="85" t="n">
        <v>0</v>
      </c>
      <c r="CJ62" s="85" t="n">
        <v>0</v>
      </c>
      <c r="CK62" s="85" t="n">
        <v>0</v>
      </c>
      <c r="CL62" s="85" t="n">
        <v>0</v>
      </c>
      <c r="CM62" s="85" t="n">
        <v>0</v>
      </c>
      <c r="CN62" s="296" t="n">
        <v>0</v>
      </c>
      <c r="CO62" s="87" t="n">
        <v>0</v>
      </c>
      <c r="CP62" s="85" t="n">
        <v>0</v>
      </c>
      <c r="CQ62" s="85" t="n">
        <v>0</v>
      </c>
      <c r="CR62" s="85" t="n">
        <v>0</v>
      </c>
      <c r="CS62" s="85" t="n">
        <v>0</v>
      </c>
      <c r="CT62" s="85" t="n">
        <v>0</v>
      </c>
      <c r="CU62" s="85" t="n">
        <v>0</v>
      </c>
      <c r="CV62" s="85" t="n">
        <v>0</v>
      </c>
      <c r="CW62" s="85" t="n">
        <v>0</v>
      </c>
      <c r="CX62" s="85" t="n">
        <v>0</v>
      </c>
      <c r="CY62" s="85" t="n">
        <v>0</v>
      </c>
      <c r="CZ62" s="296" t="n">
        <v>0</v>
      </c>
      <c r="DA62" s="87" t="n">
        <v>0</v>
      </c>
      <c r="DB62" s="85" t="n">
        <v>0</v>
      </c>
      <c r="DC62" s="85" t="n">
        <v>0</v>
      </c>
      <c r="DD62" s="85" t="n">
        <v>0</v>
      </c>
      <c r="DE62" s="85" t="n">
        <v>0</v>
      </c>
      <c r="DF62" s="85" t="n">
        <v>0</v>
      </c>
      <c r="DG62" s="85" t="n">
        <v>0</v>
      </c>
      <c r="DH62" s="85" t="n">
        <v>0</v>
      </c>
      <c r="DI62" s="85" t="n">
        <v>0</v>
      </c>
      <c r="DJ62" s="86" t="n">
        <v>0</v>
      </c>
      <c r="DK62" s="85" t="n"/>
      <c r="DL62" s="86" t="n">
        <v>0</v>
      </c>
      <c r="DM62" s="85" t="n"/>
      <c r="DN62" s="86" t="n">
        <v>0</v>
      </c>
      <c r="DO62" s="86" t="n"/>
      <c r="DP62" s="86" t="n"/>
      <c r="DQ62" s="86" t="n"/>
      <c r="DR62" s="86" t="n"/>
      <c r="DS62" s="86" t="n"/>
      <c r="DT62" s="86" t="n"/>
      <c r="DU62" s="86" t="n"/>
      <c r="DV62" s="86" t="n"/>
      <c r="DW62" s="86" t="n"/>
      <c r="DX62" s="86" t="n"/>
      <c r="DY62" s="86" t="n"/>
      <c r="DZ62" s="86" t="n"/>
      <c r="EA62" s="86" t="n"/>
      <c r="EB62" s="86" t="n"/>
      <c r="EC62" s="86" t="n"/>
      <c r="ED62" s="86" t="n"/>
      <c r="EE62" s="86" t="n"/>
      <c r="EF62" s="86" t="n"/>
      <c r="EG62" s="86" t="n"/>
      <c r="EH62" s="86" t="n"/>
      <c r="EI62" s="86" t="n"/>
      <c r="EJ62" s="86" t="n"/>
      <c r="EK62" s="86" t="n"/>
      <c r="EL62" s="86" t="n"/>
      <c r="EM62" s="86" t="n"/>
      <c r="EN62" s="86" t="n"/>
      <c r="EO62" s="86" t="n"/>
      <c r="EP62" s="86" t="n"/>
      <c r="EQ62" s="86" t="n"/>
      <c r="ER62" s="86" t="n"/>
      <c r="ES62" s="86" t="n"/>
      <c r="ET62" s="86" t="n"/>
      <c r="EU62" s="86" t="n"/>
      <c r="EV62" s="86" t="n"/>
      <c r="EW62" s="86" t="n"/>
      <c r="EX62" s="86" t="n"/>
      <c r="EY62" s="86" t="n"/>
      <c r="EZ62" s="86" t="n"/>
      <c r="FA62" s="86" t="n"/>
      <c r="FB62" s="86" t="n"/>
      <c r="FC62" s="86" t="n"/>
      <c r="FD62" s="86" t="n"/>
      <c r="FE62" s="86" t="n"/>
      <c r="FF62" s="86" t="n"/>
      <c r="FG62" s="86" t="n"/>
      <c r="FH62" s="86" t="n"/>
      <c r="FI62" s="86" t="n"/>
      <c r="FJ62" s="86" t="n"/>
      <c r="FK62" s="86" t="n"/>
      <c r="FL62" s="86" t="n"/>
      <c r="FM62" s="86" t="n"/>
      <c r="FN62" s="86" t="n"/>
      <c r="FO62" s="86" t="n"/>
      <c r="FP62" s="86" t="n"/>
      <c r="FQ62" s="86" t="n"/>
      <c r="FR62" s="86" t="n"/>
      <c r="FS62" s="86" t="n"/>
      <c r="FT62" s="86" t="n"/>
      <c r="FU62" s="86" t="n"/>
      <c r="FV62" s="86" t="n"/>
      <c r="FW62" s="86" t="n"/>
      <c r="FX62" s="86" t="n"/>
      <c r="FY62" s="86" t="n"/>
      <c r="FZ62" s="86" t="n"/>
      <c r="GA62" s="86" t="n"/>
      <c r="GB62" s="86" t="n"/>
      <c r="GC62" s="86" t="n"/>
      <c r="GD62" s="86" t="n"/>
      <c r="GE62" s="86" t="n"/>
      <c r="GF62" s="86" t="n"/>
      <c r="GG62" s="86" t="n"/>
      <c r="GH62" s="86" t="n"/>
      <c r="GI62" s="86" t="n"/>
      <c r="GJ62" s="86" t="n"/>
      <c r="GK62" s="86" t="n"/>
      <c r="GL62" s="86" t="n"/>
      <c r="GM62" s="86" t="n"/>
      <c r="GN62" s="86" t="n"/>
      <c r="GO62" s="86" t="n"/>
      <c r="GP62" s="86" t="n"/>
      <c r="GQ62" s="86" t="n"/>
      <c r="GR62" s="86" t="n"/>
      <c r="GS62" s="86" t="n"/>
      <c r="GT62" s="86" t="n"/>
      <c r="GU62" s="86" t="n"/>
      <c r="GV62" s="86" t="n"/>
      <c r="GW62" s="86" t="n"/>
      <c r="GX62" s="86" t="n"/>
      <c r="GY62" s="86" t="n"/>
      <c r="GZ62" s="86" t="n"/>
      <c r="HA62" s="86" t="n"/>
      <c r="HB62" s="86" t="n"/>
      <c r="HC62" s="86" t="n"/>
      <c r="HD62" s="86" t="n"/>
      <c r="HE62" s="86" t="n"/>
      <c r="HF62" s="86" t="n"/>
      <c r="HG62" s="86" t="n"/>
      <c r="HH62" s="86" t="n"/>
      <c r="HI62" s="86" t="n"/>
      <c r="HJ62" s="86" t="n"/>
      <c r="HK62" s="86" t="n"/>
      <c r="HL62" s="86" t="n"/>
      <c r="HM62" s="86" t="n"/>
      <c r="HN62" s="86" t="n"/>
      <c r="HO62" s="86" t="n"/>
      <c r="HP62" s="86" t="n"/>
      <c r="HQ62" s="86" t="n"/>
      <c r="HR62" s="86" t="n"/>
      <c r="HS62" s="86" t="n"/>
      <c r="HT62" s="86" t="n"/>
      <c r="HU62" s="86" t="n"/>
      <c r="JF62" s="85">
        <f>AP62</f>
        <v/>
      </c>
      <c r="JG62" s="85">
        <f>SUM(Z62:AK62)</f>
        <v/>
      </c>
      <c r="JH62" s="85">
        <f>SUM(AL62:AP62)</f>
        <v/>
      </c>
      <c r="JI62" s="85">
        <f>SUM(C62:AP62)</f>
        <v/>
      </c>
      <c r="JJ62" s="446" t="n"/>
      <c r="JM62" s="86" t="n">
        <v>0</v>
      </c>
      <c r="KG62" s="136">
        <f>B62</f>
        <v/>
      </c>
      <c r="KH62" s="441">
        <f>AR62</f>
        <v/>
      </c>
    </row>
    <row r="63" ht="8.4" customHeight="1">
      <c r="A63" s="28" t="n"/>
      <c r="B63" s="146" t="n"/>
      <c r="C63" s="512" t="n"/>
      <c r="D63" s="512" t="n"/>
      <c r="E63" s="512" t="n"/>
      <c r="F63" s="512" t="n"/>
      <c r="G63" s="512" t="n"/>
      <c r="H63" s="512" t="n"/>
      <c r="I63" s="512" t="n"/>
      <c r="J63" s="513" t="n"/>
      <c r="K63" s="512" t="n"/>
      <c r="L63" s="512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514" t="n"/>
      <c r="AA63" s="514" t="n"/>
      <c r="AB63" s="514" t="n"/>
      <c r="AC63" s="514" t="n"/>
      <c r="AD63" s="514" t="n"/>
      <c r="AE63" s="514" t="n"/>
      <c r="AF63" s="514" t="n"/>
      <c r="AG63" s="514" t="n"/>
      <c r="AH63" s="514" t="n"/>
      <c r="AI63" s="514" t="n"/>
      <c r="AJ63" s="514" t="n"/>
      <c r="AK63" s="514" t="n"/>
      <c r="AL63" s="514" t="n"/>
      <c r="AM63" s="514" t="n"/>
      <c r="AN63" s="514" t="n"/>
      <c r="AO63" s="514" t="n"/>
      <c r="AP63" s="514" t="n"/>
      <c r="AQ63" s="512" t="n"/>
      <c r="AR63" s="533" t="n"/>
      <c r="AS63" s="512" t="n"/>
      <c r="AT63" s="512" t="n"/>
      <c r="AU63" s="512" t="n"/>
      <c r="AV63" s="512" t="n"/>
      <c r="AW63" s="512" t="n"/>
      <c r="AX63" s="512" t="n"/>
      <c r="AY63" s="512" t="n"/>
      <c r="AZ63" s="512" t="n"/>
      <c r="BA63" s="512" t="n"/>
      <c r="BB63" s="512" t="n"/>
      <c r="BC63" s="512" t="n"/>
      <c r="BD63" s="515" t="n"/>
      <c r="BE63" s="512" t="n"/>
      <c r="BF63" s="512" t="n"/>
      <c r="BG63" s="512" t="n"/>
      <c r="BH63" s="512" t="n"/>
      <c r="BI63" s="512" t="n"/>
      <c r="BJ63" s="512" t="n"/>
      <c r="BK63" s="512" t="n"/>
      <c r="BL63" s="512" t="n"/>
      <c r="BM63" s="512" t="n"/>
      <c r="BN63" s="512" t="n"/>
      <c r="BO63" s="512" t="n"/>
      <c r="BP63" s="515" t="n"/>
      <c r="BQ63" s="512" t="n"/>
      <c r="BR63" s="512" t="n"/>
      <c r="BS63" s="512" t="n"/>
      <c r="BT63" s="512" t="n"/>
      <c r="BU63" s="512" t="n"/>
      <c r="BV63" s="512" t="n"/>
      <c r="BW63" s="512" t="n"/>
      <c r="BX63" s="512" t="n"/>
      <c r="BY63" s="512" t="n"/>
      <c r="BZ63" s="512" t="n"/>
      <c r="CA63" s="512" t="n"/>
      <c r="CB63" s="515" t="n"/>
      <c r="CC63" s="512" t="n"/>
      <c r="CD63" s="512" t="n"/>
      <c r="CE63" s="512" t="n"/>
      <c r="CF63" s="512" t="n"/>
      <c r="CG63" s="512" t="n"/>
      <c r="CH63" s="512" t="n"/>
      <c r="CI63" s="512" t="n"/>
      <c r="CJ63" s="512" t="n"/>
      <c r="CK63" s="512" t="n"/>
      <c r="CL63" s="512" t="n"/>
      <c r="CM63" s="512" t="n"/>
      <c r="CN63" s="515" t="n"/>
      <c r="CO63" s="512" t="n"/>
      <c r="CP63" s="512" t="n"/>
      <c r="CQ63" s="512" t="n"/>
      <c r="CR63" s="512" t="n"/>
      <c r="CS63" s="512" t="n"/>
      <c r="CT63" s="512" t="n"/>
      <c r="CU63" s="512" t="n"/>
      <c r="CV63" s="512" t="n"/>
      <c r="CW63" s="512" t="n"/>
      <c r="CX63" s="512" t="n"/>
      <c r="CY63" s="512" t="n"/>
      <c r="CZ63" s="515" t="n"/>
      <c r="DA63" s="512" t="n"/>
      <c r="DB63" s="512" t="n"/>
      <c r="DC63" s="512" t="n"/>
      <c r="DD63" s="512" t="n"/>
      <c r="DE63" s="512" t="n"/>
      <c r="DF63" s="512" t="n"/>
      <c r="DG63" s="512" t="n"/>
      <c r="DH63" s="512" t="n"/>
      <c r="DI63" s="512" t="n"/>
      <c r="DJ63" s="512" t="n"/>
      <c r="DK63" s="512" t="n"/>
      <c r="DL63" s="512" t="n"/>
      <c r="DM63" s="512" t="n"/>
      <c r="DN63" s="512" t="n"/>
      <c r="DO63" s="512" t="n"/>
      <c r="DP63" s="512" t="n"/>
      <c r="DQ63" s="512" t="n"/>
      <c r="DR63" s="512" t="n"/>
      <c r="DS63" s="512" t="n"/>
      <c r="DT63" s="512" t="n"/>
      <c r="DU63" s="512" t="n"/>
      <c r="DV63" s="512" t="n"/>
      <c r="DW63" s="512" t="n"/>
      <c r="DX63" s="512" t="n"/>
      <c r="DY63" s="512" t="n"/>
      <c r="DZ63" s="512" t="n"/>
      <c r="EA63" s="512" t="n"/>
      <c r="EB63" s="512" t="n"/>
      <c r="EC63" s="512" t="n"/>
      <c r="ED63" s="512" t="n"/>
      <c r="EE63" s="512" t="n"/>
      <c r="EF63" s="512" t="n"/>
      <c r="EG63" s="512" t="n"/>
      <c r="EH63" s="512" t="n"/>
      <c r="EI63" s="512" t="n"/>
      <c r="EJ63" s="512" t="n"/>
      <c r="EK63" s="512" t="n"/>
      <c r="EL63" s="512" t="n"/>
      <c r="EM63" s="512" t="n"/>
      <c r="EN63" s="512" t="n"/>
      <c r="EO63" s="512" t="n"/>
      <c r="EP63" s="512" t="n"/>
      <c r="EQ63" s="512" t="n"/>
      <c r="ER63" s="512" t="n"/>
      <c r="ES63" s="512" t="n"/>
      <c r="ET63" s="512" t="n"/>
      <c r="EU63" s="512" t="n"/>
      <c r="EV63" s="512" t="n"/>
      <c r="EW63" s="512" t="n"/>
      <c r="EX63" s="512" t="n"/>
      <c r="EY63" s="512" t="n"/>
      <c r="EZ63" s="512" t="n"/>
      <c r="FA63" s="512" t="n"/>
      <c r="FB63" s="512" t="n"/>
      <c r="FC63" s="512" t="n"/>
      <c r="FD63" s="512" t="n"/>
      <c r="FE63" s="512" t="n"/>
      <c r="FF63" s="512" t="n"/>
      <c r="FG63" s="512" t="n"/>
      <c r="FH63" s="512" t="n"/>
      <c r="FI63" s="512" t="n"/>
      <c r="FJ63" s="512" t="n"/>
      <c r="FK63" s="512" t="n"/>
      <c r="FL63" s="512" t="n"/>
      <c r="FM63" s="512" t="n"/>
      <c r="FN63" s="512" t="n"/>
      <c r="FO63" s="512" t="n"/>
      <c r="FP63" s="512" t="n"/>
      <c r="FQ63" s="512" t="n"/>
      <c r="FR63" s="512" t="n"/>
      <c r="FS63" s="512" t="n"/>
      <c r="FT63" s="512" t="n"/>
      <c r="FU63" s="512" t="n"/>
      <c r="FV63" s="512" t="n"/>
      <c r="FW63" s="512" t="n"/>
      <c r="FX63" s="512" t="n"/>
      <c r="FY63" s="512" t="n"/>
      <c r="FZ63" s="512" t="n"/>
      <c r="GA63" s="512" t="n"/>
      <c r="GB63" s="512" t="n"/>
      <c r="GC63" s="512" t="n"/>
      <c r="GD63" s="512" t="n"/>
      <c r="GE63" s="512" t="n"/>
      <c r="GF63" s="512" t="n"/>
      <c r="GG63" s="512" t="n"/>
      <c r="GH63" s="512" t="n"/>
      <c r="GI63" s="512" t="n"/>
      <c r="GJ63" s="512" t="n"/>
      <c r="GK63" s="512" t="n"/>
      <c r="GL63" s="512" t="n"/>
      <c r="GM63" s="512" t="n"/>
      <c r="GN63" s="512" t="n"/>
      <c r="GO63" s="512" t="n"/>
      <c r="GP63" s="512" t="n"/>
      <c r="GQ63" s="512" t="n"/>
      <c r="GR63" s="512" t="n"/>
      <c r="GS63" s="512" t="n"/>
      <c r="GT63" s="512" t="n"/>
      <c r="GU63" s="512" t="n"/>
      <c r="GV63" s="512" t="n"/>
      <c r="GW63" s="512" t="n"/>
      <c r="GX63" s="512" t="n"/>
      <c r="GY63" s="512" t="n"/>
      <c r="GZ63" s="512" t="n"/>
      <c r="HA63" s="512" t="n"/>
      <c r="HB63" s="512" t="n"/>
      <c r="HC63" s="512" t="n"/>
      <c r="HD63" s="512" t="n"/>
      <c r="HE63" s="512" t="n"/>
      <c r="HF63" s="512" t="n"/>
      <c r="HG63" s="512" t="n"/>
      <c r="HH63" s="512" t="n"/>
      <c r="HI63" s="512" t="n"/>
      <c r="HJ63" s="512" t="n"/>
      <c r="HK63" s="512" t="n"/>
      <c r="HL63" s="512" t="n"/>
      <c r="HM63" s="512" t="n"/>
      <c r="HN63" s="512" t="n"/>
      <c r="HO63" s="512" t="n"/>
      <c r="HP63" s="512" t="n"/>
      <c r="HQ63" s="512" t="n"/>
      <c r="HR63" s="512" t="n"/>
      <c r="HS63" s="512" t="n"/>
      <c r="HT63" s="512" t="n"/>
      <c r="HU63" s="512" t="n"/>
      <c r="JF63" s="512">
        <f>AP63</f>
        <v/>
      </c>
      <c r="JG63" s="512">
        <f>SUM(Z63:AK63)</f>
        <v/>
      </c>
      <c r="JH63" s="512">
        <f>SUM(AL63:AP63)</f>
        <v/>
      </c>
      <c r="JI63" s="512">
        <f>SUM(C63:AP63)</f>
        <v/>
      </c>
      <c r="JJ63" s="446" t="n"/>
      <c r="JM63" s="512" t="n"/>
      <c r="KG63" s="146">
        <f>B63</f>
        <v/>
      </c>
      <c r="KH63" s="533">
        <f>AR63</f>
        <v/>
      </c>
    </row>
    <row r="64" ht="16.2" customHeight="1">
      <c r="A64" s="19" t="inlineStr">
        <is>
          <t>DISTRIBUIÇÕES (-)</t>
        </is>
      </c>
      <c r="B64" s="139" t="n"/>
      <c r="C64" s="20" t="n"/>
      <c r="D64" s="22" t="n"/>
      <c r="E64" s="20" t="n"/>
      <c r="F64" s="20" t="n"/>
      <c r="G64" s="20" t="n"/>
      <c r="H64" s="20" t="n"/>
      <c r="I64" s="21" t="n"/>
      <c r="J64" s="175" t="n"/>
      <c r="K64" s="21" t="n"/>
      <c r="L64" s="108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00" t="n"/>
      <c r="AR64" s="241" t="n"/>
      <c r="AS64" s="200" t="n"/>
      <c r="AT64" s="20" t="n"/>
      <c r="AU64" s="20" t="n"/>
      <c r="AV64" s="20" t="n"/>
      <c r="AW64" s="20" t="n"/>
      <c r="AX64" s="20" t="n"/>
      <c r="AY64" s="20" t="n"/>
      <c r="AZ64" s="20" t="n"/>
      <c r="BA64" s="20" t="n"/>
      <c r="BB64" s="20" t="n"/>
      <c r="BC64" s="20" t="n"/>
      <c r="BD64" s="299" t="n"/>
      <c r="BE64" s="22" t="n"/>
      <c r="BF64" s="20" t="n"/>
      <c r="BG64" s="20" t="n"/>
      <c r="BH64" s="444" t="n"/>
      <c r="BI64" s="444" t="n"/>
      <c r="BJ64" s="444" t="n"/>
      <c r="BK64" s="20" t="n"/>
      <c r="BL64" s="20" t="n"/>
      <c r="BM64" s="20" t="n"/>
      <c r="BN64" s="20" t="n"/>
      <c r="BO64" s="20" t="n"/>
      <c r="BP64" s="299" t="n"/>
      <c r="BQ64" s="22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99" t="n"/>
      <c r="CC64" s="22" t="n"/>
      <c r="CD64" s="20" t="n"/>
      <c r="CE64" s="20" t="n"/>
      <c r="CF64" s="20" t="n"/>
      <c r="CG64" s="20" t="n"/>
      <c r="CH64" s="20" t="n"/>
      <c r="CI64" s="20" t="n"/>
      <c r="CJ64" s="20" t="n"/>
      <c r="CK64" s="20" t="n"/>
      <c r="CL64" s="20" t="n"/>
      <c r="CM64" s="20" t="n"/>
      <c r="CN64" s="299" t="n"/>
      <c r="CO64" s="22" t="n"/>
      <c r="CP64" s="20" t="n"/>
      <c r="CQ64" s="20" t="n"/>
      <c r="CR64" s="20" t="n"/>
      <c r="CS64" s="20" t="n"/>
      <c r="CT64" s="20" t="n"/>
      <c r="CU64" s="20" t="n"/>
      <c r="CV64" s="20" t="n"/>
      <c r="CW64" s="20" t="n"/>
      <c r="CX64" s="20" t="n"/>
      <c r="CY64" s="20" t="n"/>
      <c r="CZ64" s="299" t="n"/>
      <c r="DA64" s="22" t="n"/>
      <c r="DB64" s="20" t="n"/>
      <c r="DC64" s="20" t="n"/>
      <c r="DD64" s="20" t="n"/>
      <c r="DE64" s="20" t="n"/>
      <c r="DF64" s="20" t="n"/>
      <c r="DG64" s="20" t="n"/>
      <c r="DH64" s="20" t="n"/>
      <c r="DI64" s="20" t="n"/>
      <c r="DJ64" s="21" t="n"/>
      <c r="DK64" s="20" t="n"/>
      <c r="DL64" s="21" t="n"/>
      <c r="DM64" s="20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 t="n"/>
      <c r="EG64" s="21" t="n"/>
      <c r="EH64" s="21" t="n"/>
      <c r="EI64" s="21" t="n"/>
      <c r="EJ64" s="21" t="n"/>
      <c r="EK64" s="21" t="n"/>
      <c r="EL64" s="21" t="n"/>
      <c r="EM64" s="21" t="n"/>
      <c r="EN64" s="21" t="n"/>
      <c r="EO64" s="21" t="n"/>
      <c r="EP64" s="21" t="n"/>
      <c r="EQ64" s="21" t="n"/>
      <c r="ER64" s="21" t="n"/>
      <c r="ES64" s="21" t="n"/>
      <c r="ET64" s="21" t="n"/>
      <c r="EU64" s="21" t="n"/>
      <c r="EV64" s="21" t="n"/>
      <c r="EW64" s="21" t="n"/>
      <c r="EX64" s="21" t="n"/>
      <c r="EY64" s="21" t="n"/>
      <c r="EZ64" s="21" t="n"/>
      <c r="FA64" s="21" t="n"/>
      <c r="FB64" s="21" t="n"/>
      <c r="FC64" s="21" t="n"/>
      <c r="FD64" s="21" t="n"/>
      <c r="FE64" s="21" t="n"/>
      <c r="FF64" s="21" t="n"/>
      <c r="FG64" s="21" t="n"/>
      <c r="FH64" s="21" t="n"/>
      <c r="FI64" s="21" t="n"/>
      <c r="FJ64" s="21" t="n"/>
      <c r="FK64" s="21" t="n"/>
      <c r="FL64" s="21" t="n"/>
      <c r="FM64" s="21" t="n"/>
      <c r="FN64" s="21" t="n"/>
      <c r="FO64" s="21" t="n"/>
      <c r="FP64" s="21" t="n"/>
      <c r="FQ64" s="21" t="n"/>
      <c r="FR64" s="21" t="n"/>
      <c r="FS64" s="21" t="n"/>
      <c r="FT64" s="21" t="n"/>
      <c r="FU64" s="21" t="n"/>
      <c r="FV64" s="21" t="n"/>
      <c r="FW64" s="21" t="n"/>
      <c r="FX64" s="21" t="n"/>
      <c r="FY64" s="21" t="n"/>
      <c r="FZ64" s="21" t="n"/>
      <c r="GA64" s="21" t="n"/>
      <c r="GB64" s="21" t="n"/>
      <c r="GC64" s="21" t="n"/>
      <c r="GD64" s="21" t="n"/>
      <c r="GE64" s="21" t="n"/>
      <c r="GF64" s="21" t="n"/>
      <c r="GG64" s="21" t="n"/>
      <c r="GH64" s="21" t="n"/>
      <c r="GI64" s="21" t="n"/>
      <c r="GJ64" s="21" t="n"/>
      <c r="GK64" s="21" t="n"/>
      <c r="GL64" s="21" t="n"/>
      <c r="GM64" s="21" t="n"/>
      <c r="GN64" s="21" t="n"/>
      <c r="GO64" s="21" t="n"/>
      <c r="GP64" s="21" t="n"/>
      <c r="GQ64" s="21" t="n"/>
      <c r="GR64" s="21" t="n"/>
      <c r="GS64" s="21" t="n"/>
      <c r="GT64" s="21" t="n"/>
      <c r="GU64" s="21" t="n"/>
      <c r="GV64" s="21" t="n"/>
      <c r="GW64" s="21" t="n"/>
      <c r="GX64" s="21" t="n"/>
      <c r="GY64" s="21" t="n"/>
      <c r="GZ64" s="21" t="n"/>
      <c r="HA64" s="21" t="n"/>
      <c r="HB64" s="21" t="n"/>
      <c r="HC64" s="21" t="n"/>
      <c r="HD64" s="21" t="n"/>
      <c r="HE64" s="21" t="n"/>
      <c r="HF64" s="21" t="n"/>
      <c r="HG64" s="21" t="n"/>
      <c r="HH64" s="21" t="n"/>
      <c r="HI64" s="21" t="n"/>
      <c r="HJ64" s="21" t="n"/>
      <c r="HK64" s="21" t="n"/>
      <c r="HL64" s="21" t="n"/>
      <c r="HM64" s="21" t="n"/>
      <c r="HN64" s="21" t="n"/>
      <c r="HO64" s="21" t="n"/>
      <c r="HP64" s="21" t="n"/>
      <c r="HQ64" s="21" t="n"/>
      <c r="HR64" s="21" t="n"/>
      <c r="HS64" s="21" t="n"/>
      <c r="HT64" s="21" t="n"/>
      <c r="HU64" s="21" t="n"/>
      <c r="JF64" s="20">
        <f>AP64</f>
        <v/>
      </c>
      <c r="JG64" s="20">
        <f>SUM(Z64:AK64)</f>
        <v/>
      </c>
      <c r="JH64" s="20">
        <f>SUM(AL64:AP64)</f>
        <v/>
      </c>
      <c r="JI64" s="20">
        <f>SUM(C64:AP64)</f>
        <v/>
      </c>
      <c r="JJ64" s="446" t="n"/>
      <c r="JM64" s="21" t="n"/>
      <c r="KG64" s="139">
        <f>B64</f>
        <v/>
      </c>
      <c r="KH64" s="241">
        <f>AR64</f>
        <v/>
      </c>
    </row>
    <row r="65" ht="16.2" customHeight="1">
      <c r="A65" s="7" t="inlineStr">
        <is>
          <t>Devolução de Aporte</t>
        </is>
      </c>
      <c r="B65" s="136">
        <f>SUM(C65:AP65)</f>
        <v/>
      </c>
      <c r="C65" s="85" t="n"/>
      <c r="D65" s="85" t="n"/>
      <c r="E65" s="85" t="n"/>
      <c r="F65" s="85" t="n"/>
      <c r="G65" s="85" t="n"/>
      <c r="H65" s="85" t="n"/>
      <c r="I65" s="86" t="n"/>
      <c r="J65" s="224" t="n"/>
      <c r="K65" s="110" t="n"/>
      <c r="L65" s="34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  <c r="AG65" s="159" t="n">
        <v>-4000000</v>
      </c>
      <c r="AH65" s="159" t="n">
        <v>0</v>
      </c>
      <c r="AI65" s="159" t="n">
        <v>0</v>
      </c>
      <c r="AJ65" s="159" t="n">
        <v>0</v>
      </c>
      <c r="AK65" s="159" t="n">
        <v>0</v>
      </c>
      <c r="AL65" s="159" t="n">
        <v>0</v>
      </c>
      <c r="AM65" s="159" t="n">
        <v>0</v>
      </c>
      <c r="AN65" s="159" t="n">
        <v>0</v>
      </c>
      <c r="AO65" s="159" t="n">
        <v>0</v>
      </c>
      <c r="AP65" s="159" t="n">
        <v>0</v>
      </c>
      <c r="AQ65" s="53" t="n"/>
      <c r="AR65" s="345">
        <f>SUM(AT65:HU65)</f>
        <v/>
      </c>
      <c r="AS65" s="53" t="n"/>
      <c r="AT65" s="87" t="n">
        <v>0</v>
      </c>
      <c r="AU65" s="87" t="n">
        <v>0</v>
      </c>
      <c r="AV65" s="87" t="n">
        <v>0</v>
      </c>
      <c r="AW65" s="87" t="n">
        <v>0</v>
      </c>
      <c r="AX65" s="87" t="n">
        <v>0</v>
      </c>
      <c r="AY65" s="87" t="n"/>
      <c r="AZ65" s="87" t="n"/>
      <c r="BA65" s="87">
        <f>-1004788.24-900000+500000+80000</f>
        <v/>
      </c>
      <c r="BB65" s="87" t="n"/>
      <c r="BC65" s="87" t="n"/>
      <c r="BD65" s="87" t="n">
        <v>0</v>
      </c>
      <c r="BE65" s="87" t="n"/>
      <c r="BF65" s="87" t="n">
        <v>0</v>
      </c>
      <c r="BG65" s="87" t="n">
        <v>0</v>
      </c>
      <c r="BH65" s="87" t="n">
        <v>0</v>
      </c>
      <c r="BI65" s="87" t="n">
        <v>0</v>
      </c>
      <c r="BJ65" s="87" t="n">
        <v>0</v>
      </c>
      <c r="BK65" s="87" t="n">
        <v>0</v>
      </c>
      <c r="BL65" s="87" t="n">
        <v>0</v>
      </c>
      <c r="BM65" s="87" t="n">
        <v>0</v>
      </c>
      <c r="BN65" s="87" t="n">
        <v>0</v>
      </c>
      <c r="BO65" s="87" t="n">
        <v>0</v>
      </c>
      <c r="BP65" s="87" t="n">
        <v>0</v>
      </c>
      <c r="BQ65" s="87" t="n">
        <v>0</v>
      </c>
      <c r="BR65" s="87" t="n"/>
      <c r="BS65" s="87" t="n">
        <v>0</v>
      </c>
      <c r="BT65" s="87" t="n">
        <v>0</v>
      </c>
      <c r="BU65" s="87" t="n">
        <v>0</v>
      </c>
      <c r="BV65" s="87" t="n">
        <v>0</v>
      </c>
      <c r="BW65" s="87" t="n">
        <v>0</v>
      </c>
      <c r="BX65" s="87" t="n">
        <v>0</v>
      </c>
      <c r="BY65" s="87" t="n">
        <v>0</v>
      </c>
      <c r="BZ65" s="87" t="n">
        <v>0</v>
      </c>
      <c r="CA65" s="87" t="n">
        <v>0</v>
      </c>
      <c r="CB65" s="87" t="n">
        <v>0</v>
      </c>
      <c r="CC65" s="87" t="n">
        <v>0</v>
      </c>
      <c r="CD65" s="87" t="n">
        <v>0</v>
      </c>
      <c r="CE65" s="87" t="n">
        <v>0</v>
      </c>
      <c r="CF65" s="87" t="n">
        <v>0</v>
      </c>
      <c r="CG65" s="87" t="n">
        <v>0</v>
      </c>
      <c r="CH65" s="87" t="n">
        <v>0</v>
      </c>
      <c r="CI65" s="87" t="n">
        <v>0</v>
      </c>
      <c r="CJ65" s="87" t="n">
        <v>0</v>
      </c>
      <c r="CK65" s="87" t="n">
        <v>0</v>
      </c>
      <c r="CL65" s="87" t="n">
        <v>0</v>
      </c>
      <c r="CM65" s="87" t="n">
        <v>0</v>
      </c>
      <c r="CN65" s="87" t="n">
        <v>0</v>
      </c>
      <c r="CO65" s="87" t="n">
        <v>0</v>
      </c>
      <c r="CP65" s="87" t="n">
        <v>0</v>
      </c>
      <c r="CQ65" s="87" t="n">
        <v>0</v>
      </c>
      <c r="CR65" s="87" t="n">
        <v>0</v>
      </c>
      <c r="CS65" s="87" t="n">
        <v>0</v>
      </c>
      <c r="CT65" s="87" t="n">
        <v>0</v>
      </c>
      <c r="CU65" s="87" t="n">
        <v>0</v>
      </c>
      <c r="CV65" s="87" t="n">
        <v>0</v>
      </c>
      <c r="CW65" s="87" t="n">
        <v>0</v>
      </c>
      <c r="CX65" s="87" t="n">
        <v>0</v>
      </c>
      <c r="CY65" s="87" t="n">
        <v>0</v>
      </c>
      <c r="CZ65" s="87" t="n">
        <v>0</v>
      </c>
      <c r="DA65" s="87" t="n">
        <v>0</v>
      </c>
      <c r="DB65" s="87" t="n">
        <v>0</v>
      </c>
      <c r="DC65" s="87" t="n">
        <v>0</v>
      </c>
      <c r="DD65" s="87" t="n">
        <v>0</v>
      </c>
      <c r="DE65" s="87" t="n">
        <v>0</v>
      </c>
      <c r="DF65" s="87" t="n">
        <v>0</v>
      </c>
      <c r="DG65" s="87" t="n">
        <v>0</v>
      </c>
      <c r="DH65" s="87" t="n">
        <v>0</v>
      </c>
      <c r="DI65" s="87" t="n">
        <v>0</v>
      </c>
      <c r="DJ65" s="87" t="n">
        <v>0</v>
      </c>
      <c r="DK65" s="87" t="n">
        <v>0</v>
      </c>
      <c r="DL65" s="87" t="n">
        <v>0</v>
      </c>
      <c r="DM65" s="87" t="n">
        <v>0</v>
      </c>
      <c r="DN65" s="87" t="n">
        <v>0</v>
      </c>
      <c r="DO65" s="87" t="n">
        <v>0</v>
      </c>
      <c r="DP65" s="87" t="n">
        <v>0</v>
      </c>
      <c r="DQ65" s="87" t="n">
        <v>0</v>
      </c>
      <c r="DR65" s="87" t="n">
        <v>0</v>
      </c>
      <c r="DS65" s="87" t="n">
        <v>0</v>
      </c>
      <c r="DT65" s="87" t="n">
        <v>0</v>
      </c>
      <c r="DU65" s="87" t="n">
        <v>0</v>
      </c>
      <c r="DV65" s="87" t="n">
        <v>0</v>
      </c>
      <c r="DW65" s="87" t="n">
        <v>0</v>
      </c>
      <c r="DX65" s="87" t="n">
        <v>0</v>
      </c>
      <c r="DY65" s="87" t="n">
        <v>0</v>
      </c>
      <c r="DZ65" s="87" t="n">
        <v>0</v>
      </c>
      <c r="EA65" s="87" t="n">
        <v>0</v>
      </c>
      <c r="EB65" s="87" t="n">
        <v>0</v>
      </c>
      <c r="EC65" s="87" t="n">
        <v>0</v>
      </c>
      <c r="ED65" s="87" t="n">
        <v>0</v>
      </c>
      <c r="EE65" s="87" t="n">
        <v>0</v>
      </c>
      <c r="EF65" s="87" t="n">
        <v>0</v>
      </c>
      <c r="EG65" s="87" t="n">
        <v>0</v>
      </c>
      <c r="EH65" s="87" t="n">
        <v>0</v>
      </c>
      <c r="EI65" s="87" t="n">
        <v>0</v>
      </c>
      <c r="EJ65" s="87" t="n">
        <v>0</v>
      </c>
      <c r="EK65" s="87" t="n">
        <v>0</v>
      </c>
      <c r="EL65" s="87" t="n">
        <v>0</v>
      </c>
      <c r="EM65" s="87" t="n">
        <v>0</v>
      </c>
      <c r="EN65" s="87" t="n">
        <v>0</v>
      </c>
      <c r="EO65" s="87" t="n">
        <v>0</v>
      </c>
      <c r="EP65" s="87" t="n">
        <v>0</v>
      </c>
      <c r="EQ65" s="87" t="n">
        <v>0</v>
      </c>
      <c r="ER65" s="87" t="n">
        <v>0</v>
      </c>
      <c r="ES65" s="87" t="n">
        <v>0</v>
      </c>
      <c r="ET65" s="87" t="n">
        <v>0</v>
      </c>
      <c r="EU65" s="87" t="n">
        <v>0</v>
      </c>
      <c r="EV65" s="87" t="n">
        <v>0</v>
      </c>
      <c r="EW65" s="87" t="n">
        <v>0</v>
      </c>
      <c r="EX65" s="87" t="n">
        <v>0</v>
      </c>
      <c r="EY65" s="87" t="n">
        <v>0</v>
      </c>
      <c r="EZ65" s="87" t="n">
        <v>0</v>
      </c>
      <c r="FA65" s="87" t="n">
        <v>0</v>
      </c>
      <c r="FB65" s="87" t="n">
        <v>0</v>
      </c>
      <c r="FC65" s="87" t="n">
        <v>0</v>
      </c>
      <c r="FD65" s="87" t="n">
        <v>0</v>
      </c>
      <c r="FE65" s="87" t="n">
        <v>0</v>
      </c>
      <c r="FF65" s="87" t="n">
        <v>0</v>
      </c>
      <c r="FG65" s="87" t="n">
        <v>0</v>
      </c>
      <c r="FH65" s="87" t="n">
        <v>0</v>
      </c>
      <c r="FI65" s="87" t="n">
        <v>0</v>
      </c>
      <c r="FJ65" s="87" t="n">
        <v>0</v>
      </c>
      <c r="FK65" s="87" t="n">
        <v>0</v>
      </c>
      <c r="FL65" s="87" t="n">
        <v>0</v>
      </c>
      <c r="FM65" s="87" t="n">
        <v>0</v>
      </c>
      <c r="FN65" s="87" t="n">
        <v>0</v>
      </c>
      <c r="FO65" s="87" t="n">
        <v>0</v>
      </c>
      <c r="FP65" s="87" t="n">
        <v>0</v>
      </c>
      <c r="FQ65" s="87" t="n">
        <v>0</v>
      </c>
      <c r="FR65" s="87" t="n">
        <v>0</v>
      </c>
      <c r="FS65" s="87" t="n">
        <v>0</v>
      </c>
      <c r="FT65" s="87" t="n">
        <v>0</v>
      </c>
      <c r="FU65" s="87" t="n">
        <v>0</v>
      </c>
      <c r="FV65" s="87" t="n">
        <v>0</v>
      </c>
      <c r="FW65" s="87" t="n">
        <v>0</v>
      </c>
      <c r="FX65" s="87" t="n">
        <v>0</v>
      </c>
      <c r="FY65" s="87" t="n">
        <v>0</v>
      </c>
      <c r="FZ65" s="87" t="n">
        <v>0</v>
      </c>
      <c r="GA65" s="87" t="n">
        <v>0</v>
      </c>
      <c r="GB65" s="87" t="n">
        <v>0</v>
      </c>
      <c r="GC65" s="87" t="n">
        <v>0</v>
      </c>
      <c r="GD65" s="87" t="n">
        <v>0</v>
      </c>
      <c r="GE65" s="87" t="n">
        <v>0</v>
      </c>
      <c r="GF65" s="87" t="n">
        <v>0</v>
      </c>
      <c r="GG65" s="87" t="n">
        <v>0</v>
      </c>
      <c r="GH65" s="87" t="n">
        <v>0</v>
      </c>
      <c r="GI65" s="87" t="n">
        <v>0</v>
      </c>
      <c r="GJ65" s="87" t="n">
        <v>0</v>
      </c>
      <c r="GK65" s="87" t="n">
        <v>0</v>
      </c>
      <c r="GL65" s="87" t="n">
        <v>0</v>
      </c>
      <c r="GM65" s="87" t="n">
        <v>0</v>
      </c>
      <c r="GN65" s="87" t="n">
        <v>0</v>
      </c>
      <c r="GO65" s="87" t="n">
        <v>0</v>
      </c>
      <c r="GP65" s="87" t="n">
        <v>0</v>
      </c>
      <c r="GQ65" s="87" t="n">
        <v>0</v>
      </c>
      <c r="GR65" s="87" t="n">
        <v>0</v>
      </c>
      <c r="GS65" s="87" t="n">
        <v>0</v>
      </c>
      <c r="GT65" s="87" t="n">
        <v>0</v>
      </c>
      <c r="GU65" s="87" t="n">
        <v>0</v>
      </c>
      <c r="GV65" s="87" t="n">
        <v>0</v>
      </c>
      <c r="GW65" s="87" t="n">
        <v>0</v>
      </c>
      <c r="GX65" s="87" t="n">
        <v>0</v>
      </c>
      <c r="GY65" s="87" t="n">
        <v>0</v>
      </c>
      <c r="GZ65" s="87" t="n">
        <v>0</v>
      </c>
      <c r="HA65" s="87" t="n">
        <v>0</v>
      </c>
      <c r="HB65" s="87" t="n">
        <v>0</v>
      </c>
      <c r="HC65" s="87" t="n">
        <v>0</v>
      </c>
      <c r="HD65" s="87" t="n">
        <v>0</v>
      </c>
      <c r="HE65" s="87" t="n">
        <v>0</v>
      </c>
      <c r="HF65" s="87" t="n">
        <v>0</v>
      </c>
      <c r="HG65" s="87" t="n">
        <v>0</v>
      </c>
      <c r="HH65" s="87" t="n">
        <v>0</v>
      </c>
      <c r="HI65" s="87" t="n">
        <v>0</v>
      </c>
      <c r="HJ65" s="87" t="n">
        <v>0</v>
      </c>
      <c r="HK65" s="87" t="n">
        <v>0</v>
      </c>
      <c r="HL65" s="87" t="n">
        <v>0</v>
      </c>
      <c r="HM65" s="87" t="n">
        <v>0</v>
      </c>
      <c r="HN65" s="87" t="n">
        <v>0</v>
      </c>
      <c r="HO65" s="87" t="n">
        <v>0</v>
      </c>
      <c r="HP65" s="87" t="n">
        <v>0</v>
      </c>
      <c r="HQ65" s="87" t="n">
        <v>0</v>
      </c>
      <c r="HR65" s="87" t="n">
        <v>0</v>
      </c>
      <c r="HS65" s="87" t="n">
        <v>0</v>
      </c>
      <c r="HT65" s="87" t="n">
        <v>0</v>
      </c>
      <c r="HU65" s="87" t="n">
        <v>0</v>
      </c>
      <c r="JF65" s="87">
        <f>AP65</f>
        <v/>
      </c>
      <c r="JG65" s="87">
        <f>SUM(Z65:AK65)</f>
        <v/>
      </c>
      <c r="JH65" s="87">
        <f>SUM(AL65:AP65)</f>
        <v/>
      </c>
      <c r="JI65" s="87">
        <f>SUM(C65:AP65)</f>
        <v/>
      </c>
      <c r="JJ65" s="446" t="n"/>
      <c r="JM65" s="87" t="n">
        <v>0</v>
      </c>
      <c r="KG65" s="136">
        <f>B65</f>
        <v/>
      </c>
      <c r="KH65" s="345">
        <f>AR65</f>
        <v/>
      </c>
    </row>
    <row r="66" ht="12.75" customHeight="1">
      <c r="A66" s="23" t="inlineStr">
        <is>
          <t>Distribuição de Resultado</t>
        </is>
      </c>
      <c r="B66" s="136">
        <f>SUM(C66:AP66)</f>
        <v/>
      </c>
      <c r="C66" s="24" t="n"/>
      <c r="D66" s="33" t="n"/>
      <c r="E66" s="24" t="n"/>
      <c r="F66" s="24" t="n"/>
      <c r="G66" s="24" t="n"/>
      <c r="H66" s="24" t="n"/>
      <c r="I66" s="25" t="n"/>
      <c r="J66" s="209" t="n"/>
      <c r="K66" s="118" t="n"/>
      <c r="L66" s="122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>
        <v>0</v>
      </c>
      <c r="AG66" s="219" t="n">
        <v>0</v>
      </c>
      <c r="AH66" s="219" t="n">
        <v>0</v>
      </c>
      <c r="AI66" s="219" t="n">
        <v>0</v>
      </c>
      <c r="AJ66" s="219" t="n">
        <v>0</v>
      </c>
      <c r="AK66" s="219" t="n">
        <v>0</v>
      </c>
      <c r="AL66" s="219" t="n">
        <v>0</v>
      </c>
      <c r="AM66" s="219" t="n">
        <v>0</v>
      </c>
      <c r="AN66" s="219" t="n">
        <v>0</v>
      </c>
      <c r="AO66" s="219" t="n">
        <v>0</v>
      </c>
      <c r="AP66" s="219" t="n">
        <v>0</v>
      </c>
      <c r="AQ66" s="53" t="n"/>
      <c r="AR66" s="345">
        <f>SUM(AT66:HU66)</f>
        <v/>
      </c>
      <c r="AS66" s="53" t="n"/>
      <c r="AT66" s="26" t="n">
        <v>0</v>
      </c>
      <c r="AU66" s="26" t="n">
        <v>0</v>
      </c>
      <c r="AV66" s="26" t="n">
        <v>0</v>
      </c>
      <c r="AW66" s="26" t="n">
        <v>0</v>
      </c>
      <c r="AX66" s="26" t="n">
        <v>0</v>
      </c>
      <c r="AY66" s="26" t="n">
        <v>0</v>
      </c>
      <c r="AZ66" s="26" t="n"/>
      <c r="BA66" s="87">
        <f>-800000-80000</f>
        <v/>
      </c>
      <c r="BB66" s="87">
        <f>-2000000+600000-600000</f>
        <v/>
      </c>
      <c r="BC66" s="87" t="n">
        <v>-2400000</v>
      </c>
      <c r="BD66" s="87" t="n">
        <v>-2800000</v>
      </c>
      <c r="BE66" s="87">
        <f>-2700000+300000+1000000</f>
        <v/>
      </c>
      <c r="BF66" s="87">
        <f>-2000000+400000</f>
        <v/>
      </c>
      <c r="BG66" s="87">
        <f>-3000000-300000</f>
        <v/>
      </c>
      <c r="BH66" s="443">
        <f>-3000000-400000</f>
        <v/>
      </c>
      <c r="BI66" s="87" t="n">
        <v>-2800000</v>
      </c>
      <c r="BJ66" s="87">
        <f>-2800000+100000</f>
        <v/>
      </c>
      <c r="BK66" s="443">
        <f>-3000000-200000</f>
        <v/>
      </c>
      <c r="BL66" s="87">
        <f>-3500000+300000-100000</f>
        <v/>
      </c>
      <c r="BM66" s="87">
        <f>-2500000-300000</f>
        <v/>
      </c>
      <c r="BN66" s="26">
        <f>-1000000-1000000-500000</f>
        <v/>
      </c>
      <c r="BO66" s="26">
        <f>-1000000-1000000+150000+400000+50000</f>
        <v/>
      </c>
      <c r="BP66" s="26">
        <f>-1200000-100000</f>
        <v/>
      </c>
      <c r="BQ66" s="26">
        <f>-1200000+50000</f>
        <v/>
      </c>
      <c r="BR66" s="26">
        <f>-3500000-200000-150000</f>
        <v/>
      </c>
      <c r="BS66" s="26">
        <f>-3800000-200000</f>
        <v/>
      </c>
      <c r="BT66" s="26">
        <f>-3800000-200000-100000+50000</f>
        <v/>
      </c>
      <c r="BU66" s="26">
        <f>-3800000-200000-50000+50000</f>
        <v/>
      </c>
      <c r="BV66" s="26">
        <f>-3800000-200000</f>
        <v/>
      </c>
      <c r="BW66" s="26">
        <f>-3800000-200000-50000-50000</f>
        <v/>
      </c>
      <c r="BX66" s="26">
        <f>-3800000-200000-50000-50000</f>
        <v/>
      </c>
      <c r="BY66" s="26">
        <f>-3800000-200000-100000-50000</f>
        <v/>
      </c>
      <c r="BZ66" s="26">
        <f>-4200000+50000</f>
        <v/>
      </c>
      <c r="CA66" s="26">
        <f>-4300000+150000-50000</f>
        <v/>
      </c>
      <c r="CB66" s="26">
        <f>-4200000-250000</f>
        <v/>
      </c>
      <c r="CC66" s="26">
        <f>-4400000-250000</f>
        <v/>
      </c>
      <c r="CD66" s="26">
        <f>-4400000+20000</f>
        <v/>
      </c>
      <c r="CE66" s="26">
        <f>-4000000-500000+150000</f>
        <v/>
      </c>
      <c r="CF66" s="26">
        <f>-4200000-200000-100000</f>
        <v/>
      </c>
      <c r="CG66" s="26">
        <f>-4500000+50000</f>
        <v/>
      </c>
      <c r="CH66" s="26" t="n">
        <v>-4500000</v>
      </c>
      <c r="CI66" s="26" t="n">
        <v>-4500000</v>
      </c>
      <c r="CJ66" s="26" t="n">
        <v>-4500000</v>
      </c>
      <c r="CK66" s="26">
        <f>-4700000+50000</f>
        <v/>
      </c>
      <c r="CL66" s="26" t="n">
        <v>-4500000</v>
      </c>
      <c r="CM66" s="26" t="n">
        <v>-4650000</v>
      </c>
      <c r="CN66" s="26">
        <f>-4200000-800000</f>
        <v/>
      </c>
      <c r="CO66" s="26" t="n">
        <v>-5200000</v>
      </c>
      <c r="CP66" s="26">
        <f>-4900000+150000-50000</f>
        <v/>
      </c>
      <c r="CQ66" s="26">
        <f>-5000000+100000</f>
        <v/>
      </c>
      <c r="CR66" s="26">
        <f>-5000000+140000</f>
        <v/>
      </c>
      <c r="CS66" s="26">
        <f>-5000000+100000</f>
        <v/>
      </c>
      <c r="CT66" s="26">
        <f>-5000000+50000</f>
        <v/>
      </c>
      <c r="CU66" s="26">
        <f>-5000000-20000</f>
        <v/>
      </c>
      <c r="CV66" s="26">
        <f>-5100000+80000-20000</f>
        <v/>
      </c>
      <c r="CW66" s="26" t="n">
        <v>-5100000</v>
      </c>
      <c r="CX66" s="26">
        <f>-5100000+20000+100000</f>
        <v/>
      </c>
      <c r="CY66" s="26">
        <f>-4500000+50000+250000</f>
        <v/>
      </c>
      <c r="CZ66" s="26">
        <f>-4600000+150000+10000</f>
        <v/>
      </c>
      <c r="DA66" s="26">
        <f>-3900000-50000-350000</f>
        <v/>
      </c>
      <c r="DB66" s="26">
        <f>-3900000-50000+100000</f>
        <v/>
      </c>
      <c r="DC66" s="26">
        <f>-3900000-50000+80000</f>
        <v/>
      </c>
      <c r="DD66" s="26">
        <f>-3700000+50000</f>
        <v/>
      </c>
      <c r="DE66" s="26">
        <f>-3450000-150000+60000</f>
        <v/>
      </c>
      <c r="DF66" s="26">
        <f>-3450000+30000</f>
        <v/>
      </c>
      <c r="DG66" s="26">
        <f>-3200000-200000+60000</f>
        <v/>
      </c>
      <c r="DH66" s="26">
        <f>-3200000-50000+50000</f>
        <v/>
      </c>
      <c r="DI66" s="26">
        <f>-3200000+80000</f>
        <v/>
      </c>
      <c r="DJ66" s="26">
        <f>-3000000-100000+220000</f>
        <v/>
      </c>
      <c r="DK66" s="26">
        <f>-1900000-200000+200000</f>
        <v/>
      </c>
      <c r="DL66" s="26">
        <f>-1900000-300000+15000</f>
        <v/>
      </c>
      <c r="DM66" s="26">
        <f>-1800000-50000+70000</f>
        <v/>
      </c>
      <c r="DN66" s="26" t="n">
        <v>-1700000</v>
      </c>
      <c r="DO66" s="26">
        <f>-1750000+50000-50000+20000+2000</f>
        <v/>
      </c>
      <c r="DP66" s="26">
        <f>-1500000-150000+110000</f>
        <v/>
      </c>
      <c r="DQ66" s="26">
        <f>-1500000+50000-50000+30000</f>
        <v/>
      </c>
      <c r="DR66" s="26">
        <f>-1500000+85000</f>
        <v/>
      </c>
      <c r="DS66" s="26" t="n">
        <v>-1350000</v>
      </c>
      <c r="DT66" s="26">
        <f>-1250000+50000-100000+30000</f>
        <v/>
      </c>
      <c r="DU66" s="26">
        <f>-1250000+50000-50000+25000</f>
        <v/>
      </c>
      <c r="DV66" s="26" t="n">
        <v>-1100000</v>
      </c>
      <c r="DW66" s="26">
        <f>-1100000+50000</f>
        <v/>
      </c>
      <c r="DX66" s="26">
        <f>-1400000+100000+10000+60000</f>
        <v/>
      </c>
      <c r="DY66" s="26">
        <f>-900000-20000-30000</f>
        <v/>
      </c>
      <c r="DZ66" s="26">
        <f>-900000-20000</f>
        <v/>
      </c>
      <c r="EA66" s="26" t="n">
        <v>-1000000</v>
      </c>
      <c r="EB66" s="26">
        <f>-800000-50000-20000</f>
        <v/>
      </c>
      <c r="EC66" s="26">
        <f>-800000-30000-10000</f>
        <v/>
      </c>
      <c r="ED66" s="26" t="n">
        <v>-850000</v>
      </c>
      <c r="EE66" s="26">
        <f>-800000+20000-40000-10000</f>
        <v/>
      </c>
      <c r="EF66" s="26">
        <f>-800000+20000+10000-15000-10000</f>
        <v/>
      </c>
      <c r="EG66" s="26">
        <f>-770000+5000-50000-10000</f>
        <v/>
      </c>
      <c r="EH66" s="26">
        <f>-700000-40000-10000</f>
        <v/>
      </c>
      <c r="EI66" s="26">
        <f>-700000+5000-30000-5000</f>
        <v/>
      </c>
      <c r="EJ66" s="26">
        <f>-650000-30000-20000</f>
        <v/>
      </c>
      <c r="EK66" s="26">
        <f>-650000-20000</f>
        <v/>
      </c>
      <c r="EL66" s="26">
        <f>-600000-40000+1000+5000</f>
        <v/>
      </c>
      <c r="EM66" s="26">
        <f>-600000-40000+15000</f>
        <v/>
      </c>
      <c r="EN66" s="26">
        <f>-600000-10000</f>
        <v/>
      </c>
      <c r="EO66" s="26">
        <f>-600000-5000</f>
        <v/>
      </c>
      <c r="EP66" s="26" t="n">
        <v>-600000</v>
      </c>
      <c r="EQ66" s="26">
        <f>-600000+18000</f>
        <v/>
      </c>
      <c r="ER66" s="26">
        <f>-600000+25000</f>
        <v/>
      </c>
      <c r="ES66" s="26">
        <f>-500000-50000-10000</f>
        <v/>
      </c>
      <c r="ET66" s="26">
        <f>-500000-50000-5000</f>
        <v/>
      </c>
      <c r="EU66" s="26">
        <f>-620000+70000+5000</f>
        <v/>
      </c>
      <c r="EV66" s="26">
        <f>-620000+70000+20000</f>
        <v/>
      </c>
      <c r="EW66" s="26" t="n">
        <v>-520000</v>
      </c>
      <c r="EX66" s="26" t="n">
        <v>-500000</v>
      </c>
      <c r="EY66" s="26">
        <f>-500000-20000</f>
        <v/>
      </c>
      <c r="EZ66" s="26">
        <f>-500000+10000</f>
        <v/>
      </c>
      <c r="FA66" s="26">
        <f>-500000+10000+10000</f>
        <v/>
      </c>
      <c r="FB66" s="26">
        <f>-450000-20000</f>
        <v/>
      </c>
      <c r="FC66" s="26">
        <f>-500000+30000+11000</f>
        <v/>
      </c>
      <c r="FD66" s="26">
        <f>-450000+2000</f>
        <v/>
      </c>
      <c r="FE66" s="26">
        <f>-420000-20000+2000</f>
        <v/>
      </c>
      <c r="FF66" s="26">
        <f>-420000-5000</f>
        <v/>
      </c>
      <c r="FG66" s="26">
        <f>-420000+3000</f>
        <v/>
      </c>
      <c r="FH66" s="26">
        <f>-420000+15000</f>
        <v/>
      </c>
      <c r="FI66" s="26">
        <f>-410000+1000+15000</f>
        <v/>
      </c>
      <c r="FJ66" s="26">
        <f>-390000+15000-5000</f>
        <v/>
      </c>
      <c r="FK66" s="26">
        <f>-390000+15000</f>
        <v/>
      </c>
      <c r="FL66" s="26">
        <f>-330000-30000</f>
        <v/>
      </c>
      <c r="FM66" s="26">
        <f>-330000-50000+30000</f>
        <v/>
      </c>
      <c r="FN66" s="26">
        <f>-330000-10000</f>
        <v/>
      </c>
      <c r="FO66" s="26">
        <f>-330000-30000+32000</f>
        <v/>
      </c>
      <c r="FP66" s="26">
        <f>-330000+15000</f>
        <v/>
      </c>
      <c r="FQ66" s="26">
        <f>-300000-10000+3000</f>
        <v/>
      </c>
      <c r="FR66" s="26">
        <f>-320000+5000+10000+12000</f>
        <v/>
      </c>
      <c r="FS66" s="26">
        <f>-290000+7000</f>
        <v/>
      </c>
      <c r="FT66" s="26">
        <f>-280000+2000+7000</f>
        <v/>
      </c>
      <c r="FU66" s="26">
        <f>-270000+5000+5000</f>
        <v/>
      </c>
      <c r="FV66" s="26">
        <f>-260000+5000+7000</f>
        <v/>
      </c>
      <c r="FW66" s="26">
        <f>-250000+5000+8000</f>
        <v/>
      </c>
      <c r="FX66" s="26">
        <f>-235000+2000+8000</f>
        <v/>
      </c>
      <c r="FY66" s="26">
        <f>-220000+6000</f>
        <v/>
      </c>
      <c r="FZ66" s="26">
        <f>-220000+10000+8000</f>
        <v/>
      </c>
      <c r="GA66" s="26">
        <f>-180000-10000</f>
        <v/>
      </c>
      <c r="GB66" s="26">
        <f>-180000-10000+11000</f>
        <v/>
      </c>
      <c r="GC66" s="26">
        <f>-180000+5000+8000</f>
        <v/>
      </c>
      <c r="GD66" s="26">
        <f>-120000-30000-4000</f>
        <v/>
      </c>
      <c r="GE66" s="26">
        <f>-120000-30000+6000</f>
        <v/>
      </c>
      <c r="GF66" s="26">
        <f>-120000-15000+3000</f>
        <v/>
      </c>
      <c r="GG66" s="26">
        <f>-120000+1000</f>
        <v/>
      </c>
      <c r="GH66" s="26">
        <f>-110000-10000+12000</f>
        <v/>
      </c>
      <c r="GI66" s="26">
        <f>-100000+5000</f>
        <v/>
      </c>
      <c r="GJ66" s="26">
        <f>-85000+2000</f>
        <v/>
      </c>
      <c r="GK66" s="26">
        <f>-85000+15000</f>
        <v/>
      </c>
      <c r="GL66" s="26" t="n">
        <v>-60000</v>
      </c>
      <c r="GM66" s="26">
        <f>-60000+14000</f>
        <v/>
      </c>
      <c r="GN66" s="26">
        <f>-60000+20000+4000</f>
        <v/>
      </c>
      <c r="GO66" s="26">
        <f>-55000+30000+3000</f>
        <v/>
      </c>
      <c r="GP66" s="26">
        <f>-12000-5000+7000+1000</f>
        <v/>
      </c>
      <c r="GQ66" s="26">
        <f>-12000-5000+7000+1000</f>
        <v/>
      </c>
      <c r="GR66" s="26" t="n">
        <v>-2000</v>
      </c>
      <c r="GS66" s="26" t="n"/>
      <c r="GT66" s="26" t="n"/>
      <c r="GU66" s="26" t="n"/>
      <c r="GV66" s="26" t="n"/>
      <c r="GW66" s="26" t="n">
        <v>0</v>
      </c>
      <c r="GX66" s="26" t="n">
        <v>0</v>
      </c>
      <c r="GY66" s="26" t="n">
        <v>0</v>
      </c>
      <c r="GZ66" s="26" t="n">
        <v>0</v>
      </c>
      <c r="HA66" s="26" t="n">
        <v>0</v>
      </c>
      <c r="HB66" s="26" t="n">
        <v>0</v>
      </c>
      <c r="HC66" s="26" t="n">
        <v>0</v>
      </c>
      <c r="HD66" s="26" t="n">
        <v>0</v>
      </c>
      <c r="HE66" s="26" t="n">
        <v>0</v>
      </c>
      <c r="HF66" s="26" t="n">
        <v>0</v>
      </c>
      <c r="HG66" s="26" t="n">
        <v>0</v>
      </c>
      <c r="HH66" s="26" t="n">
        <v>0</v>
      </c>
      <c r="HI66" s="26" t="n">
        <v>0</v>
      </c>
      <c r="HJ66" s="26" t="n">
        <v>0</v>
      </c>
      <c r="HK66" s="26" t="n">
        <v>0</v>
      </c>
      <c r="HL66" s="26" t="n">
        <v>0</v>
      </c>
      <c r="HM66" s="26" t="n">
        <v>0</v>
      </c>
      <c r="HN66" s="26" t="n"/>
      <c r="HO66" s="26" t="n">
        <v>0</v>
      </c>
      <c r="HP66" s="26" t="n">
        <v>0</v>
      </c>
      <c r="HQ66" s="26" t="n">
        <v>0</v>
      </c>
      <c r="HR66" s="26" t="n"/>
      <c r="HS66" s="26" t="n">
        <v>0</v>
      </c>
      <c r="HT66" s="26" t="n">
        <v>0</v>
      </c>
      <c r="HU66" s="26" t="n"/>
      <c r="JF66" s="26">
        <f>AP66</f>
        <v/>
      </c>
      <c r="JG66" s="26">
        <f>SUM(Z66:AK66)</f>
        <v/>
      </c>
      <c r="JH66" s="26">
        <f>SUM(AL66:AP66)</f>
        <v/>
      </c>
      <c r="JI66" s="26">
        <f>SUM(C66:AP66)</f>
        <v/>
      </c>
      <c r="JJ66" s="446" t="n"/>
      <c r="JM66" s="26" t="n">
        <v>0</v>
      </c>
      <c r="KG66" s="136">
        <f>B66</f>
        <v/>
      </c>
      <c r="KH66" s="345">
        <f>AR66</f>
        <v/>
      </c>
    </row>
    <row r="67" ht="16.2" customHeight="1">
      <c r="A67" s="12" t="inlineStr">
        <is>
          <t>Subtotal</t>
        </is>
      </c>
      <c r="B67" s="136">
        <f>SUM(C67:AP67)</f>
        <v/>
      </c>
      <c r="C67" s="30">
        <f>SUM(C65:C66)</f>
        <v/>
      </c>
      <c r="D67" s="30">
        <f>SUM(D65:D66)</f>
        <v/>
      </c>
      <c r="E67" s="30">
        <f>SUM(E65:E66)</f>
        <v/>
      </c>
      <c r="F67" s="30">
        <f>SUM(F65:F66)</f>
        <v/>
      </c>
      <c r="G67" s="30">
        <f>SUM(G65:G66)</f>
        <v/>
      </c>
      <c r="H67" s="30">
        <f>SUM(H65:H66)</f>
        <v/>
      </c>
      <c r="I67" s="31">
        <f>SUM(I65:I66)</f>
        <v/>
      </c>
      <c r="J67" s="187">
        <f>SUM(J65:J66)</f>
        <v/>
      </c>
      <c r="K67" s="31">
        <f>SUM(K65:K66)</f>
        <v/>
      </c>
      <c r="L67" s="30">
        <f>SUM(L65:L66)</f>
        <v/>
      </c>
      <c r="M67" s="30">
        <f>SUM(M65:M66)</f>
        <v/>
      </c>
      <c r="N67" s="30">
        <f>SUM(N65:N66)</f>
        <v/>
      </c>
      <c r="O67" s="30">
        <f>SUM(O65:O66)</f>
        <v/>
      </c>
      <c r="P67" s="30">
        <f>SUM(P65:P66)</f>
        <v/>
      </c>
      <c r="Q67" s="30">
        <f>SUM(Q65:Q66)</f>
        <v/>
      </c>
      <c r="R67" s="30">
        <f>SUM(R65:R66)</f>
        <v/>
      </c>
      <c r="S67" s="30">
        <f>SUM(S65:S66)</f>
        <v/>
      </c>
      <c r="T67" s="30">
        <f>SUM(T65:T66)</f>
        <v/>
      </c>
      <c r="U67" s="30">
        <f>SUM(U65:U66)</f>
        <v/>
      </c>
      <c r="V67" s="30">
        <f>SUM(V65:V66)</f>
        <v/>
      </c>
      <c r="W67" s="30">
        <f>SUM(W65:W66)</f>
        <v/>
      </c>
      <c r="X67" s="30">
        <f>SUM(X65:X66)</f>
        <v/>
      </c>
      <c r="Y67" s="30">
        <f>SUM(Y65:Y66)</f>
        <v/>
      </c>
      <c r="Z67" s="30">
        <f>SUM(Z65:Z66)</f>
        <v/>
      </c>
      <c r="AA67" s="30">
        <f>SUM(AA65:AA66)</f>
        <v/>
      </c>
      <c r="AB67" s="30">
        <f>SUM(AB65:AB66)</f>
        <v/>
      </c>
      <c r="AC67" s="30" t="n"/>
      <c r="AD67" s="30" t="n"/>
      <c r="AE67" s="30" t="n"/>
      <c r="AF67" s="30" t="n"/>
      <c r="AG67" s="30">
        <f>+AG65+AG66</f>
        <v/>
      </c>
      <c r="AH67" s="30">
        <f>+AH65+AH66</f>
        <v/>
      </c>
      <c r="AI67" s="30">
        <f>+AI65+AI66</f>
        <v/>
      </c>
      <c r="AJ67" s="30">
        <f>+AJ65+AJ66</f>
        <v/>
      </c>
      <c r="AK67" s="30">
        <f>+AK65+AK66</f>
        <v/>
      </c>
      <c r="AL67" s="30">
        <f>+AL65+AL66</f>
        <v/>
      </c>
      <c r="AM67" s="30">
        <f>+AM65+AM66</f>
        <v/>
      </c>
      <c r="AN67" s="30">
        <f>+AN65+AN66</f>
        <v/>
      </c>
      <c r="AO67" s="30">
        <f>+AO65+AO66</f>
        <v/>
      </c>
      <c r="AP67" s="30">
        <f>+AP65+AP66</f>
        <v/>
      </c>
      <c r="AQ67" s="13" t="n"/>
      <c r="AR67" s="188">
        <f>SUM(AT67:HU67)</f>
        <v/>
      </c>
      <c r="AS67" s="13" t="n"/>
      <c r="AT67" s="32">
        <f>SUM(AT65:AT66)</f>
        <v/>
      </c>
      <c r="AU67" s="32">
        <f>SUM(AU65:AU66)</f>
        <v/>
      </c>
      <c r="AV67" s="32">
        <f>SUM(AV65:AV66)</f>
        <v/>
      </c>
      <c r="AW67" s="32">
        <f>SUM(AW65:AW66)</f>
        <v/>
      </c>
      <c r="AX67" s="32">
        <f>SUM(AX65:AX66)</f>
        <v/>
      </c>
      <c r="AY67" s="32">
        <f>SUM(AY65:AY66)</f>
        <v/>
      </c>
      <c r="AZ67" s="32">
        <f>SUM(AZ65:AZ66)</f>
        <v/>
      </c>
      <c r="BA67" s="32">
        <f>SUM(BA65:BA66)</f>
        <v/>
      </c>
      <c r="BB67" s="32">
        <f>SUM(BB65:BB66)</f>
        <v/>
      </c>
      <c r="BC67" s="32">
        <f>SUM(BC65:BC66)</f>
        <v/>
      </c>
      <c r="BD67" s="32">
        <f>SUM(BD65:BD66)</f>
        <v/>
      </c>
      <c r="BE67" s="32">
        <f>SUM(BE65:BE66)</f>
        <v/>
      </c>
      <c r="BF67" s="32">
        <f>SUM(BF65:BF66)</f>
        <v/>
      </c>
      <c r="BG67" s="32">
        <f>SUM(BG65:BG66)</f>
        <v/>
      </c>
      <c r="BH67" s="445">
        <f>SUM(BH65:BH66)</f>
        <v/>
      </c>
      <c r="BI67" s="445">
        <f>SUM(BI65:BI66)</f>
        <v/>
      </c>
      <c r="BJ67" s="445">
        <f>SUM(BJ65:BJ66)</f>
        <v/>
      </c>
      <c r="BK67" s="32">
        <f>SUM(BK65:BK66)</f>
        <v/>
      </c>
      <c r="BL67" s="32">
        <f>SUM(BL65:BL66)</f>
        <v/>
      </c>
      <c r="BM67" s="32">
        <f>SUM(BM65:BM66)</f>
        <v/>
      </c>
      <c r="BN67" s="32">
        <f>SUM(BN65:BN66)</f>
        <v/>
      </c>
      <c r="BO67" s="32">
        <f>SUM(BO65:BO66)</f>
        <v/>
      </c>
      <c r="BP67" s="32">
        <f>SUM(BP65:BP66)</f>
        <v/>
      </c>
      <c r="BQ67" s="32">
        <f>SUM(BQ65:BQ66)</f>
        <v/>
      </c>
      <c r="BR67" s="32">
        <f>SUM(BR65:BR66)</f>
        <v/>
      </c>
      <c r="BS67" s="32">
        <f>SUM(BS65:BS66)</f>
        <v/>
      </c>
      <c r="BT67" s="32">
        <f>SUM(BT65:BT66)</f>
        <v/>
      </c>
      <c r="BU67" s="32">
        <f>SUM(BU65:BU66)</f>
        <v/>
      </c>
      <c r="BV67" s="32">
        <f>SUM(BV65:BV66)</f>
        <v/>
      </c>
      <c r="BW67" s="32">
        <f>SUM(BW65:BW66)</f>
        <v/>
      </c>
      <c r="BX67" s="32">
        <f>SUM(BX65:BX66)</f>
        <v/>
      </c>
      <c r="BY67" s="32">
        <f>SUM(BY65:BY66)</f>
        <v/>
      </c>
      <c r="BZ67" s="32">
        <f>SUM(BZ65:BZ66)</f>
        <v/>
      </c>
      <c r="CA67" s="32">
        <f>SUM(CA65:CA66)</f>
        <v/>
      </c>
      <c r="CB67" s="32">
        <f>SUM(CB65:CB66)</f>
        <v/>
      </c>
      <c r="CC67" s="32">
        <f>SUM(CC65:CC66)</f>
        <v/>
      </c>
      <c r="CD67" s="32">
        <f>SUM(CD65:CD66)</f>
        <v/>
      </c>
      <c r="CE67" s="32">
        <f>SUM(CE65:CE66)</f>
        <v/>
      </c>
      <c r="CF67" s="32">
        <f>SUM(CF65:CF66)</f>
        <v/>
      </c>
      <c r="CG67" s="32">
        <f>SUM(CG65:CG66)</f>
        <v/>
      </c>
      <c r="CH67" s="32">
        <f>SUM(CH65:CH66)</f>
        <v/>
      </c>
      <c r="CI67" s="32">
        <f>SUM(CI65:CI66)</f>
        <v/>
      </c>
      <c r="CJ67" s="32">
        <f>SUM(CJ65:CJ66)</f>
        <v/>
      </c>
      <c r="CK67" s="32">
        <f>SUM(CK65:CK66)</f>
        <v/>
      </c>
      <c r="CL67" s="32">
        <f>SUM(CL65:CL66)</f>
        <v/>
      </c>
      <c r="CM67" s="32">
        <f>SUM(CM65:CM66)</f>
        <v/>
      </c>
      <c r="CN67" s="32">
        <f>SUM(CN65:CN66)</f>
        <v/>
      </c>
      <c r="CO67" s="32">
        <f>SUM(CO65:CO66)</f>
        <v/>
      </c>
      <c r="CP67" s="32">
        <f>SUM(CP65:CP66)</f>
        <v/>
      </c>
      <c r="CQ67" s="32">
        <f>SUM(CQ65:CQ66)</f>
        <v/>
      </c>
      <c r="CR67" s="32">
        <f>SUM(CR65:CR66)</f>
        <v/>
      </c>
      <c r="CS67" s="32">
        <f>SUM(CS65:CS66)</f>
        <v/>
      </c>
      <c r="CT67" s="32">
        <f>SUM(CT65:CT66)</f>
        <v/>
      </c>
      <c r="CU67" s="32">
        <f>SUM(CU65:CU66)</f>
        <v/>
      </c>
      <c r="CV67" s="32">
        <f>SUM(CV65:CV66)</f>
        <v/>
      </c>
      <c r="CW67" s="32">
        <f>SUM(CW65:CW66)</f>
        <v/>
      </c>
      <c r="CX67" s="32">
        <f>SUM(CX65:CX66)</f>
        <v/>
      </c>
      <c r="CY67" s="32">
        <f>SUM(CY65:CY66)</f>
        <v/>
      </c>
      <c r="CZ67" s="32">
        <f>SUM(CZ65:CZ66)</f>
        <v/>
      </c>
      <c r="DA67" s="32">
        <f>SUM(DA65:DA66)</f>
        <v/>
      </c>
      <c r="DB67" s="32">
        <f>SUM(DB65:DB66)</f>
        <v/>
      </c>
      <c r="DC67" s="32">
        <f>SUM(DC65:DC66)</f>
        <v/>
      </c>
      <c r="DD67" s="32">
        <f>SUM(DD65:DD66)</f>
        <v/>
      </c>
      <c r="DE67" s="32">
        <f>SUM(DE65:DE66)</f>
        <v/>
      </c>
      <c r="DF67" s="32">
        <f>SUM(DF65:DF66)</f>
        <v/>
      </c>
      <c r="DG67" s="32">
        <f>SUM(DG65:DG66)</f>
        <v/>
      </c>
      <c r="DH67" s="32">
        <f>SUM(DH65:DH66)</f>
        <v/>
      </c>
      <c r="DI67" s="32">
        <f>SUM(DI65:DI66)</f>
        <v/>
      </c>
      <c r="DJ67" s="32">
        <f>SUM(DJ65:DJ66)</f>
        <v/>
      </c>
      <c r="DK67" s="32">
        <f>SUM(DK65:DK66)</f>
        <v/>
      </c>
      <c r="DL67" s="32">
        <f>SUM(DL65:DL66)</f>
        <v/>
      </c>
      <c r="DM67" s="32">
        <f>SUM(DM65:DM66)</f>
        <v/>
      </c>
      <c r="DN67" s="32">
        <f>SUM(DN65:DN66)</f>
        <v/>
      </c>
      <c r="DO67" s="32">
        <f>SUM(DO65:DO66)</f>
        <v/>
      </c>
      <c r="DP67" s="32">
        <f>SUM(DP65:DP66)</f>
        <v/>
      </c>
      <c r="DQ67" s="32">
        <f>SUM(DQ65:DQ66)</f>
        <v/>
      </c>
      <c r="DR67" s="32">
        <f>SUM(DR65:DR66)</f>
        <v/>
      </c>
      <c r="DS67" s="32">
        <f>SUM(DS65:DS66)</f>
        <v/>
      </c>
      <c r="DT67" s="32">
        <f>SUM(DT65:DT66)</f>
        <v/>
      </c>
      <c r="DU67" s="32">
        <f>SUM(DU65:DU66)</f>
        <v/>
      </c>
      <c r="DV67" s="32">
        <f>SUM(DV65:DV66)</f>
        <v/>
      </c>
      <c r="DW67" s="32">
        <f>SUM(DW65:DW66)</f>
        <v/>
      </c>
      <c r="DX67" s="32">
        <f>SUM(DX65:DX66)</f>
        <v/>
      </c>
      <c r="DY67" s="32">
        <f>SUM(DY65:DY66)</f>
        <v/>
      </c>
      <c r="DZ67" s="32">
        <f>SUM(DZ65:DZ66)</f>
        <v/>
      </c>
      <c r="EA67" s="32">
        <f>SUM(EA65:EA66)</f>
        <v/>
      </c>
      <c r="EB67" s="32">
        <f>SUM(EB65:EB66)</f>
        <v/>
      </c>
      <c r="EC67" s="32">
        <f>SUM(EC65:EC66)</f>
        <v/>
      </c>
      <c r="ED67" s="32">
        <f>SUM(ED65:ED66)</f>
        <v/>
      </c>
      <c r="EE67" s="32">
        <f>SUM(EE65:EE66)</f>
        <v/>
      </c>
      <c r="EF67" s="32">
        <f>SUM(EF65:EF66)</f>
        <v/>
      </c>
      <c r="EG67" s="32">
        <f>SUM(EG65:EG66)</f>
        <v/>
      </c>
      <c r="EH67" s="32">
        <f>SUM(EH65:EH66)</f>
        <v/>
      </c>
      <c r="EI67" s="32">
        <f>SUM(EI65:EI66)</f>
        <v/>
      </c>
      <c r="EJ67" s="32">
        <f>SUM(EJ65:EJ66)</f>
        <v/>
      </c>
      <c r="EK67" s="32">
        <f>SUM(EK65:EK66)</f>
        <v/>
      </c>
      <c r="EL67" s="32">
        <f>SUM(EL65:EL66)</f>
        <v/>
      </c>
      <c r="EM67" s="32">
        <f>SUM(EM65:EM66)</f>
        <v/>
      </c>
      <c r="EN67" s="32">
        <f>SUM(EN65:EN66)</f>
        <v/>
      </c>
      <c r="EO67" s="32">
        <f>SUM(EO65:EO66)</f>
        <v/>
      </c>
      <c r="EP67" s="32">
        <f>SUM(EP65:EP66)</f>
        <v/>
      </c>
      <c r="EQ67" s="32">
        <f>SUM(EQ65:EQ66)</f>
        <v/>
      </c>
      <c r="ER67" s="32">
        <f>SUM(ER65:ER66)</f>
        <v/>
      </c>
      <c r="ES67" s="32">
        <f>SUM(ES65:ES66)</f>
        <v/>
      </c>
      <c r="ET67" s="32">
        <f>SUM(ET65:ET66)</f>
        <v/>
      </c>
      <c r="EU67" s="32">
        <f>SUM(EU65:EU66)</f>
        <v/>
      </c>
      <c r="EV67" s="32">
        <f>SUM(EV65:EV66)</f>
        <v/>
      </c>
      <c r="EW67" s="32">
        <f>SUM(EW65:EW66)</f>
        <v/>
      </c>
      <c r="EX67" s="32">
        <f>SUM(EX65:EX66)</f>
        <v/>
      </c>
      <c r="EY67" s="32">
        <f>SUM(EY65:EY66)</f>
        <v/>
      </c>
      <c r="EZ67" s="32">
        <f>SUM(EZ65:EZ66)</f>
        <v/>
      </c>
      <c r="FA67" s="32">
        <f>SUM(FA65:FA66)</f>
        <v/>
      </c>
      <c r="FB67" s="32">
        <f>SUM(FB65:FB66)</f>
        <v/>
      </c>
      <c r="FC67" s="32">
        <f>SUM(FC65:FC66)</f>
        <v/>
      </c>
      <c r="FD67" s="32">
        <f>SUM(FD65:FD66)</f>
        <v/>
      </c>
      <c r="FE67" s="32">
        <f>SUM(FE65:FE66)</f>
        <v/>
      </c>
      <c r="FF67" s="32">
        <f>SUM(FF65:FF66)</f>
        <v/>
      </c>
      <c r="FG67" s="32">
        <f>SUM(FG65:FG66)</f>
        <v/>
      </c>
      <c r="FH67" s="32">
        <f>SUM(FH65:FH66)</f>
        <v/>
      </c>
      <c r="FI67" s="32">
        <f>SUM(FI65:FI66)</f>
        <v/>
      </c>
      <c r="FJ67" s="32">
        <f>SUM(FJ65:FJ66)</f>
        <v/>
      </c>
      <c r="FK67" s="32">
        <f>SUM(FK65:FK66)</f>
        <v/>
      </c>
      <c r="FL67" s="32">
        <f>SUM(FL65:FL66)</f>
        <v/>
      </c>
      <c r="FM67" s="32">
        <f>SUM(FM65:FM66)</f>
        <v/>
      </c>
      <c r="FN67" s="32">
        <f>SUM(FN65:FN66)</f>
        <v/>
      </c>
      <c r="FO67" s="32">
        <f>SUM(FO65:FO66)</f>
        <v/>
      </c>
      <c r="FP67" s="32">
        <f>SUM(FP65:FP66)</f>
        <v/>
      </c>
      <c r="FQ67" s="32">
        <f>SUM(FQ65:FQ66)</f>
        <v/>
      </c>
      <c r="FR67" s="32">
        <f>SUM(FR65:FR66)</f>
        <v/>
      </c>
      <c r="FS67" s="32">
        <f>SUM(FS65:FS66)</f>
        <v/>
      </c>
      <c r="FT67" s="32">
        <f>SUM(FT65:FT66)</f>
        <v/>
      </c>
      <c r="FU67" s="32">
        <f>SUM(FU65:FU66)</f>
        <v/>
      </c>
      <c r="FV67" s="32">
        <f>SUM(FV65:FV66)</f>
        <v/>
      </c>
      <c r="FW67" s="32">
        <f>SUM(FW65:FW66)</f>
        <v/>
      </c>
      <c r="FX67" s="32">
        <f>SUM(FX65:FX66)</f>
        <v/>
      </c>
      <c r="FY67" s="32">
        <f>SUM(FY65:FY66)</f>
        <v/>
      </c>
      <c r="FZ67" s="32">
        <f>SUM(FZ65:FZ66)</f>
        <v/>
      </c>
      <c r="GA67" s="32">
        <f>SUM(GA65:GA66)</f>
        <v/>
      </c>
      <c r="GB67" s="32">
        <f>SUM(GB65:GB66)</f>
        <v/>
      </c>
      <c r="GC67" s="32">
        <f>SUM(GC65:GC66)</f>
        <v/>
      </c>
      <c r="GD67" s="32">
        <f>SUM(GD65:GD66)</f>
        <v/>
      </c>
      <c r="GE67" s="32">
        <f>SUM(GE65:GE66)</f>
        <v/>
      </c>
      <c r="GF67" s="32">
        <f>SUM(GF65:GF66)</f>
        <v/>
      </c>
      <c r="GG67" s="32">
        <f>SUM(GG65:GG66)</f>
        <v/>
      </c>
      <c r="GH67" s="32">
        <f>SUM(GH65:GH66)</f>
        <v/>
      </c>
      <c r="GI67" s="32">
        <f>SUM(GI65:GI66)</f>
        <v/>
      </c>
      <c r="GJ67" s="32">
        <f>SUM(GJ65:GJ66)</f>
        <v/>
      </c>
      <c r="GK67" s="32">
        <f>SUM(GK65:GK66)</f>
        <v/>
      </c>
      <c r="GL67" s="32">
        <f>SUM(GL65:GL66)</f>
        <v/>
      </c>
      <c r="GM67" s="32">
        <f>SUM(GM65:GM66)</f>
        <v/>
      </c>
      <c r="GN67" s="32">
        <f>SUM(GN65:GN66)</f>
        <v/>
      </c>
      <c r="GO67" s="32">
        <f>SUM(GO65:GO66)</f>
        <v/>
      </c>
      <c r="GP67" s="32">
        <f>SUM(GP65:GP66)</f>
        <v/>
      </c>
      <c r="GQ67" s="32">
        <f>SUM(GQ65:GQ66)</f>
        <v/>
      </c>
      <c r="GR67" s="32">
        <f>SUM(GR65:GR66)</f>
        <v/>
      </c>
      <c r="GS67" s="32">
        <f>SUM(GS65:GS66)</f>
        <v/>
      </c>
      <c r="GT67" s="32">
        <f>SUM(GT65:GT66)</f>
        <v/>
      </c>
      <c r="GU67" s="32">
        <f>SUM(GU65:GU66)</f>
        <v/>
      </c>
      <c r="GV67" s="32">
        <f>SUM(GV65:GV66)</f>
        <v/>
      </c>
      <c r="GW67" s="32">
        <f>SUM(GW65:GW66)</f>
        <v/>
      </c>
      <c r="GX67" s="32">
        <f>SUM(GX65:GX66)</f>
        <v/>
      </c>
      <c r="GY67" s="32">
        <f>SUM(GY65:GY66)</f>
        <v/>
      </c>
      <c r="GZ67" s="32">
        <f>SUM(GZ65:GZ66)</f>
        <v/>
      </c>
      <c r="HA67" s="32">
        <f>SUM(HA65:HA66)</f>
        <v/>
      </c>
      <c r="HB67" s="32">
        <f>SUM(HB65:HB66)</f>
        <v/>
      </c>
      <c r="HC67" s="32">
        <f>SUM(HC65:HC66)</f>
        <v/>
      </c>
      <c r="HD67" s="32">
        <f>SUM(HD65:HD66)</f>
        <v/>
      </c>
      <c r="HE67" s="32">
        <f>SUM(HE65:HE66)</f>
        <v/>
      </c>
      <c r="HF67" s="32">
        <f>SUM(HF65:HF66)</f>
        <v/>
      </c>
      <c r="HG67" s="32">
        <f>SUM(HG65:HG66)</f>
        <v/>
      </c>
      <c r="HH67" s="32">
        <f>SUM(HH65:HH66)</f>
        <v/>
      </c>
      <c r="HI67" s="32">
        <f>SUM(HI65:HI66)</f>
        <v/>
      </c>
      <c r="HJ67" s="32">
        <f>SUM(HJ65:HJ66)</f>
        <v/>
      </c>
      <c r="HK67" s="32">
        <f>SUM(HK65:HK66)</f>
        <v/>
      </c>
      <c r="HL67" s="32">
        <f>SUM(HL65:HL66)</f>
        <v/>
      </c>
      <c r="HM67" s="32">
        <f>SUM(HM65:HM66)</f>
        <v/>
      </c>
      <c r="HN67" s="32">
        <f>SUM(HN65:HN66)</f>
        <v/>
      </c>
      <c r="HO67" s="32">
        <f>SUM(HO65:HO66)</f>
        <v/>
      </c>
      <c r="HP67" s="32">
        <f>SUM(HP65:HP66)</f>
        <v/>
      </c>
      <c r="HQ67" s="32">
        <f>SUM(HQ65:HQ66)</f>
        <v/>
      </c>
      <c r="HR67" s="32">
        <f>SUM(HR65:HR66)</f>
        <v/>
      </c>
      <c r="HS67" s="32">
        <f>SUM(HS65:HS66)</f>
        <v/>
      </c>
      <c r="HT67" s="32">
        <f>SUM(HT65:HT66)</f>
        <v/>
      </c>
      <c r="HU67" s="32">
        <f>SUM(HU65:HU66)</f>
        <v/>
      </c>
      <c r="JF67" s="32">
        <f>AP67</f>
        <v/>
      </c>
      <c r="JG67" s="32">
        <f>SUM(Z67:AK67)</f>
        <v/>
      </c>
      <c r="JH67" s="32">
        <f>SUM(AL67:AP67)</f>
        <v/>
      </c>
      <c r="JI67" s="32">
        <f>SUM(C67:AP67)</f>
        <v/>
      </c>
      <c r="JJ67" s="446" t="n"/>
      <c r="JM67" s="32" t="n">
        <v>0</v>
      </c>
      <c r="KG67" s="136">
        <f>B67</f>
        <v/>
      </c>
      <c r="KH67" s="188">
        <f>AR67</f>
        <v/>
      </c>
    </row>
    <row r="68" ht="16.2" customHeight="1">
      <c r="A68" s="28" t="n"/>
      <c r="B68" s="146" t="n"/>
      <c r="C68" s="512" t="n"/>
      <c r="D68" s="512" t="n"/>
      <c r="E68" s="512" t="n"/>
      <c r="F68" s="512" t="n"/>
      <c r="G68" s="512" t="n"/>
      <c r="H68" s="512" t="n"/>
      <c r="I68" s="512" t="n"/>
      <c r="J68" s="513" t="n"/>
      <c r="K68" s="512" t="n"/>
      <c r="L68" s="512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514" t="n"/>
      <c r="AA68" s="514" t="n"/>
      <c r="AB68" s="514" t="n"/>
      <c r="AC68" s="514" t="n"/>
      <c r="AD68" s="514" t="n"/>
      <c r="AE68" s="514" t="n"/>
      <c r="AF68" s="514" t="n"/>
      <c r="AG68" s="514" t="n"/>
      <c r="AH68" s="514" t="n"/>
      <c r="AI68" s="514" t="n"/>
      <c r="AJ68" s="514" t="n"/>
      <c r="AK68" s="514" t="n"/>
      <c r="AL68" s="514" t="n"/>
      <c r="AM68" s="514" t="n"/>
      <c r="AN68" s="514" t="n"/>
      <c r="AO68" s="514" t="n"/>
      <c r="AP68" s="514" t="n"/>
      <c r="AQ68" s="512" t="n"/>
      <c r="AR68" s="533" t="n"/>
      <c r="AS68" s="512" t="n"/>
      <c r="AT68" s="512" t="n"/>
      <c r="AU68" s="512" t="n"/>
      <c r="AV68" s="512" t="n"/>
      <c r="AW68" s="512" t="n"/>
      <c r="AX68" s="512" t="n"/>
      <c r="AY68" s="512" t="n"/>
      <c r="AZ68" s="512" t="n"/>
      <c r="BA68" s="512" t="n"/>
      <c r="BB68" s="512" t="n"/>
      <c r="BC68" s="512" t="n"/>
      <c r="BD68" s="515" t="n"/>
      <c r="BE68" s="512" t="n"/>
      <c r="BF68" s="512" t="n"/>
      <c r="BG68" s="512" t="n"/>
      <c r="BH68" s="512" t="n"/>
      <c r="BI68" s="512" t="n"/>
      <c r="BJ68" s="512" t="n"/>
      <c r="BK68" s="512" t="n"/>
      <c r="BL68" s="512" t="n"/>
      <c r="BM68" s="512" t="n"/>
      <c r="BN68" s="512" t="n"/>
      <c r="BO68" s="512" t="n"/>
      <c r="BP68" s="515" t="n"/>
      <c r="BQ68" s="512" t="n"/>
      <c r="BR68" s="512" t="n"/>
      <c r="BS68" s="512" t="n"/>
      <c r="BT68" s="512" t="n"/>
      <c r="BU68" s="512" t="n"/>
      <c r="BV68" s="512" t="n"/>
      <c r="BW68" s="512" t="n"/>
      <c r="BX68" s="512" t="n"/>
      <c r="BY68" s="512" t="n"/>
      <c r="BZ68" s="512" t="n"/>
      <c r="CA68" s="512" t="n"/>
      <c r="CB68" s="515" t="n"/>
      <c r="CC68" s="512" t="n"/>
      <c r="CD68" s="512" t="n"/>
      <c r="CE68" s="512" t="n"/>
      <c r="CF68" s="512" t="n"/>
      <c r="CG68" s="512" t="n"/>
      <c r="CH68" s="512" t="n"/>
      <c r="CI68" s="512" t="n"/>
      <c r="CJ68" s="512" t="n"/>
      <c r="CK68" s="512" t="n"/>
      <c r="CL68" s="512" t="n"/>
      <c r="CM68" s="512" t="n"/>
      <c r="CN68" s="515" t="n"/>
      <c r="CO68" s="512" t="n"/>
      <c r="CP68" s="512" t="n"/>
      <c r="CQ68" s="512" t="n"/>
      <c r="CR68" s="512" t="n"/>
      <c r="CS68" s="512" t="n"/>
      <c r="CT68" s="512" t="n"/>
      <c r="CU68" s="512" t="n"/>
      <c r="CV68" s="512" t="n"/>
      <c r="CW68" s="512" t="n"/>
      <c r="CX68" s="512" t="n"/>
      <c r="CY68" s="512" t="n"/>
      <c r="CZ68" s="515" t="n"/>
      <c r="DA68" s="512" t="n"/>
      <c r="DB68" s="512" t="n"/>
      <c r="DC68" s="512" t="n"/>
      <c r="DD68" s="512" t="n"/>
      <c r="DE68" s="512" t="n"/>
      <c r="DF68" s="512" t="n"/>
      <c r="DG68" s="512" t="n"/>
      <c r="DH68" s="512" t="n"/>
      <c r="DI68" s="512" t="n"/>
      <c r="DJ68" s="512" t="n"/>
      <c r="DK68" s="512" t="n"/>
      <c r="DL68" s="512" t="n"/>
      <c r="DM68" s="512" t="n"/>
      <c r="DN68" s="512" t="n"/>
      <c r="DO68" s="512" t="n"/>
      <c r="DP68" s="512" t="n"/>
      <c r="DQ68" s="512" t="n"/>
      <c r="DR68" s="512" t="n"/>
      <c r="DS68" s="512" t="n"/>
      <c r="DT68" s="512" t="n"/>
      <c r="DU68" s="512" t="n"/>
      <c r="DV68" s="512" t="n"/>
      <c r="DW68" s="512" t="n"/>
      <c r="DX68" s="512" t="n"/>
      <c r="DY68" s="512" t="n"/>
      <c r="DZ68" s="512" t="n"/>
      <c r="EA68" s="512" t="n"/>
      <c r="EB68" s="512" t="n"/>
      <c r="EC68" s="512" t="n"/>
      <c r="ED68" s="512" t="n"/>
      <c r="EE68" s="512" t="n"/>
      <c r="EF68" s="512" t="n"/>
      <c r="EG68" s="512" t="n"/>
      <c r="EH68" s="512" t="n"/>
      <c r="EI68" s="512" t="n"/>
      <c r="EJ68" s="512" t="n"/>
      <c r="EK68" s="512" t="n"/>
      <c r="EL68" s="512" t="n"/>
      <c r="EM68" s="512" t="n"/>
      <c r="EN68" s="512" t="n"/>
      <c r="EO68" s="512" t="n"/>
      <c r="EP68" s="512" t="n"/>
      <c r="EQ68" s="512" t="n"/>
      <c r="ER68" s="512" t="n"/>
      <c r="ES68" s="512" t="n"/>
      <c r="ET68" s="512" t="n"/>
      <c r="EU68" s="512" t="n"/>
      <c r="EV68" s="512" t="n"/>
      <c r="EW68" s="512" t="n"/>
      <c r="EX68" s="512" t="n"/>
      <c r="EY68" s="512" t="n"/>
      <c r="EZ68" s="512" t="n"/>
      <c r="FA68" s="512" t="n"/>
      <c r="FB68" s="512" t="n"/>
      <c r="FC68" s="512" t="n"/>
      <c r="FD68" s="512" t="n"/>
      <c r="FE68" s="512" t="n"/>
      <c r="FF68" s="512" t="n"/>
      <c r="FG68" s="512" t="n"/>
      <c r="FH68" s="512" t="n"/>
      <c r="FI68" s="512" t="n"/>
      <c r="FJ68" s="512" t="n"/>
      <c r="FK68" s="512" t="n"/>
      <c r="FL68" s="512" t="n"/>
      <c r="FM68" s="512" t="n"/>
      <c r="FN68" s="512" t="n"/>
      <c r="FO68" s="512" t="n"/>
      <c r="FP68" s="512" t="n"/>
      <c r="FQ68" s="512" t="n"/>
      <c r="FR68" s="512" t="n"/>
      <c r="FS68" s="512" t="n"/>
      <c r="FT68" s="512" t="n"/>
      <c r="FU68" s="512" t="n"/>
      <c r="FV68" s="512" t="n"/>
      <c r="FW68" s="512" t="n"/>
      <c r="FX68" s="512" t="n"/>
      <c r="FY68" s="512" t="n"/>
      <c r="FZ68" s="512" t="n"/>
      <c r="GA68" s="512" t="n"/>
      <c r="GB68" s="512" t="n"/>
      <c r="GC68" s="512" t="n"/>
      <c r="GD68" s="512" t="n"/>
      <c r="GE68" s="512" t="n"/>
      <c r="GF68" s="512" t="n"/>
      <c r="GG68" s="512" t="n"/>
      <c r="GH68" s="512" t="n"/>
      <c r="GI68" s="512" t="n"/>
      <c r="GJ68" s="512" t="n"/>
      <c r="GK68" s="512" t="n"/>
      <c r="GL68" s="512" t="n"/>
      <c r="GM68" s="512" t="n"/>
      <c r="GN68" s="512" t="n"/>
      <c r="GO68" s="512" t="n"/>
      <c r="GP68" s="512" t="n"/>
      <c r="GQ68" s="512" t="n"/>
      <c r="GR68" s="512" t="n"/>
      <c r="GS68" s="512" t="n"/>
      <c r="GT68" s="512" t="n"/>
      <c r="GU68" s="512" t="n"/>
      <c r="GV68" s="512" t="n"/>
      <c r="GW68" s="512" t="n"/>
      <c r="GX68" s="512" t="n"/>
      <c r="GY68" s="512" t="n"/>
      <c r="GZ68" s="512" t="n"/>
      <c r="HA68" s="512" t="n"/>
      <c r="HB68" s="512" t="n"/>
      <c r="HC68" s="512" t="n"/>
      <c r="HD68" s="512" t="n"/>
      <c r="HE68" s="512" t="n"/>
      <c r="HF68" s="512" t="n"/>
      <c r="HG68" s="512" t="n"/>
      <c r="HH68" s="512" t="n"/>
      <c r="HI68" s="512" t="n"/>
      <c r="HJ68" s="512" t="n"/>
      <c r="HK68" s="512" t="n"/>
      <c r="HL68" s="512" t="n"/>
      <c r="HM68" s="512" t="n"/>
      <c r="HN68" s="512" t="n"/>
      <c r="HO68" s="512" t="n"/>
      <c r="HP68" s="512" t="n"/>
      <c r="HQ68" s="512" t="n"/>
      <c r="HR68" s="512" t="n"/>
      <c r="HS68" s="512" t="n"/>
      <c r="HT68" s="512" t="n"/>
      <c r="HU68" s="512" t="n"/>
      <c r="JF68" s="512">
        <f>AP68</f>
        <v/>
      </c>
      <c r="JG68" s="512">
        <f>SUM(Z68:AK68)</f>
        <v/>
      </c>
      <c r="JH68" s="512">
        <f>SUM(AL68:AP68)</f>
        <v/>
      </c>
      <c r="JI68" s="512">
        <f>SUM(C68:AP68)</f>
        <v/>
      </c>
      <c r="JJ68" s="446" t="n"/>
      <c r="JM68" s="512" t="n"/>
      <c r="KG68" s="146">
        <f>B68</f>
        <v/>
      </c>
      <c r="KH68" s="533">
        <f>AR68</f>
        <v/>
      </c>
    </row>
    <row r="69" ht="16.2" customHeight="1">
      <c r="A69" s="101" t="inlineStr">
        <is>
          <t>DESPESAS OP+TERRENO+IMP+DISTR (-)</t>
        </is>
      </c>
      <c r="B69" s="136">
        <f>SUM(C69:AP69)</f>
        <v/>
      </c>
      <c r="C69" s="94">
        <f>C67+C56+C52+C59+C62</f>
        <v/>
      </c>
      <c r="D69" s="94">
        <f>D67+D56+D52+D59+D62</f>
        <v/>
      </c>
      <c r="E69" s="94">
        <f>E67+E56+E52+E59+E62</f>
        <v/>
      </c>
      <c r="F69" s="94">
        <f>F67+F56+F52+F59+F62</f>
        <v/>
      </c>
      <c r="G69" s="94">
        <f>G67+G56+G52+G59+G62</f>
        <v/>
      </c>
      <c r="H69" s="94">
        <f>H67+H56+H52+H59+H62</f>
        <v/>
      </c>
      <c r="I69" s="94">
        <f>I67+I56+I52+I59+I62</f>
        <v/>
      </c>
      <c r="J69" s="94">
        <f>J67+J56+J52+J59+J62</f>
        <v/>
      </c>
      <c r="K69" s="94">
        <f>K67+K56+K52+K59+K62</f>
        <v/>
      </c>
      <c r="L69" s="94">
        <f>L67+L56+L52+L59+L62</f>
        <v/>
      </c>
      <c r="M69" s="94">
        <f>M67+M56+M52+M59+M62</f>
        <v/>
      </c>
      <c r="N69" s="94">
        <f>N67+N56+N52+N59+N62</f>
        <v/>
      </c>
      <c r="O69" s="94">
        <f>O67+O56+O52+O59+O62</f>
        <v/>
      </c>
      <c r="P69" s="94">
        <f>P67+P56+P52+P59+P62</f>
        <v/>
      </c>
      <c r="Q69" s="94">
        <f>Q67+Q56+Q52+Q59+Q62</f>
        <v/>
      </c>
      <c r="R69" s="94">
        <f>R67+R56+R52+R59+R62</f>
        <v/>
      </c>
      <c r="S69" s="94">
        <f>S67+S56+S52+S59+S62</f>
        <v/>
      </c>
      <c r="T69" s="94">
        <f>T67+T56+T52+T59+T62</f>
        <v/>
      </c>
      <c r="U69" s="94">
        <f>U67+U56+U52+U59+U62</f>
        <v/>
      </c>
      <c r="V69" s="94">
        <f>V67+V56+V52+V59+V62</f>
        <v/>
      </c>
      <c r="W69" s="94">
        <f>W67+W56+W52+W59+W62</f>
        <v/>
      </c>
      <c r="X69" s="94">
        <f>X67+X56+X52+X59+X62</f>
        <v/>
      </c>
      <c r="Y69" s="94">
        <f>Y67+Y56+Y52+Y59+Y62</f>
        <v/>
      </c>
      <c r="Z69" s="94">
        <f>Z67+Z56+Z52+Z59+Z62</f>
        <v/>
      </c>
      <c r="AA69" s="94">
        <f>AA67+AA56+AA52+AA59+AA62</f>
        <v/>
      </c>
      <c r="AB69" s="94">
        <f>AB67+AB56+AB52+AB59+AB62</f>
        <v/>
      </c>
      <c r="AC69" s="94">
        <f>AC67+AC56+AC52+AC59+AC62</f>
        <v/>
      </c>
      <c r="AD69" s="94">
        <f>AD67+AD56+AD52+AD59+AD62</f>
        <v/>
      </c>
      <c r="AE69" s="94">
        <f>AE67+AE56+AE52+AE59+AE62</f>
        <v/>
      </c>
      <c r="AF69" s="94">
        <f>AF67+AF56+AF52+AF59+AF62</f>
        <v/>
      </c>
      <c r="AG69" s="94">
        <f>AG67+AG56+AG52+AG59+AG62</f>
        <v/>
      </c>
      <c r="AH69" s="94">
        <f>AH67+AH56+AH52+AH59+AH62</f>
        <v/>
      </c>
      <c r="AI69" s="94">
        <f>AI67+AI56+AI52+AI59+AI62</f>
        <v/>
      </c>
      <c r="AJ69" s="94">
        <f>AJ67+AJ56+AJ52+AJ59+AJ62</f>
        <v/>
      </c>
      <c r="AK69" s="94">
        <f>AK67+AK56+AK52+AK59+AK62</f>
        <v/>
      </c>
      <c r="AL69" s="94">
        <f>AL67+AL56+AL52+AL59+AL62</f>
        <v/>
      </c>
      <c r="AM69" s="94">
        <f>AM67+AM56+AM52+AM59+AM62</f>
        <v/>
      </c>
      <c r="AN69" s="94">
        <f>AN67+AN56+AN52+AN59+AN62</f>
        <v/>
      </c>
      <c r="AO69" s="94">
        <f>AO67+AO56+AO52+AO59+AO62</f>
        <v/>
      </c>
      <c r="AP69" s="94">
        <f>AP67+AP56+AP52+AP59+AP62</f>
        <v/>
      </c>
      <c r="AQ69" s="13" t="n"/>
      <c r="AR69" s="86">
        <f>SUM(AT69:HU69)</f>
        <v/>
      </c>
      <c r="AS69" s="13" t="n"/>
      <c r="AT69" s="94">
        <f>AT67+AT56+AT52+AT59+AT62</f>
        <v/>
      </c>
      <c r="AU69" s="94">
        <f>AU67+AU56+AU52+AU59+AU62</f>
        <v/>
      </c>
      <c r="AV69" s="94">
        <f>AV67+AV56+AV52+AV59+AV62</f>
        <v/>
      </c>
      <c r="AW69" s="94">
        <f>AW67+AW56+AW52+AW59+AW62</f>
        <v/>
      </c>
      <c r="AX69" s="94">
        <f>AX67+AX56+AX52+AX59+AX62</f>
        <v/>
      </c>
      <c r="AY69" s="94">
        <f>AY67+AY56+AY52+AY59+AY62</f>
        <v/>
      </c>
      <c r="AZ69" s="94">
        <f>AZ67+AZ56+AZ52+AZ59+AZ62</f>
        <v/>
      </c>
      <c r="BA69" s="94">
        <f>BA67+BA56+BA52+BA59+BA62</f>
        <v/>
      </c>
      <c r="BB69" s="94">
        <f>BB67+BB56+BB52+BB59+BB62</f>
        <v/>
      </c>
      <c r="BC69" s="94">
        <f>BC67+BC56+BC52+BC59+BC62</f>
        <v/>
      </c>
      <c r="BD69" s="94">
        <f>BD67+BD56+BD52+BD59+BD62</f>
        <v/>
      </c>
      <c r="BE69" s="94">
        <f>BE67+BE56+BE52+BE59+BE62</f>
        <v/>
      </c>
      <c r="BF69" s="94">
        <f>BF67+BF56+BF52+BF59+BF62</f>
        <v/>
      </c>
      <c r="BG69" s="94">
        <f>BG67+BG56+BG52+BG59+BG62</f>
        <v/>
      </c>
      <c r="BH69" s="94">
        <f>BH67+BH56+BH52+BH59+BH62</f>
        <v/>
      </c>
      <c r="BI69" s="94">
        <f>BI67+BI56+BI52+BI59+BI62</f>
        <v/>
      </c>
      <c r="BJ69" s="94">
        <f>BJ67+BJ56+BJ52+BJ59+BJ62</f>
        <v/>
      </c>
      <c r="BK69" s="94">
        <f>BK67+BK56+BK52+BK59+BK62</f>
        <v/>
      </c>
      <c r="BL69" s="94">
        <f>BL67+BL56+BL52+BL59+BL62</f>
        <v/>
      </c>
      <c r="BM69" s="94">
        <f>BM67+BM56+BM52+BM59+BM62</f>
        <v/>
      </c>
      <c r="BN69" s="94">
        <f>BN67+BN56+BN52+BN59+BN62</f>
        <v/>
      </c>
      <c r="BO69" s="94">
        <f>BO67+BO56+BO52+BO59+BO62</f>
        <v/>
      </c>
      <c r="BP69" s="94">
        <f>BP67+BP56+BP52+BP59+BP62</f>
        <v/>
      </c>
      <c r="BQ69" s="94">
        <f>BQ67+BQ56+BQ52+BQ59+BQ62</f>
        <v/>
      </c>
      <c r="BR69" s="94">
        <f>BR67+BR56+BR52+BR59+BR62</f>
        <v/>
      </c>
      <c r="BS69" s="94">
        <f>BS67+BS56+BS52+BS59+BS62</f>
        <v/>
      </c>
      <c r="BT69" s="94">
        <f>BT67+BT56+BT52+BT59+BT62</f>
        <v/>
      </c>
      <c r="BU69" s="94">
        <f>BU67+BU56+BU52+BU59+BU62</f>
        <v/>
      </c>
      <c r="BV69" s="94">
        <f>BV67+BV56+BV52+BV59+BV62</f>
        <v/>
      </c>
      <c r="BW69" s="94">
        <f>BW67+BW56+BW52+BW59+BW62</f>
        <v/>
      </c>
      <c r="BX69" s="94">
        <f>BX67+BX56+BX52+BX59+BX62</f>
        <v/>
      </c>
      <c r="BY69" s="94">
        <f>BY67+BY56+BY52+BY59+BY62</f>
        <v/>
      </c>
      <c r="BZ69" s="94">
        <f>BZ67+BZ56+BZ52+BZ59+BZ62</f>
        <v/>
      </c>
      <c r="CA69" s="94">
        <f>CA67+CA56+CA52+CA59+CA62</f>
        <v/>
      </c>
      <c r="CB69" s="94">
        <f>CB67+CB56+CB52+CB59+CB62</f>
        <v/>
      </c>
      <c r="CC69" s="94">
        <f>CC67+CC56+CC52+CC59+CC62</f>
        <v/>
      </c>
      <c r="CD69" s="94">
        <f>CD67+CD56+CD52+CD59+CD62</f>
        <v/>
      </c>
      <c r="CE69" s="94">
        <f>CE67+CE56+CE52+CE59+CE62</f>
        <v/>
      </c>
      <c r="CF69" s="94">
        <f>CF67+CF56+CF52+CF59+CF62</f>
        <v/>
      </c>
      <c r="CG69" s="94">
        <f>CG67+CG56+CG52+CG59+CG62</f>
        <v/>
      </c>
      <c r="CH69" s="94">
        <f>CH67+CH56+CH52+CH59+CH62</f>
        <v/>
      </c>
      <c r="CI69" s="94">
        <f>CI67+CI56+CI52+CI59+CI62</f>
        <v/>
      </c>
      <c r="CJ69" s="94">
        <f>CJ67+CJ56+CJ52+CJ59+CJ62</f>
        <v/>
      </c>
      <c r="CK69" s="94">
        <f>CK67+CK56+CK52+CK59+CK62</f>
        <v/>
      </c>
      <c r="CL69" s="94">
        <f>CL67+CL56+CL52+CL59+CL62</f>
        <v/>
      </c>
      <c r="CM69" s="94">
        <f>CM67+CM56+CM52+CM59+CM62</f>
        <v/>
      </c>
      <c r="CN69" s="94">
        <f>CN67+CN56+CN52+CN59+CN62</f>
        <v/>
      </c>
      <c r="CO69" s="94">
        <f>CO67+CO56+CO52+CO59+CO62</f>
        <v/>
      </c>
      <c r="CP69" s="94">
        <f>CP67+CP56+CP52+CP59+CP62</f>
        <v/>
      </c>
      <c r="CQ69" s="94">
        <f>CQ67+CQ56+CQ52+CQ59+CQ62</f>
        <v/>
      </c>
      <c r="CR69" s="94">
        <f>CR67+CR56+CR52+CR59+CR62</f>
        <v/>
      </c>
      <c r="CS69" s="94">
        <f>CS67+CS56+CS52+CS59+CS62</f>
        <v/>
      </c>
      <c r="CT69" s="94">
        <f>CT67+CT56+CT52+CT59+CT62</f>
        <v/>
      </c>
      <c r="CU69" s="94">
        <f>CU67+CU56+CU52+CU59+CU62</f>
        <v/>
      </c>
      <c r="CV69" s="94">
        <f>CV67+CV56+CV52+CV59+CV62</f>
        <v/>
      </c>
      <c r="CW69" s="94">
        <f>CW67+CW56+CW52+CW59+CW62</f>
        <v/>
      </c>
      <c r="CX69" s="94">
        <f>CX67+CX56+CX52+CX59+CX62</f>
        <v/>
      </c>
      <c r="CY69" s="94">
        <f>CY67+CY56+CY52+CY59+CY62</f>
        <v/>
      </c>
      <c r="CZ69" s="94">
        <f>CZ67+CZ56+CZ52+CZ59+CZ62</f>
        <v/>
      </c>
      <c r="DA69" s="94">
        <f>DA67+DA56+DA52+DA59+DA62</f>
        <v/>
      </c>
      <c r="DB69" s="94">
        <f>DB67+DB56+DB52+DB59+DB62</f>
        <v/>
      </c>
      <c r="DC69" s="94">
        <f>DC67+DC56+DC52+DC59+DC62</f>
        <v/>
      </c>
      <c r="DD69" s="94">
        <f>DD67+DD56+DD52+DD59+DD62</f>
        <v/>
      </c>
      <c r="DE69" s="94">
        <f>DE67+DE56+DE52+DE59+DE62</f>
        <v/>
      </c>
      <c r="DF69" s="94">
        <f>DF67+DF56+DF52+DF59+DF62</f>
        <v/>
      </c>
      <c r="DG69" s="94">
        <f>DG67+DG56+DG52+DG59+DG62</f>
        <v/>
      </c>
      <c r="DH69" s="94">
        <f>DH67+DH56+DH52+DH59+DH62</f>
        <v/>
      </c>
      <c r="DI69" s="94">
        <f>DI67+DI56+DI52+DI59+DI62</f>
        <v/>
      </c>
      <c r="DJ69" s="94">
        <f>DJ67+DJ56+DJ52+DJ59+DJ62</f>
        <v/>
      </c>
      <c r="DK69" s="94">
        <f>DK67+DK56+DK52+DK59+DK62</f>
        <v/>
      </c>
      <c r="DL69" s="94">
        <f>DL67+DL56+DL52+DL59+DL62</f>
        <v/>
      </c>
      <c r="DM69" s="94">
        <f>DM67+DM56+DM52+DM59+DM62</f>
        <v/>
      </c>
      <c r="DN69" s="94">
        <f>DN67+DN56+DN52+DN59+DN62</f>
        <v/>
      </c>
      <c r="DO69" s="94">
        <f>DO67+DO56+DO52+DO59+DO62</f>
        <v/>
      </c>
      <c r="DP69" s="94">
        <f>DP67+DP56+DP52+DP59+DP62</f>
        <v/>
      </c>
      <c r="DQ69" s="94">
        <f>DQ67+DQ56+DQ52+DQ59+DQ62</f>
        <v/>
      </c>
      <c r="DR69" s="94">
        <f>DR67+DR56+DR52+DR59+DR62</f>
        <v/>
      </c>
      <c r="DS69" s="94">
        <f>DS67+DS56+DS52+DS59+DS62</f>
        <v/>
      </c>
      <c r="DT69" s="94">
        <f>DT67+DT56+DT52+DT59+DT62</f>
        <v/>
      </c>
      <c r="DU69" s="94">
        <f>DU67+DU56+DU52+DU59+DU62</f>
        <v/>
      </c>
      <c r="DV69" s="94">
        <f>DV67+DV56+DV52+DV59+DV62</f>
        <v/>
      </c>
      <c r="DW69" s="94">
        <f>DW67+DW56+DW52+DW59+DW62</f>
        <v/>
      </c>
      <c r="DX69" s="94">
        <f>DX67+DX56+DX52+DX59+DX62</f>
        <v/>
      </c>
      <c r="DY69" s="94">
        <f>DY67+DY56+DY52+DY59+DY62</f>
        <v/>
      </c>
      <c r="DZ69" s="94">
        <f>DZ67+DZ56+DZ52+DZ59+DZ62</f>
        <v/>
      </c>
      <c r="EA69" s="94">
        <f>EA67+EA56+EA52+EA59+EA62</f>
        <v/>
      </c>
      <c r="EB69" s="94">
        <f>EB67+EB56+EB52+EB59+EB62</f>
        <v/>
      </c>
      <c r="EC69" s="94">
        <f>EC67+EC56+EC52+EC59+EC62</f>
        <v/>
      </c>
      <c r="ED69" s="94">
        <f>ED67+ED56+ED52+ED59+ED62</f>
        <v/>
      </c>
      <c r="EE69" s="94">
        <f>EE67+EE56+EE52+EE59+EE62</f>
        <v/>
      </c>
      <c r="EF69" s="94">
        <f>EF67+EF56+EF52+EF59+EF62</f>
        <v/>
      </c>
      <c r="EG69" s="94">
        <f>EG67+EG56+EG52+EG59+EG62</f>
        <v/>
      </c>
      <c r="EH69" s="94">
        <f>EH67+EH56+EH52+EH59+EH62</f>
        <v/>
      </c>
      <c r="EI69" s="94">
        <f>EI67+EI56+EI52+EI59+EI62</f>
        <v/>
      </c>
      <c r="EJ69" s="94">
        <f>EJ67+EJ56+EJ52+EJ59+EJ62</f>
        <v/>
      </c>
      <c r="EK69" s="94">
        <f>EK67+EK56+EK52+EK59+EK62</f>
        <v/>
      </c>
      <c r="EL69" s="94">
        <f>EL67+EL56+EL52+EL59+EL62</f>
        <v/>
      </c>
      <c r="EM69" s="94">
        <f>EM67+EM56+EM52+EM59+EM62</f>
        <v/>
      </c>
      <c r="EN69" s="94">
        <f>EN67+EN56+EN52+EN59+EN62</f>
        <v/>
      </c>
      <c r="EO69" s="94">
        <f>EO67+EO56+EO52+EO59+EO62</f>
        <v/>
      </c>
      <c r="EP69" s="94">
        <f>EP67+EP56+EP52+EP59+EP62</f>
        <v/>
      </c>
      <c r="EQ69" s="94">
        <f>EQ67+EQ56+EQ52+EQ59+EQ62</f>
        <v/>
      </c>
      <c r="ER69" s="94">
        <f>ER67+ER56+ER52+ER59+ER62</f>
        <v/>
      </c>
      <c r="ES69" s="94">
        <f>ES67+ES56+ES52+ES59+ES62</f>
        <v/>
      </c>
      <c r="ET69" s="94">
        <f>ET67+ET56+ET52+ET59+ET62</f>
        <v/>
      </c>
      <c r="EU69" s="94">
        <f>EU67+EU56+EU52+EU59+EU62</f>
        <v/>
      </c>
      <c r="EV69" s="94">
        <f>EV67+EV56+EV52+EV59+EV62</f>
        <v/>
      </c>
      <c r="EW69" s="94">
        <f>EW67+EW56+EW52+EW59+EW62</f>
        <v/>
      </c>
      <c r="EX69" s="94">
        <f>EX67+EX56+EX52+EX59+EX62</f>
        <v/>
      </c>
      <c r="EY69" s="94">
        <f>EY67+EY56+EY52+EY59+EY62</f>
        <v/>
      </c>
      <c r="EZ69" s="94">
        <f>EZ67+EZ56+EZ52+EZ59+EZ62</f>
        <v/>
      </c>
      <c r="FA69" s="94">
        <f>FA67+FA56+FA52+FA59+FA62</f>
        <v/>
      </c>
      <c r="FB69" s="94">
        <f>FB67+FB56+FB52+FB59+FB62</f>
        <v/>
      </c>
      <c r="FC69" s="94">
        <f>FC67+FC56+FC52+FC59+FC62</f>
        <v/>
      </c>
      <c r="FD69" s="94">
        <f>FD67+FD56+FD52+FD59+FD62</f>
        <v/>
      </c>
      <c r="FE69" s="94">
        <f>FE67+FE56+FE52+FE59+FE62</f>
        <v/>
      </c>
      <c r="FF69" s="94">
        <f>FF67+FF56+FF52+FF59+FF62</f>
        <v/>
      </c>
      <c r="FG69" s="94">
        <f>FG67+FG56+FG52+FG59+FG62</f>
        <v/>
      </c>
      <c r="FH69" s="94">
        <f>FH67+FH56+FH52+FH59+FH62</f>
        <v/>
      </c>
      <c r="FI69" s="94">
        <f>FI67+FI56+FI52+FI59+FI62</f>
        <v/>
      </c>
      <c r="FJ69" s="94">
        <f>FJ67+FJ56+FJ52+FJ59+FJ62</f>
        <v/>
      </c>
      <c r="FK69" s="94">
        <f>FK67+FK56+FK52+FK59+FK62</f>
        <v/>
      </c>
      <c r="FL69" s="94">
        <f>FL67+FL56+FL52+FL59+FL62</f>
        <v/>
      </c>
      <c r="FM69" s="94">
        <f>FM67+FM56+FM52+FM59+FM62</f>
        <v/>
      </c>
      <c r="FN69" s="94">
        <f>FN67+FN56+FN52+FN59+FN62</f>
        <v/>
      </c>
      <c r="FO69" s="94">
        <f>FO67+FO56+FO52+FO59+FO62</f>
        <v/>
      </c>
      <c r="FP69" s="94">
        <f>FP67+FP56+FP52+FP59+FP62</f>
        <v/>
      </c>
      <c r="FQ69" s="94">
        <f>FQ67+FQ56+FQ52+FQ59+FQ62</f>
        <v/>
      </c>
      <c r="FR69" s="94">
        <f>FR67+FR56+FR52+FR59+FR62</f>
        <v/>
      </c>
      <c r="FS69" s="94">
        <f>FS67+FS56+FS52+FS59+FS62</f>
        <v/>
      </c>
      <c r="FT69" s="94">
        <f>FT67+FT56+FT52+FT59+FT62</f>
        <v/>
      </c>
      <c r="FU69" s="94">
        <f>FU67+FU56+FU52+FU59+FU62</f>
        <v/>
      </c>
      <c r="FV69" s="94">
        <f>FV67+FV56+FV52+FV59+FV62</f>
        <v/>
      </c>
      <c r="FW69" s="94">
        <f>FW67+FW56+FW52+FW59+FW62</f>
        <v/>
      </c>
      <c r="FX69" s="94">
        <f>FX67+FX56+FX52+FX59+FX62</f>
        <v/>
      </c>
      <c r="FY69" s="94">
        <f>FY67+FY56+FY52+FY59+FY62</f>
        <v/>
      </c>
      <c r="FZ69" s="94">
        <f>FZ67+FZ56+FZ52+FZ59+FZ62</f>
        <v/>
      </c>
      <c r="GA69" s="94">
        <f>GA67+GA56+GA52+GA59+GA62</f>
        <v/>
      </c>
      <c r="GB69" s="94">
        <f>GB67+GB56+GB52+GB59+GB62</f>
        <v/>
      </c>
      <c r="GC69" s="94">
        <f>GC67+GC56+GC52+GC59+GC62</f>
        <v/>
      </c>
      <c r="GD69" s="94">
        <f>GD67+GD56+GD52+GD59+GD62</f>
        <v/>
      </c>
      <c r="GE69" s="94">
        <f>GE67+GE56+GE52+GE59+GE62</f>
        <v/>
      </c>
      <c r="GF69" s="94">
        <f>GF67+GF56+GF52+GF59+GF62</f>
        <v/>
      </c>
      <c r="GG69" s="94">
        <f>GG67+GG56+GG52+GG59+GG62</f>
        <v/>
      </c>
      <c r="GH69" s="94">
        <f>GH67+GH56+GH52+GH59+GH62</f>
        <v/>
      </c>
      <c r="GI69" s="94">
        <f>GI67+GI56+GI52+GI59+GI62</f>
        <v/>
      </c>
      <c r="GJ69" s="94">
        <f>GJ67+GJ56+GJ52+GJ59+GJ62</f>
        <v/>
      </c>
      <c r="GK69" s="94">
        <f>GK67+GK56+GK52+GK59+GK62</f>
        <v/>
      </c>
      <c r="GL69" s="94">
        <f>GL67+GL56+GL52+GL59+GL62</f>
        <v/>
      </c>
      <c r="GM69" s="94">
        <f>GM67+GM56+GM52+GM59+GM62</f>
        <v/>
      </c>
      <c r="GN69" s="94">
        <f>GN67+GN56+GN52+GN59+GN62</f>
        <v/>
      </c>
      <c r="GO69" s="94">
        <f>GO67+GO56+GO52+GO59+GO62</f>
        <v/>
      </c>
      <c r="GP69" s="94">
        <f>GP67+GP56+GP52+GP59+GP62</f>
        <v/>
      </c>
      <c r="GQ69" s="94">
        <f>GQ67+GQ56+GQ52+GQ59+GQ62</f>
        <v/>
      </c>
      <c r="GR69" s="94">
        <f>GR67+GR56+GR52+GR59+GR62</f>
        <v/>
      </c>
      <c r="GS69" s="94">
        <f>GS67+GS56+GS52+GS59+GS62</f>
        <v/>
      </c>
      <c r="GT69" s="94">
        <f>GT67+GT56+GT52+GT59+GT62</f>
        <v/>
      </c>
      <c r="GU69" s="94">
        <f>GU67+GU56+GU52+GU59+GU62</f>
        <v/>
      </c>
      <c r="GV69" s="94">
        <f>GV67+GV56+GV52+GV59+GV62</f>
        <v/>
      </c>
      <c r="GW69" s="94">
        <f>GW67+GW56+GW52+GW59+GW62</f>
        <v/>
      </c>
      <c r="GX69" s="94">
        <f>GX67+GX56+GX52+GX59+GX62</f>
        <v/>
      </c>
      <c r="GY69" s="94">
        <f>GY67+GY56+GY52+GY59+GY62</f>
        <v/>
      </c>
      <c r="GZ69" s="94">
        <f>GZ67+GZ56+GZ52+GZ59+GZ62</f>
        <v/>
      </c>
      <c r="HA69" s="94">
        <f>HA67+HA56+HA52+HA59+HA62</f>
        <v/>
      </c>
      <c r="HB69" s="94">
        <f>HB67+HB56+HB52+HB59+HB62</f>
        <v/>
      </c>
      <c r="HC69" s="94">
        <f>HC67+HC56+HC52+HC59+HC62</f>
        <v/>
      </c>
      <c r="HD69" s="94">
        <f>HD67+HD56+HD52+HD59+HD62</f>
        <v/>
      </c>
      <c r="HE69" s="94">
        <f>HE67+HE56+HE52+HE59+HE62</f>
        <v/>
      </c>
      <c r="HF69" s="94">
        <f>HF67+HF56+HF52+HF59+HF62</f>
        <v/>
      </c>
      <c r="HG69" s="94">
        <f>HG67+HG56+HG52+HG59+HG62</f>
        <v/>
      </c>
      <c r="HH69" s="94">
        <f>HH67+HH56+HH52+HH59+HH62</f>
        <v/>
      </c>
      <c r="HI69" s="94">
        <f>HI67+HI56+HI52+HI59+HI62</f>
        <v/>
      </c>
      <c r="HJ69" s="94">
        <f>HJ67+HJ56+HJ52+HJ59+HJ62</f>
        <v/>
      </c>
      <c r="HK69" s="94">
        <f>HK67+HK56+HK52+HK59+HK62</f>
        <v/>
      </c>
      <c r="HL69" s="94">
        <f>HL67+HL56+HL52+HL59+HL62</f>
        <v/>
      </c>
      <c r="HM69" s="94">
        <f>HM67+HM56+HM52+HM59+HM62</f>
        <v/>
      </c>
      <c r="HN69" s="94">
        <f>HN67+HN56+HN52+HN59+HN62</f>
        <v/>
      </c>
      <c r="HO69" s="94">
        <f>HO67+HO56+HO52+HO59+HO62</f>
        <v/>
      </c>
      <c r="HP69" s="94">
        <f>HP67+HP56+HP52+HP59+HP62</f>
        <v/>
      </c>
      <c r="HQ69" s="94">
        <f>HQ67+HQ56+HQ52+HQ59+HQ62</f>
        <v/>
      </c>
      <c r="HR69" s="94">
        <f>HR67+HR56+HR52+HR59+HR62</f>
        <v/>
      </c>
      <c r="HS69" s="94">
        <f>HS67+HS56+HS52+HS59+HS62</f>
        <v/>
      </c>
      <c r="HT69" s="94">
        <f>HT67+HT56+HT52+HT59+HT62</f>
        <v/>
      </c>
      <c r="HU69" s="94">
        <f>HU67+HU56+HU52+HU59+HU62</f>
        <v/>
      </c>
      <c r="JF69" s="94">
        <f>AP69</f>
        <v/>
      </c>
      <c r="JG69" s="94">
        <f>SUM(Z69:AK69)</f>
        <v/>
      </c>
      <c r="JH69" s="94">
        <f>SUM(AL69:AP69)</f>
        <v/>
      </c>
      <c r="JI69" s="94">
        <f>SUM(C69:AP69)</f>
        <v/>
      </c>
      <c r="JJ69" s="446" t="n"/>
      <c r="JM69" s="91" t="n">
        <v>-4437714.265510871</v>
      </c>
      <c r="KG69" s="136">
        <f>B69</f>
        <v/>
      </c>
      <c r="KH69" s="86">
        <f>AR69</f>
        <v/>
      </c>
    </row>
    <row r="70" ht="16.2" customHeight="1" thickBot="1">
      <c r="A70" s="102" t="inlineStr">
        <is>
          <t>TOTAL ACUMULADO</t>
        </is>
      </c>
      <c r="B70" s="147" t="n"/>
      <c r="C70" s="35" t="n">
        <v>0</v>
      </c>
      <c r="D70" s="37">
        <f>C70+D69</f>
        <v/>
      </c>
      <c r="E70" s="35">
        <f>D70+E69</f>
        <v/>
      </c>
      <c r="F70" s="35">
        <f>E70+F69</f>
        <v/>
      </c>
      <c r="G70" s="35">
        <f>F70+G69</f>
        <v/>
      </c>
      <c r="H70" s="35">
        <f>G70+H69</f>
        <v/>
      </c>
      <c r="I70" s="36">
        <f>H70+I69</f>
        <v/>
      </c>
      <c r="J70" s="190">
        <f>I70+J69</f>
        <v/>
      </c>
      <c r="K70" s="36">
        <f>J70+K69</f>
        <v/>
      </c>
      <c r="L70" s="111">
        <f>K70+L69</f>
        <v/>
      </c>
      <c r="M70" s="226">
        <f>L70+M69</f>
        <v/>
      </c>
      <c r="N70" s="226">
        <f>M70+N69</f>
        <v/>
      </c>
      <c r="O70" s="226">
        <f>N70+O69</f>
        <v/>
      </c>
      <c r="P70" s="226">
        <f>O70+P69</f>
        <v/>
      </c>
      <c r="Q70" s="226">
        <f>P70+Q69</f>
        <v/>
      </c>
      <c r="R70" s="226">
        <f>Q70+R69</f>
        <v/>
      </c>
      <c r="S70" s="226">
        <f>R70+S69</f>
        <v/>
      </c>
      <c r="T70" s="226">
        <f>S70+T69</f>
        <v/>
      </c>
      <c r="U70" s="226">
        <f>T70+U69</f>
        <v/>
      </c>
      <c r="V70" s="226">
        <f>U70+V69</f>
        <v/>
      </c>
      <c r="W70" s="226">
        <f>V70+W69</f>
        <v/>
      </c>
      <c r="X70" s="226">
        <f>W70+X69</f>
        <v/>
      </c>
      <c r="Y70" s="226">
        <f>X70+Y69</f>
        <v/>
      </c>
      <c r="Z70" s="226">
        <f>Y70+Z69</f>
        <v/>
      </c>
      <c r="AA70" s="226">
        <f>Z70+AA69</f>
        <v/>
      </c>
      <c r="AB70" s="226">
        <f>AA70+AB69</f>
        <v/>
      </c>
      <c r="AC70" s="226">
        <f>AB70+AC69</f>
        <v/>
      </c>
      <c r="AD70" s="226">
        <f>AC70+AD69</f>
        <v/>
      </c>
      <c r="AE70" s="226">
        <f>AD70+AE69</f>
        <v/>
      </c>
      <c r="AF70" s="226">
        <f>AE70+AF69</f>
        <v/>
      </c>
      <c r="AG70" s="226">
        <f>AF70+AG69</f>
        <v/>
      </c>
      <c r="AH70" s="226">
        <f>AG70+AH69</f>
        <v/>
      </c>
      <c r="AI70" s="226">
        <f>AH70+AI69</f>
        <v/>
      </c>
      <c r="AJ70" s="226">
        <f>AI70+AJ69</f>
        <v/>
      </c>
      <c r="AK70" s="226">
        <f>AJ70+AK69</f>
        <v/>
      </c>
      <c r="AL70" s="226">
        <f>AK70+AL69</f>
        <v/>
      </c>
      <c r="AM70" s="226">
        <f>AL70+AM69</f>
        <v/>
      </c>
      <c r="AN70" s="226">
        <f>AM70+AN69</f>
        <v/>
      </c>
      <c r="AO70" s="226">
        <f>AN70+AO69</f>
        <v/>
      </c>
      <c r="AP70" s="226">
        <f>AO70+AP69</f>
        <v/>
      </c>
      <c r="AQ70" s="201" t="n"/>
      <c r="AR70" s="247" t="n">
        <v>0</v>
      </c>
      <c r="AS70" s="201" t="n"/>
      <c r="AT70" s="35">
        <f>AP70+AT69</f>
        <v/>
      </c>
      <c r="AU70" s="35">
        <f>AT70+AU69</f>
        <v/>
      </c>
      <c r="AV70" s="35">
        <f>AU70+AV69</f>
        <v/>
      </c>
      <c r="AW70" s="35">
        <f>AV70+AW69</f>
        <v/>
      </c>
      <c r="AX70" s="35">
        <f>AW70+AX69</f>
        <v/>
      </c>
      <c r="AY70" s="35">
        <f>AX70+AY69</f>
        <v/>
      </c>
      <c r="AZ70" s="35">
        <f>AY70+AZ69</f>
        <v/>
      </c>
      <c r="BA70" s="35">
        <f>AZ70+BA69</f>
        <v/>
      </c>
      <c r="BB70" s="35">
        <f>BA70+BB69</f>
        <v/>
      </c>
      <c r="BC70" s="35">
        <f>BB70+BC69</f>
        <v/>
      </c>
      <c r="BD70" s="310">
        <f>BC70+BD69</f>
        <v/>
      </c>
      <c r="BE70" s="37">
        <f>BD70+BE69</f>
        <v/>
      </c>
      <c r="BF70" s="35">
        <f>BE70+BF69</f>
        <v/>
      </c>
      <c r="BG70" s="35">
        <f>BF70+BG69</f>
        <v/>
      </c>
      <c r="BH70" s="35">
        <f>BG70+BH69</f>
        <v/>
      </c>
      <c r="BI70" s="35">
        <f>BH70+BI69</f>
        <v/>
      </c>
      <c r="BJ70" s="35">
        <f>BI70+BJ69</f>
        <v/>
      </c>
      <c r="BK70" s="35">
        <f>BJ70+BK69</f>
        <v/>
      </c>
      <c r="BL70" s="35">
        <f>BK70+BL69</f>
        <v/>
      </c>
      <c r="BM70" s="35">
        <f>BL70+BM69</f>
        <v/>
      </c>
      <c r="BN70" s="35">
        <f>BM70+BN69</f>
        <v/>
      </c>
      <c r="BO70" s="35">
        <f>BN70+BO69</f>
        <v/>
      </c>
      <c r="BP70" s="310">
        <f>BO70+BP69</f>
        <v/>
      </c>
      <c r="BQ70" s="37">
        <f>BP70+BQ69</f>
        <v/>
      </c>
      <c r="BR70" s="35">
        <f>BQ70+BR69</f>
        <v/>
      </c>
      <c r="BS70" s="35">
        <f>BR70+BS69</f>
        <v/>
      </c>
      <c r="BT70" s="35">
        <f>BS70+BT69</f>
        <v/>
      </c>
      <c r="BU70" s="35">
        <f>BT70+BU69</f>
        <v/>
      </c>
      <c r="BV70" s="35">
        <f>BU70+BV69</f>
        <v/>
      </c>
      <c r="BW70" s="35">
        <f>BV70+BW69</f>
        <v/>
      </c>
      <c r="BX70" s="35">
        <f>BW70+BX69</f>
        <v/>
      </c>
      <c r="BY70" s="35">
        <f>BX70+BY69</f>
        <v/>
      </c>
      <c r="BZ70" s="35">
        <f>BY70+BZ69</f>
        <v/>
      </c>
      <c r="CA70" s="35">
        <f>BZ70+CA69</f>
        <v/>
      </c>
      <c r="CB70" s="310">
        <f>CA70+CB69</f>
        <v/>
      </c>
      <c r="CC70" s="37">
        <f>CB70+CC69</f>
        <v/>
      </c>
      <c r="CD70" s="35">
        <f>CC70+CD69</f>
        <v/>
      </c>
      <c r="CE70" s="35">
        <f>CD70+CE69</f>
        <v/>
      </c>
      <c r="CF70" s="35">
        <f>CE70+CF69</f>
        <v/>
      </c>
      <c r="CG70" s="35">
        <f>CF70+CG69</f>
        <v/>
      </c>
      <c r="CH70" s="35">
        <f>CG70+CH69</f>
        <v/>
      </c>
      <c r="CI70" s="35">
        <f>CH70+CI69</f>
        <v/>
      </c>
      <c r="CJ70" s="35">
        <f>CI70+CJ69</f>
        <v/>
      </c>
      <c r="CK70" s="35">
        <f>CJ70+CK69</f>
        <v/>
      </c>
      <c r="CL70" s="35">
        <f>CK70+CL69</f>
        <v/>
      </c>
      <c r="CM70" s="35">
        <f>CL70+CM69</f>
        <v/>
      </c>
      <c r="CN70" s="310">
        <f>CM70+CN69</f>
        <v/>
      </c>
      <c r="CO70" s="37">
        <f>CN70+CO69</f>
        <v/>
      </c>
      <c r="CP70" s="35">
        <f>CO70+CP69</f>
        <v/>
      </c>
      <c r="CQ70" s="35">
        <f>CP70+CQ69</f>
        <v/>
      </c>
      <c r="CR70" s="35">
        <f>CQ70+CR69</f>
        <v/>
      </c>
      <c r="CS70" s="35">
        <f>CR70+CS69</f>
        <v/>
      </c>
      <c r="CT70" s="35">
        <f>CS70+CT69</f>
        <v/>
      </c>
      <c r="CU70" s="35">
        <f>CT70+CU69</f>
        <v/>
      </c>
      <c r="CV70" s="35">
        <f>CU70+CV69</f>
        <v/>
      </c>
      <c r="CW70" s="35">
        <f>CV70+CW69</f>
        <v/>
      </c>
      <c r="CX70" s="35">
        <f>CW70+CX69</f>
        <v/>
      </c>
      <c r="CY70" s="35">
        <f>CX70+CY69</f>
        <v/>
      </c>
      <c r="CZ70" s="310">
        <f>CY70+CZ69</f>
        <v/>
      </c>
      <c r="DA70" s="37">
        <f>CZ70+DA69</f>
        <v/>
      </c>
      <c r="DB70" s="35">
        <f>DA70+DB69</f>
        <v/>
      </c>
      <c r="DC70" s="35">
        <f>DB70+DC69</f>
        <v/>
      </c>
      <c r="DD70" s="35">
        <f>DC70+DD69</f>
        <v/>
      </c>
      <c r="DE70" s="35">
        <f>DD70+DE69</f>
        <v/>
      </c>
      <c r="DF70" s="35">
        <f>DE70+DF69</f>
        <v/>
      </c>
      <c r="DG70" s="35">
        <f>DF70+DG69</f>
        <v/>
      </c>
      <c r="DH70" s="35">
        <f>DG70+DH69</f>
        <v/>
      </c>
      <c r="DI70" s="35">
        <f>DH70+DI69</f>
        <v/>
      </c>
      <c r="DJ70" s="36">
        <f>DI70+DJ69</f>
        <v/>
      </c>
      <c r="DK70" s="35">
        <f>DJ70+DK69</f>
        <v/>
      </c>
      <c r="DL70" s="36">
        <f>DK70+DL69</f>
        <v/>
      </c>
      <c r="DM70" s="35">
        <f>DL70+DM69</f>
        <v/>
      </c>
      <c r="DN70" s="36">
        <f>DM70+DN69</f>
        <v/>
      </c>
      <c r="DO70" s="36">
        <f>DN70+DO69</f>
        <v/>
      </c>
      <c r="DP70" s="36">
        <f>DO70+DP69</f>
        <v/>
      </c>
      <c r="DQ70" s="36">
        <f>DP70+DQ69</f>
        <v/>
      </c>
      <c r="DR70" s="36">
        <f>DQ70+DR69</f>
        <v/>
      </c>
      <c r="DS70" s="36">
        <f>DR70+DS69</f>
        <v/>
      </c>
      <c r="DT70" s="36">
        <f>DS70+DT69</f>
        <v/>
      </c>
      <c r="DU70" s="36">
        <f>DT70+DU69</f>
        <v/>
      </c>
      <c r="DV70" s="36">
        <f>DU70+DV69</f>
        <v/>
      </c>
      <c r="DW70" s="36">
        <f>DV70+DW69</f>
        <v/>
      </c>
      <c r="DX70" s="36">
        <f>DW70+DX69</f>
        <v/>
      </c>
      <c r="DY70" s="36">
        <f>DX70+DY69</f>
        <v/>
      </c>
      <c r="DZ70" s="36">
        <f>DY70+DZ69</f>
        <v/>
      </c>
      <c r="EA70" s="36">
        <f>DZ70+EA69</f>
        <v/>
      </c>
      <c r="EB70" s="36">
        <f>EA70+EB69</f>
        <v/>
      </c>
      <c r="EC70" s="36">
        <f>EB70+EC69</f>
        <v/>
      </c>
      <c r="ED70" s="36">
        <f>EC70+ED69</f>
        <v/>
      </c>
      <c r="EE70" s="36">
        <f>ED70+EE69</f>
        <v/>
      </c>
      <c r="EF70" s="36">
        <f>EE70+EF69</f>
        <v/>
      </c>
      <c r="EG70" s="36">
        <f>EF70+EG69</f>
        <v/>
      </c>
      <c r="EH70" s="36">
        <f>EG70+EH69</f>
        <v/>
      </c>
      <c r="EI70" s="36">
        <f>EH70+EI69</f>
        <v/>
      </c>
      <c r="EJ70" s="36">
        <f>EI70+EJ69</f>
        <v/>
      </c>
      <c r="EK70" s="36">
        <f>EJ70+EK69</f>
        <v/>
      </c>
      <c r="EL70" s="36">
        <f>EK70+EL69</f>
        <v/>
      </c>
      <c r="EM70" s="36">
        <f>EL70+EM69</f>
        <v/>
      </c>
      <c r="EN70" s="36">
        <f>EM70+EN69</f>
        <v/>
      </c>
      <c r="EO70" s="36">
        <f>EN70+EO69</f>
        <v/>
      </c>
      <c r="EP70" s="36">
        <f>EO70+EP69</f>
        <v/>
      </c>
      <c r="EQ70" s="36">
        <f>EP70+EQ69</f>
        <v/>
      </c>
      <c r="ER70" s="36">
        <f>EQ70+ER69</f>
        <v/>
      </c>
      <c r="ES70" s="36">
        <f>ER70+ES69</f>
        <v/>
      </c>
      <c r="ET70" s="36">
        <f>ES70+ET69</f>
        <v/>
      </c>
      <c r="EU70" s="36">
        <f>ET70+EU69</f>
        <v/>
      </c>
      <c r="EV70" s="36">
        <f>EU70+EV69</f>
        <v/>
      </c>
      <c r="EW70" s="36">
        <f>EV70+EW69</f>
        <v/>
      </c>
      <c r="EX70" s="36">
        <f>EW70+EX69</f>
        <v/>
      </c>
      <c r="EY70" s="36">
        <f>EX70+EY69</f>
        <v/>
      </c>
      <c r="EZ70" s="36">
        <f>EY70+EZ69</f>
        <v/>
      </c>
      <c r="FA70" s="36">
        <f>EZ70+FA69</f>
        <v/>
      </c>
      <c r="FB70" s="36">
        <f>FA70+FB69</f>
        <v/>
      </c>
      <c r="FC70" s="36">
        <f>FB70+FC69</f>
        <v/>
      </c>
      <c r="FD70" s="36">
        <f>FC70+FD69</f>
        <v/>
      </c>
      <c r="FE70" s="36">
        <f>FD70+FE69</f>
        <v/>
      </c>
      <c r="FF70" s="36">
        <f>FE70+FF69</f>
        <v/>
      </c>
      <c r="FG70" s="36">
        <f>FF70+FG69</f>
        <v/>
      </c>
      <c r="FH70" s="36">
        <f>FG70+FH69</f>
        <v/>
      </c>
      <c r="FI70" s="36">
        <f>FH70+FI69</f>
        <v/>
      </c>
      <c r="FJ70" s="36">
        <f>FI70+FJ69</f>
        <v/>
      </c>
      <c r="FK70" s="36">
        <f>FJ70+FK69</f>
        <v/>
      </c>
      <c r="FL70" s="36">
        <f>FK70+FL69</f>
        <v/>
      </c>
      <c r="FM70" s="36">
        <f>FL70+FM69</f>
        <v/>
      </c>
      <c r="FN70" s="36">
        <f>FM70+FN69</f>
        <v/>
      </c>
      <c r="FO70" s="36">
        <f>FN70+FO69</f>
        <v/>
      </c>
      <c r="FP70" s="36">
        <f>FO70+FP69</f>
        <v/>
      </c>
      <c r="FQ70" s="36">
        <f>FP70+FQ69</f>
        <v/>
      </c>
      <c r="FR70" s="36">
        <f>FQ70+FR69</f>
        <v/>
      </c>
      <c r="FS70" s="36">
        <f>FR70+FS69</f>
        <v/>
      </c>
      <c r="FT70" s="36">
        <f>FS70+FT69</f>
        <v/>
      </c>
      <c r="FU70" s="36">
        <f>FT70+FU69</f>
        <v/>
      </c>
      <c r="FV70" s="36">
        <f>FU70+FV69</f>
        <v/>
      </c>
      <c r="FW70" s="36">
        <f>FV70+FW69</f>
        <v/>
      </c>
      <c r="FX70" s="36">
        <f>FW70+FX69</f>
        <v/>
      </c>
      <c r="FY70" s="36">
        <f>FX70+FY69</f>
        <v/>
      </c>
      <c r="FZ70" s="36">
        <f>FY70+FZ69</f>
        <v/>
      </c>
      <c r="GA70" s="36">
        <f>FZ70+GA69</f>
        <v/>
      </c>
      <c r="GB70" s="36">
        <f>GA70+GB69</f>
        <v/>
      </c>
      <c r="GC70" s="36">
        <f>GB70+GC69</f>
        <v/>
      </c>
      <c r="GD70" s="36">
        <f>GC70+GD69</f>
        <v/>
      </c>
      <c r="GE70" s="36">
        <f>GD70+GE69</f>
        <v/>
      </c>
      <c r="GF70" s="36">
        <f>GE70+GF69</f>
        <v/>
      </c>
      <c r="GG70" s="36">
        <f>GF70+GG69</f>
        <v/>
      </c>
      <c r="GH70" s="36">
        <f>GG70+GH69</f>
        <v/>
      </c>
      <c r="GI70" s="36">
        <f>GH70+GI69</f>
        <v/>
      </c>
      <c r="GJ70" s="36">
        <f>GI70+GJ69</f>
        <v/>
      </c>
      <c r="GK70" s="36">
        <f>GJ70+GK69</f>
        <v/>
      </c>
      <c r="GL70" s="36">
        <f>GK70+GL69</f>
        <v/>
      </c>
      <c r="GM70" s="36">
        <f>GL70+GM69</f>
        <v/>
      </c>
      <c r="GN70" s="36">
        <f>GM70+GN69</f>
        <v/>
      </c>
      <c r="GO70" s="36">
        <f>GN70+GO69</f>
        <v/>
      </c>
      <c r="GP70" s="36">
        <f>GO70+GP69</f>
        <v/>
      </c>
      <c r="GQ70" s="36">
        <f>GP70+GQ69</f>
        <v/>
      </c>
      <c r="GR70" s="36">
        <f>GQ70+GR69</f>
        <v/>
      </c>
      <c r="GS70" s="36">
        <f>GR70+GS69</f>
        <v/>
      </c>
      <c r="GT70" s="36">
        <f>GS70+GT69</f>
        <v/>
      </c>
      <c r="GU70" s="36">
        <f>GT70+GU69</f>
        <v/>
      </c>
      <c r="GV70" s="36">
        <f>GU70+GV69</f>
        <v/>
      </c>
      <c r="GW70" s="36">
        <f>GV70+GW69</f>
        <v/>
      </c>
      <c r="GX70" s="36">
        <f>GW70+GX69</f>
        <v/>
      </c>
      <c r="GY70" s="36">
        <f>GX70+GY69</f>
        <v/>
      </c>
      <c r="GZ70" s="36">
        <f>GY70+GZ69</f>
        <v/>
      </c>
      <c r="HA70" s="36">
        <f>GZ70+HA69</f>
        <v/>
      </c>
      <c r="HB70" s="36">
        <f>HA70+HB69</f>
        <v/>
      </c>
      <c r="HC70" s="36">
        <f>HB70+HC69</f>
        <v/>
      </c>
      <c r="HD70" s="36">
        <f>HC70+HD69</f>
        <v/>
      </c>
      <c r="HE70" s="36">
        <f>HD70+HE69</f>
        <v/>
      </c>
      <c r="HF70" s="36">
        <f>HE70+HF69</f>
        <v/>
      </c>
      <c r="HG70" s="36">
        <f>HF70+HG69</f>
        <v/>
      </c>
      <c r="HH70" s="36">
        <f>HG70+HH69</f>
        <v/>
      </c>
      <c r="HI70" s="36">
        <f>HH70+HI69</f>
        <v/>
      </c>
      <c r="HJ70" s="36">
        <f>HI70+HJ69</f>
        <v/>
      </c>
      <c r="HK70" s="36">
        <f>HJ70+HK69</f>
        <v/>
      </c>
      <c r="HL70" s="36">
        <f>HK70+HL69</f>
        <v/>
      </c>
      <c r="HM70" s="36">
        <f>HL70+HM69</f>
        <v/>
      </c>
      <c r="HN70" s="36">
        <f>HM70+HN69</f>
        <v/>
      </c>
      <c r="HO70" s="36">
        <f>HN70+HO69</f>
        <v/>
      </c>
      <c r="HP70" s="36">
        <f>HO70+HP69</f>
        <v/>
      </c>
      <c r="HQ70" s="36">
        <f>HP70+HQ69</f>
        <v/>
      </c>
      <c r="HR70" s="36">
        <f>HQ70+HR69</f>
        <v/>
      </c>
      <c r="HS70" s="36">
        <f>HR70+HS69</f>
        <v/>
      </c>
      <c r="HT70" s="36">
        <f>HS70+HT69</f>
        <v/>
      </c>
      <c r="HU70" s="36">
        <f>HT70+HU69</f>
        <v/>
      </c>
      <c r="JF70" s="35">
        <f>AP70</f>
        <v/>
      </c>
      <c r="JG70" s="35">
        <f>SUM(Z70:AK70)</f>
        <v/>
      </c>
      <c r="JH70" s="35">
        <f>SUM(AL70:AP70)</f>
        <v/>
      </c>
      <c r="JI70" s="35">
        <f>SUM(C70:AP70)</f>
        <v/>
      </c>
      <c r="JJ70" s="446" t="n"/>
      <c r="JM70" s="35" t="n">
        <v>-45150578.75551087</v>
      </c>
      <c r="KG70" s="147">
        <f>B70</f>
        <v/>
      </c>
      <c r="KH70" s="247">
        <f>AR70</f>
        <v/>
      </c>
    </row>
    <row r="71" ht="6.6" customHeight="1" thickTop="1">
      <c r="A71" s="1" t="n"/>
      <c r="B71" s="128" t="n"/>
      <c r="C71" s="512" t="n"/>
      <c r="D71" s="512" t="n"/>
      <c r="E71" s="512" t="n"/>
      <c r="F71" s="512" t="n"/>
      <c r="G71" s="512" t="n"/>
      <c r="H71" s="512" t="n"/>
      <c r="I71" s="512" t="n"/>
      <c r="J71" s="513" t="n"/>
      <c r="K71" s="512" t="n"/>
      <c r="L71" s="512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514" t="n"/>
      <c r="AA71" s="514" t="n"/>
      <c r="AB71" s="514" t="n"/>
      <c r="AC71" s="514" t="n"/>
      <c r="AD71" s="514" t="n"/>
      <c r="AE71" s="514" t="n"/>
      <c r="AF71" s="514" t="n"/>
      <c r="AG71" s="514" t="n"/>
      <c r="AH71" s="514" t="n"/>
      <c r="AI71" s="514" t="n"/>
      <c r="AJ71" s="514" t="n"/>
      <c r="AK71" s="514" t="n"/>
      <c r="AL71" s="514" t="n"/>
      <c r="AM71" s="514" t="n"/>
      <c r="AN71" s="514" t="n"/>
      <c r="AO71" s="514" t="n"/>
      <c r="AP71" s="514" t="n"/>
      <c r="AQ71" s="512" t="n"/>
      <c r="AR71" s="533" t="n"/>
      <c r="AS71" s="512" t="n"/>
      <c r="AT71" s="512" t="n"/>
      <c r="AU71" s="512" t="n"/>
      <c r="AV71" s="512" t="n"/>
      <c r="AW71" s="512" t="n"/>
      <c r="AX71" s="512" t="n"/>
      <c r="AY71" s="512" t="n"/>
      <c r="AZ71" s="512" t="n"/>
      <c r="BA71" s="512" t="n"/>
      <c r="BB71" s="512" t="n"/>
      <c r="BC71" s="512" t="n"/>
      <c r="BD71" s="515" t="n"/>
      <c r="BE71" s="512" t="n"/>
      <c r="BF71" s="512" t="n"/>
      <c r="BG71" s="512" t="n"/>
      <c r="BH71" s="512" t="n"/>
      <c r="BI71" s="512" t="n"/>
      <c r="BJ71" s="512" t="n"/>
      <c r="BK71" s="512" t="n"/>
      <c r="BL71" s="512" t="n"/>
      <c r="BM71" s="512" t="n"/>
      <c r="BN71" s="512" t="n"/>
      <c r="BO71" s="512" t="n"/>
      <c r="BP71" s="515" t="n"/>
      <c r="BQ71" s="512" t="n"/>
      <c r="BR71" s="512" t="n"/>
      <c r="BS71" s="512" t="n"/>
      <c r="BT71" s="512" t="n"/>
      <c r="BU71" s="512" t="n"/>
      <c r="BV71" s="512" t="n"/>
      <c r="BW71" s="512" t="n"/>
      <c r="BX71" s="512" t="n"/>
      <c r="BY71" s="512" t="n"/>
      <c r="BZ71" s="512" t="n"/>
      <c r="CA71" s="512" t="n"/>
      <c r="CB71" s="515" t="n"/>
      <c r="CC71" s="512" t="n"/>
      <c r="CD71" s="512" t="n"/>
      <c r="CE71" s="512" t="n"/>
      <c r="CF71" s="512" t="n"/>
      <c r="CG71" s="512" t="n"/>
      <c r="CH71" s="512" t="n"/>
      <c r="CI71" s="512" t="n"/>
      <c r="CJ71" s="512" t="n"/>
      <c r="CK71" s="512" t="n"/>
      <c r="CL71" s="512" t="n"/>
      <c r="CM71" s="512" t="n"/>
      <c r="CN71" s="515" t="n"/>
      <c r="CO71" s="512" t="n"/>
      <c r="CP71" s="512" t="n"/>
      <c r="CQ71" s="512" t="n"/>
      <c r="CR71" s="512" t="n"/>
      <c r="CS71" s="512" t="n"/>
      <c r="CT71" s="512" t="n"/>
      <c r="CU71" s="512" t="n"/>
      <c r="CV71" s="512" t="n"/>
      <c r="CW71" s="512" t="n"/>
      <c r="CX71" s="512" t="n"/>
      <c r="CY71" s="512" t="n"/>
      <c r="CZ71" s="515" t="n"/>
      <c r="DA71" s="512" t="n"/>
      <c r="DB71" s="512" t="n"/>
      <c r="DC71" s="512" t="n"/>
      <c r="DD71" s="512" t="n"/>
      <c r="DE71" s="512" t="n"/>
      <c r="DF71" s="512" t="n"/>
      <c r="DG71" s="512" t="n"/>
      <c r="DH71" s="512" t="n"/>
      <c r="DI71" s="512" t="n"/>
      <c r="DJ71" s="512" t="n"/>
      <c r="DK71" s="512" t="n"/>
      <c r="DL71" s="512" t="n"/>
      <c r="DM71" s="512" t="n"/>
      <c r="DN71" s="512" t="n"/>
      <c r="DO71" s="512" t="n"/>
      <c r="DP71" s="512" t="n"/>
      <c r="DQ71" s="512" t="n"/>
      <c r="DR71" s="512" t="n"/>
      <c r="DS71" s="512" t="n"/>
      <c r="DT71" s="512" t="n"/>
      <c r="DU71" s="512" t="n"/>
      <c r="DV71" s="512" t="n"/>
      <c r="DW71" s="512" t="n"/>
      <c r="DX71" s="512" t="n"/>
      <c r="DY71" s="512" t="n"/>
      <c r="DZ71" s="512" t="n"/>
      <c r="EA71" s="512" t="n"/>
      <c r="EB71" s="512" t="n"/>
      <c r="EC71" s="512" t="n"/>
      <c r="ED71" s="512" t="n"/>
      <c r="EE71" s="512" t="n"/>
      <c r="EF71" s="512" t="n"/>
      <c r="EG71" s="512" t="n"/>
      <c r="EH71" s="512" t="n"/>
      <c r="EI71" s="512" t="n"/>
      <c r="EJ71" s="512" t="n"/>
      <c r="EK71" s="512" t="n"/>
      <c r="EL71" s="512" t="n"/>
      <c r="EM71" s="512" t="n"/>
      <c r="EN71" s="512" t="n"/>
      <c r="EO71" s="512" t="n"/>
      <c r="EP71" s="512" t="n"/>
      <c r="EQ71" s="512" t="n"/>
      <c r="ER71" s="512" t="n"/>
      <c r="ES71" s="512" t="n"/>
      <c r="ET71" s="512" t="n"/>
      <c r="EU71" s="512" t="n"/>
      <c r="EV71" s="512" t="n"/>
      <c r="EW71" s="512" t="n"/>
      <c r="EX71" s="512" t="n"/>
      <c r="EY71" s="512" t="n"/>
      <c r="EZ71" s="512" t="n"/>
      <c r="FA71" s="512" t="n"/>
      <c r="FB71" s="512" t="n"/>
      <c r="FC71" s="512" t="n"/>
      <c r="FD71" s="512" t="n"/>
      <c r="FE71" s="512" t="n"/>
      <c r="FF71" s="512" t="n"/>
      <c r="FG71" s="512" t="n"/>
      <c r="FH71" s="512" t="n"/>
      <c r="FI71" s="512" t="n"/>
      <c r="FJ71" s="512" t="n"/>
      <c r="FK71" s="512" t="n"/>
      <c r="FL71" s="512" t="n"/>
      <c r="FM71" s="512" t="n"/>
      <c r="FN71" s="512" t="n"/>
      <c r="FO71" s="512" t="n"/>
      <c r="FP71" s="512" t="n"/>
      <c r="FQ71" s="512" t="n"/>
      <c r="FR71" s="512" t="n"/>
      <c r="FS71" s="512" t="n"/>
      <c r="FT71" s="512" t="n"/>
      <c r="FU71" s="512" t="n"/>
      <c r="FV71" s="512" t="n"/>
      <c r="FW71" s="512" t="n"/>
      <c r="FX71" s="512" t="n"/>
      <c r="FY71" s="512" t="n"/>
      <c r="FZ71" s="512" t="n"/>
      <c r="GA71" s="512" t="n"/>
      <c r="GB71" s="512" t="n"/>
      <c r="GC71" s="512" t="n"/>
      <c r="GD71" s="512" t="n"/>
      <c r="GE71" s="512" t="n"/>
      <c r="GF71" s="512" t="n"/>
      <c r="GG71" s="512" t="n"/>
      <c r="GH71" s="512" t="n"/>
      <c r="GI71" s="512" t="n"/>
      <c r="GJ71" s="512" t="n"/>
      <c r="GK71" s="512" t="n"/>
      <c r="GL71" s="512" t="n"/>
      <c r="GM71" s="512" t="n"/>
      <c r="GN71" s="512" t="n"/>
      <c r="GO71" s="512" t="n"/>
      <c r="GP71" s="512" t="n"/>
      <c r="GQ71" s="512" t="n"/>
      <c r="GR71" s="512" t="n"/>
      <c r="GS71" s="512" t="n"/>
      <c r="GT71" s="512" t="n"/>
      <c r="GU71" s="512" t="n"/>
      <c r="GV71" s="512" t="n"/>
      <c r="GW71" s="512" t="n"/>
      <c r="GX71" s="512" t="n"/>
      <c r="GY71" s="512" t="n"/>
      <c r="GZ71" s="512" t="n"/>
      <c r="HA71" s="512" t="n"/>
      <c r="HB71" s="512" t="n"/>
      <c r="HC71" s="512" t="n"/>
      <c r="HD71" s="512" t="n"/>
      <c r="HE71" s="512" t="n"/>
      <c r="HF71" s="512" t="n"/>
      <c r="HG71" s="512" t="n"/>
      <c r="HH71" s="512" t="n"/>
      <c r="HI71" s="512" t="n"/>
      <c r="HJ71" s="512" t="n"/>
      <c r="HK71" s="512" t="n"/>
      <c r="HL71" s="512" t="n"/>
      <c r="HM71" s="512" t="n"/>
      <c r="HN71" s="512" t="n"/>
      <c r="HO71" s="512" t="n"/>
      <c r="HP71" s="512" t="n"/>
      <c r="HQ71" s="512" t="n"/>
      <c r="HR71" s="512" t="n"/>
      <c r="HS71" s="512" t="n"/>
      <c r="HT71" s="512" t="n"/>
      <c r="HU71" s="512" t="n"/>
      <c r="JF71" s="512">
        <f>AP71</f>
        <v/>
      </c>
      <c r="JG71" s="512">
        <f>SUM(Z71:AK71)</f>
        <v/>
      </c>
      <c r="JH71" s="512">
        <f>SUM(AL71:AP71)</f>
        <v/>
      </c>
      <c r="JI71" s="512">
        <f>SUM(C71:AP71)</f>
        <v/>
      </c>
      <c r="JJ71" s="446" t="n"/>
      <c r="JM71" s="512" t="n"/>
      <c r="KG71" s="128">
        <f>B71</f>
        <v/>
      </c>
      <c r="KH71" s="533">
        <f>AR71</f>
        <v/>
      </c>
    </row>
    <row r="72" ht="16.2" customHeight="1" thickBot="1">
      <c r="A72" s="124" t="inlineStr">
        <is>
          <t>SALDO DE CAIXA (MENSAL)</t>
        </is>
      </c>
      <c r="B72" s="534">
        <f>SUM(C72:AP72)</f>
        <v/>
      </c>
      <c r="C72" s="534">
        <f>C20+C69</f>
        <v/>
      </c>
      <c r="D72" s="534">
        <f>D20+D69</f>
        <v/>
      </c>
      <c r="E72" s="534">
        <f>E20+E69</f>
        <v/>
      </c>
      <c r="F72" s="534">
        <f>F20+F69</f>
        <v/>
      </c>
      <c r="G72" s="534">
        <f>G20+G69</f>
        <v/>
      </c>
      <c r="H72" s="534">
        <f>H20+H69</f>
        <v/>
      </c>
      <c r="I72" s="534">
        <f>I20+I69</f>
        <v/>
      </c>
      <c r="J72" s="534">
        <f>J20+J69</f>
        <v/>
      </c>
      <c r="K72" s="534">
        <f>K20+K69</f>
        <v/>
      </c>
      <c r="L72" s="534">
        <f>L20+L69</f>
        <v/>
      </c>
      <c r="M72" s="535">
        <f>M20+M69</f>
        <v/>
      </c>
      <c r="N72" s="535">
        <f>N20+N69</f>
        <v/>
      </c>
      <c r="O72" s="535">
        <f>O20+O69</f>
        <v/>
      </c>
      <c r="P72" s="535">
        <f>P20+P69</f>
        <v/>
      </c>
      <c r="Q72" s="535">
        <f>Q20+Q69</f>
        <v/>
      </c>
      <c r="R72" s="535">
        <f>R20+R69</f>
        <v/>
      </c>
      <c r="S72" s="535">
        <f>S20+S69</f>
        <v/>
      </c>
      <c r="T72" s="535">
        <f>T20+T69</f>
        <v/>
      </c>
      <c r="U72" s="535">
        <f>U20+U69</f>
        <v/>
      </c>
      <c r="V72" s="535">
        <f>V20+V69</f>
        <v/>
      </c>
      <c r="W72" s="535">
        <f>W20+W69</f>
        <v/>
      </c>
      <c r="X72" s="535">
        <f>X20+X69</f>
        <v/>
      </c>
      <c r="Y72" s="535">
        <f>Y20+Y69</f>
        <v/>
      </c>
      <c r="Z72" s="535">
        <f>Z20+Z69</f>
        <v/>
      </c>
      <c r="AA72" s="535">
        <f>AA20+AA69</f>
        <v/>
      </c>
      <c r="AB72" s="535">
        <f>AB20+AB69</f>
        <v/>
      </c>
      <c r="AC72" s="535">
        <f>AC20+AC69</f>
        <v/>
      </c>
      <c r="AD72" s="535">
        <f>AD20+AD69</f>
        <v/>
      </c>
      <c r="AE72" s="535">
        <f>AE20+AE69</f>
        <v/>
      </c>
      <c r="AF72" s="535">
        <f>AF20+AF69</f>
        <v/>
      </c>
      <c r="AG72" s="535">
        <f>AG20+AG69</f>
        <v/>
      </c>
      <c r="AH72" s="535">
        <f>AH20+AH69</f>
        <v/>
      </c>
      <c r="AI72" s="535">
        <f>AI20+AI69</f>
        <v/>
      </c>
      <c r="AJ72" s="535">
        <f>AJ20+AJ69</f>
        <v/>
      </c>
      <c r="AK72" s="535">
        <f>AK20+AK69</f>
        <v/>
      </c>
      <c r="AL72" s="535">
        <f>AL20+AL69</f>
        <v/>
      </c>
      <c r="AM72" s="535">
        <f>AM20+AM69</f>
        <v/>
      </c>
      <c r="AN72" s="535">
        <f>AN20+AN69</f>
        <v/>
      </c>
      <c r="AO72" s="535">
        <f>AO20+AO69</f>
        <v/>
      </c>
      <c r="AP72" s="535">
        <f>AP20+AP69</f>
        <v/>
      </c>
      <c r="AQ72" s="13" t="n"/>
      <c r="AR72" s="246" t="n">
        <v>0</v>
      </c>
      <c r="AS72" s="13" t="n"/>
      <c r="AT72" s="534">
        <f>AT20+AT69</f>
        <v/>
      </c>
      <c r="AU72" s="534">
        <f>AU20+AU69</f>
        <v/>
      </c>
      <c r="AV72" s="534">
        <f>AV20+AV69</f>
        <v/>
      </c>
      <c r="AW72" s="534">
        <f>AW20+AW69</f>
        <v/>
      </c>
      <c r="AX72" s="534">
        <f>AX20+AX69</f>
        <v/>
      </c>
      <c r="AY72" s="534">
        <f>AY20+AY69</f>
        <v/>
      </c>
      <c r="AZ72" s="534">
        <f>AZ20+AZ69</f>
        <v/>
      </c>
      <c r="BA72" s="534">
        <f>BA20+BA69</f>
        <v/>
      </c>
      <c r="BB72" s="534">
        <f>BB20+BB69</f>
        <v/>
      </c>
      <c r="BC72" s="534">
        <f>BC20+BC69</f>
        <v/>
      </c>
      <c r="BD72" s="536">
        <f>BD20+BD69</f>
        <v/>
      </c>
      <c r="BE72" s="534">
        <f>BE20+BE69</f>
        <v/>
      </c>
      <c r="BF72" s="534">
        <f>BF20+BF69</f>
        <v/>
      </c>
      <c r="BG72" s="534">
        <f>BG20+BG69</f>
        <v/>
      </c>
      <c r="BH72" s="534">
        <f>BH20+BH69</f>
        <v/>
      </c>
      <c r="BI72" s="534">
        <f>BI20+BI69</f>
        <v/>
      </c>
      <c r="BJ72" s="534">
        <f>BJ20+BJ69</f>
        <v/>
      </c>
      <c r="BK72" s="534">
        <f>BK20+BK69</f>
        <v/>
      </c>
      <c r="BL72" s="534">
        <f>BL20+BL69</f>
        <v/>
      </c>
      <c r="BM72" s="534">
        <f>BM20+BM69</f>
        <v/>
      </c>
      <c r="BN72" s="534">
        <f>BN20+BN69</f>
        <v/>
      </c>
      <c r="BO72" s="534">
        <f>BO20+BO69</f>
        <v/>
      </c>
      <c r="BP72" s="536">
        <f>BP20+BP69</f>
        <v/>
      </c>
      <c r="BQ72" s="534">
        <f>BQ20+BQ69</f>
        <v/>
      </c>
      <c r="BR72" s="534">
        <f>BR20+BR69</f>
        <v/>
      </c>
      <c r="BS72" s="534">
        <f>BS20+BS69</f>
        <v/>
      </c>
      <c r="BT72" s="534">
        <f>BT20+BT69</f>
        <v/>
      </c>
      <c r="BU72" s="534">
        <f>BU20+BU69</f>
        <v/>
      </c>
      <c r="BV72" s="534">
        <f>BV20+BV69</f>
        <v/>
      </c>
      <c r="BW72" s="534">
        <f>BW20+BW69</f>
        <v/>
      </c>
      <c r="BX72" s="534">
        <f>BX20+BX69</f>
        <v/>
      </c>
      <c r="BY72" s="534">
        <f>BY20+BY69</f>
        <v/>
      </c>
      <c r="BZ72" s="534">
        <f>BZ20+BZ69</f>
        <v/>
      </c>
      <c r="CA72" s="534">
        <f>CA20+CA69</f>
        <v/>
      </c>
      <c r="CB72" s="536">
        <f>CB20+CB69</f>
        <v/>
      </c>
      <c r="CC72" s="534">
        <f>CC20+CC69</f>
        <v/>
      </c>
      <c r="CD72" s="534">
        <f>CD20+CD69</f>
        <v/>
      </c>
      <c r="CE72" s="534">
        <f>CE20+CE69</f>
        <v/>
      </c>
      <c r="CF72" s="534">
        <f>CF20+CF69</f>
        <v/>
      </c>
      <c r="CG72" s="534">
        <f>CG20+CG69</f>
        <v/>
      </c>
      <c r="CH72" s="534">
        <f>CH20+CH69</f>
        <v/>
      </c>
      <c r="CI72" s="534">
        <f>CI20+CI69</f>
        <v/>
      </c>
      <c r="CJ72" s="534">
        <f>CJ20+CJ69</f>
        <v/>
      </c>
      <c r="CK72" s="534">
        <f>CK20+CK69</f>
        <v/>
      </c>
      <c r="CL72" s="534">
        <f>CL20+CL69</f>
        <v/>
      </c>
      <c r="CM72" s="534">
        <f>CM20+CM69</f>
        <v/>
      </c>
      <c r="CN72" s="536">
        <f>CN20+CN69</f>
        <v/>
      </c>
      <c r="CO72" s="534">
        <f>CO20+CO69</f>
        <v/>
      </c>
      <c r="CP72" s="534">
        <f>CP20+CP69</f>
        <v/>
      </c>
      <c r="CQ72" s="534">
        <f>CQ20+CQ69</f>
        <v/>
      </c>
      <c r="CR72" s="534">
        <f>CR20+CR69</f>
        <v/>
      </c>
      <c r="CS72" s="534">
        <f>CS20+CS69</f>
        <v/>
      </c>
      <c r="CT72" s="534">
        <f>CT20+CT69</f>
        <v/>
      </c>
      <c r="CU72" s="534">
        <f>CU20+CU69</f>
        <v/>
      </c>
      <c r="CV72" s="534">
        <f>CV20+CV69</f>
        <v/>
      </c>
      <c r="CW72" s="534">
        <f>CW20+CW69</f>
        <v/>
      </c>
      <c r="CX72" s="534">
        <f>CX20+CX69</f>
        <v/>
      </c>
      <c r="CY72" s="534">
        <f>CY20+CY69</f>
        <v/>
      </c>
      <c r="CZ72" s="536">
        <f>CZ20+CZ69</f>
        <v/>
      </c>
      <c r="DA72" s="534">
        <f>DA20+DA69</f>
        <v/>
      </c>
      <c r="DB72" s="534">
        <f>DB20+DB69</f>
        <v/>
      </c>
      <c r="DC72" s="534">
        <f>DC20+DC69</f>
        <v/>
      </c>
      <c r="DD72" s="534">
        <f>DD20+DD69</f>
        <v/>
      </c>
      <c r="DE72" s="534">
        <f>DE20+DE69</f>
        <v/>
      </c>
      <c r="DF72" s="534">
        <f>DF20+DF69</f>
        <v/>
      </c>
      <c r="DG72" s="534">
        <f>DG20+DG69</f>
        <v/>
      </c>
      <c r="DH72" s="534">
        <f>DH20+DH69</f>
        <v/>
      </c>
      <c r="DI72" s="534">
        <f>DI20+DI69</f>
        <v/>
      </c>
      <c r="DJ72" s="534">
        <f>DJ20+DJ69</f>
        <v/>
      </c>
      <c r="DK72" s="534">
        <f>DK20+DK69</f>
        <v/>
      </c>
      <c r="DL72" s="534">
        <f>DL20+DL69</f>
        <v/>
      </c>
      <c r="DM72" s="534">
        <f>DM20+DM69</f>
        <v/>
      </c>
      <c r="DN72" s="534">
        <f>DN20+DN69</f>
        <v/>
      </c>
      <c r="DO72" s="534">
        <f>DO20+DO69</f>
        <v/>
      </c>
      <c r="DP72" s="534">
        <f>DP20+DP69</f>
        <v/>
      </c>
      <c r="DQ72" s="534">
        <f>DQ20+DQ69</f>
        <v/>
      </c>
      <c r="DR72" s="534">
        <f>DR20+DR69</f>
        <v/>
      </c>
      <c r="DS72" s="534">
        <f>DS20+DS69</f>
        <v/>
      </c>
      <c r="DT72" s="534">
        <f>DT20+DT69</f>
        <v/>
      </c>
      <c r="DU72" s="534">
        <f>DU20+DU69</f>
        <v/>
      </c>
      <c r="DV72" s="534">
        <f>DV20+DV69</f>
        <v/>
      </c>
      <c r="DW72" s="534">
        <f>DW20+DW69</f>
        <v/>
      </c>
      <c r="DX72" s="534">
        <f>DX20+DX69</f>
        <v/>
      </c>
      <c r="DY72" s="534">
        <f>DY20+DY69</f>
        <v/>
      </c>
      <c r="DZ72" s="534">
        <f>DZ20+DZ69</f>
        <v/>
      </c>
      <c r="EA72" s="534">
        <f>EA20+EA69</f>
        <v/>
      </c>
      <c r="EB72" s="534">
        <f>EB20+EB69</f>
        <v/>
      </c>
      <c r="EC72" s="534">
        <f>EC20+EC69</f>
        <v/>
      </c>
      <c r="ED72" s="534">
        <f>ED20+ED69</f>
        <v/>
      </c>
      <c r="EE72" s="534">
        <f>EE20+EE69</f>
        <v/>
      </c>
      <c r="EF72" s="534">
        <f>EF20+EF69</f>
        <v/>
      </c>
      <c r="EG72" s="534">
        <f>EG20+EG69</f>
        <v/>
      </c>
      <c r="EH72" s="534">
        <f>EH20+EH69</f>
        <v/>
      </c>
      <c r="EI72" s="534">
        <f>EI20+EI69</f>
        <v/>
      </c>
      <c r="EJ72" s="534">
        <f>EJ20+EJ69</f>
        <v/>
      </c>
      <c r="EK72" s="534">
        <f>EK20+EK69</f>
        <v/>
      </c>
      <c r="EL72" s="534">
        <f>EL20+EL69</f>
        <v/>
      </c>
      <c r="EM72" s="534">
        <f>EM20+EM69</f>
        <v/>
      </c>
      <c r="EN72" s="534">
        <f>EN20+EN69</f>
        <v/>
      </c>
      <c r="EO72" s="534">
        <f>EO20+EO69</f>
        <v/>
      </c>
      <c r="EP72" s="534">
        <f>EP20+EP69</f>
        <v/>
      </c>
      <c r="EQ72" s="534">
        <f>EQ20+EQ69</f>
        <v/>
      </c>
      <c r="ER72" s="534">
        <f>ER20+ER69</f>
        <v/>
      </c>
      <c r="ES72" s="534">
        <f>ES20+ES69</f>
        <v/>
      </c>
      <c r="ET72" s="534">
        <f>ET20+ET69</f>
        <v/>
      </c>
      <c r="EU72" s="534">
        <f>EU20+EU69</f>
        <v/>
      </c>
      <c r="EV72" s="534">
        <f>EV20+EV69</f>
        <v/>
      </c>
      <c r="EW72" s="534">
        <f>EW20+EW69</f>
        <v/>
      </c>
      <c r="EX72" s="534">
        <f>EX20+EX69</f>
        <v/>
      </c>
      <c r="EY72" s="534">
        <f>EY20+EY69</f>
        <v/>
      </c>
      <c r="EZ72" s="534">
        <f>EZ20+EZ69</f>
        <v/>
      </c>
      <c r="FA72" s="534">
        <f>FA20+FA69</f>
        <v/>
      </c>
      <c r="FB72" s="534">
        <f>FB20+FB69</f>
        <v/>
      </c>
      <c r="FC72" s="534">
        <f>FC20+FC69</f>
        <v/>
      </c>
      <c r="FD72" s="534">
        <f>FD20+FD69</f>
        <v/>
      </c>
      <c r="FE72" s="534">
        <f>FE20+FE69</f>
        <v/>
      </c>
      <c r="FF72" s="534">
        <f>FF20+FF69</f>
        <v/>
      </c>
      <c r="FG72" s="534">
        <f>FG20+FG69</f>
        <v/>
      </c>
      <c r="FH72" s="534">
        <f>FH20+FH69</f>
        <v/>
      </c>
      <c r="FI72" s="534">
        <f>FI20+FI69</f>
        <v/>
      </c>
      <c r="FJ72" s="534">
        <f>FJ20+FJ69</f>
        <v/>
      </c>
      <c r="FK72" s="534">
        <f>FK20+FK69</f>
        <v/>
      </c>
      <c r="FL72" s="534">
        <f>FL20+FL69</f>
        <v/>
      </c>
      <c r="FM72" s="534">
        <f>FM20+FM69</f>
        <v/>
      </c>
      <c r="FN72" s="534">
        <f>FN20+FN69</f>
        <v/>
      </c>
      <c r="FO72" s="534">
        <f>FO20+FO69</f>
        <v/>
      </c>
      <c r="FP72" s="534">
        <f>FP20+FP69</f>
        <v/>
      </c>
      <c r="FQ72" s="534">
        <f>FQ20+FQ69</f>
        <v/>
      </c>
      <c r="FR72" s="534">
        <f>FR20+FR69</f>
        <v/>
      </c>
      <c r="FS72" s="534">
        <f>FS20+FS69</f>
        <v/>
      </c>
      <c r="FT72" s="534">
        <f>FT20+FT69</f>
        <v/>
      </c>
      <c r="FU72" s="534">
        <f>FU20+FU69</f>
        <v/>
      </c>
      <c r="FV72" s="534">
        <f>FV20+FV69</f>
        <v/>
      </c>
      <c r="FW72" s="534">
        <f>FW20+FW69</f>
        <v/>
      </c>
      <c r="FX72" s="534">
        <f>FX20+FX69</f>
        <v/>
      </c>
      <c r="FY72" s="534">
        <f>FY20+FY69</f>
        <v/>
      </c>
      <c r="FZ72" s="534">
        <f>FZ20+FZ69</f>
        <v/>
      </c>
      <c r="GA72" s="534">
        <f>GA20+GA69</f>
        <v/>
      </c>
      <c r="GB72" s="534">
        <f>GB20+GB69</f>
        <v/>
      </c>
      <c r="GC72" s="534">
        <f>GC20+GC69</f>
        <v/>
      </c>
      <c r="GD72" s="534">
        <f>GD20+GD69</f>
        <v/>
      </c>
      <c r="GE72" s="534">
        <f>GE20+GE69</f>
        <v/>
      </c>
      <c r="GF72" s="534">
        <f>GF20+GF69</f>
        <v/>
      </c>
      <c r="GG72" s="534">
        <f>GG20+GG69</f>
        <v/>
      </c>
      <c r="GH72" s="534">
        <f>GH20+GH69</f>
        <v/>
      </c>
      <c r="GI72" s="534">
        <f>GI20+GI69</f>
        <v/>
      </c>
      <c r="GJ72" s="534">
        <f>GJ20+GJ69</f>
        <v/>
      </c>
      <c r="GK72" s="534">
        <f>GK20+GK69</f>
        <v/>
      </c>
      <c r="GL72" s="534">
        <f>GL20+GL69</f>
        <v/>
      </c>
      <c r="GM72" s="534">
        <f>GM20+GM69</f>
        <v/>
      </c>
      <c r="GN72" s="534">
        <f>GN20+GN69</f>
        <v/>
      </c>
      <c r="GO72" s="534">
        <f>GO20+GO69</f>
        <v/>
      </c>
      <c r="GP72" s="534">
        <f>GP20+GP69</f>
        <v/>
      </c>
      <c r="GQ72" s="534">
        <f>GQ20+GQ69</f>
        <v/>
      </c>
      <c r="GR72" s="534">
        <f>GR20+GR69</f>
        <v/>
      </c>
      <c r="GS72" s="534">
        <f>GS20+GS69</f>
        <v/>
      </c>
      <c r="GT72" s="534">
        <f>GT20+GT69</f>
        <v/>
      </c>
      <c r="GU72" s="534">
        <f>GU20+GU69</f>
        <v/>
      </c>
      <c r="GV72" s="534">
        <f>GV20+GV69</f>
        <v/>
      </c>
      <c r="GW72" s="534">
        <f>GW20+GW69</f>
        <v/>
      </c>
      <c r="GX72" s="534">
        <f>GX20+GX69</f>
        <v/>
      </c>
      <c r="GY72" s="534">
        <f>GY20+GY69</f>
        <v/>
      </c>
      <c r="GZ72" s="534">
        <f>GZ20+GZ69</f>
        <v/>
      </c>
      <c r="HA72" s="534">
        <f>HA20+HA69</f>
        <v/>
      </c>
      <c r="HB72" s="534">
        <f>HB20+HB69</f>
        <v/>
      </c>
      <c r="HC72" s="534">
        <f>HC20+HC69</f>
        <v/>
      </c>
      <c r="HD72" s="534">
        <f>HD20+HD69</f>
        <v/>
      </c>
      <c r="HE72" s="534">
        <f>HE20+HE69</f>
        <v/>
      </c>
      <c r="HF72" s="534">
        <f>HF20+HF69</f>
        <v/>
      </c>
      <c r="HG72" s="534">
        <f>HG20+HG69</f>
        <v/>
      </c>
      <c r="HH72" s="534">
        <f>HH20+HH69</f>
        <v/>
      </c>
      <c r="HI72" s="534">
        <f>HI20+HI69</f>
        <v/>
      </c>
      <c r="HJ72" s="534">
        <f>HJ20+HJ69</f>
        <v/>
      </c>
      <c r="HK72" s="534">
        <f>HK20+HK69</f>
        <v/>
      </c>
      <c r="HL72" s="534">
        <f>HL20+HL69</f>
        <v/>
      </c>
      <c r="HM72" s="534">
        <f>HM20+HM69</f>
        <v/>
      </c>
      <c r="HN72" s="534">
        <f>HN20+HN69</f>
        <v/>
      </c>
      <c r="HO72" s="534">
        <f>HO20+HO69</f>
        <v/>
      </c>
      <c r="HP72" s="534">
        <f>HP20+HP69</f>
        <v/>
      </c>
      <c r="HQ72" s="534">
        <f>HQ20+HQ69</f>
        <v/>
      </c>
      <c r="HR72" s="534">
        <f>HR20+HR69</f>
        <v/>
      </c>
      <c r="HS72" s="534">
        <f>HS20+HS69</f>
        <v/>
      </c>
      <c r="HT72" s="534">
        <f>HT20+HT69</f>
        <v/>
      </c>
      <c r="HU72" s="534">
        <f>HU20+HU69</f>
        <v/>
      </c>
      <c r="JF72" s="534">
        <f>AP72</f>
        <v/>
      </c>
      <c r="JG72" s="534">
        <f>SUM(Z72:AK72)</f>
        <v/>
      </c>
      <c r="JH72" s="534">
        <f>SUM(AL72:AP72)</f>
        <v/>
      </c>
      <c r="JI72" s="534">
        <f>SUM(C72:AP72)</f>
        <v/>
      </c>
      <c r="JJ72" s="446" t="n"/>
      <c r="JM72" s="534" t="n">
        <v>-2297202.657010871</v>
      </c>
      <c r="KG72" s="534">
        <f>B72</f>
        <v/>
      </c>
      <c r="KH72" s="246">
        <f>AR72</f>
        <v/>
      </c>
    </row>
    <row r="73" ht="16.2" customHeight="1" thickBot="1" thickTop="1">
      <c r="A73" s="125" t="inlineStr">
        <is>
          <t>SALDO ACUMULADO (REAL)</t>
        </is>
      </c>
      <c r="B73" s="149" t="n"/>
      <c r="C73" s="543">
        <f>B73+C72</f>
        <v/>
      </c>
      <c r="D73" s="543">
        <f>C73+D72</f>
        <v/>
      </c>
      <c r="E73" s="543">
        <f>D73+E72</f>
        <v/>
      </c>
      <c r="F73" s="543">
        <f>E73+F72</f>
        <v/>
      </c>
      <c r="G73" s="543">
        <f>F73+G72</f>
        <v/>
      </c>
      <c r="H73" s="543">
        <f>G73+H72</f>
        <v/>
      </c>
      <c r="I73" s="543">
        <f>H73+I72</f>
        <v/>
      </c>
      <c r="J73" s="543">
        <f>I73+J72</f>
        <v/>
      </c>
      <c r="K73" s="543">
        <f>J73+K72</f>
        <v/>
      </c>
      <c r="L73" s="543">
        <f>K73+L72</f>
        <v/>
      </c>
      <c r="M73" s="543">
        <f>L73+M72</f>
        <v/>
      </c>
      <c r="N73" s="543">
        <f>M73+N72</f>
        <v/>
      </c>
      <c r="O73" s="543">
        <f>N73+O72</f>
        <v/>
      </c>
      <c r="P73" s="543">
        <f>O73+P72</f>
        <v/>
      </c>
      <c r="Q73" s="543">
        <f>P73+Q72</f>
        <v/>
      </c>
      <c r="R73" s="543">
        <f>Q73+R72</f>
        <v/>
      </c>
      <c r="S73" s="543">
        <f>R73+S72</f>
        <v/>
      </c>
      <c r="T73" s="543">
        <f>S73+T72</f>
        <v/>
      </c>
      <c r="U73" s="543">
        <f>T73+U72</f>
        <v/>
      </c>
      <c r="V73" s="543">
        <f>U73+V72</f>
        <v/>
      </c>
      <c r="W73" s="543">
        <f>V73+W72</f>
        <v/>
      </c>
      <c r="X73" s="543">
        <f>W73+X72</f>
        <v/>
      </c>
      <c r="Y73" s="543">
        <f>X73+Y72</f>
        <v/>
      </c>
      <c r="Z73" s="543">
        <f>Y73+Z72</f>
        <v/>
      </c>
      <c r="AA73" s="543">
        <f>Z73+AA72</f>
        <v/>
      </c>
      <c r="AB73" s="543">
        <f>AA73+AB72</f>
        <v/>
      </c>
      <c r="AC73" s="543">
        <f>AB73+AC72</f>
        <v/>
      </c>
      <c r="AD73" s="543">
        <f>AC73+AD72</f>
        <v/>
      </c>
      <c r="AE73" s="543">
        <f>AD73+AE72</f>
        <v/>
      </c>
      <c r="AF73" s="543">
        <f>AE73+AF72</f>
        <v/>
      </c>
      <c r="AG73" s="543">
        <f>AF73+AG72</f>
        <v/>
      </c>
      <c r="AH73" s="543">
        <f>AG73+AH72</f>
        <v/>
      </c>
      <c r="AI73" s="543">
        <f>AH73+AI72</f>
        <v/>
      </c>
      <c r="AJ73" s="543">
        <f>AI73+AJ72</f>
        <v/>
      </c>
      <c r="AK73" s="543">
        <f>AJ73+AK72</f>
        <v/>
      </c>
      <c r="AL73" s="543">
        <f>AK73+AL72</f>
        <v/>
      </c>
      <c r="AM73" s="543">
        <f>AL73+AM72</f>
        <v/>
      </c>
      <c r="AN73" s="543">
        <f>AM73+AN72</f>
        <v/>
      </c>
      <c r="AO73" s="543">
        <f>AN73+AO72</f>
        <v/>
      </c>
      <c r="AP73" s="543">
        <f>AO73+AP72</f>
        <v/>
      </c>
      <c r="AQ73" s="544" t="n"/>
      <c r="AR73" s="545" t="n"/>
      <c r="AS73" s="544" t="n"/>
      <c r="AT73" s="546">
        <f>AP73+AT72</f>
        <v/>
      </c>
      <c r="AU73" s="546">
        <f>AT73+AU72</f>
        <v/>
      </c>
      <c r="AV73" s="546">
        <f>AU73+AV72</f>
        <v/>
      </c>
      <c r="AW73" s="546">
        <f>AV73+AW72</f>
        <v/>
      </c>
      <c r="AX73" s="546">
        <f>AW73+AX72</f>
        <v/>
      </c>
      <c r="AY73" s="546">
        <f>AX73+AY72</f>
        <v/>
      </c>
      <c r="AZ73" s="546">
        <f>AY73+AZ72</f>
        <v/>
      </c>
      <c r="BA73" s="546">
        <f>AZ73+BA72</f>
        <v/>
      </c>
      <c r="BB73" s="546">
        <f>BA73+BB72</f>
        <v/>
      </c>
      <c r="BC73" s="546">
        <f>BB73+BC72</f>
        <v/>
      </c>
      <c r="BD73" s="546">
        <f>BC73+BD72</f>
        <v/>
      </c>
      <c r="BE73" s="546">
        <f>BD73+BE72</f>
        <v/>
      </c>
      <c r="BF73" s="546">
        <f>BE73+BF72</f>
        <v/>
      </c>
      <c r="BG73" s="546">
        <f>BF73+BG72</f>
        <v/>
      </c>
      <c r="BH73" s="546">
        <f>BG73+BH72</f>
        <v/>
      </c>
      <c r="BI73" s="546">
        <f>BH73+BI72</f>
        <v/>
      </c>
      <c r="BJ73" s="546">
        <f>BI73+BJ72</f>
        <v/>
      </c>
      <c r="BK73" s="546">
        <f>BJ73+BK72</f>
        <v/>
      </c>
      <c r="BL73" s="546">
        <f>BK73+BL72</f>
        <v/>
      </c>
      <c r="BM73" s="546">
        <f>BL73+BM72</f>
        <v/>
      </c>
      <c r="BN73" s="546">
        <f>BM73+BN72</f>
        <v/>
      </c>
      <c r="BO73" s="546">
        <f>BN73+BO72</f>
        <v/>
      </c>
      <c r="BP73" s="546">
        <f>BO73+BP72</f>
        <v/>
      </c>
      <c r="BQ73" s="546">
        <f>BP73+BQ72</f>
        <v/>
      </c>
      <c r="BR73" s="546">
        <f>BQ73+BR72</f>
        <v/>
      </c>
      <c r="BS73" s="546">
        <f>BR73+BS72</f>
        <v/>
      </c>
      <c r="BT73" s="546">
        <f>BS73+BT72</f>
        <v/>
      </c>
      <c r="BU73" s="546">
        <f>BT73+BU72</f>
        <v/>
      </c>
      <c r="BV73" s="546">
        <f>BU73+BV72</f>
        <v/>
      </c>
      <c r="BW73" s="546">
        <f>BV73+BW72</f>
        <v/>
      </c>
      <c r="BX73" s="546">
        <f>BW73+BX72</f>
        <v/>
      </c>
      <c r="BY73" s="546">
        <f>BX73+BY72</f>
        <v/>
      </c>
      <c r="BZ73" s="546">
        <f>BY73+BZ72</f>
        <v/>
      </c>
      <c r="CA73" s="546">
        <f>BZ73+CA72</f>
        <v/>
      </c>
      <c r="CB73" s="546">
        <f>CA73+CB72</f>
        <v/>
      </c>
      <c r="CC73" s="546">
        <f>CB73+CC72</f>
        <v/>
      </c>
      <c r="CD73" s="546">
        <f>CC73+CD72</f>
        <v/>
      </c>
      <c r="CE73" s="546">
        <f>CD73+CE72</f>
        <v/>
      </c>
      <c r="CF73" s="546">
        <f>CE73+CF72</f>
        <v/>
      </c>
      <c r="CG73" s="546">
        <f>CF73+CG72</f>
        <v/>
      </c>
      <c r="CH73" s="546">
        <f>CG73+CH72</f>
        <v/>
      </c>
      <c r="CI73" s="546">
        <f>CH73+CI72</f>
        <v/>
      </c>
      <c r="CJ73" s="546">
        <f>CI73+CJ72</f>
        <v/>
      </c>
      <c r="CK73" s="546">
        <f>CJ73+CK72</f>
        <v/>
      </c>
      <c r="CL73" s="546">
        <f>CK73+CL72</f>
        <v/>
      </c>
      <c r="CM73" s="546">
        <f>CL73+CM72</f>
        <v/>
      </c>
      <c r="CN73" s="546">
        <f>CM73+CN72</f>
        <v/>
      </c>
      <c r="CO73" s="546">
        <f>CN73+CO72</f>
        <v/>
      </c>
      <c r="CP73" s="546">
        <f>CO73+CP72</f>
        <v/>
      </c>
      <c r="CQ73" s="546">
        <f>CP73+CQ72</f>
        <v/>
      </c>
      <c r="CR73" s="546">
        <f>CQ73+CR72</f>
        <v/>
      </c>
      <c r="CS73" s="546">
        <f>CR73+CS72</f>
        <v/>
      </c>
      <c r="CT73" s="546">
        <f>CS73+CT72</f>
        <v/>
      </c>
      <c r="CU73" s="546">
        <f>CT73+CU72</f>
        <v/>
      </c>
      <c r="CV73" s="546">
        <f>CU73+CV72</f>
        <v/>
      </c>
      <c r="CW73" s="546">
        <f>CV73+CW72</f>
        <v/>
      </c>
      <c r="CX73" s="546">
        <f>CW73+CX72</f>
        <v/>
      </c>
      <c r="CY73" s="546">
        <f>CX73+CY72</f>
        <v/>
      </c>
      <c r="CZ73" s="546">
        <f>CY73+CZ72</f>
        <v/>
      </c>
      <c r="DA73" s="546">
        <f>CZ73+DA72</f>
        <v/>
      </c>
      <c r="DB73" s="546">
        <f>DA73+DB72</f>
        <v/>
      </c>
      <c r="DC73" s="546">
        <f>DB73+DC72</f>
        <v/>
      </c>
      <c r="DD73" s="546">
        <f>DC73+DD72</f>
        <v/>
      </c>
      <c r="DE73" s="546">
        <f>DD73+DE72</f>
        <v/>
      </c>
      <c r="DF73" s="546">
        <f>DE73+DF72</f>
        <v/>
      </c>
      <c r="DG73" s="546">
        <f>DF73+DG72</f>
        <v/>
      </c>
      <c r="DH73" s="546">
        <f>DG73+DH72</f>
        <v/>
      </c>
      <c r="DI73" s="546">
        <f>DH73+DI72</f>
        <v/>
      </c>
      <c r="DJ73" s="546">
        <f>DI73+DJ72</f>
        <v/>
      </c>
      <c r="DK73" s="546">
        <f>DJ73+DK72</f>
        <v/>
      </c>
      <c r="DL73" s="546">
        <f>DK73+DL72</f>
        <v/>
      </c>
      <c r="DM73" s="546">
        <f>DL73+DM72</f>
        <v/>
      </c>
      <c r="DN73" s="546">
        <f>DM73+DN72</f>
        <v/>
      </c>
      <c r="DO73" s="546">
        <f>DN73+DO72</f>
        <v/>
      </c>
      <c r="DP73" s="546">
        <f>DO73+DP72</f>
        <v/>
      </c>
      <c r="DQ73" s="546">
        <f>DP73+DQ72</f>
        <v/>
      </c>
      <c r="DR73" s="546">
        <f>DQ73+DR72</f>
        <v/>
      </c>
      <c r="DS73" s="546">
        <f>DR73+DS72</f>
        <v/>
      </c>
      <c r="DT73" s="546">
        <f>DS73+DT72</f>
        <v/>
      </c>
      <c r="DU73" s="546">
        <f>DT73+DU72</f>
        <v/>
      </c>
      <c r="DV73" s="546">
        <f>DU73+DV72</f>
        <v/>
      </c>
      <c r="DW73" s="546">
        <f>DV73+DW72</f>
        <v/>
      </c>
      <c r="DX73" s="546">
        <f>DW73+DX72</f>
        <v/>
      </c>
      <c r="DY73" s="546">
        <f>DX73+DY72</f>
        <v/>
      </c>
      <c r="DZ73" s="546">
        <f>DY73+DZ72</f>
        <v/>
      </c>
      <c r="EA73" s="546">
        <f>DZ73+EA72</f>
        <v/>
      </c>
      <c r="EB73" s="546">
        <f>EA73+EB72</f>
        <v/>
      </c>
      <c r="EC73" s="546">
        <f>EB73+EC72</f>
        <v/>
      </c>
      <c r="ED73" s="546">
        <f>EC73+ED72</f>
        <v/>
      </c>
      <c r="EE73" s="546">
        <f>ED73+EE72</f>
        <v/>
      </c>
      <c r="EF73" s="546">
        <f>EE73+EF72</f>
        <v/>
      </c>
      <c r="EG73" s="546">
        <f>EF73+EG72</f>
        <v/>
      </c>
      <c r="EH73" s="546">
        <f>EG73+EH72</f>
        <v/>
      </c>
      <c r="EI73" s="546">
        <f>EH73+EI72</f>
        <v/>
      </c>
      <c r="EJ73" s="546">
        <f>EI73+EJ72</f>
        <v/>
      </c>
      <c r="EK73" s="546">
        <f>EJ73+EK72</f>
        <v/>
      </c>
      <c r="EL73" s="546">
        <f>EK73+EL72</f>
        <v/>
      </c>
      <c r="EM73" s="546">
        <f>EL73+EM72</f>
        <v/>
      </c>
      <c r="EN73" s="546">
        <f>EM73+EN72</f>
        <v/>
      </c>
      <c r="EO73" s="546">
        <f>EN73+EO72</f>
        <v/>
      </c>
      <c r="EP73" s="546">
        <f>EO73+EP72</f>
        <v/>
      </c>
      <c r="EQ73" s="546">
        <f>EP73+EQ72</f>
        <v/>
      </c>
      <c r="ER73" s="546">
        <f>EQ73+ER72</f>
        <v/>
      </c>
      <c r="ES73" s="546">
        <f>ER73+ES72</f>
        <v/>
      </c>
      <c r="ET73" s="546">
        <f>ES73+ET72</f>
        <v/>
      </c>
      <c r="EU73" s="546">
        <f>ET73+EU72</f>
        <v/>
      </c>
      <c r="EV73" s="546">
        <f>EU73+EV72</f>
        <v/>
      </c>
      <c r="EW73" s="546">
        <f>EV73+EW72</f>
        <v/>
      </c>
      <c r="EX73" s="546">
        <f>EW73+EX72</f>
        <v/>
      </c>
      <c r="EY73" s="546">
        <f>EX73+EY72</f>
        <v/>
      </c>
      <c r="EZ73" s="546">
        <f>EY73+EZ72</f>
        <v/>
      </c>
      <c r="FA73" s="546">
        <f>EZ73+FA72</f>
        <v/>
      </c>
      <c r="FB73" s="546">
        <f>FA73+FB72</f>
        <v/>
      </c>
      <c r="FC73" s="546">
        <f>FB73+FC72</f>
        <v/>
      </c>
      <c r="FD73" s="546">
        <f>FC73+FD72</f>
        <v/>
      </c>
      <c r="FE73" s="546">
        <f>FD73+FE72</f>
        <v/>
      </c>
      <c r="FF73" s="546">
        <f>FE73+FF72</f>
        <v/>
      </c>
      <c r="FG73" s="546">
        <f>FF73+FG72</f>
        <v/>
      </c>
      <c r="FH73" s="546">
        <f>FG73+FH72</f>
        <v/>
      </c>
      <c r="FI73" s="546">
        <f>FH73+FI72</f>
        <v/>
      </c>
      <c r="FJ73" s="546">
        <f>FI73+FJ72</f>
        <v/>
      </c>
      <c r="FK73" s="546">
        <f>FJ73+FK72</f>
        <v/>
      </c>
      <c r="FL73" s="546">
        <f>FK73+FL72</f>
        <v/>
      </c>
      <c r="FM73" s="546">
        <f>FL73+FM72</f>
        <v/>
      </c>
      <c r="FN73" s="546">
        <f>FM73+FN72</f>
        <v/>
      </c>
      <c r="FO73" s="546">
        <f>FN73+FO72</f>
        <v/>
      </c>
      <c r="FP73" s="546">
        <f>FO73+FP72</f>
        <v/>
      </c>
      <c r="FQ73" s="546">
        <f>FP73+FQ72</f>
        <v/>
      </c>
      <c r="FR73" s="546">
        <f>FQ73+FR72</f>
        <v/>
      </c>
      <c r="FS73" s="546">
        <f>FR73+FS72</f>
        <v/>
      </c>
      <c r="FT73" s="546">
        <f>FS73+FT72</f>
        <v/>
      </c>
      <c r="FU73" s="546">
        <f>FT73+FU72</f>
        <v/>
      </c>
      <c r="FV73" s="546">
        <f>FU73+FV72</f>
        <v/>
      </c>
      <c r="FW73" s="546">
        <f>FV73+FW72</f>
        <v/>
      </c>
      <c r="FX73" s="546">
        <f>FW73+FX72</f>
        <v/>
      </c>
      <c r="FY73" s="546">
        <f>FX73+FY72</f>
        <v/>
      </c>
      <c r="FZ73" s="546">
        <f>FY73+FZ72</f>
        <v/>
      </c>
      <c r="GA73" s="546">
        <f>FZ73+GA72</f>
        <v/>
      </c>
      <c r="GB73" s="546">
        <f>GA73+GB72</f>
        <v/>
      </c>
      <c r="GC73" s="546">
        <f>GB73+GC72</f>
        <v/>
      </c>
      <c r="GD73" s="546">
        <f>GC73+GD72</f>
        <v/>
      </c>
      <c r="GE73" s="546">
        <f>GD73+GE72</f>
        <v/>
      </c>
      <c r="GF73" s="546">
        <f>GE73+GF72</f>
        <v/>
      </c>
      <c r="GG73" s="546">
        <f>GF73+GG72</f>
        <v/>
      </c>
      <c r="GH73" s="546">
        <f>GG73+GH72</f>
        <v/>
      </c>
      <c r="GI73" s="546">
        <f>GH73+GI72</f>
        <v/>
      </c>
      <c r="GJ73" s="546">
        <f>GI73+GJ72</f>
        <v/>
      </c>
      <c r="GK73" s="546">
        <f>GJ73+GK72</f>
        <v/>
      </c>
      <c r="GL73" s="546">
        <f>GK73+GL72</f>
        <v/>
      </c>
      <c r="GM73" s="546">
        <f>GL73+GM72</f>
        <v/>
      </c>
      <c r="GN73" s="546">
        <f>GM73+GN72</f>
        <v/>
      </c>
      <c r="GO73" s="546">
        <f>GN73+GO72</f>
        <v/>
      </c>
      <c r="GP73" s="546">
        <f>GO73+GP72</f>
        <v/>
      </c>
      <c r="GQ73" s="546">
        <f>GP73+GQ72</f>
        <v/>
      </c>
      <c r="GR73" s="546">
        <f>GQ73+GR72</f>
        <v/>
      </c>
      <c r="GS73" s="546">
        <f>GR73+GS72</f>
        <v/>
      </c>
      <c r="GT73" s="546">
        <f>GS73+GT72</f>
        <v/>
      </c>
      <c r="GU73" s="546">
        <f>GT73+GU72</f>
        <v/>
      </c>
      <c r="GV73" s="546">
        <f>GU73+GV72</f>
        <v/>
      </c>
      <c r="GW73" s="546">
        <f>GV73+GW72</f>
        <v/>
      </c>
      <c r="GX73" s="546">
        <f>GW73+GX72</f>
        <v/>
      </c>
      <c r="GY73" s="546">
        <f>GX73+GY72</f>
        <v/>
      </c>
      <c r="GZ73" s="546">
        <f>GY73+GZ72</f>
        <v/>
      </c>
      <c r="HA73" s="546">
        <f>GZ73+HA72</f>
        <v/>
      </c>
      <c r="HB73" s="546">
        <f>HA73+HB72</f>
        <v/>
      </c>
      <c r="HC73" s="546">
        <f>HB73+HC72</f>
        <v/>
      </c>
      <c r="HD73" s="546">
        <f>HC73+HD72</f>
        <v/>
      </c>
      <c r="HE73" s="546">
        <f>HD73+HE72</f>
        <v/>
      </c>
      <c r="HF73" s="546">
        <f>HE73+HF72</f>
        <v/>
      </c>
      <c r="HG73" s="546">
        <f>HF73+HG72</f>
        <v/>
      </c>
      <c r="HH73" s="546">
        <f>HG73+HH72</f>
        <v/>
      </c>
      <c r="HI73" s="546">
        <f>HH73+HI72</f>
        <v/>
      </c>
      <c r="HJ73" s="546">
        <f>HI73+HJ72</f>
        <v/>
      </c>
      <c r="HK73" s="546">
        <f>HJ73+HK72</f>
        <v/>
      </c>
      <c r="HL73" s="546">
        <f>HK73+HL72</f>
        <v/>
      </c>
      <c r="HM73" s="546">
        <f>HL73+HM72</f>
        <v/>
      </c>
      <c r="HN73" s="546">
        <f>HM73+HN72</f>
        <v/>
      </c>
      <c r="HO73" s="546">
        <f>HN73+HO72</f>
        <v/>
      </c>
      <c r="HP73" s="546">
        <f>HO73+HP72</f>
        <v/>
      </c>
      <c r="HQ73" s="546">
        <f>HP73+HQ72</f>
        <v/>
      </c>
      <c r="HR73" s="546">
        <f>HQ73+HR72</f>
        <v/>
      </c>
      <c r="HS73" s="546">
        <f>HR73+HS72</f>
        <v/>
      </c>
      <c r="HT73" s="546">
        <f>HS73+HT72</f>
        <v/>
      </c>
      <c r="HU73" s="546">
        <f>HT73+HU72</f>
        <v/>
      </c>
      <c r="JF73" s="546">
        <f>AP73</f>
        <v/>
      </c>
      <c r="JG73" s="546">
        <f>SUM(Z73:AK73)</f>
        <v/>
      </c>
      <c r="JH73" s="546">
        <f>SUM(AL73:AP73)</f>
        <v/>
      </c>
      <c r="JI73" s="546">
        <f>SUM(C73:AP73)</f>
        <v/>
      </c>
      <c r="JJ73" s="446" t="n"/>
      <c r="JM73" s="546" t="n">
        <v>10274046.19298913</v>
      </c>
      <c r="KG73" s="149">
        <f>B73</f>
        <v/>
      </c>
      <c r="KH73" s="545">
        <f>AR73</f>
        <v/>
      </c>
    </row>
    <row r="74" ht="16.2" customHeight="1" thickBot="1" thickTop="1">
      <c r="A74" s="1" t="n"/>
      <c r="B74" s="128" t="n"/>
      <c r="C74" s="549" t="n"/>
      <c r="D74" s="549" t="n"/>
      <c r="E74" s="550" t="n"/>
      <c r="F74" s="550" t="n"/>
      <c r="G74" s="550" t="n"/>
      <c r="H74" s="550" t="n"/>
      <c r="I74" s="550" t="n"/>
      <c r="J74" s="551" t="n"/>
      <c r="K74" s="549" t="n"/>
      <c r="L74" s="549" t="n"/>
      <c r="M74" s="552" t="n"/>
      <c r="N74" s="552" t="n"/>
      <c r="O74" s="552" t="n"/>
      <c r="P74" s="552" t="n"/>
      <c r="Q74" s="552" t="n"/>
      <c r="R74" s="552" t="n"/>
      <c r="S74" s="552" t="n"/>
      <c r="T74" s="552" t="n"/>
      <c r="U74" s="552" t="n"/>
      <c r="V74" s="552" t="n"/>
      <c r="W74" s="552" t="n"/>
      <c r="X74" s="552" t="n"/>
      <c r="Y74" s="552" t="n"/>
      <c r="Z74" s="549" t="n"/>
      <c r="AA74" s="549" t="n"/>
      <c r="AB74" s="549" t="n"/>
      <c r="AC74" s="549" t="n"/>
      <c r="AD74" s="549" t="n"/>
      <c r="AE74" s="549" t="n"/>
      <c r="AF74" s="549" t="n"/>
      <c r="AG74" s="549" t="n"/>
      <c r="AH74" s="549" t="n"/>
      <c r="AI74" s="549" t="n"/>
      <c r="AJ74" s="549" t="n"/>
      <c r="AK74" s="549" t="n"/>
      <c r="AL74" s="549" t="n"/>
      <c r="AM74" s="549" t="n"/>
      <c r="AN74" s="549" t="n"/>
      <c r="AO74" s="549" t="n"/>
      <c r="AP74" s="549" t="n"/>
      <c r="AQ74" s="549" t="n"/>
      <c r="AR74" s="553" t="n"/>
      <c r="AS74" s="549" t="n"/>
      <c r="AT74" s="549" t="n"/>
      <c r="AU74" s="549" t="n"/>
      <c r="AV74" s="549" t="n"/>
      <c r="AW74" s="549" t="n"/>
      <c r="AX74" s="549" t="n"/>
      <c r="AY74" s="549" t="n"/>
      <c r="AZ74" s="549" t="n"/>
      <c r="BA74" s="549" t="n"/>
      <c r="BB74" s="549" t="n"/>
      <c r="BC74" s="549" t="n"/>
      <c r="BD74" s="554" t="n"/>
      <c r="BE74" s="549" t="n"/>
      <c r="BF74" s="549" t="n"/>
      <c r="BG74" s="549" t="n"/>
      <c r="BH74" s="549" t="n"/>
      <c r="BI74" s="549" t="n"/>
      <c r="BJ74" s="549" t="n"/>
      <c r="BK74" s="549" t="n"/>
      <c r="BL74" s="549" t="n"/>
      <c r="BM74" s="549" t="n"/>
      <c r="BN74" s="549" t="n"/>
      <c r="BO74" s="549" t="n"/>
      <c r="BP74" s="555" t="n"/>
      <c r="BQ74" s="556" t="n"/>
      <c r="BR74" s="549" t="n"/>
      <c r="BS74" s="549" t="n"/>
      <c r="BT74" s="549" t="n"/>
      <c r="BU74" s="549" t="n"/>
      <c r="BV74" s="549" t="n"/>
      <c r="BW74" s="549" t="n"/>
      <c r="BX74" s="549" t="n"/>
      <c r="BY74" s="549" t="n"/>
      <c r="BZ74" s="549" t="n"/>
      <c r="CA74" s="549" t="n"/>
      <c r="CB74" s="555" t="n"/>
      <c r="CC74" s="556" t="n"/>
      <c r="CD74" s="549" t="n"/>
      <c r="CE74" s="549" t="n"/>
      <c r="CF74" s="549" t="n"/>
      <c r="CG74" s="549" t="n"/>
      <c r="CH74" s="549" t="n"/>
      <c r="CI74" s="549" t="n"/>
      <c r="CJ74" s="549" t="n"/>
      <c r="CK74" s="549" t="n"/>
      <c r="CL74" s="549" t="n"/>
      <c r="CM74" s="549" t="n"/>
      <c r="CN74" s="555" t="n"/>
      <c r="CO74" s="556" t="n"/>
      <c r="CP74" s="549" t="n"/>
      <c r="CQ74" s="549" t="n"/>
      <c r="CR74" s="549" t="n"/>
      <c r="CS74" s="549" t="n"/>
      <c r="CT74" s="549" t="n"/>
      <c r="CU74" s="549" t="n"/>
      <c r="CV74" s="549" t="n"/>
      <c r="CW74" s="549" t="n"/>
      <c r="CX74" s="549" t="n"/>
      <c r="CY74" s="549" t="n"/>
      <c r="CZ74" s="555" t="n"/>
      <c r="DA74" s="549" t="n"/>
      <c r="DB74" s="549" t="n"/>
      <c r="DC74" s="549" t="n"/>
      <c r="DD74" s="549" t="n"/>
      <c r="DE74" s="549" t="n"/>
      <c r="DF74" s="549" t="n"/>
      <c r="DG74" s="549" t="n"/>
      <c r="DH74" s="549" t="n"/>
      <c r="DI74" s="549" t="n"/>
      <c r="DJ74" s="549" t="n"/>
      <c r="DK74" s="549" t="n"/>
      <c r="DL74" s="549" t="n"/>
      <c r="DM74" s="549" t="n"/>
      <c r="DN74" s="549" t="n"/>
      <c r="DO74" s="549" t="n"/>
      <c r="DP74" s="549" t="n"/>
      <c r="DQ74" s="549" t="n"/>
      <c r="DR74" s="549" t="n"/>
      <c r="DS74" s="549" t="n"/>
      <c r="DT74" s="549" t="n"/>
      <c r="DU74" s="549" t="n"/>
      <c r="DV74" s="549" t="n"/>
      <c r="DW74" s="549" t="n"/>
      <c r="DX74" s="549" t="n"/>
      <c r="DY74" s="549" t="n"/>
      <c r="DZ74" s="549" t="n"/>
      <c r="EA74" s="549" t="n"/>
      <c r="EB74" s="549" t="n"/>
      <c r="EC74" s="549" t="n"/>
      <c r="ED74" s="549" t="n"/>
      <c r="EE74" s="549" t="n"/>
      <c r="EF74" s="549" t="n"/>
      <c r="EG74" s="549" t="n"/>
      <c r="EH74" s="549" t="n"/>
      <c r="EI74" s="549" t="n"/>
      <c r="EJ74" s="549" t="n"/>
      <c r="EK74" s="549" t="n"/>
      <c r="EL74" s="549" t="n"/>
      <c r="EM74" s="549" t="n"/>
      <c r="EN74" s="549" t="n"/>
      <c r="EO74" s="549" t="n"/>
      <c r="EP74" s="549" t="n"/>
      <c r="EQ74" s="549" t="n"/>
      <c r="ER74" s="549" t="n"/>
      <c r="ES74" s="549" t="n"/>
      <c r="ET74" s="549" t="n"/>
      <c r="EU74" s="549" t="n"/>
      <c r="EV74" s="549" t="n"/>
      <c r="EW74" s="549" t="n"/>
      <c r="EX74" s="549" t="n"/>
      <c r="EY74" s="549" t="n"/>
      <c r="EZ74" s="549" t="n"/>
      <c r="FA74" s="549" t="n"/>
      <c r="FB74" s="549" t="n"/>
      <c r="FC74" s="549" t="n"/>
      <c r="FD74" s="549" t="n"/>
      <c r="FE74" s="549" t="n"/>
      <c r="FF74" s="549" t="n"/>
      <c r="FG74" s="549" t="n"/>
      <c r="FH74" s="549" t="n"/>
      <c r="FI74" s="549" t="n"/>
      <c r="FJ74" s="549" t="n"/>
      <c r="FK74" s="549" t="n"/>
      <c r="FL74" s="549" t="n"/>
      <c r="FM74" s="549" t="n"/>
      <c r="FN74" s="549" t="n"/>
      <c r="FO74" s="549" t="n"/>
      <c r="FP74" s="549" t="n"/>
      <c r="FQ74" s="549" t="n"/>
      <c r="FR74" s="549" t="n"/>
      <c r="FS74" s="549" t="n"/>
      <c r="FT74" s="549" t="n"/>
      <c r="FU74" s="549" t="n"/>
      <c r="FV74" s="549" t="n"/>
      <c r="FW74" s="549" t="n"/>
      <c r="FX74" s="549" t="n"/>
      <c r="FY74" s="549" t="n"/>
      <c r="FZ74" s="549" t="n"/>
      <c r="GA74" s="549" t="n"/>
      <c r="GB74" s="549" t="n"/>
      <c r="GC74" s="549" t="n"/>
      <c r="GD74" s="549" t="n"/>
      <c r="GE74" s="549" t="n"/>
      <c r="GF74" s="549" t="n"/>
      <c r="GG74" s="549" t="n"/>
      <c r="GH74" s="549" t="n"/>
      <c r="GI74" s="549" t="n"/>
      <c r="GJ74" s="549" t="n"/>
      <c r="GK74" s="549" t="n"/>
      <c r="GL74" s="549" t="n"/>
      <c r="GM74" s="549" t="n"/>
      <c r="GN74" s="549" t="n"/>
      <c r="GO74" s="549" t="n"/>
      <c r="GP74" s="549" t="n"/>
      <c r="GQ74" s="549" t="n"/>
      <c r="GR74" s="549" t="n"/>
      <c r="GS74" s="549" t="n"/>
      <c r="GT74" s="549" t="n"/>
      <c r="GU74" s="549" t="n"/>
      <c r="GV74" s="549" t="n"/>
      <c r="GW74" s="549" t="n"/>
      <c r="GX74" s="549" t="n"/>
      <c r="GY74" s="549" t="n"/>
      <c r="GZ74" s="549" t="n"/>
      <c r="HA74" s="549" t="n"/>
      <c r="HB74" s="549" t="n"/>
      <c r="HC74" s="549" t="n"/>
      <c r="HD74" s="549" t="n"/>
      <c r="HE74" s="549" t="n"/>
      <c r="HF74" s="549" t="n"/>
      <c r="HG74" s="549" t="n"/>
      <c r="HH74" s="549" t="n"/>
      <c r="HI74" s="549" t="n"/>
      <c r="HJ74" s="549" t="n"/>
      <c r="HK74" s="549" t="n"/>
      <c r="HL74" s="549" t="n"/>
      <c r="HM74" s="549" t="n"/>
      <c r="HN74" s="549" t="n"/>
      <c r="HO74" s="549" t="n"/>
      <c r="HP74" s="549" t="n"/>
      <c r="HQ74" s="549" t="n"/>
      <c r="HR74" s="549" t="n"/>
      <c r="HS74" s="549" t="n"/>
      <c r="HT74" s="549" t="n"/>
      <c r="HU74" s="549" t="n"/>
      <c r="JF74" s="549">
        <f>AP74</f>
        <v/>
      </c>
      <c r="JG74" s="549">
        <f>SUM(Z74:AK74)</f>
        <v/>
      </c>
      <c r="JH74" s="549">
        <f>SUM(AL74:AP74)</f>
        <v/>
      </c>
      <c r="JI74" s="549">
        <f>SUM(C74:AP74)</f>
        <v/>
      </c>
      <c r="JJ74" s="446" t="n"/>
      <c r="JM74" s="549" t="n"/>
      <c r="KG74" s="128">
        <f>B74</f>
        <v/>
      </c>
      <c r="KH74" s="553">
        <f>AR74</f>
        <v/>
      </c>
    </row>
    <row r="75" ht="16.2" customHeight="1" thickBot="1" thickTop="1">
      <c r="A75" s="126" t="inlineStr">
        <is>
          <t>SALDO DE CAIXA (MENSAL) C/ PROJEÇÃO</t>
        </is>
      </c>
      <c r="B75" s="557">
        <f>SUM(C75:AP75)</f>
        <v/>
      </c>
      <c r="C75" s="557">
        <f>C20+C69+C12</f>
        <v/>
      </c>
      <c r="D75" s="557">
        <f>D20+D69+D12</f>
        <v/>
      </c>
      <c r="E75" s="557">
        <f>E20+E69+E12</f>
        <v/>
      </c>
      <c r="F75" s="557">
        <f>F20+F69+F12</f>
        <v/>
      </c>
      <c r="G75" s="557">
        <f>G20+G69+G12</f>
        <v/>
      </c>
      <c r="H75" s="557">
        <f>H20+H69+H12</f>
        <v/>
      </c>
      <c r="I75" s="557">
        <f>I20+I69+I12</f>
        <v/>
      </c>
      <c r="J75" s="557">
        <f>J20+J69+J12</f>
        <v/>
      </c>
      <c r="K75" s="557">
        <f>K20+K69+K12</f>
        <v/>
      </c>
      <c r="L75" s="557">
        <f>L20+L69+L12</f>
        <v/>
      </c>
      <c r="M75" s="557">
        <f>M20+M69+M12</f>
        <v/>
      </c>
      <c r="N75" s="557">
        <f>N20+N69+N12</f>
        <v/>
      </c>
      <c r="O75" s="557">
        <f>O20+O69+O12</f>
        <v/>
      </c>
      <c r="P75" s="557">
        <f>P20+P69+P12</f>
        <v/>
      </c>
      <c r="Q75" s="557">
        <f>Q20+Q69+Q12</f>
        <v/>
      </c>
      <c r="R75" s="557">
        <f>R20+R69+R12</f>
        <v/>
      </c>
      <c r="S75" s="557">
        <f>S20+S69+S12</f>
        <v/>
      </c>
      <c r="T75" s="557">
        <f>T20+T69+T12</f>
        <v/>
      </c>
      <c r="U75" s="557">
        <f>U20+U69+U12</f>
        <v/>
      </c>
      <c r="V75" s="557">
        <f>V20+V69+V12</f>
        <v/>
      </c>
      <c r="W75" s="557">
        <f>W20+W69+W12</f>
        <v/>
      </c>
      <c r="X75" s="557">
        <f>X20+X69+X12</f>
        <v/>
      </c>
      <c r="Y75" s="557">
        <f>Y20+Y69+Y12</f>
        <v/>
      </c>
      <c r="Z75" s="557">
        <f>Z20+Z69+Z12</f>
        <v/>
      </c>
      <c r="AA75" s="557">
        <f>AA20+AA69+AA12</f>
        <v/>
      </c>
      <c r="AB75" s="557">
        <f>AB20+AB69+AB12</f>
        <v/>
      </c>
      <c r="AC75" s="557">
        <f>AC20+AC69+AC12</f>
        <v/>
      </c>
      <c r="AD75" s="557">
        <f>AD20+AD69+AD12</f>
        <v/>
      </c>
      <c r="AE75" s="557">
        <f>AE20+AE69+AE12</f>
        <v/>
      </c>
      <c r="AF75" s="557">
        <f>AF20+AF69+AF12</f>
        <v/>
      </c>
      <c r="AG75" s="557">
        <f>AG20+AG69+AG12</f>
        <v/>
      </c>
      <c r="AH75" s="557">
        <f>AH20+AH69+AH12</f>
        <v/>
      </c>
      <c r="AI75" s="557">
        <f>AI20+AI69+AI12</f>
        <v/>
      </c>
      <c r="AJ75" s="557">
        <f>AJ20+AJ69+AJ12</f>
        <v/>
      </c>
      <c r="AK75" s="557">
        <f>AK20+AK69+AK12</f>
        <v/>
      </c>
      <c r="AL75" s="557">
        <f>AL20+AL69+AL12</f>
        <v/>
      </c>
      <c r="AM75" s="557">
        <f>AM20+AM69+AM12</f>
        <v/>
      </c>
      <c r="AN75" s="557">
        <f>AN20+AN69+AN12</f>
        <v/>
      </c>
      <c r="AO75" s="557">
        <f>AO20+AO69+AO12</f>
        <v/>
      </c>
      <c r="AP75" s="557">
        <f>AP20+AP69+AP12</f>
        <v/>
      </c>
      <c r="AQ75" s="13" t="n"/>
      <c r="AR75" s="558" t="n"/>
      <c r="AS75" s="13" t="n"/>
      <c r="AT75" s="560">
        <f>AT20+AT69+AT12</f>
        <v/>
      </c>
      <c r="AU75" s="560">
        <f>AU20+AU69+AU12</f>
        <v/>
      </c>
      <c r="AV75" s="560">
        <f>AV20+AV69+AV12</f>
        <v/>
      </c>
      <c r="AW75" s="560">
        <f>AW20+AW69+AW12</f>
        <v/>
      </c>
      <c r="AX75" s="560">
        <f>AX20+AX69+AX12</f>
        <v/>
      </c>
      <c r="AY75" s="560">
        <f>AY20+AY69+AY12</f>
        <v/>
      </c>
      <c r="AZ75" s="560">
        <f>AZ20+AZ69+AZ12</f>
        <v/>
      </c>
      <c r="BA75" s="560">
        <f>BA20+BA69+BA12</f>
        <v/>
      </c>
      <c r="BB75" s="560">
        <f>BB20+BB69+BB12</f>
        <v/>
      </c>
      <c r="BC75" s="560">
        <f>BC20+BC69+BC12</f>
        <v/>
      </c>
      <c r="BD75" s="560">
        <f>BD20+BD69+BD12</f>
        <v/>
      </c>
      <c r="BE75" s="560">
        <f>BE20+BE69+BE12</f>
        <v/>
      </c>
      <c r="BF75" s="560">
        <f>BF20+BF69+BF12</f>
        <v/>
      </c>
      <c r="BG75" s="560">
        <f>BG20+BG69+BG12</f>
        <v/>
      </c>
      <c r="BH75" s="560">
        <f>BH20+BH69+BH12</f>
        <v/>
      </c>
      <c r="BI75" s="560">
        <f>BI20+BI69+BI12</f>
        <v/>
      </c>
      <c r="BJ75" s="560">
        <f>BJ20+BJ69+BJ12</f>
        <v/>
      </c>
      <c r="BK75" s="560">
        <f>BK20+BK69+BK12</f>
        <v/>
      </c>
      <c r="BL75" s="560">
        <f>BL20+BL69+BL12</f>
        <v/>
      </c>
      <c r="BM75" s="560">
        <f>BM20+BM69+BM12</f>
        <v/>
      </c>
      <c r="BN75" s="560">
        <f>BN20+BN69+BN12</f>
        <v/>
      </c>
      <c r="BO75" s="560">
        <f>BO20+BO69+BO12</f>
        <v/>
      </c>
      <c r="BP75" s="560">
        <f>BP20+BP69+BP12</f>
        <v/>
      </c>
      <c r="BQ75" s="560">
        <f>BQ20+BQ69+BQ12</f>
        <v/>
      </c>
      <c r="BR75" s="560">
        <f>BR20+BR69+BR12</f>
        <v/>
      </c>
      <c r="BS75" s="560">
        <f>BS20+BS69+BS12</f>
        <v/>
      </c>
      <c r="BT75" s="560">
        <f>BT20+BT69+BT12</f>
        <v/>
      </c>
      <c r="BU75" s="560">
        <f>BU20+BU69+BU12</f>
        <v/>
      </c>
      <c r="BV75" s="560">
        <f>BV20+BV69+BV12</f>
        <v/>
      </c>
      <c r="BW75" s="560">
        <f>BW20+BW69+BW12</f>
        <v/>
      </c>
      <c r="BX75" s="560">
        <f>BX20+BX69+BX12</f>
        <v/>
      </c>
      <c r="BY75" s="560">
        <f>BY20+BY69+BY12</f>
        <v/>
      </c>
      <c r="BZ75" s="560">
        <f>BZ20+BZ69+BZ12</f>
        <v/>
      </c>
      <c r="CA75" s="560">
        <f>CA20+CA69+CA12</f>
        <v/>
      </c>
      <c r="CB75" s="560">
        <f>CB20+CB69+CB12</f>
        <v/>
      </c>
      <c r="CC75" s="560">
        <f>CC20+CC69+CC12</f>
        <v/>
      </c>
      <c r="CD75" s="560">
        <f>CD20+CD69+CD12</f>
        <v/>
      </c>
      <c r="CE75" s="560">
        <f>CE20+CE69+CE12</f>
        <v/>
      </c>
      <c r="CF75" s="560">
        <f>CF20+CF69+CF12</f>
        <v/>
      </c>
      <c r="CG75" s="560">
        <f>CG20+CG69+CG12</f>
        <v/>
      </c>
      <c r="CH75" s="560">
        <f>CH20+CH69+CH12</f>
        <v/>
      </c>
      <c r="CI75" s="560">
        <f>CI20+CI69+CI12</f>
        <v/>
      </c>
      <c r="CJ75" s="560">
        <f>CJ20+CJ69+CJ12</f>
        <v/>
      </c>
      <c r="CK75" s="560">
        <f>CK20+CK69+CK12</f>
        <v/>
      </c>
      <c r="CL75" s="560">
        <f>CL20+CL69+CL12</f>
        <v/>
      </c>
      <c r="CM75" s="560">
        <f>CM20+CM69+CM12</f>
        <v/>
      </c>
      <c r="CN75" s="560">
        <f>CN20+CN69+CN12</f>
        <v/>
      </c>
      <c r="CO75" s="560">
        <f>CO20+CO69+CO12</f>
        <v/>
      </c>
      <c r="CP75" s="560">
        <f>CP20+CP69+CP12</f>
        <v/>
      </c>
      <c r="CQ75" s="560">
        <f>CQ20+CQ69+CQ12</f>
        <v/>
      </c>
      <c r="CR75" s="560">
        <f>CR20+CR69+CR12</f>
        <v/>
      </c>
      <c r="CS75" s="560">
        <f>CS20+CS69+CS12</f>
        <v/>
      </c>
      <c r="CT75" s="560">
        <f>CT20+CT69+CT12</f>
        <v/>
      </c>
      <c r="CU75" s="560">
        <f>CU20+CU69+CU12</f>
        <v/>
      </c>
      <c r="CV75" s="560">
        <f>CV20+CV69+CV12</f>
        <v/>
      </c>
      <c r="CW75" s="560">
        <f>CW20+CW69+CW12</f>
        <v/>
      </c>
      <c r="CX75" s="560">
        <f>CX20+CX69+CX12</f>
        <v/>
      </c>
      <c r="CY75" s="560">
        <f>CY20+CY69+CY12</f>
        <v/>
      </c>
      <c r="CZ75" s="560">
        <f>CZ20+CZ69+CZ12</f>
        <v/>
      </c>
      <c r="DA75" s="560">
        <f>DA20+DA69+DA12</f>
        <v/>
      </c>
      <c r="DB75" s="560">
        <f>DB20+DB69+DB12</f>
        <v/>
      </c>
      <c r="DC75" s="560">
        <f>DC20+DC69+DC12</f>
        <v/>
      </c>
      <c r="DD75" s="560">
        <f>DD20+DD69+DD12</f>
        <v/>
      </c>
      <c r="DE75" s="560">
        <f>DE20+DE69+DE12</f>
        <v/>
      </c>
      <c r="DF75" s="560">
        <f>DF20+DF69+DF12</f>
        <v/>
      </c>
      <c r="DG75" s="560">
        <f>DG20+DG69+DG12</f>
        <v/>
      </c>
      <c r="DH75" s="560">
        <f>DH20+DH69+DH12</f>
        <v/>
      </c>
      <c r="DI75" s="560">
        <f>DI20+DI69+DI12</f>
        <v/>
      </c>
      <c r="DJ75" s="560">
        <f>DJ20+DJ69+DJ12</f>
        <v/>
      </c>
      <c r="DK75" s="560">
        <f>DK20+DK69+DK12</f>
        <v/>
      </c>
      <c r="DL75" s="560">
        <f>DL20+DL69+DL12</f>
        <v/>
      </c>
      <c r="DM75" s="560">
        <f>DM20+DM69+DM12</f>
        <v/>
      </c>
      <c r="DN75" s="560">
        <f>DN20+DN69+DN12</f>
        <v/>
      </c>
      <c r="DO75" s="560">
        <f>DO20+DO69+DO12</f>
        <v/>
      </c>
      <c r="DP75" s="560">
        <f>DP20+DP69+DP12</f>
        <v/>
      </c>
      <c r="DQ75" s="560">
        <f>DQ20+DQ69+DQ12</f>
        <v/>
      </c>
      <c r="DR75" s="560">
        <f>DR20+DR69+DR12</f>
        <v/>
      </c>
      <c r="DS75" s="560">
        <f>DS20+DS69+DS12</f>
        <v/>
      </c>
      <c r="DT75" s="560">
        <f>DT20+DT69+DT12</f>
        <v/>
      </c>
      <c r="DU75" s="560">
        <f>DU20+DU69+DU12</f>
        <v/>
      </c>
      <c r="DV75" s="560">
        <f>DV20+DV69+DV12</f>
        <v/>
      </c>
      <c r="DW75" s="560">
        <f>DW20+DW69+DW12</f>
        <v/>
      </c>
      <c r="DX75" s="560">
        <f>DX20+DX69+DX12</f>
        <v/>
      </c>
      <c r="DY75" s="560">
        <f>DY20+DY69+DY12</f>
        <v/>
      </c>
      <c r="DZ75" s="560">
        <f>DZ20+DZ69+DZ12</f>
        <v/>
      </c>
      <c r="EA75" s="560">
        <f>EA20+EA69+EA12</f>
        <v/>
      </c>
      <c r="EB75" s="560">
        <f>EB20+EB69+EB12</f>
        <v/>
      </c>
      <c r="EC75" s="560">
        <f>EC20+EC69+EC12</f>
        <v/>
      </c>
      <c r="ED75" s="560">
        <f>ED20+ED69+ED12</f>
        <v/>
      </c>
      <c r="EE75" s="560">
        <f>EE20+EE69+EE12</f>
        <v/>
      </c>
      <c r="EF75" s="560">
        <f>EF20+EF69+EF12</f>
        <v/>
      </c>
      <c r="EG75" s="560">
        <f>EG20+EG69+EG12</f>
        <v/>
      </c>
      <c r="EH75" s="560">
        <f>EH20+EH69+EH12</f>
        <v/>
      </c>
      <c r="EI75" s="560">
        <f>EI20+EI69+EI12</f>
        <v/>
      </c>
      <c r="EJ75" s="560">
        <f>EJ20+EJ69+EJ12</f>
        <v/>
      </c>
      <c r="EK75" s="560">
        <f>EK20+EK69+EK12</f>
        <v/>
      </c>
      <c r="EL75" s="560">
        <f>EL20+EL69+EL12</f>
        <v/>
      </c>
      <c r="EM75" s="560">
        <f>EM20+EM69+EM12</f>
        <v/>
      </c>
      <c r="EN75" s="560">
        <f>EN20+EN69+EN12</f>
        <v/>
      </c>
      <c r="EO75" s="560">
        <f>EO20+EO69+EO12</f>
        <v/>
      </c>
      <c r="EP75" s="560">
        <f>EP20+EP69+EP12</f>
        <v/>
      </c>
      <c r="EQ75" s="560">
        <f>EQ20+EQ69+EQ12</f>
        <v/>
      </c>
      <c r="ER75" s="560">
        <f>ER20+ER69+ER12</f>
        <v/>
      </c>
      <c r="ES75" s="560">
        <f>ES20+ES69+ES12</f>
        <v/>
      </c>
      <c r="ET75" s="560">
        <f>ET20+ET69+ET12</f>
        <v/>
      </c>
      <c r="EU75" s="560">
        <f>EU20+EU69+EU12</f>
        <v/>
      </c>
      <c r="EV75" s="560">
        <f>EV20+EV69+EV12</f>
        <v/>
      </c>
      <c r="EW75" s="560">
        <f>EW20+EW69+EW12</f>
        <v/>
      </c>
      <c r="EX75" s="560">
        <f>EX20+EX69+EX12</f>
        <v/>
      </c>
      <c r="EY75" s="560">
        <f>EY20+EY69+EY12</f>
        <v/>
      </c>
      <c r="EZ75" s="560">
        <f>EZ20+EZ69+EZ12</f>
        <v/>
      </c>
      <c r="FA75" s="560">
        <f>FA20+FA69+FA12</f>
        <v/>
      </c>
      <c r="FB75" s="560">
        <f>FB20+FB69+FB12</f>
        <v/>
      </c>
      <c r="FC75" s="560">
        <f>FC20+FC69+FC12</f>
        <v/>
      </c>
      <c r="FD75" s="560">
        <f>FD20+FD69+FD12</f>
        <v/>
      </c>
      <c r="FE75" s="560">
        <f>FE20+FE69+FE12</f>
        <v/>
      </c>
      <c r="FF75" s="560">
        <f>FF20+FF69+FF12</f>
        <v/>
      </c>
      <c r="FG75" s="560">
        <f>FG20+FG69+FG12</f>
        <v/>
      </c>
      <c r="FH75" s="560">
        <f>FH20+FH69+FH12</f>
        <v/>
      </c>
      <c r="FI75" s="560">
        <f>FI20+FI69+FI12</f>
        <v/>
      </c>
      <c r="FJ75" s="560">
        <f>FJ20+FJ69+FJ12</f>
        <v/>
      </c>
      <c r="FK75" s="560">
        <f>FK20+FK69+FK12</f>
        <v/>
      </c>
      <c r="FL75" s="560">
        <f>FL20+FL69+FL12</f>
        <v/>
      </c>
      <c r="FM75" s="560">
        <f>FM20+FM69+FM12</f>
        <v/>
      </c>
      <c r="FN75" s="560">
        <f>FN20+FN69+FN12</f>
        <v/>
      </c>
      <c r="FO75" s="560">
        <f>FO20+FO69+FO12</f>
        <v/>
      </c>
      <c r="FP75" s="560">
        <f>FP20+FP69+FP12</f>
        <v/>
      </c>
      <c r="FQ75" s="560">
        <f>FQ20+FQ69+FQ12</f>
        <v/>
      </c>
      <c r="FR75" s="560">
        <f>FR20+FR69+FR12</f>
        <v/>
      </c>
      <c r="FS75" s="560">
        <f>FS20+FS69+FS12</f>
        <v/>
      </c>
      <c r="FT75" s="560">
        <f>FT20+FT69+FT12</f>
        <v/>
      </c>
      <c r="FU75" s="560">
        <f>FU20+FU69+FU12</f>
        <v/>
      </c>
      <c r="FV75" s="560">
        <f>FV20+FV69+FV12</f>
        <v/>
      </c>
      <c r="FW75" s="560">
        <f>FW20+FW69+FW12</f>
        <v/>
      </c>
      <c r="FX75" s="560">
        <f>FX20+FX69+FX12</f>
        <v/>
      </c>
      <c r="FY75" s="560">
        <f>FY20+FY69+FY12</f>
        <v/>
      </c>
      <c r="FZ75" s="560">
        <f>FZ20+FZ69+FZ12</f>
        <v/>
      </c>
      <c r="GA75" s="560">
        <f>GA20+GA69+GA12</f>
        <v/>
      </c>
      <c r="GB75" s="560">
        <f>GB20+GB69+GB12</f>
        <v/>
      </c>
      <c r="GC75" s="560">
        <f>GC20+GC69+GC12</f>
        <v/>
      </c>
      <c r="GD75" s="560">
        <f>GD20+GD69+GD12</f>
        <v/>
      </c>
      <c r="GE75" s="560">
        <f>GE20+GE69+GE12</f>
        <v/>
      </c>
      <c r="GF75" s="560">
        <f>GF20+GF69+GF12</f>
        <v/>
      </c>
      <c r="GG75" s="560">
        <f>GG20+GG69+GG12</f>
        <v/>
      </c>
      <c r="GH75" s="560">
        <f>GH20+GH69+GH12</f>
        <v/>
      </c>
      <c r="GI75" s="560">
        <f>GI20+GI69+GI12</f>
        <v/>
      </c>
      <c r="GJ75" s="560">
        <f>GJ20+GJ69+GJ12</f>
        <v/>
      </c>
      <c r="GK75" s="560">
        <f>GK20+GK69+GK12</f>
        <v/>
      </c>
      <c r="GL75" s="560">
        <f>GL20+GL69+GL12</f>
        <v/>
      </c>
      <c r="GM75" s="560">
        <f>GM20+GM69+GM12</f>
        <v/>
      </c>
      <c r="GN75" s="560">
        <f>GN20+GN69+GN12</f>
        <v/>
      </c>
      <c r="GO75" s="560">
        <f>GO20+GO69+GO12</f>
        <v/>
      </c>
      <c r="GP75" s="560">
        <f>GP20+GP69+GP12</f>
        <v/>
      </c>
      <c r="GQ75" s="560">
        <f>GQ20+GQ69+GQ12</f>
        <v/>
      </c>
      <c r="GR75" s="560">
        <f>GR20+GR69+GR12</f>
        <v/>
      </c>
      <c r="GS75" s="560">
        <f>GS20+GS69+GS12</f>
        <v/>
      </c>
      <c r="GT75" s="560">
        <f>GT20+GT69+GT12</f>
        <v/>
      </c>
      <c r="GU75" s="560">
        <f>GU20+GU69+GU12</f>
        <v/>
      </c>
      <c r="GV75" s="560">
        <f>GV20+GV69+GV12</f>
        <v/>
      </c>
      <c r="GW75" s="560">
        <f>GW20+GW69+GW12</f>
        <v/>
      </c>
      <c r="GX75" s="560">
        <f>GX20+GX69+GX12</f>
        <v/>
      </c>
      <c r="GY75" s="560">
        <f>GY20+GY69+GY12</f>
        <v/>
      </c>
      <c r="GZ75" s="560">
        <f>GZ20+GZ69+GZ12</f>
        <v/>
      </c>
      <c r="HA75" s="560">
        <f>HA20+HA69+HA12</f>
        <v/>
      </c>
      <c r="HB75" s="560">
        <f>HB20+HB69+HB12</f>
        <v/>
      </c>
      <c r="HC75" s="560">
        <f>HC20+HC69+HC12</f>
        <v/>
      </c>
      <c r="HD75" s="560">
        <f>HD20+HD69+HD12</f>
        <v/>
      </c>
      <c r="HE75" s="560">
        <f>HE20+HE69+HE12</f>
        <v/>
      </c>
      <c r="HF75" s="560">
        <f>HF20+HF69+HF12</f>
        <v/>
      </c>
      <c r="HG75" s="560">
        <f>HG20+HG69+HG12</f>
        <v/>
      </c>
      <c r="HH75" s="560">
        <f>HH20+HH69+HH12</f>
        <v/>
      </c>
      <c r="HI75" s="560">
        <f>HI20+HI69+HI12</f>
        <v/>
      </c>
      <c r="HJ75" s="560">
        <f>HJ20+HJ69+HJ12</f>
        <v/>
      </c>
      <c r="HK75" s="560">
        <f>HK20+HK69+HK12</f>
        <v/>
      </c>
      <c r="HL75" s="560">
        <f>HL20+HL69+HL12</f>
        <v/>
      </c>
      <c r="HM75" s="560">
        <f>HM20+HM69+HM12</f>
        <v/>
      </c>
      <c r="HN75" s="560">
        <f>HN20+HN69+HN12</f>
        <v/>
      </c>
      <c r="HO75" s="560">
        <f>HO20+HO69+HO12</f>
        <v/>
      </c>
      <c r="HP75" s="560">
        <f>HP20+HP69+HP12</f>
        <v/>
      </c>
      <c r="HQ75" s="560">
        <f>HQ20+HQ69+HQ12</f>
        <v/>
      </c>
      <c r="HR75" s="560">
        <f>HR20+HR69+HR12</f>
        <v/>
      </c>
      <c r="HS75" s="560">
        <f>HS20+HS69+HS12</f>
        <v/>
      </c>
      <c r="HT75" s="560">
        <f>HT20+HT69+HT12</f>
        <v/>
      </c>
      <c r="HU75" s="560">
        <f>HU20+HU69+HU12</f>
        <v/>
      </c>
      <c r="JF75" s="559">
        <f>AP75</f>
        <v/>
      </c>
      <c r="JG75" s="559">
        <f>SUM(Z75:AK75)</f>
        <v/>
      </c>
      <c r="JH75" s="559">
        <f>SUM(AL75:AP75)</f>
        <v/>
      </c>
      <c r="JI75" s="559">
        <f>SUM(C75:AP75)</f>
        <v/>
      </c>
      <c r="JJ75" s="446" t="n"/>
      <c r="JM75" s="560" t="n">
        <v>-1744189.481680871</v>
      </c>
      <c r="KG75" s="557">
        <f>B75</f>
        <v/>
      </c>
      <c r="KH75" s="558">
        <f>AR75</f>
        <v/>
      </c>
    </row>
    <row r="76" ht="16.2" customHeight="1" thickBot="1" thickTop="1">
      <c r="A76" s="127" t="inlineStr">
        <is>
          <t>SALDO ACUMULADO C/ PROJEÇÕES</t>
        </is>
      </c>
      <c r="B76" s="151" t="n"/>
      <c r="C76" s="561">
        <f>B76+C75</f>
        <v/>
      </c>
      <c r="D76" s="561">
        <f>C76+D75</f>
        <v/>
      </c>
      <c r="E76" s="562">
        <f>D76+E75</f>
        <v/>
      </c>
      <c r="F76" s="562">
        <f>E76+F75</f>
        <v/>
      </c>
      <c r="G76" s="562">
        <f>F76+G75</f>
        <v/>
      </c>
      <c r="H76" s="562">
        <f>G76+H75</f>
        <v/>
      </c>
      <c r="I76" s="563">
        <f>H76+I75</f>
        <v/>
      </c>
      <c r="J76" s="564">
        <f>I76+J75</f>
        <v/>
      </c>
      <c r="K76" s="565">
        <f>J76+K75</f>
        <v/>
      </c>
      <c r="L76" s="565">
        <f>K76+L75</f>
        <v/>
      </c>
      <c r="M76" s="566">
        <f>L76+M75</f>
        <v/>
      </c>
      <c r="N76" s="566">
        <f>M76+N75</f>
        <v/>
      </c>
      <c r="O76" s="566">
        <f>N76+O75</f>
        <v/>
      </c>
      <c r="P76" s="566">
        <f>O76+P75</f>
        <v/>
      </c>
      <c r="Q76" s="566">
        <f>P76+Q75</f>
        <v/>
      </c>
      <c r="R76" s="566">
        <f>Q76+R75</f>
        <v/>
      </c>
      <c r="S76" s="566">
        <f>R76+S75</f>
        <v/>
      </c>
      <c r="T76" s="566">
        <f>S76+T75</f>
        <v/>
      </c>
      <c r="U76" s="566">
        <f>T76+U75</f>
        <v/>
      </c>
      <c r="V76" s="566">
        <f>U76+V75</f>
        <v/>
      </c>
      <c r="W76" s="566">
        <f>V76+W75</f>
        <v/>
      </c>
      <c r="X76" s="566">
        <f>W76+X75</f>
        <v/>
      </c>
      <c r="Y76" s="566">
        <f>X76+Y75</f>
        <v/>
      </c>
      <c r="Z76" s="566">
        <f>Y76+Z75</f>
        <v/>
      </c>
      <c r="AA76" s="566">
        <f>Z76+AA75</f>
        <v/>
      </c>
      <c r="AB76" s="566">
        <f>AA76+AB75</f>
        <v/>
      </c>
      <c r="AC76" s="566">
        <f>AB76+AC75</f>
        <v/>
      </c>
      <c r="AD76" s="566">
        <f>AC76+AD75</f>
        <v/>
      </c>
      <c r="AE76" s="566">
        <f>AD76+AE75</f>
        <v/>
      </c>
      <c r="AF76" s="566">
        <f>AE76+AF75</f>
        <v/>
      </c>
      <c r="AG76" s="566">
        <f>AF76+AG75</f>
        <v/>
      </c>
      <c r="AH76" s="566">
        <f>AG76+AH75</f>
        <v/>
      </c>
      <c r="AI76" s="566">
        <f>AH76+AI75</f>
        <v/>
      </c>
      <c r="AJ76" s="566">
        <f>AI76+AJ75</f>
        <v/>
      </c>
      <c r="AK76" s="566">
        <f>AJ76+AK75</f>
        <v/>
      </c>
      <c r="AL76" s="566">
        <f>AK76+AL75</f>
        <v/>
      </c>
      <c r="AM76" s="566">
        <f>AL76+AM75</f>
        <v/>
      </c>
      <c r="AN76" s="566">
        <f>AM76+AN75</f>
        <v/>
      </c>
      <c r="AO76" s="566">
        <f>AN76+AO75</f>
        <v/>
      </c>
      <c r="AP76" s="566">
        <f>AO76+AP75</f>
        <v/>
      </c>
      <c r="AQ76" s="13" t="n"/>
      <c r="AR76" s="567" t="n"/>
      <c r="AS76" s="13" t="n"/>
      <c r="AT76" s="565">
        <f>AP76+AT75</f>
        <v/>
      </c>
      <c r="AU76" s="565">
        <f>AT76+AU75</f>
        <v/>
      </c>
      <c r="AV76" s="565">
        <f>AU76+AV75</f>
        <v/>
      </c>
      <c r="AW76" s="565">
        <f>AV76+AW75</f>
        <v/>
      </c>
      <c r="AX76" s="565">
        <f>AW76+AX75</f>
        <v/>
      </c>
      <c r="AY76" s="565">
        <f>AX76+AY75</f>
        <v/>
      </c>
      <c r="AZ76" s="565">
        <f>AY76+AZ75</f>
        <v/>
      </c>
      <c r="BA76" s="565">
        <f>AZ76+BA75</f>
        <v/>
      </c>
      <c r="BB76" s="565">
        <f>BA76+BB75</f>
        <v/>
      </c>
      <c r="BC76" s="565">
        <f>BB76+BC75</f>
        <v/>
      </c>
      <c r="BD76" s="565">
        <f>BC76+BD75</f>
        <v/>
      </c>
      <c r="BE76" s="565">
        <f>BD76+BE75</f>
        <v/>
      </c>
      <c r="BF76" s="565">
        <f>BE76+BF75</f>
        <v/>
      </c>
      <c r="BG76" s="565">
        <f>BF76+BG75</f>
        <v/>
      </c>
      <c r="BH76" s="565">
        <f>BG76+BH75</f>
        <v/>
      </c>
      <c r="BI76" s="565">
        <f>BH76+BI75</f>
        <v/>
      </c>
      <c r="BJ76" s="565">
        <f>BI76+BJ75</f>
        <v/>
      </c>
      <c r="BK76" s="565">
        <f>BJ76+BK75</f>
        <v/>
      </c>
      <c r="BL76" s="565">
        <f>BK76+BL75</f>
        <v/>
      </c>
      <c r="BM76" s="565">
        <f>BL76+BM75</f>
        <v/>
      </c>
      <c r="BN76" s="565">
        <f>BM76+BN75</f>
        <v/>
      </c>
      <c r="BO76" s="565">
        <f>BN76+BO75</f>
        <v/>
      </c>
      <c r="BP76" s="565">
        <f>BO76+BP75</f>
        <v/>
      </c>
      <c r="BQ76" s="565">
        <f>BP76+BQ75</f>
        <v/>
      </c>
      <c r="BR76" s="565">
        <f>BQ76+BR75</f>
        <v/>
      </c>
      <c r="BS76" s="565">
        <f>BR76+BS75</f>
        <v/>
      </c>
      <c r="BT76" s="565">
        <f>BS76+BT75</f>
        <v/>
      </c>
      <c r="BU76" s="565">
        <f>BT76+BU75</f>
        <v/>
      </c>
      <c r="BV76" s="565">
        <f>BU76+BV75</f>
        <v/>
      </c>
      <c r="BW76" s="565">
        <f>BV76+BW75</f>
        <v/>
      </c>
      <c r="BX76" s="565">
        <f>BW76+BX75</f>
        <v/>
      </c>
      <c r="BY76" s="565">
        <f>BX76+BY75</f>
        <v/>
      </c>
      <c r="BZ76" s="565">
        <f>BY76+BZ75</f>
        <v/>
      </c>
      <c r="CA76" s="565">
        <f>BZ76+CA75</f>
        <v/>
      </c>
      <c r="CB76" s="565">
        <f>CA76+CB75</f>
        <v/>
      </c>
      <c r="CC76" s="565">
        <f>CB76+CC75</f>
        <v/>
      </c>
      <c r="CD76" s="565">
        <f>CC76+CD75</f>
        <v/>
      </c>
      <c r="CE76" s="565">
        <f>CD76+CE75</f>
        <v/>
      </c>
      <c r="CF76" s="565">
        <f>CE76+CF75</f>
        <v/>
      </c>
      <c r="CG76" s="565">
        <f>CF76+CG75</f>
        <v/>
      </c>
      <c r="CH76" s="565">
        <f>CG76+CH75</f>
        <v/>
      </c>
      <c r="CI76" s="565">
        <f>CH76+CI75</f>
        <v/>
      </c>
      <c r="CJ76" s="565">
        <f>CI76+CJ75</f>
        <v/>
      </c>
      <c r="CK76" s="565">
        <f>CJ76+CK75</f>
        <v/>
      </c>
      <c r="CL76" s="565">
        <f>CK76+CL75</f>
        <v/>
      </c>
      <c r="CM76" s="565">
        <f>CL76+CM75</f>
        <v/>
      </c>
      <c r="CN76" s="565">
        <f>CM76+CN75</f>
        <v/>
      </c>
      <c r="CO76" s="565">
        <f>CN76+CO75</f>
        <v/>
      </c>
      <c r="CP76" s="565">
        <f>CO76+CP75</f>
        <v/>
      </c>
      <c r="CQ76" s="565">
        <f>CP76+CQ75</f>
        <v/>
      </c>
      <c r="CR76" s="565">
        <f>CQ76+CR75</f>
        <v/>
      </c>
      <c r="CS76" s="565">
        <f>CR76+CS75</f>
        <v/>
      </c>
      <c r="CT76" s="565">
        <f>CS76+CT75</f>
        <v/>
      </c>
      <c r="CU76" s="565">
        <f>CT76+CU75</f>
        <v/>
      </c>
      <c r="CV76" s="565">
        <f>CU76+CV75</f>
        <v/>
      </c>
      <c r="CW76" s="565">
        <f>CV76+CW75</f>
        <v/>
      </c>
      <c r="CX76" s="565">
        <f>CW76+CX75</f>
        <v/>
      </c>
      <c r="CY76" s="565">
        <f>CX76+CY75</f>
        <v/>
      </c>
      <c r="CZ76" s="565">
        <f>CY76+CZ75</f>
        <v/>
      </c>
      <c r="DA76" s="565">
        <f>CZ76+DA75</f>
        <v/>
      </c>
      <c r="DB76" s="565">
        <f>DA76+DB75</f>
        <v/>
      </c>
      <c r="DC76" s="565">
        <f>DB76+DC75</f>
        <v/>
      </c>
      <c r="DD76" s="565">
        <f>DC76+DD75</f>
        <v/>
      </c>
      <c r="DE76" s="565">
        <f>DD76+DE75</f>
        <v/>
      </c>
      <c r="DF76" s="565">
        <f>DE76+DF75</f>
        <v/>
      </c>
      <c r="DG76" s="565">
        <f>DF76+DG75</f>
        <v/>
      </c>
      <c r="DH76" s="565">
        <f>DG76+DH75</f>
        <v/>
      </c>
      <c r="DI76" s="565">
        <f>DH76+DI75</f>
        <v/>
      </c>
      <c r="DJ76" s="565">
        <f>DI76+DJ75</f>
        <v/>
      </c>
      <c r="DK76" s="565">
        <f>DJ76+DK75</f>
        <v/>
      </c>
      <c r="DL76" s="565">
        <f>DK76+DL75</f>
        <v/>
      </c>
      <c r="DM76" s="565">
        <f>DL76+DM75</f>
        <v/>
      </c>
      <c r="DN76" s="565">
        <f>DM76+DN75</f>
        <v/>
      </c>
      <c r="DO76" s="565">
        <f>DN76+DO75</f>
        <v/>
      </c>
      <c r="DP76" s="565">
        <f>DO76+DP75</f>
        <v/>
      </c>
      <c r="DQ76" s="565">
        <f>DP76+DQ75</f>
        <v/>
      </c>
      <c r="DR76" s="565">
        <f>DQ76+DR75</f>
        <v/>
      </c>
      <c r="DS76" s="565">
        <f>DR76+DS75</f>
        <v/>
      </c>
      <c r="DT76" s="565">
        <f>DS76+DT75</f>
        <v/>
      </c>
      <c r="DU76" s="565">
        <f>DT76+DU75</f>
        <v/>
      </c>
      <c r="DV76" s="565">
        <f>DU76+DV75</f>
        <v/>
      </c>
      <c r="DW76" s="565">
        <f>DV76+DW75</f>
        <v/>
      </c>
      <c r="DX76" s="565">
        <f>DW76+DX75</f>
        <v/>
      </c>
      <c r="DY76" s="565">
        <f>DX76+DY75</f>
        <v/>
      </c>
      <c r="DZ76" s="565">
        <f>DY76+DZ75</f>
        <v/>
      </c>
      <c r="EA76" s="565">
        <f>DZ76+EA75</f>
        <v/>
      </c>
      <c r="EB76" s="565">
        <f>EA76+EB75</f>
        <v/>
      </c>
      <c r="EC76" s="565">
        <f>EB76+EC75</f>
        <v/>
      </c>
      <c r="ED76" s="565">
        <f>EC76+ED75</f>
        <v/>
      </c>
      <c r="EE76" s="565">
        <f>ED76+EE75</f>
        <v/>
      </c>
      <c r="EF76" s="565">
        <f>EE76+EF75</f>
        <v/>
      </c>
      <c r="EG76" s="565">
        <f>EF76+EG75</f>
        <v/>
      </c>
      <c r="EH76" s="565">
        <f>EG76+EH75</f>
        <v/>
      </c>
      <c r="EI76" s="565">
        <f>EH76+EI75</f>
        <v/>
      </c>
      <c r="EJ76" s="565">
        <f>EI76+EJ75</f>
        <v/>
      </c>
      <c r="EK76" s="565">
        <f>EJ76+EK75</f>
        <v/>
      </c>
      <c r="EL76" s="565">
        <f>EK76+EL75</f>
        <v/>
      </c>
      <c r="EM76" s="565">
        <f>EL76+EM75</f>
        <v/>
      </c>
      <c r="EN76" s="565">
        <f>EM76+EN75</f>
        <v/>
      </c>
      <c r="EO76" s="565">
        <f>EN76+EO75</f>
        <v/>
      </c>
      <c r="EP76" s="565">
        <f>EO76+EP75</f>
        <v/>
      </c>
      <c r="EQ76" s="565">
        <f>EP76+EQ75</f>
        <v/>
      </c>
      <c r="ER76" s="565">
        <f>EQ76+ER75</f>
        <v/>
      </c>
      <c r="ES76" s="565">
        <f>ER76+ES75</f>
        <v/>
      </c>
      <c r="ET76" s="565">
        <f>ES76+ET75</f>
        <v/>
      </c>
      <c r="EU76" s="565">
        <f>ET76+EU75</f>
        <v/>
      </c>
      <c r="EV76" s="565">
        <f>EU76+EV75</f>
        <v/>
      </c>
      <c r="EW76" s="565">
        <f>EV76+EW75</f>
        <v/>
      </c>
      <c r="EX76" s="565">
        <f>EW76+EX75</f>
        <v/>
      </c>
      <c r="EY76" s="565">
        <f>EX76+EY75</f>
        <v/>
      </c>
      <c r="EZ76" s="565">
        <f>EY76+EZ75</f>
        <v/>
      </c>
      <c r="FA76" s="565">
        <f>EZ76+FA75</f>
        <v/>
      </c>
      <c r="FB76" s="565">
        <f>FA76+FB75</f>
        <v/>
      </c>
      <c r="FC76" s="565">
        <f>FB76+FC75</f>
        <v/>
      </c>
      <c r="FD76" s="565">
        <f>FC76+FD75</f>
        <v/>
      </c>
      <c r="FE76" s="565">
        <f>FD76+FE75</f>
        <v/>
      </c>
      <c r="FF76" s="565">
        <f>FE76+FF75</f>
        <v/>
      </c>
      <c r="FG76" s="565">
        <f>FF76+FG75</f>
        <v/>
      </c>
      <c r="FH76" s="565">
        <f>FG76+FH75</f>
        <v/>
      </c>
      <c r="FI76" s="565">
        <f>FH76+FI75</f>
        <v/>
      </c>
      <c r="FJ76" s="565">
        <f>FI76+FJ75</f>
        <v/>
      </c>
      <c r="FK76" s="565">
        <f>FJ76+FK75</f>
        <v/>
      </c>
      <c r="FL76" s="565">
        <f>FK76+FL75</f>
        <v/>
      </c>
      <c r="FM76" s="565">
        <f>FL76+FM75</f>
        <v/>
      </c>
      <c r="FN76" s="565">
        <f>FM76+FN75</f>
        <v/>
      </c>
      <c r="FO76" s="565">
        <f>FN76+FO75</f>
        <v/>
      </c>
      <c r="FP76" s="565">
        <f>FO76+FP75</f>
        <v/>
      </c>
      <c r="FQ76" s="565">
        <f>FP76+FQ75</f>
        <v/>
      </c>
      <c r="FR76" s="565">
        <f>FQ76+FR75</f>
        <v/>
      </c>
      <c r="FS76" s="565">
        <f>FR76+FS75</f>
        <v/>
      </c>
      <c r="FT76" s="565">
        <f>FS76+FT75</f>
        <v/>
      </c>
      <c r="FU76" s="565">
        <f>FT76+FU75</f>
        <v/>
      </c>
      <c r="FV76" s="565">
        <f>FU76+FV75</f>
        <v/>
      </c>
      <c r="FW76" s="565">
        <f>FV76+FW75</f>
        <v/>
      </c>
      <c r="FX76" s="565">
        <f>FW76+FX75</f>
        <v/>
      </c>
      <c r="FY76" s="565">
        <f>FX76+FY75</f>
        <v/>
      </c>
      <c r="FZ76" s="565">
        <f>FY76+FZ75</f>
        <v/>
      </c>
      <c r="GA76" s="565">
        <f>FZ76+GA75</f>
        <v/>
      </c>
      <c r="GB76" s="565">
        <f>GA76+GB75</f>
        <v/>
      </c>
      <c r="GC76" s="565">
        <f>GB76+GC75</f>
        <v/>
      </c>
      <c r="GD76" s="565">
        <f>GC76+GD75</f>
        <v/>
      </c>
      <c r="GE76" s="565">
        <f>GD76+GE75</f>
        <v/>
      </c>
      <c r="GF76" s="565">
        <f>GE76+GF75</f>
        <v/>
      </c>
      <c r="GG76" s="565">
        <f>GF76+GG75</f>
        <v/>
      </c>
      <c r="GH76" s="565">
        <f>GG76+GH75</f>
        <v/>
      </c>
      <c r="GI76" s="565">
        <f>GH76+GI75</f>
        <v/>
      </c>
      <c r="GJ76" s="565">
        <f>GI76+GJ75</f>
        <v/>
      </c>
      <c r="GK76" s="565">
        <f>GJ76+GK75</f>
        <v/>
      </c>
      <c r="GL76" s="565">
        <f>GK76+GL75</f>
        <v/>
      </c>
      <c r="GM76" s="565">
        <f>GL76+GM75</f>
        <v/>
      </c>
      <c r="GN76" s="565">
        <f>GM76+GN75</f>
        <v/>
      </c>
      <c r="GO76" s="565">
        <f>GN76+GO75</f>
        <v/>
      </c>
      <c r="GP76" s="565">
        <f>GO76+GP75</f>
        <v/>
      </c>
      <c r="GQ76" s="565">
        <f>GP76+GQ75</f>
        <v/>
      </c>
      <c r="GR76" s="565">
        <f>GQ76+GR75</f>
        <v/>
      </c>
      <c r="GS76" s="565">
        <f>GR76+GS75</f>
        <v/>
      </c>
      <c r="GT76" s="565">
        <f>GS76+GT75</f>
        <v/>
      </c>
      <c r="GU76" s="565">
        <f>GT76+GU75</f>
        <v/>
      </c>
      <c r="GV76" s="565">
        <f>GU76+GV75</f>
        <v/>
      </c>
      <c r="GW76" s="565">
        <f>GV76+GW75</f>
        <v/>
      </c>
      <c r="GX76" s="565">
        <f>GW76+GX75</f>
        <v/>
      </c>
      <c r="GY76" s="565">
        <f>GX76+GY75</f>
        <v/>
      </c>
      <c r="GZ76" s="565">
        <f>GY76+GZ75</f>
        <v/>
      </c>
      <c r="HA76" s="565">
        <f>GZ76+HA75</f>
        <v/>
      </c>
      <c r="HB76" s="565">
        <f>HA76+HB75</f>
        <v/>
      </c>
      <c r="HC76" s="565">
        <f>HB76+HC75</f>
        <v/>
      </c>
      <c r="HD76" s="565">
        <f>HC76+HD75</f>
        <v/>
      </c>
      <c r="HE76" s="565">
        <f>HD76+HE75</f>
        <v/>
      </c>
      <c r="HF76" s="565">
        <f>HE76+HF75</f>
        <v/>
      </c>
      <c r="HG76" s="565">
        <f>HF76+HG75</f>
        <v/>
      </c>
      <c r="HH76" s="565">
        <f>HG76+HH75</f>
        <v/>
      </c>
      <c r="HI76" s="565">
        <f>HH76+HI75</f>
        <v/>
      </c>
      <c r="HJ76" s="565">
        <f>HI76+HJ75</f>
        <v/>
      </c>
      <c r="HK76" s="565">
        <f>HJ76+HK75</f>
        <v/>
      </c>
      <c r="HL76" s="565">
        <f>HK76+HL75</f>
        <v/>
      </c>
      <c r="HM76" s="565">
        <f>HL76+HM75</f>
        <v/>
      </c>
      <c r="HN76" s="565">
        <f>HM76+HN75</f>
        <v/>
      </c>
      <c r="HO76" s="565">
        <f>HN76+HO75</f>
        <v/>
      </c>
      <c r="HP76" s="565">
        <f>HO76+HP75</f>
        <v/>
      </c>
      <c r="HQ76" s="565">
        <f>HP76+HQ75</f>
        <v/>
      </c>
      <c r="HR76" s="565">
        <f>HQ76+HR75</f>
        <v/>
      </c>
      <c r="HS76" s="565">
        <f>HR76+HS75</f>
        <v/>
      </c>
      <c r="HT76" s="565">
        <f>HS76+HT75</f>
        <v/>
      </c>
      <c r="HU76" s="565">
        <f>HT76+HU75</f>
        <v/>
      </c>
      <c r="JF76" s="565">
        <f>AP76</f>
        <v/>
      </c>
      <c r="JG76" s="565">
        <f>SUM(Z76:AK76)</f>
        <v/>
      </c>
      <c r="JH76" s="565">
        <f>SUM(AL76:AP76)</f>
        <v/>
      </c>
      <c r="JI76" s="565">
        <f>SUM(C76:AP76)</f>
        <v/>
      </c>
      <c r="JJ76" s="446" t="n"/>
      <c r="JM76" s="565" t="n">
        <v>10827059.36831913</v>
      </c>
      <c r="KG76" s="151">
        <f>B76</f>
        <v/>
      </c>
      <c r="KH76" s="567">
        <f>AR76</f>
        <v/>
      </c>
    </row>
    <row r="77" ht="16.2" customHeight="1">
      <c r="A77" s="1" t="n"/>
      <c r="B77" s="1" t="n"/>
      <c r="C77" s="1" t="inlineStr">
        <is>
          <t> </t>
        </is>
      </c>
      <c r="D77" s="1" t="n"/>
      <c r="E77" s="1" t="n"/>
      <c r="F77" s="1" t="n"/>
      <c r="G77" s="1" t="n"/>
      <c r="H77" s="1" t="n"/>
      <c r="I77" s="1" t="n"/>
      <c r="J77" s="476" t="n"/>
      <c r="K77" s="476" t="n"/>
      <c r="L77" s="476" t="n"/>
      <c r="M77" s="476" t="n"/>
      <c r="N77" s="476" t="n"/>
      <c r="O77" s="476" t="n"/>
      <c r="P77" s="476" t="n"/>
      <c r="Q77" s="476" t="n"/>
      <c r="R77" s="476" t="n"/>
      <c r="S77" s="476" t="n"/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289" t="n"/>
      <c r="BE77" s="318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289" t="n"/>
      <c r="BQ77" s="315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28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283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289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JM77" s="1" t="n"/>
      <c r="KG77" s="1" t="n"/>
      <c r="KH77" s="1" t="n"/>
    </row>
    <row r="78">
      <c r="AD78" s="578" t="n"/>
      <c r="AE78" s="578" t="n"/>
      <c r="AF78" s="578" t="n"/>
      <c r="AG78" s="578" t="n"/>
      <c r="AH78" s="578" t="n"/>
      <c r="AI78" s="578" t="n"/>
      <c r="AJ78" s="578" t="n"/>
      <c r="AK78" s="578" t="n"/>
      <c r="AL78" s="578" t="n"/>
      <c r="AM78" s="579" t="n"/>
      <c r="AN78" s="578" t="n"/>
      <c r="AO78" s="578" t="n"/>
      <c r="AP78" s="578" t="n"/>
      <c r="AR78" s="580" t="n"/>
      <c r="AT78" s="374">
        <f>AT5</f>
        <v/>
      </c>
      <c r="AU78" s="374">
        <f>AU5</f>
        <v/>
      </c>
      <c r="AV78" s="374">
        <f>AV5</f>
        <v/>
      </c>
      <c r="AW78" s="374">
        <f>AW5</f>
        <v/>
      </c>
      <c r="AX78" s="374">
        <f>AX5</f>
        <v/>
      </c>
      <c r="AY78" s="374">
        <f>AY5</f>
        <v/>
      </c>
      <c r="AZ78" s="374">
        <f>AZ5</f>
        <v/>
      </c>
      <c r="BA78" s="374">
        <f>BA5</f>
        <v/>
      </c>
      <c r="BB78" s="374">
        <f>BB5</f>
        <v/>
      </c>
      <c r="BC78" s="374">
        <f>BC5</f>
        <v/>
      </c>
      <c r="BD78" s="374">
        <f>BD5</f>
        <v/>
      </c>
      <c r="BE78" s="374">
        <f>BE5</f>
        <v/>
      </c>
      <c r="BF78" s="374">
        <f>BF5</f>
        <v/>
      </c>
      <c r="BG78" s="374">
        <f>BG5</f>
        <v/>
      </c>
      <c r="BH78" s="374">
        <f>BH5</f>
        <v/>
      </c>
      <c r="BI78" s="374">
        <f>BI5</f>
        <v/>
      </c>
      <c r="BJ78" s="374">
        <f>BJ5</f>
        <v/>
      </c>
      <c r="BK78" s="374">
        <f>BK5</f>
        <v/>
      </c>
      <c r="BL78" s="374">
        <f>BL5</f>
        <v/>
      </c>
      <c r="BM78" s="374">
        <f>BM5</f>
        <v/>
      </c>
      <c r="BN78" s="374">
        <f>BN5</f>
        <v/>
      </c>
      <c r="BO78" s="374">
        <f>BO5</f>
        <v/>
      </c>
      <c r="BP78" s="374">
        <f>BP5</f>
        <v/>
      </c>
      <c r="BQ78" s="374">
        <f>BQ5</f>
        <v/>
      </c>
      <c r="BR78" s="374">
        <f>BR5</f>
        <v/>
      </c>
      <c r="BS78" s="374">
        <f>BS5</f>
        <v/>
      </c>
      <c r="BT78" s="374">
        <f>BT5</f>
        <v/>
      </c>
      <c r="BU78" s="374">
        <f>BU5</f>
        <v/>
      </c>
      <c r="BV78" s="374">
        <f>BV5</f>
        <v/>
      </c>
      <c r="BW78" s="374">
        <f>BW5</f>
        <v/>
      </c>
      <c r="BX78" s="374">
        <f>BX5</f>
        <v/>
      </c>
      <c r="BY78" s="374">
        <f>BY5</f>
        <v/>
      </c>
      <c r="BZ78" s="374">
        <f>BZ5</f>
        <v/>
      </c>
      <c r="CA78" s="374">
        <f>CA5</f>
        <v/>
      </c>
      <c r="CB78" s="374">
        <f>CB5</f>
        <v/>
      </c>
      <c r="CC78" s="374">
        <f>CC5</f>
        <v/>
      </c>
      <c r="CD78" s="374">
        <f>CD5</f>
        <v/>
      </c>
      <c r="CE78" s="374">
        <f>CE5</f>
        <v/>
      </c>
      <c r="CF78" s="374">
        <f>CF5</f>
        <v/>
      </c>
      <c r="CG78" s="374">
        <f>CG5</f>
        <v/>
      </c>
      <c r="CH78" s="374">
        <f>CH5</f>
        <v/>
      </c>
      <c r="CI78" s="374">
        <f>CI5</f>
        <v/>
      </c>
      <c r="CJ78" s="374">
        <f>CJ5</f>
        <v/>
      </c>
      <c r="CK78" s="374">
        <f>CK5</f>
        <v/>
      </c>
      <c r="CL78" s="374">
        <f>CL5</f>
        <v/>
      </c>
      <c r="CM78" s="374">
        <f>CM5</f>
        <v/>
      </c>
      <c r="CN78" s="374">
        <f>CN5</f>
        <v/>
      </c>
      <c r="CO78" s="374">
        <f>CO5</f>
        <v/>
      </c>
      <c r="CP78" s="374">
        <f>CP5</f>
        <v/>
      </c>
      <c r="CQ78" s="374">
        <f>CQ5</f>
        <v/>
      </c>
      <c r="CR78" s="374">
        <f>CR5</f>
        <v/>
      </c>
      <c r="CS78" s="374">
        <f>CS5</f>
        <v/>
      </c>
      <c r="CT78" s="374">
        <f>CT5</f>
        <v/>
      </c>
      <c r="CU78" s="374">
        <f>CU5</f>
        <v/>
      </c>
      <c r="CV78" s="374">
        <f>CV5</f>
        <v/>
      </c>
      <c r="CW78" s="374">
        <f>CW5</f>
        <v/>
      </c>
      <c r="CX78" s="374">
        <f>CX5</f>
        <v/>
      </c>
      <c r="CY78" s="374">
        <f>CY5</f>
        <v/>
      </c>
      <c r="CZ78" s="374">
        <f>CZ5</f>
        <v/>
      </c>
      <c r="DA78" s="374">
        <f>DA5</f>
        <v/>
      </c>
      <c r="DB78" s="374">
        <f>DB5</f>
        <v/>
      </c>
      <c r="DC78" s="374">
        <f>DC5</f>
        <v/>
      </c>
      <c r="DD78" s="374">
        <f>DD5</f>
        <v/>
      </c>
      <c r="DE78" s="374">
        <f>DE5</f>
        <v/>
      </c>
      <c r="DF78" s="374">
        <f>DF5</f>
        <v/>
      </c>
      <c r="DG78" s="374">
        <f>DG5</f>
        <v/>
      </c>
      <c r="DH78" s="374">
        <f>DH5</f>
        <v/>
      </c>
      <c r="DI78" s="374">
        <f>DI5</f>
        <v/>
      </c>
      <c r="DJ78" s="374">
        <f>DJ5</f>
        <v/>
      </c>
      <c r="DK78" s="374">
        <f>DK5</f>
        <v/>
      </c>
      <c r="DL78" s="374">
        <f>DL5</f>
        <v/>
      </c>
      <c r="DM78" s="374">
        <f>DM5</f>
        <v/>
      </c>
      <c r="DN78" s="374">
        <f>DN5</f>
        <v/>
      </c>
      <c r="DO78" s="374">
        <f>DO5</f>
        <v/>
      </c>
      <c r="DP78" s="374">
        <f>DP5</f>
        <v/>
      </c>
      <c r="DQ78" s="374">
        <f>DQ5</f>
        <v/>
      </c>
      <c r="DR78" s="374">
        <f>DR5</f>
        <v/>
      </c>
      <c r="DS78" s="374">
        <f>DS5</f>
        <v/>
      </c>
      <c r="DT78" s="374">
        <f>DT5</f>
        <v/>
      </c>
      <c r="DU78" s="374">
        <f>DU5</f>
        <v/>
      </c>
      <c r="DV78" s="374">
        <f>DV5</f>
        <v/>
      </c>
      <c r="DW78" s="374">
        <f>DW5</f>
        <v/>
      </c>
      <c r="DX78" s="374">
        <f>DX5</f>
        <v/>
      </c>
      <c r="DY78" s="374">
        <f>DY5</f>
        <v/>
      </c>
      <c r="DZ78" s="374">
        <f>DZ5</f>
        <v/>
      </c>
      <c r="EA78" s="374">
        <f>EA5</f>
        <v/>
      </c>
      <c r="EB78" s="374">
        <f>EB5</f>
        <v/>
      </c>
      <c r="EC78" s="374">
        <f>EC5</f>
        <v/>
      </c>
      <c r="ED78" s="374">
        <f>ED5</f>
        <v/>
      </c>
      <c r="EE78" s="374">
        <f>EE5</f>
        <v/>
      </c>
      <c r="EF78" s="374">
        <f>EF5</f>
        <v/>
      </c>
      <c r="EG78" s="374">
        <f>EG5</f>
        <v/>
      </c>
      <c r="EH78" s="374">
        <f>EH5</f>
        <v/>
      </c>
      <c r="EI78" s="374">
        <f>EI5</f>
        <v/>
      </c>
      <c r="EJ78" s="374">
        <f>EJ5</f>
        <v/>
      </c>
      <c r="EK78" s="374">
        <f>EK5</f>
        <v/>
      </c>
      <c r="EL78" s="374">
        <f>EL5</f>
        <v/>
      </c>
      <c r="EM78" s="374">
        <f>EM5</f>
        <v/>
      </c>
      <c r="EN78" s="374">
        <f>EN5</f>
        <v/>
      </c>
      <c r="EO78" s="374">
        <f>EO5</f>
        <v/>
      </c>
      <c r="EP78" s="374">
        <f>EP5</f>
        <v/>
      </c>
      <c r="EQ78" s="374">
        <f>EQ5</f>
        <v/>
      </c>
      <c r="ER78" s="374">
        <f>ER5</f>
        <v/>
      </c>
      <c r="ES78" s="374">
        <f>ES5</f>
        <v/>
      </c>
      <c r="ET78" s="374">
        <f>ET5</f>
        <v/>
      </c>
      <c r="EU78" s="374">
        <f>EU5</f>
        <v/>
      </c>
      <c r="EV78" s="374">
        <f>EV5</f>
        <v/>
      </c>
      <c r="EW78" s="374">
        <f>EW5</f>
        <v/>
      </c>
      <c r="EX78" s="374">
        <f>EX5</f>
        <v/>
      </c>
      <c r="EY78" s="374">
        <f>EY5</f>
        <v/>
      </c>
      <c r="EZ78" s="374">
        <f>EZ5</f>
        <v/>
      </c>
      <c r="FA78" s="374">
        <f>FA5</f>
        <v/>
      </c>
      <c r="FB78" s="374">
        <f>FB5</f>
        <v/>
      </c>
      <c r="FC78" s="374">
        <f>FC5</f>
        <v/>
      </c>
      <c r="FD78" s="374">
        <f>FD5</f>
        <v/>
      </c>
      <c r="FE78" s="374">
        <f>FE5</f>
        <v/>
      </c>
      <c r="FF78" s="374">
        <f>FF5</f>
        <v/>
      </c>
      <c r="FG78" s="374">
        <f>FG5</f>
        <v/>
      </c>
      <c r="FH78" s="374">
        <f>FH5</f>
        <v/>
      </c>
      <c r="FI78" s="374">
        <f>FI5</f>
        <v/>
      </c>
      <c r="FJ78" s="374">
        <f>FJ5</f>
        <v/>
      </c>
      <c r="FK78" s="374">
        <f>FK5</f>
        <v/>
      </c>
      <c r="FL78" s="374">
        <f>FL5</f>
        <v/>
      </c>
      <c r="FM78" s="374">
        <f>FM5</f>
        <v/>
      </c>
      <c r="FN78" s="374">
        <f>FN5</f>
        <v/>
      </c>
      <c r="FO78" s="374">
        <f>FO5</f>
        <v/>
      </c>
      <c r="FP78" s="374">
        <f>FP5</f>
        <v/>
      </c>
      <c r="FQ78" s="374">
        <f>FQ5</f>
        <v/>
      </c>
      <c r="FR78" s="374">
        <f>FR5</f>
        <v/>
      </c>
      <c r="FS78" s="374">
        <f>FS5</f>
        <v/>
      </c>
      <c r="FT78" s="374">
        <f>FT5</f>
        <v/>
      </c>
      <c r="FU78" s="374">
        <f>FU5</f>
        <v/>
      </c>
      <c r="FV78" s="374">
        <f>FV5</f>
        <v/>
      </c>
      <c r="FW78" s="374">
        <f>FW5</f>
        <v/>
      </c>
      <c r="FX78" s="374">
        <f>FX5</f>
        <v/>
      </c>
      <c r="FY78" s="374">
        <f>FY5</f>
        <v/>
      </c>
      <c r="FZ78" s="374">
        <f>FZ5</f>
        <v/>
      </c>
      <c r="GA78" s="374">
        <f>GA5</f>
        <v/>
      </c>
      <c r="GB78" s="374">
        <f>GB5</f>
        <v/>
      </c>
      <c r="GC78" s="374">
        <f>GC5</f>
        <v/>
      </c>
      <c r="GD78" s="374">
        <f>GD5</f>
        <v/>
      </c>
      <c r="GE78" s="374">
        <f>GE5</f>
        <v/>
      </c>
      <c r="GF78" s="374">
        <f>GF5</f>
        <v/>
      </c>
      <c r="GG78" s="374">
        <f>GG5</f>
        <v/>
      </c>
      <c r="GH78" s="374">
        <f>GH5</f>
        <v/>
      </c>
      <c r="GI78" s="374">
        <f>GI5</f>
        <v/>
      </c>
      <c r="GJ78" s="374">
        <f>GJ5</f>
        <v/>
      </c>
      <c r="GK78" s="374">
        <f>GK5</f>
        <v/>
      </c>
      <c r="GL78" s="374">
        <f>GL5</f>
        <v/>
      </c>
      <c r="GM78" s="374">
        <f>GM5</f>
        <v/>
      </c>
      <c r="GN78" s="374">
        <f>GN5</f>
        <v/>
      </c>
      <c r="GO78" s="374">
        <f>GO5</f>
        <v/>
      </c>
      <c r="GP78" s="374">
        <f>GP5</f>
        <v/>
      </c>
      <c r="GQ78" s="374">
        <f>GQ5</f>
        <v/>
      </c>
      <c r="GR78" s="374">
        <f>GR5</f>
        <v/>
      </c>
      <c r="GS78" s="374">
        <f>GS5</f>
        <v/>
      </c>
      <c r="GT78" s="374">
        <f>GT5</f>
        <v/>
      </c>
      <c r="GU78" s="374">
        <f>GU5</f>
        <v/>
      </c>
      <c r="GV78" s="374">
        <f>GV5</f>
        <v/>
      </c>
      <c r="GW78" s="374">
        <f>GW5</f>
        <v/>
      </c>
      <c r="GX78" s="374">
        <f>GX5</f>
        <v/>
      </c>
      <c r="GY78" s="374">
        <f>GY5</f>
        <v/>
      </c>
      <c r="GZ78" s="374">
        <f>GZ5</f>
        <v/>
      </c>
      <c r="HA78" s="374">
        <f>HA5</f>
        <v/>
      </c>
      <c r="HB78" s="374">
        <f>HB5</f>
        <v/>
      </c>
      <c r="HC78" s="374">
        <f>HC5</f>
        <v/>
      </c>
      <c r="HD78" s="374">
        <f>HD5</f>
        <v/>
      </c>
      <c r="HE78" s="374">
        <f>HE5</f>
        <v/>
      </c>
      <c r="HF78" s="374">
        <f>HF5</f>
        <v/>
      </c>
      <c r="HG78" s="374">
        <f>HG5</f>
        <v/>
      </c>
      <c r="HH78" s="374">
        <f>HH5</f>
        <v/>
      </c>
      <c r="HI78" s="374">
        <f>HI5</f>
        <v/>
      </c>
      <c r="HJ78" s="374">
        <f>HJ5</f>
        <v/>
      </c>
      <c r="HK78" s="374">
        <f>HK5</f>
        <v/>
      </c>
      <c r="HL78" s="374">
        <f>HL5</f>
        <v/>
      </c>
      <c r="HM78" s="374">
        <f>HM5</f>
        <v/>
      </c>
      <c r="HN78" s="374">
        <f>HN5</f>
        <v/>
      </c>
      <c r="HO78" s="374">
        <f>HO5</f>
        <v/>
      </c>
      <c r="HP78" s="374">
        <f>HP5</f>
        <v/>
      </c>
      <c r="HQ78" s="374">
        <f>HQ5</f>
        <v/>
      </c>
      <c r="HR78" s="374">
        <f>HR5</f>
        <v/>
      </c>
      <c r="HS78" s="374">
        <f>HS5</f>
        <v/>
      </c>
      <c r="HT78" s="374">
        <f>HT5</f>
        <v/>
      </c>
      <c r="HU78" s="374">
        <f>HU5</f>
        <v/>
      </c>
      <c r="KH78" s="580" t="n"/>
    </row>
    <row r="79" ht="12" customHeight="1">
      <c r="AE79" s="372" t="n">
        <v>8913488.700000003</v>
      </c>
      <c r="AF79" s="372" t="n">
        <v>9444535.850000007</v>
      </c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BF79" s="373" t="inlineStr">
        <is>
          <t>PREVISÃO DE</t>
        </is>
      </c>
      <c r="BR79" s="413" t="inlineStr">
        <is>
          <t>1º ano pós obra</t>
        </is>
      </c>
      <c r="CD79" s="413" t="inlineStr">
        <is>
          <t>2º ano pós obra</t>
        </is>
      </c>
      <c r="CP79" s="413" t="inlineStr">
        <is>
          <t>3º ano pós obra</t>
        </is>
      </c>
      <c r="DB79" s="413" t="inlineStr">
        <is>
          <t>4º ano pós obra</t>
        </is>
      </c>
      <c r="DN79" s="413" t="inlineStr">
        <is>
          <t>5º ano pós obra</t>
        </is>
      </c>
      <c r="DZ79" s="413" t="inlineStr">
        <is>
          <t>6º ano pós obra</t>
        </is>
      </c>
      <c r="EL79" s="413" t="inlineStr">
        <is>
          <t>7º ano pós obra</t>
        </is>
      </c>
      <c r="EX79" s="413" t="inlineStr">
        <is>
          <t>8º ano pós obra</t>
        </is>
      </c>
      <c r="FJ79" s="413" t="inlineStr">
        <is>
          <t>9º ano pós obra</t>
        </is>
      </c>
      <c r="FV79" s="413" t="inlineStr">
        <is>
          <t>10º ano pós obra</t>
        </is>
      </c>
      <c r="GH79" s="413" t="inlineStr">
        <is>
          <t>11º ano pós obra</t>
        </is>
      </c>
      <c r="GT79" s="413" t="inlineStr">
        <is>
          <t>12º ano pós obra</t>
        </is>
      </c>
      <c r="HF79" s="413" t="inlineStr">
        <is>
          <t>13º ano pós obra</t>
        </is>
      </c>
      <c r="HR79" s="413" t="inlineStr">
        <is>
          <t>14º ano pós obra</t>
        </is>
      </c>
      <c r="HS79" s="374" t="n"/>
      <c r="HT79" s="374" t="n"/>
      <c r="HU79" s="374" t="n"/>
    </row>
    <row r="80">
      <c r="AC80" s="576" t="n"/>
      <c r="AD80" s="576" t="n"/>
      <c r="AE80" s="576" t="n"/>
      <c r="AF80" s="576" t="n"/>
      <c r="AG80" s="576" t="n"/>
      <c r="AH80" s="576" t="n"/>
      <c r="AI80" s="576" t="n"/>
      <c r="AJ80" s="576" t="n"/>
      <c r="AK80" s="576" t="n"/>
      <c r="AL80" s="576" t="n"/>
      <c r="AM80" s="576" t="n"/>
      <c r="AN80" s="576" t="n"/>
      <c r="AO80" s="576" t="n"/>
      <c r="AP80" s="576" t="n"/>
      <c r="BF80" s="373" t="inlineStr">
        <is>
          <t>ENTREGA DA OBRA</t>
        </is>
      </c>
      <c r="BR80" s="414" t="inlineStr">
        <is>
          <t>Fundo R$ 1 MM</t>
        </is>
      </c>
      <c r="CD80" s="414" t="inlineStr">
        <is>
          <t>Fundo R$ 500k</t>
        </is>
      </c>
      <c r="CP80" s="414" t="inlineStr">
        <is>
          <t>Fundo R$ 250k</t>
        </is>
      </c>
      <c r="DB80" s="414" t="inlineStr">
        <is>
          <t>Fundo R$ 250k</t>
        </is>
      </c>
      <c r="DN80" s="414" t="inlineStr">
        <is>
          <t>Fundo R$ 250k</t>
        </is>
      </c>
      <c r="DZ80" s="414" t="inlineStr">
        <is>
          <t>Fundo R$ 250k</t>
        </is>
      </c>
      <c r="EL80" s="414" t="inlineStr">
        <is>
          <t>Fundo R$ 250k</t>
        </is>
      </c>
      <c r="EX80" s="414" t="inlineStr">
        <is>
          <t>Fundo R$ 250k</t>
        </is>
      </c>
      <c r="FJ80" s="414" t="inlineStr">
        <is>
          <t>Fundo R$ 250k</t>
        </is>
      </c>
      <c r="FV80" s="414" t="inlineStr">
        <is>
          <t>Fundo R$ 250k</t>
        </is>
      </c>
      <c r="GH80" s="414" t="inlineStr">
        <is>
          <t>Fundo R$ 250k</t>
        </is>
      </c>
      <c r="GT80" s="414" t="inlineStr">
        <is>
          <t>Fundo R$ 250k</t>
        </is>
      </c>
      <c r="HF80" s="414" t="inlineStr">
        <is>
          <t>Fundo R$ 250k</t>
        </is>
      </c>
      <c r="HR80" s="414" t="inlineStr">
        <is>
          <t>Fundo R$ 250k</t>
        </is>
      </c>
    </row>
    <row r="81">
      <c r="AE81" s="576">
        <f>+AE79-AE76</f>
        <v/>
      </c>
      <c r="AF81" s="576">
        <f>+AF79-AF76</f>
        <v/>
      </c>
      <c r="AG81" s="576">
        <f>3013129.63-AG76</f>
        <v/>
      </c>
      <c r="AH81" s="576">
        <f>3775046.22-AH76</f>
        <v/>
      </c>
      <c r="AI81" s="576">
        <f>4232168.49-AI76</f>
        <v/>
      </c>
      <c r="AJ81" s="576">
        <f>3223191.08-AJ76</f>
        <v/>
      </c>
      <c r="AK81" s="576">
        <f>3338944.48-AK76</f>
        <v/>
      </c>
      <c r="AL81" s="576">
        <f>4310244.13-AL76</f>
        <v/>
      </c>
      <c r="AM81" s="576">
        <f>6156434.67-AM76-612.82</f>
        <v/>
      </c>
      <c r="AN81" s="576">
        <f>11961744.61-AN76</f>
        <v/>
      </c>
      <c r="AO81" s="576">
        <f>12571248.85-AO76</f>
        <v/>
      </c>
      <c r="AP81" s="576">
        <f>11787274.2-AP76</f>
        <v/>
      </c>
      <c r="BR81" s="581">
        <f>+BR76-1000000</f>
        <v/>
      </c>
      <c r="CD81" s="581">
        <f>+CD76-500000</f>
        <v/>
      </c>
      <c r="CP81" s="581">
        <f>+CP76-250000</f>
        <v/>
      </c>
      <c r="DB81" s="581">
        <f>+DB76-250000</f>
        <v/>
      </c>
      <c r="DN81" s="581">
        <f>+DN76-250000</f>
        <v/>
      </c>
      <c r="DZ81" s="581">
        <f>+DZ76-250000</f>
        <v/>
      </c>
      <c r="EL81" s="581">
        <f>+EL76-250000</f>
        <v/>
      </c>
      <c r="EX81" s="581">
        <f>+EX76-250000</f>
        <v/>
      </c>
      <c r="FJ81" s="581">
        <f>+FJ76-250000</f>
        <v/>
      </c>
      <c r="FV81" s="581">
        <f>+FV76-250000</f>
        <v/>
      </c>
      <c r="GH81" s="581">
        <f>+GH76-250000</f>
        <v/>
      </c>
      <c r="GT81" s="581">
        <f>+GT76-250000</f>
        <v/>
      </c>
      <c r="HF81" s="581">
        <f>+HF76-250000</f>
        <v/>
      </c>
      <c r="HR81" s="581">
        <f>+HR76-250000</f>
        <v/>
      </c>
    </row>
    <row r="82">
      <c r="AM82" s="576">
        <f>6156434.67-6155821.85</f>
        <v/>
      </c>
      <c r="AN82" s="576" t="n"/>
      <c r="AO82" s="576" t="n"/>
      <c r="AP82" s="576" t="n"/>
    </row>
    <row r="83">
      <c r="AK83" s="576" t="n"/>
      <c r="AL83" s="576" t="n"/>
      <c r="AM83" s="576" t="n"/>
      <c r="AN83" s="576" t="n"/>
      <c r="AO83" s="576" t="n"/>
      <c r="AP83" s="576" t="n"/>
    </row>
    <row r="84">
      <c r="BJ84" s="582">
        <f>BJ66/$AR$66</f>
        <v/>
      </c>
      <c r="BK84" s="582">
        <f>BK66/$AR$66</f>
        <v/>
      </c>
      <c r="BL84" s="582">
        <f>BL66/$AR$66</f>
        <v/>
      </c>
      <c r="BM84" s="582">
        <f>BM66/$AR$66</f>
        <v/>
      </c>
      <c r="BN84" s="582">
        <f>BN66/$AR$66</f>
        <v/>
      </c>
      <c r="BO84" s="582">
        <f>BO66/$AR$66</f>
        <v/>
      </c>
      <c r="BP84" s="582">
        <f>BP66/$AR$66</f>
        <v/>
      </c>
      <c r="BQ84" s="582">
        <f>BQ66/$AR$66</f>
        <v/>
      </c>
      <c r="BR84" s="582">
        <f>BR66/$AR$66</f>
        <v/>
      </c>
      <c r="BS84" s="582">
        <f>BS66/$AR$66</f>
        <v/>
      </c>
      <c r="BT84" s="582">
        <f>BT66/$AR$66</f>
        <v/>
      </c>
      <c r="BU84" s="582">
        <f>BU66/$AR$66</f>
        <v/>
      </c>
      <c r="BV84" s="582">
        <f>BV66/$AR$66</f>
        <v/>
      </c>
      <c r="BW84" s="582">
        <f>BW66/$AR$66</f>
        <v/>
      </c>
      <c r="BX84" s="582">
        <f>BX66/$AR$66</f>
        <v/>
      </c>
      <c r="BY84" s="582">
        <f>BY66/$AR$66</f>
        <v/>
      </c>
      <c r="BZ84" s="582">
        <f>BZ66/$AR$66</f>
        <v/>
      </c>
      <c r="CA84" s="582">
        <f>CA66/$AR$66</f>
        <v/>
      </c>
      <c r="CB84" s="582">
        <f>CB66/$AR$66</f>
        <v/>
      </c>
      <c r="CC84" s="582">
        <f>CC66/$AR$66</f>
        <v/>
      </c>
      <c r="CD84" s="582">
        <f>CD66/$AR$66</f>
        <v/>
      </c>
      <c r="CE84" s="582">
        <f>CE66/$AR$66</f>
        <v/>
      </c>
      <c r="CF84" s="582">
        <f>CF66/$AR$66</f>
        <v/>
      </c>
      <c r="CG84" s="582">
        <f>CG66/$AR$66</f>
        <v/>
      </c>
      <c r="CH84" s="582">
        <f>CH66/$AR$66</f>
        <v/>
      </c>
      <c r="CI84" s="582">
        <f>CI66/$AR$66</f>
        <v/>
      </c>
      <c r="CJ84" s="582">
        <f>CJ66/$AR$66</f>
        <v/>
      </c>
      <c r="CK84" s="582">
        <f>CK66/$AR$66</f>
        <v/>
      </c>
      <c r="CL84" s="582">
        <f>CL66/$AR$66</f>
        <v/>
      </c>
      <c r="CM84" s="582">
        <f>CM66/$AR$66</f>
        <v/>
      </c>
      <c r="CN84" s="582">
        <f>CN66/$AR$66</f>
        <v/>
      </c>
      <c r="CO84" s="582">
        <f>CO66/$AR$66</f>
        <v/>
      </c>
      <c r="CP84" s="582">
        <f>CP66/$AR$66</f>
        <v/>
      </c>
      <c r="CQ84" s="582">
        <f>CQ66/$AR$66</f>
        <v/>
      </c>
      <c r="CR84" s="582">
        <f>CR66/$AR$66</f>
        <v/>
      </c>
      <c r="CS84" s="582">
        <f>CS66/$AR$66</f>
        <v/>
      </c>
      <c r="CT84" s="582">
        <f>CT66/$AR$66</f>
        <v/>
      </c>
      <c r="CU84" s="582">
        <f>CU66/$AR$66</f>
        <v/>
      </c>
      <c r="CV84" s="582">
        <f>CV66/$AR$66</f>
        <v/>
      </c>
      <c r="CW84" s="582">
        <f>CW66/$AR$66</f>
        <v/>
      </c>
      <c r="CX84" s="582">
        <f>CX66/$AR$66</f>
        <v/>
      </c>
      <c r="CY84" s="582">
        <f>CY66/$AR$66</f>
        <v/>
      </c>
      <c r="CZ84" s="582">
        <f>CZ66/$AR$66</f>
        <v/>
      </c>
      <c r="DA84" s="582">
        <f>DA66/$AR$66</f>
        <v/>
      </c>
      <c r="DB84" s="582">
        <f>DB66/$AR$66</f>
        <v/>
      </c>
      <c r="DC84" s="582">
        <f>DC66/$AR$66</f>
        <v/>
      </c>
      <c r="DD84" s="582">
        <f>DD66/$AR$66</f>
        <v/>
      </c>
      <c r="DE84" s="582">
        <f>DE66/$AR$66</f>
        <v/>
      </c>
      <c r="DF84" s="582">
        <f>DF66/$AR$66</f>
        <v/>
      </c>
      <c r="DG84" s="582">
        <f>DG66/$AR$66</f>
        <v/>
      </c>
      <c r="DH84" s="582">
        <f>DH66/$AR$66</f>
        <v/>
      </c>
      <c r="DI84" s="582">
        <f>DI66/$AR$66</f>
        <v/>
      </c>
      <c r="DJ84" s="582">
        <f>DJ66/$AR$66</f>
        <v/>
      </c>
      <c r="DK84" s="582">
        <f>DK66/$AR$66</f>
        <v/>
      </c>
      <c r="DL84" s="582">
        <f>DL66/$AR$66</f>
        <v/>
      </c>
      <c r="DM84" s="582">
        <f>DM66/$AR$66</f>
        <v/>
      </c>
      <c r="DN84" s="582">
        <f>DN66/$AR$66</f>
        <v/>
      </c>
      <c r="DO84" s="582">
        <f>DO66/$AR$66</f>
        <v/>
      </c>
      <c r="DP84" s="582">
        <f>DP66/$AR$66</f>
        <v/>
      </c>
      <c r="DQ84" s="582">
        <f>DQ66/$AR$66</f>
        <v/>
      </c>
      <c r="DR84" s="582">
        <f>DR66/$AR$66</f>
        <v/>
      </c>
      <c r="DS84" s="582">
        <f>DS66/$AR$66</f>
        <v/>
      </c>
      <c r="DT84" s="582">
        <f>DT66/$AR$66</f>
        <v/>
      </c>
      <c r="DU84" s="582">
        <f>DU66/$AR$66</f>
        <v/>
      </c>
      <c r="DV84" s="582">
        <f>DV66/$AR$66</f>
        <v/>
      </c>
      <c r="DW84" s="582">
        <f>DW66/$AR$66</f>
        <v/>
      </c>
      <c r="DX84" s="582">
        <f>DX66/$AR$66</f>
        <v/>
      </c>
      <c r="DY84" s="582">
        <f>DY66/$AR$66</f>
        <v/>
      </c>
      <c r="DZ84" s="582">
        <f>DZ66/$AR$66</f>
        <v/>
      </c>
      <c r="EA84" s="582">
        <f>EA66/$AR$66</f>
        <v/>
      </c>
      <c r="EB84" s="582">
        <f>EB66/$AR$66</f>
        <v/>
      </c>
      <c r="EC84" s="582">
        <f>EC66/$AR$66</f>
        <v/>
      </c>
      <c r="ED84" s="582">
        <f>ED66/$AR$66</f>
        <v/>
      </c>
      <c r="EE84" s="582">
        <f>EE66/$AR$66</f>
        <v/>
      </c>
      <c r="EF84" s="582">
        <f>EF66/$AR$66</f>
        <v/>
      </c>
      <c r="EG84" s="582">
        <f>EG66/$AR$66</f>
        <v/>
      </c>
      <c r="EH84" s="582">
        <f>EH66/$AR$66</f>
        <v/>
      </c>
      <c r="EI84" s="582">
        <f>EI66/$AR$66</f>
        <v/>
      </c>
      <c r="EJ84" s="582">
        <f>EJ66/$AR$66</f>
        <v/>
      </c>
      <c r="EK84" s="582">
        <f>EK66/$AR$66</f>
        <v/>
      </c>
      <c r="EL84" s="582">
        <f>EL66/$AR$66</f>
        <v/>
      </c>
      <c r="EM84" s="582">
        <f>EM66/$AR$66</f>
        <v/>
      </c>
      <c r="EN84" s="582">
        <f>EN66/$AR$66</f>
        <v/>
      </c>
      <c r="EO84" s="582">
        <f>EO66/$AR$66</f>
        <v/>
      </c>
      <c r="EP84" s="582">
        <f>EP66/$AR$66</f>
        <v/>
      </c>
      <c r="EQ84" s="582">
        <f>EQ66/$AR$66</f>
        <v/>
      </c>
      <c r="ER84" s="582">
        <f>ER66/$AR$66</f>
        <v/>
      </c>
      <c r="ES84" s="582">
        <f>ES66/$AR$66</f>
        <v/>
      </c>
      <c r="ET84" s="582">
        <f>ET66/$AR$66</f>
        <v/>
      </c>
      <c r="EU84" s="582">
        <f>EU66/$AR$66</f>
        <v/>
      </c>
      <c r="EV84" s="582">
        <f>EV66/$AR$66</f>
        <v/>
      </c>
      <c r="EW84" s="582">
        <f>EW66/$AR$66</f>
        <v/>
      </c>
      <c r="EX84" s="582">
        <f>EX66/$AR$66</f>
        <v/>
      </c>
      <c r="EY84" s="582">
        <f>EY66/$AR$66</f>
        <v/>
      </c>
      <c r="EZ84" s="582">
        <f>EZ66/$AR$66</f>
        <v/>
      </c>
      <c r="FA84" s="582">
        <f>FA66/$AR$66</f>
        <v/>
      </c>
      <c r="FB84" s="582">
        <f>FB66/$AR$66</f>
        <v/>
      </c>
      <c r="FC84" s="582">
        <f>FC66/$AR$66</f>
        <v/>
      </c>
      <c r="FD84" s="582">
        <f>FD66/$AR$66</f>
        <v/>
      </c>
      <c r="FE84" s="582">
        <f>FE66/$AR$66</f>
        <v/>
      </c>
      <c r="FF84" s="582">
        <f>FF66/$AR$66</f>
        <v/>
      </c>
      <c r="FG84" s="582">
        <f>FG66/$AR$66</f>
        <v/>
      </c>
      <c r="FH84" s="582">
        <f>FH66/$AR$66</f>
        <v/>
      </c>
      <c r="FI84" s="582">
        <f>FI66/$AR$66</f>
        <v/>
      </c>
      <c r="FJ84" s="582">
        <f>FJ66/$AR$66</f>
        <v/>
      </c>
      <c r="FK84" s="582">
        <f>FK66/$AR$66</f>
        <v/>
      </c>
      <c r="FL84" s="582">
        <f>FL66/$AR$66</f>
        <v/>
      </c>
      <c r="FM84" s="582">
        <f>FM66/$AR$66</f>
        <v/>
      </c>
      <c r="FN84" s="582">
        <f>FN66/$AR$66</f>
        <v/>
      </c>
      <c r="FO84" s="582">
        <f>FO66/$AR$66</f>
        <v/>
      </c>
      <c r="FP84" s="582">
        <f>FP66/$AR$66</f>
        <v/>
      </c>
      <c r="FQ84" s="582">
        <f>FQ66/$AR$66</f>
        <v/>
      </c>
      <c r="FR84" s="582">
        <f>FR66/$AR$66</f>
        <v/>
      </c>
      <c r="FS84" s="582">
        <f>FS66/$AR$66</f>
        <v/>
      </c>
      <c r="FT84" s="582">
        <f>FT66/$AR$66</f>
        <v/>
      </c>
      <c r="FU84" s="582">
        <f>FU66/$AR$66</f>
        <v/>
      </c>
      <c r="FV84" s="582">
        <f>FV66/$AR$66</f>
        <v/>
      </c>
      <c r="FW84" s="582">
        <f>FW66/$AR$66</f>
        <v/>
      </c>
      <c r="FX84" s="582">
        <f>FX66/$AR$66</f>
        <v/>
      </c>
      <c r="FY84" s="582">
        <f>FY66/$AR$66</f>
        <v/>
      </c>
      <c r="FZ84" s="582">
        <f>FZ66/$AR$66</f>
        <v/>
      </c>
      <c r="GA84" s="582">
        <f>GA66/$AR$66</f>
        <v/>
      </c>
      <c r="GB84" s="582">
        <f>GB66/$AR$66</f>
        <v/>
      </c>
      <c r="GC84" s="582">
        <f>GC66/$AR$66</f>
        <v/>
      </c>
      <c r="GD84" s="582">
        <f>GD66/$AR$66</f>
        <v/>
      </c>
      <c r="GE84" s="582">
        <f>GE66/$AR$66</f>
        <v/>
      </c>
      <c r="GF84" s="582">
        <f>GF66/$AR$66</f>
        <v/>
      </c>
      <c r="GG84" s="582">
        <f>GG66/$AR$66</f>
        <v/>
      </c>
      <c r="GH84" s="582">
        <f>GH66/$AR$66</f>
        <v/>
      </c>
      <c r="GI84" s="582">
        <f>GI66/$AR$66</f>
        <v/>
      </c>
      <c r="GJ84" s="582">
        <f>GJ66/$AR$66</f>
        <v/>
      </c>
      <c r="GK84" s="582">
        <f>GK66/$AR$66</f>
        <v/>
      </c>
      <c r="GL84" s="582">
        <f>GL66/$AR$66</f>
        <v/>
      </c>
      <c r="GM84" s="582">
        <f>GM66/$AR$66</f>
        <v/>
      </c>
      <c r="GN84" s="582">
        <f>GN66/$AR$66</f>
        <v/>
      </c>
      <c r="GO84" s="582">
        <f>GO66/$AR$66</f>
        <v/>
      </c>
      <c r="GP84" s="582">
        <f>GP66/$AR$66</f>
        <v/>
      </c>
      <c r="GQ84" s="582">
        <f>GQ66/$AR$66</f>
        <v/>
      </c>
      <c r="GR84" s="582">
        <f>GR66/$AR$66</f>
        <v/>
      </c>
      <c r="GS84" s="582">
        <f>GS66/$AR$66</f>
        <v/>
      </c>
      <c r="GT84" s="582">
        <f>GT66/$AR$66</f>
        <v/>
      </c>
      <c r="GU84" s="582">
        <f>GU66/$AR$66</f>
        <v/>
      </c>
      <c r="GV84" s="582">
        <f>GV66/$AR$66</f>
        <v/>
      </c>
      <c r="GW84" s="582">
        <f>GW66/$AR$66</f>
        <v/>
      </c>
      <c r="GX84" s="582">
        <f>GX66/$AR$66</f>
        <v/>
      </c>
      <c r="GY84" s="582">
        <f>GY66/$AR$66</f>
        <v/>
      </c>
      <c r="GZ84" s="582">
        <f>GZ66/$AR$66</f>
        <v/>
      </c>
      <c r="HA84" s="582">
        <f>HA66/$AR$66</f>
        <v/>
      </c>
      <c r="HB84" s="582">
        <f>HB66/$AR$66</f>
        <v/>
      </c>
      <c r="HC84" s="582">
        <f>HC66/$AR$66</f>
        <v/>
      </c>
      <c r="HD84" s="582">
        <f>HD66/$AR$66</f>
        <v/>
      </c>
      <c r="HE84" s="582">
        <f>HE66/$AR$66</f>
        <v/>
      </c>
      <c r="HF84" s="582">
        <f>HF66/$AR$66</f>
        <v/>
      </c>
      <c r="HG84" s="582">
        <f>HG66/$AR$66</f>
        <v/>
      </c>
      <c r="HH84" s="582">
        <f>HH66/$AR$66</f>
        <v/>
      </c>
      <c r="HI84" s="582">
        <f>HI66/$AR$66</f>
        <v/>
      </c>
      <c r="HJ84" s="582">
        <f>HJ66/$AR$66</f>
        <v/>
      </c>
      <c r="HK84" s="582">
        <f>HK66/$AR$66</f>
        <v/>
      </c>
      <c r="HL84" s="582">
        <f>HL66/$AR$66</f>
        <v/>
      </c>
      <c r="HM84" s="582">
        <f>HM66/$AR$66</f>
        <v/>
      </c>
      <c r="HN84" s="582">
        <f>HN66/$AR$66</f>
        <v/>
      </c>
      <c r="HO84" s="582">
        <f>HO66/$AR$66</f>
        <v/>
      </c>
      <c r="HP84" s="582">
        <f>HP66/$AR$66</f>
        <v/>
      </c>
      <c r="HQ84" s="582">
        <f>HQ66/$AR$66</f>
        <v/>
      </c>
      <c r="HR84" s="582">
        <f>HR66/$AR$66</f>
        <v/>
      </c>
      <c r="HS84" s="582">
        <f>HS66/$AR$66</f>
        <v/>
      </c>
      <c r="HT84" s="582">
        <f>HT66/$AR$66</f>
        <v/>
      </c>
    </row>
    <row r="85">
      <c r="AG85" s="583" t="n"/>
      <c r="AH85" s="583" t="n"/>
      <c r="AI85" s="583" t="n"/>
      <c r="AJ85" s="583" t="n"/>
      <c r="AK85" s="583" t="n"/>
      <c r="AL85" s="583" t="n"/>
      <c r="AM85" s="583" t="n"/>
      <c r="AN85" s="583" t="n"/>
      <c r="AO85" s="583" t="n"/>
      <c r="AP85" s="583" t="n"/>
      <c r="BA85" s="252" t="n">
        <v>2250</v>
      </c>
      <c r="BE85" s="446" t="n"/>
    </row>
    <row r="86">
      <c r="BA86" s="252" t="n">
        <v>1500</v>
      </c>
    </row>
    <row r="87">
      <c r="BA87" s="252" t="n">
        <v>900</v>
      </c>
    </row>
    <row r="88">
      <c r="HU88" s="252" t="inlineStr">
        <is>
          <t>Saldo médio final pós obra</t>
        </is>
      </c>
    </row>
    <row r="89">
      <c r="HU89" s="576">
        <f>AVERAGE(BI76:HU76)</f>
        <v/>
      </c>
    </row>
    <row r="111">
      <c r="AL111" s="584" t="n"/>
      <c r="AM111" s="584" t="n"/>
      <c r="AN111" s="584" t="n"/>
      <c r="AO111" s="584" t="n"/>
      <c r="AP111" s="584" t="n"/>
    </row>
    <row r="112">
      <c r="AL112" s="584" t="n"/>
      <c r="AM112" s="584" t="n"/>
      <c r="AN112" s="584" t="n"/>
      <c r="AO112" s="584" t="n"/>
      <c r="AP112" s="584" t="n"/>
    </row>
    <row r="123">
      <c r="AM123" s="585" t="n"/>
      <c r="AN123" s="585" t="n"/>
      <c r="AO123" s="585" t="n"/>
      <c r="AP123" s="585" t="n"/>
    </row>
  </sheetData>
  <mergeCells count="5">
    <mergeCell ref="M4:W4"/>
    <mergeCell ref="KH1:KH3"/>
    <mergeCell ref="B4:B5"/>
    <mergeCell ref="AR1:AR3"/>
    <mergeCell ref="KG4:KG5"/>
  </mergeCells>
  <conditionalFormatting sqref="B72:J72">
    <cfRule type="top10" rank="1" priority="57" dxfId="8" bottom="1"/>
  </conditionalFormatting>
  <conditionalFormatting sqref="B75:AB75 C73 C76 J76:AB77 AC75:AP77 AT75:HU76 AT77:BD77">
    <cfRule type="cellIs" priority="52" operator="lessThan" dxfId="0">
      <formula>0</formula>
    </cfRule>
  </conditionalFormatting>
  <conditionalFormatting sqref="C8:L9 C12:AP12 C15:AP15 C18:AP18 C25:AP34 C72:HU76 AQ25:AQ28 AQ29:HU31 AQ36:AS37 AQ38:AQ40 AQ41:AS42 AQ43:AQ44 AQ45:AS46 AQ47 AQ48:AS49 AQ50:AQ51 AQ52:AS55 AQ56 AQ57:AS58 AQ59 AQ60:AS61 AQ62 AQ63:AS64 AQ65:AQ66 AS25:HU28 AS38:AS40 AS43:AS44 AS47 AS50:AS51 AS59 AS62 AT8:HU9 AT12:HU12 AT18:HU18 AT36:HU64">
    <cfRule type="cellIs" priority="49" operator="lessThan" dxfId="12">
      <formula>0</formula>
    </cfRule>
  </conditionalFormatting>
  <conditionalFormatting sqref="C36:AP69">
    <cfRule type="cellIs" priority="14" operator="lessThan" dxfId="12">
      <formula>0</formula>
    </cfRule>
  </conditionalFormatting>
  <conditionalFormatting sqref="C70:HU70">
    <cfRule type="cellIs" priority="40" operator="lessThan" dxfId="43">
      <formula>0</formula>
    </cfRule>
    <cfRule type="cellIs" priority="41" operator="lessThan">
      <formula>0</formula>
    </cfRule>
  </conditionalFormatting>
  <conditionalFormatting sqref="C73:HU73">
    <cfRule type="cellIs" priority="54" operator="lessThan" dxfId="8">
      <formula>0</formula>
    </cfRule>
  </conditionalFormatting>
  <conditionalFormatting sqref="E76:HU76">
    <cfRule type="cellIs" priority="39" operator="lessThan" dxfId="40">
      <formula>0</formula>
    </cfRule>
  </conditionalFormatting>
  <conditionalFormatting sqref="J72">
    <cfRule type="top10" rank="1" priority="50" dxfId="8" bottom="1"/>
  </conditionalFormatting>
  <conditionalFormatting sqref="J8:AP8">
    <cfRule type="cellIs" priority="51" operator="lessThan" dxfId="12">
      <formula>0</formula>
    </cfRule>
  </conditionalFormatting>
  <conditionalFormatting sqref="AQ32:AQ35 AS35">
    <cfRule type="cellIs" priority="46" operator="lessThan" dxfId="12">
      <formula>0</formula>
    </cfRule>
  </conditionalFormatting>
  <conditionalFormatting sqref="AQ16:AS16">
    <cfRule type="cellIs" priority="53" operator="lessThan" dxfId="12">
      <formula>0</formula>
    </cfRule>
  </conditionalFormatting>
  <conditionalFormatting sqref="AQ72:AS72 AQ75:AS76">
    <cfRule type="cellIs" priority="55" operator="lessThan" dxfId="12">
      <formula>0</formula>
    </cfRule>
  </conditionalFormatting>
  <conditionalFormatting sqref="AQ73:AS73">
    <cfRule type="cellIs" priority="56" operator="lessThan" dxfId="0">
      <formula>0</formula>
    </cfRule>
  </conditionalFormatting>
  <conditionalFormatting sqref="B75 AQ67:HU69">
    <cfRule type="cellIs" priority="37" operator="lessThan" dxfId="12">
      <formula>0</formula>
    </cfRule>
  </conditionalFormatting>
  <conditionalFormatting sqref="AR75:AR76">
    <cfRule type="cellIs" priority="48" operator="lessThan" dxfId="0">
      <formula>0</formula>
    </cfRule>
  </conditionalFormatting>
  <conditionalFormatting sqref="B72 AS56">
    <cfRule type="cellIs" priority="38" operator="lessThan" dxfId="12">
      <formula>0</formula>
    </cfRule>
  </conditionalFormatting>
  <conditionalFormatting sqref="AS32:HU34">
    <cfRule type="cellIs" priority="3" operator="lessThan" dxfId="12">
      <formula>0</formula>
    </cfRule>
  </conditionalFormatting>
  <conditionalFormatting sqref="AS65:HU66">
    <cfRule type="cellIs" priority="1" operator="lessThan" dxfId="12">
      <formula>0</formula>
    </cfRule>
  </conditionalFormatting>
  <conditionalFormatting sqref="AT15:HU15">
    <cfRule type="cellIs" priority="2" operator="lessThan" dxfId="12">
      <formula>0</formula>
    </cfRule>
  </conditionalFormatting>
  <conditionalFormatting sqref="J72:AP72 AT72:HU72">
    <cfRule type="top10" rank="1" priority="58" dxfId="8" bottom="1"/>
  </conditionalFormatting>
  <conditionalFormatting sqref="BD2">
    <cfRule type="cellIs" priority="45" operator="lessThan" dxfId="0">
      <formula>0</formula>
    </cfRule>
  </conditionalFormatting>
  <conditionalFormatting sqref="BF77:DK77">
    <cfRule type="cellIs" priority="47" operator="lessThan" dxfId="0">
      <formula>0</formula>
    </cfRule>
  </conditionalFormatting>
  <conditionalFormatting sqref="BP2">
    <cfRule type="cellIs" priority="44" operator="lessThan" dxfId="0">
      <formula>0</formula>
    </cfRule>
  </conditionalFormatting>
  <conditionalFormatting sqref="CB2">
    <cfRule type="cellIs" priority="43" operator="lessThan" dxfId="0">
      <formula>0</formula>
    </cfRule>
  </conditionalFormatting>
  <conditionalFormatting sqref="CN2">
    <cfRule type="cellIs" priority="42" operator="lessThan" dxfId="0">
      <formula>0</formula>
    </cfRule>
  </conditionalFormatting>
  <conditionalFormatting sqref="JF8:JI9 JF12:JI12 JF15:JI15 JF18:JI18 JF25:JI34 JF36:JI69 JF72:JI76">
    <cfRule type="cellIs" priority="30" operator="lessThan" dxfId="12">
      <formula>0</formula>
    </cfRule>
  </conditionalFormatting>
  <conditionalFormatting sqref="JF70:JI70">
    <cfRule type="cellIs" priority="34" operator="lessThan" dxfId="43">
      <formula>0</formula>
    </cfRule>
    <cfRule type="cellIs" priority="35" operator="lessThan">
      <formula>0</formula>
    </cfRule>
  </conditionalFormatting>
  <conditionalFormatting sqref="JF72:JI72">
    <cfRule type="top10" rank="1" priority="36" dxfId="8" bottom="1"/>
  </conditionalFormatting>
  <conditionalFormatting sqref="JF73:JI73">
    <cfRule type="cellIs" priority="32" operator="lessThan" dxfId="8">
      <formula>0</formula>
    </cfRule>
  </conditionalFormatting>
  <conditionalFormatting sqref="JF75:JI76">
    <cfRule type="cellIs" priority="31" operator="lessThan" dxfId="0">
      <formula>0</formula>
    </cfRule>
  </conditionalFormatting>
  <conditionalFormatting sqref="JF76:JI76">
    <cfRule type="cellIs" priority="33" operator="lessThan" dxfId="40">
      <formula>0</formula>
    </cfRule>
  </conditionalFormatting>
  <conditionalFormatting sqref="JM8:JM9 JM18 JM36:JM69 JM72:JM76">
    <cfRule type="cellIs" priority="10" operator="lessThan" dxfId="12">
      <formula>0</formula>
    </cfRule>
  </conditionalFormatting>
  <conditionalFormatting sqref="JM12">
    <cfRule type="cellIs" priority="4" operator="lessThan" dxfId="12">
      <formula>0</formula>
    </cfRule>
  </conditionalFormatting>
  <conditionalFormatting sqref="JM15">
    <cfRule type="cellIs" priority="5" operator="lessThan" dxfId="12">
      <formula>0</formula>
    </cfRule>
  </conditionalFormatting>
  <conditionalFormatting sqref="JM25:JM34">
    <cfRule type="cellIs" priority="6" operator="lessThan" dxfId="12">
      <formula>0</formula>
    </cfRule>
  </conditionalFormatting>
  <conditionalFormatting sqref="JM70">
    <cfRule type="cellIs" priority="8" operator="lessThan" dxfId="43">
      <formula>0</formula>
    </cfRule>
    <cfRule type="cellIs" priority="9" operator="lessThan">
      <formula>0</formula>
    </cfRule>
  </conditionalFormatting>
  <conditionalFormatting sqref="JM72">
    <cfRule type="top10" rank="1" priority="13" dxfId="8" bottom="1"/>
  </conditionalFormatting>
  <conditionalFormatting sqref="JM73">
    <cfRule type="cellIs" priority="12" operator="lessThan" dxfId="8">
      <formula>0</formula>
    </cfRule>
  </conditionalFormatting>
  <conditionalFormatting sqref="JM75:JM77">
    <cfRule type="cellIs" priority="11" operator="lessThan" dxfId="0">
      <formula>0</formula>
    </cfRule>
  </conditionalFormatting>
  <conditionalFormatting sqref="JM76">
    <cfRule type="cellIs" priority="7" operator="lessThan" dxfId="40">
      <formula>0</formula>
    </cfRule>
  </conditionalFormatting>
  <conditionalFormatting sqref="JS33">
    <cfRule type="cellIs" priority="15" operator="lessThan" dxfId="12">
      <formula>0</formula>
    </cfRule>
  </conditionalFormatting>
  <conditionalFormatting sqref="JS8:JZ9 JS12:JZ12 JS15:JZ15 JS18:JZ18">
    <cfRule type="cellIs" priority="29" operator="lessThan" dxfId="12">
      <formula>0</formula>
    </cfRule>
  </conditionalFormatting>
  <conditionalFormatting sqref="KG72">
    <cfRule type="top10" rank="1" priority="28" dxfId="8" bottom="1"/>
  </conditionalFormatting>
  <conditionalFormatting sqref="KG75">
    <cfRule type="cellIs" priority="26" operator="lessThan" dxfId="12">
      <formula>0</formula>
    </cfRule>
    <cfRule type="cellIs" priority="27" operator="lessThan" dxfId="0">
      <formula>0</formula>
    </cfRule>
  </conditionalFormatting>
  <conditionalFormatting sqref="KG72:KH72">
    <cfRule type="cellIs" priority="24" operator="lessThan" dxfId="12">
      <formula>0</formula>
    </cfRule>
  </conditionalFormatting>
  <conditionalFormatting sqref="KH16">
    <cfRule type="cellIs" priority="22" operator="lessThan" dxfId="12">
      <formula>0</formula>
    </cfRule>
  </conditionalFormatting>
  <conditionalFormatting sqref="KH29:KH31 KH36:KH37 KH41:KH42 KH45:KH46 KH48:KH49 KH52:KH55 KH57:KH58 KH60:KH61 KH63:KH64 KH67:KH69">
    <cfRule type="cellIs" priority="21" operator="lessThan" dxfId="12">
      <formula>0</formula>
    </cfRule>
  </conditionalFormatting>
  <conditionalFormatting sqref="KH70">
    <cfRule type="cellIs" priority="18" operator="lessThan" dxfId="43">
      <formula>0</formula>
    </cfRule>
    <cfRule type="cellIs" priority="19" operator="lessThan">
      <formula>0</formula>
    </cfRule>
  </conditionalFormatting>
  <conditionalFormatting sqref="KH72:KH76">
    <cfRule type="cellIs" priority="16" operator="lessThan" dxfId="12">
      <formula>0</formula>
    </cfRule>
  </conditionalFormatting>
  <conditionalFormatting sqref="KH73">
    <cfRule type="cellIs" priority="23" operator="lessThan" dxfId="8">
      <formula>0</formula>
    </cfRule>
    <cfRule type="cellIs" priority="25" operator="lessThan" dxfId="0">
      <formula>0</formula>
    </cfRule>
  </conditionalFormatting>
  <conditionalFormatting sqref="KH75:KH76">
    <cfRule type="cellIs" priority="20" operator="lessThan" dxfId="0">
      <formula>0</formula>
    </cfRule>
  </conditionalFormatting>
  <conditionalFormatting sqref="KH76">
    <cfRule type="cellIs" priority="17" operator="lessThan" dxfId="40">
      <formula>0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J123"/>
  <sheetViews>
    <sheetView showGridLines="0" topLeftCell="A50" zoomScale="86" zoomScaleNormal="86" workbookViewId="0">
      <pane xSplit="1" topLeftCell="AM1" activePane="topRight" state="frozen"/>
      <selection activeCell="A6" sqref="A6"/>
      <selection pane="topRight" activeCell="AT73" sqref="AT73:AV73"/>
    </sheetView>
  </sheetViews>
  <sheetFormatPr baseColWidth="8" defaultColWidth="8.88671875" defaultRowHeight="10.2"/>
  <cols>
    <col width="39.44140625" bestFit="1" customWidth="1" style="252" min="1" max="1"/>
    <col width="13" customWidth="1" style="252" min="2" max="2"/>
    <col outlineLevel="1" width="10.5546875" customWidth="1" style="252" min="3" max="3"/>
    <col outlineLevel="1" width="10" customWidth="1" style="252" min="4" max="4"/>
    <col width="10.21875" customWidth="1" style="252" min="5" max="5"/>
    <col width="10" customWidth="1" style="252" min="6" max="6"/>
    <col width="10.44140625" customWidth="1" style="252" min="7" max="11"/>
    <col width="10.6640625" customWidth="1" style="252" min="12" max="13"/>
    <col width="10.44140625" customWidth="1" style="252" min="14" max="15"/>
    <col width="10.6640625" customWidth="1" style="252" min="16" max="16"/>
    <col width="10.44140625" customWidth="1" style="252" min="17" max="17"/>
    <col width="10.6640625" customWidth="1" style="252" min="18" max="19"/>
    <col width="10.44140625" customWidth="1" style="252" min="20" max="20"/>
    <col width="10.6640625" customWidth="1" style="252" min="21" max="23"/>
    <col width="11.88671875" customWidth="1" style="252" min="24" max="24"/>
    <col width="12.21875" customWidth="1" style="252" min="25" max="26"/>
    <col width="11.88671875" customWidth="1" style="252" min="27" max="27"/>
    <col width="12.21875" customWidth="1" style="252" min="28" max="28"/>
    <col width="11.88671875" customWidth="1" style="252" min="29" max="42"/>
    <col width="2" customWidth="1" style="252" min="43" max="43"/>
    <col width="14.88671875" customWidth="1" style="252" min="44" max="44"/>
    <col width="2" customWidth="1" style="252" min="45" max="45"/>
    <col width="16.109375" bestFit="1" customWidth="1" style="252" min="46" max="153"/>
    <col width="15.6640625" bestFit="1" customWidth="1" style="252" min="154" max="154"/>
    <col width="14.44140625" bestFit="1" customWidth="1" style="252" min="155" max="218"/>
    <col width="14.21875" bestFit="1" customWidth="1" style="252" min="219" max="220"/>
    <col width="15.77734375" bestFit="1" customWidth="1" style="252" min="221" max="221"/>
    <col width="15.5546875" bestFit="1" customWidth="1" style="252" min="222" max="222"/>
    <col width="15.77734375" bestFit="1" customWidth="1" style="252" min="223" max="224"/>
    <col width="14.21875" bestFit="1" customWidth="1" style="252" min="225" max="228"/>
    <col width="13.44140625" bestFit="1" customWidth="1" style="252" min="229" max="229"/>
    <col width="8.88671875" customWidth="1" style="252" min="230" max="265"/>
    <col width="13.44140625" customWidth="1" style="252" min="266" max="269"/>
    <col width="8.88671875" customWidth="1" style="252" min="270" max="272"/>
    <col width="14.44140625" bestFit="1" customWidth="1" style="252" min="273" max="273"/>
    <col width="8.88671875" customWidth="1" style="252" min="274" max="277"/>
    <col width="38.77734375" bestFit="1" customWidth="1" style="252" min="278" max="278"/>
    <col width="12.77734375" bestFit="1" customWidth="1" style="252" min="279" max="279"/>
    <col width="11.6640625" bestFit="1" customWidth="1" style="252" min="280" max="280"/>
    <col width="12.77734375" bestFit="1" customWidth="1" style="252" min="281" max="281"/>
    <col width="13" bestFit="1" customWidth="1" style="252" min="282" max="282"/>
    <col width="13" customWidth="1" style="252" min="283" max="285"/>
    <col width="13.88671875" bestFit="1" customWidth="1" style="252" min="286" max="286"/>
    <col width="8.88671875" customWidth="1" style="252" min="287" max="292"/>
    <col width="13" customWidth="1" style="252" min="293" max="293"/>
    <col width="14.88671875" customWidth="1" style="252" min="294" max="294"/>
    <col width="8.88671875" customWidth="1" style="252" min="295" max="295"/>
    <col width="10.109375" bestFit="1" customWidth="1" style="252" min="296" max="296"/>
    <col width="8.88671875" customWidth="1" style="252" min="297" max="16384"/>
  </cols>
  <sheetData>
    <row r="1" ht="18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506" t="inlineStr">
        <is>
          <t>Total | Previsão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E1" s="1" t="n"/>
      <c r="BF1" s="373" t="inlineStr">
        <is>
          <t>PREVISÃO DE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EC1" s="343" t="inlineStr">
        <is>
          <t>FIM DAS VENDAS</t>
        </is>
      </c>
      <c r="JF1" s="438" t="inlineStr">
        <is>
          <t>Realizado</t>
        </is>
      </c>
      <c r="JG1" s="439" t="n"/>
      <c r="JH1" s="439" t="n"/>
      <c r="JI1" s="440" t="n"/>
      <c r="JM1" s="1" t="inlineStr">
        <is>
          <t>Previsão de Maio feita no fechamento de Abril/26</t>
        </is>
      </c>
      <c r="KG1" s="1" t="n"/>
      <c r="KH1" s="506" t="inlineStr">
        <is>
          <t>Total | Previsão</t>
        </is>
      </c>
    </row>
    <row r="2" ht="18" customHeight="1">
      <c r="A2" s="2" t="inlineStr">
        <is>
          <t>Ville de Provence</t>
        </is>
      </c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4">
        <f>+AB8+AB9+AC8+AC9+AD8+AD9+AE8+AE9+AF8+AF9+AD62</f>
        <v/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507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321" t="n"/>
      <c r="BE2" s="1" t="n"/>
      <c r="BF2" s="373" t="inlineStr">
        <is>
          <t>ENTREGA DA OBRA</t>
        </is>
      </c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32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32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283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32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EC2" s="343" t="n"/>
      <c r="JF2" s="437" t="inlineStr">
        <is>
          <t>No mês</t>
        </is>
      </c>
      <c r="JG2" s="437" t="inlineStr">
        <is>
          <t>Ano 2025</t>
        </is>
      </c>
      <c r="JH2" s="437" t="inlineStr">
        <is>
          <t>Ano 2026</t>
        </is>
      </c>
      <c r="JI2" s="437" t="inlineStr">
        <is>
          <t>Acumulado</t>
        </is>
      </c>
      <c r="JM2" s="1" t="n"/>
      <c r="JS2" s="437" t="inlineStr">
        <is>
          <t>YTD</t>
        </is>
      </c>
      <c r="JT2" s="456" t="inlineStr">
        <is>
          <t>Prev. 2025</t>
        </is>
      </c>
      <c r="JU2" s="437" t="n">
        <v>2026</v>
      </c>
      <c r="JV2" s="437" t="n">
        <v>2027</v>
      </c>
      <c r="JW2" s="437" t="n">
        <v>2028</v>
      </c>
      <c r="JX2" s="437" t="n">
        <v>2029</v>
      </c>
      <c r="JY2" s="437" t="n">
        <v>2030</v>
      </c>
      <c r="JZ2" s="437" t="inlineStr">
        <is>
          <t>Demais</t>
        </is>
      </c>
      <c r="KG2" s="2" t="n"/>
      <c r="KH2" s="507" t="n"/>
    </row>
    <row r="3" ht="10.8" customHeight="1" thickBot="1">
      <c r="A3" s="2" t="n"/>
      <c r="B3" s="2" t="n"/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1" t="n">
        <v>11</v>
      </c>
      <c r="N3" s="51" t="n">
        <v>12</v>
      </c>
      <c r="O3" s="51" t="n">
        <v>13</v>
      </c>
      <c r="P3" s="51" t="n">
        <v>14</v>
      </c>
      <c r="Q3" s="51" t="n">
        <v>15</v>
      </c>
      <c r="R3" s="51" t="n">
        <v>16</v>
      </c>
      <c r="S3" s="51" t="n">
        <v>17</v>
      </c>
      <c r="T3" s="51" t="n">
        <v>18</v>
      </c>
      <c r="U3" s="51" t="n">
        <v>19</v>
      </c>
      <c r="V3" s="51" t="n">
        <v>20</v>
      </c>
      <c r="W3" s="51" t="n">
        <v>21</v>
      </c>
      <c r="X3" s="51" t="n">
        <v>22</v>
      </c>
      <c r="Y3" s="51" t="n">
        <v>23</v>
      </c>
      <c r="Z3" s="51" t="n">
        <v>24</v>
      </c>
      <c r="AA3" s="51" t="n">
        <v>25</v>
      </c>
      <c r="AB3" s="51" t="n">
        <v>26</v>
      </c>
      <c r="AC3" s="51" t="n">
        <v>27</v>
      </c>
      <c r="AD3" s="51" t="n">
        <v>28</v>
      </c>
      <c r="AE3" s="51" t="n">
        <v>29</v>
      </c>
      <c r="AF3" s="51" t="n">
        <v>30</v>
      </c>
      <c r="AG3" s="51" t="n">
        <v>31</v>
      </c>
      <c r="AH3" s="51" t="n">
        <v>32</v>
      </c>
      <c r="AI3" s="51" t="n">
        <v>33</v>
      </c>
      <c r="AJ3" s="51" t="n">
        <v>34</v>
      </c>
      <c r="AK3" s="51" t="n">
        <v>35</v>
      </c>
      <c r="AL3" s="51" t="n">
        <v>36</v>
      </c>
      <c r="AM3" s="51" t="n">
        <v>37</v>
      </c>
      <c r="AN3" s="51" t="n">
        <v>38</v>
      </c>
      <c r="AO3" s="51" t="n">
        <v>39</v>
      </c>
      <c r="AP3" s="51" t="n">
        <v>40</v>
      </c>
      <c r="AQ3" s="51" t="n"/>
      <c r="AR3" s="508" t="n"/>
      <c r="AS3" s="51" t="n"/>
      <c r="AT3" s="51" t="n">
        <v>41</v>
      </c>
      <c r="AU3" s="51" t="n">
        <v>42</v>
      </c>
      <c r="AV3" s="51" t="n">
        <v>43</v>
      </c>
      <c r="AW3" s="51" t="n">
        <v>44</v>
      </c>
      <c r="AX3" s="51" t="n">
        <v>45</v>
      </c>
      <c r="AY3" s="51" t="n">
        <v>46</v>
      </c>
      <c r="AZ3" s="51" t="n">
        <v>47</v>
      </c>
      <c r="BA3" s="51" t="n">
        <v>48</v>
      </c>
      <c r="BB3" s="51" t="n">
        <v>49</v>
      </c>
      <c r="BC3" s="51" t="n">
        <v>50</v>
      </c>
      <c r="BD3" s="51" t="n">
        <v>51</v>
      </c>
      <c r="BE3" s="51" t="n">
        <v>52</v>
      </c>
      <c r="BF3" s="51" t="n">
        <v>53</v>
      </c>
      <c r="BG3" s="51" t="n">
        <v>54</v>
      </c>
      <c r="BH3" s="51" t="n">
        <v>55</v>
      </c>
      <c r="BI3" s="51" t="n">
        <v>56</v>
      </c>
      <c r="BJ3" s="51" t="n">
        <v>57</v>
      </c>
      <c r="BK3" s="51" t="n">
        <v>58</v>
      </c>
      <c r="BL3" s="51" t="n">
        <v>59</v>
      </c>
      <c r="BM3" s="51" t="n">
        <v>60</v>
      </c>
      <c r="BN3" s="51" t="n">
        <v>61</v>
      </c>
      <c r="BO3" s="51" t="n">
        <v>62</v>
      </c>
      <c r="BP3" s="51" t="n">
        <v>63</v>
      </c>
      <c r="BQ3" s="51" t="n">
        <v>64</v>
      </c>
      <c r="BR3" s="51" t="n">
        <v>65</v>
      </c>
      <c r="BS3" s="51" t="n">
        <v>66</v>
      </c>
      <c r="BT3" s="51" t="n">
        <v>67</v>
      </c>
      <c r="BU3" s="51" t="n">
        <v>68</v>
      </c>
      <c r="BV3" s="51" t="n">
        <v>69</v>
      </c>
      <c r="BW3" s="51" t="n">
        <v>70</v>
      </c>
      <c r="BX3" s="51" t="n">
        <v>71</v>
      </c>
      <c r="BY3" s="51" t="n">
        <v>72</v>
      </c>
      <c r="BZ3" s="51" t="n">
        <v>73</v>
      </c>
      <c r="CA3" s="51" t="n">
        <v>74</v>
      </c>
      <c r="CB3" s="51" t="n">
        <v>75</v>
      </c>
      <c r="CC3" s="51" t="n">
        <v>76</v>
      </c>
      <c r="CD3" s="51" t="n">
        <v>77</v>
      </c>
      <c r="CE3" s="51" t="n">
        <v>78</v>
      </c>
      <c r="CF3" s="51" t="n">
        <v>79</v>
      </c>
      <c r="CG3" s="51" t="n">
        <v>80</v>
      </c>
      <c r="CH3" s="51" t="n">
        <v>81</v>
      </c>
      <c r="CI3" s="51" t="n">
        <v>82</v>
      </c>
      <c r="CJ3" s="51" t="n">
        <v>83</v>
      </c>
      <c r="CK3" s="51" t="n">
        <v>84</v>
      </c>
      <c r="CL3" s="51" t="n">
        <v>85</v>
      </c>
      <c r="CM3" s="51" t="n">
        <v>86</v>
      </c>
      <c r="CN3" s="51" t="n">
        <v>87</v>
      </c>
      <c r="CO3" s="51" t="n">
        <v>88</v>
      </c>
      <c r="CP3" s="51" t="n">
        <v>89</v>
      </c>
      <c r="CQ3" s="51" t="n">
        <v>90</v>
      </c>
      <c r="CR3" s="51" t="n">
        <v>91</v>
      </c>
      <c r="CS3" s="51" t="n">
        <v>92</v>
      </c>
      <c r="CT3" s="51" t="n">
        <v>93</v>
      </c>
      <c r="CU3" s="51" t="n">
        <v>94</v>
      </c>
      <c r="CV3" s="51" t="n">
        <v>95</v>
      </c>
      <c r="CW3" s="51" t="n">
        <v>96</v>
      </c>
      <c r="CX3" s="51" t="n">
        <v>97</v>
      </c>
      <c r="CY3" s="51" t="n">
        <v>98</v>
      </c>
      <c r="CZ3" s="51" t="n">
        <v>99</v>
      </c>
      <c r="DA3" s="51" t="n">
        <v>100</v>
      </c>
      <c r="DB3" s="51" t="n">
        <v>101</v>
      </c>
      <c r="DC3" s="51" t="n">
        <v>102</v>
      </c>
      <c r="DD3" s="51" t="n">
        <v>103</v>
      </c>
      <c r="DE3" s="51" t="n">
        <v>104</v>
      </c>
      <c r="DF3" s="51" t="n">
        <v>105</v>
      </c>
      <c r="DG3" s="51" t="n">
        <v>106</v>
      </c>
      <c r="DH3" s="51" t="n">
        <v>107</v>
      </c>
      <c r="DI3" s="51" t="n">
        <v>108</v>
      </c>
      <c r="DJ3" s="51" t="n">
        <v>109</v>
      </c>
      <c r="DK3" s="51" t="n">
        <v>110</v>
      </c>
      <c r="DL3" s="51" t="n">
        <v>111</v>
      </c>
      <c r="DM3" s="51" t="n">
        <v>112</v>
      </c>
      <c r="DN3" s="51" t="n">
        <v>113</v>
      </c>
      <c r="DO3" s="51" t="n">
        <v>114</v>
      </c>
      <c r="DP3" s="51" t="n">
        <v>115</v>
      </c>
      <c r="DQ3" s="51" t="n">
        <v>116</v>
      </c>
      <c r="DR3" s="51" t="n">
        <v>117</v>
      </c>
      <c r="DS3" s="51" t="n">
        <v>118</v>
      </c>
      <c r="DT3" s="51" t="n">
        <v>119</v>
      </c>
      <c r="DU3" s="51" t="n">
        <v>120</v>
      </c>
      <c r="DV3" s="51" t="n">
        <v>121</v>
      </c>
      <c r="DW3" s="51" t="n">
        <v>122</v>
      </c>
      <c r="DX3" s="51" t="n">
        <v>123</v>
      </c>
      <c r="DY3" s="51" t="n">
        <v>124</v>
      </c>
      <c r="DZ3" s="51" t="n">
        <v>125</v>
      </c>
      <c r="EA3" s="51" t="n">
        <v>126</v>
      </c>
      <c r="EB3" s="51" t="n">
        <v>127</v>
      </c>
      <c r="EC3" s="344" t="n">
        <v>128</v>
      </c>
      <c r="ED3" s="51" t="n">
        <v>129</v>
      </c>
      <c r="EE3" s="51" t="n">
        <v>130</v>
      </c>
      <c r="EF3" s="51" t="n">
        <v>131</v>
      </c>
      <c r="EG3" s="51" t="n">
        <v>132</v>
      </c>
      <c r="EH3" s="51" t="n">
        <v>133</v>
      </c>
      <c r="EI3" s="51" t="n">
        <v>134</v>
      </c>
      <c r="EJ3" s="51" t="n">
        <v>135</v>
      </c>
      <c r="EK3" s="51" t="n">
        <v>136</v>
      </c>
      <c r="EL3" s="51" t="n">
        <v>137</v>
      </c>
      <c r="EM3" s="51" t="n">
        <v>138</v>
      </c>
      <c r="EN3" s="51" t="n">
        <v>139</v>
      </c>
      <c r="EO3" s="51" t="n">
        <v>140</v>
      </c>
      <c r="EP3" s="51" t="n">
        <v>141</v>
      </c>
      <c r="EQ3" s="51" t="n">
        <v>142</v>
      </c>
      <c r="ER3" s="51" t="n">
        <v>143</v>
      </c>
      <c r="ES3" s="51" t="n">
        <v>144</v>
      </c>
      <c r="ET3" s="51" t="n">
        <v>145</v>
      </c>
      <c r="EU3" s="51" t="n">
        <v>146</v>
      </c>
      <c r="EV3" s="51" t="n">
        <v>147</v>
      </c>
      <c r="EW3" s="51" t="n">
        <v>148</v>
      </c>
      <c r="EX3" s="51" t="n">
        <v>149</v>
      </c>
      <c r="EY3" s="51" t="n">
        <v>150</v>
      </c>
      <c r="EZ3" s="51" t="n">
        <v>151</v>
      </c>
      <c r="FA3" s="51" t="n">
        <v>152</v>
      </c>
      <c r="FB3" s="51" t="n">
        <v>153</v>
      </c>
      <c r="FC3" s="51" t="n">
        <v>154</v>
      </c>
      <c r="FD3" s="51" t="n">
        <v>155</v>
      </c>
      <c r="FE3" s="51" t="n">
        <v>156</v>
      </c>
      <c r="FF3" s="51" t="n">
        <v>157</v>
      </c>
      <c r="FG3" s="51" t="n">
        <v>158</v>
      </c>
      <c r="FH3" s="51" t="n">
        <v>159</v>
      </c>
      <c r="FI3" s="51" t="n">
        <v>160</v>
      </c>
      <c r="FJ3" s="51" t="n">
        <v>161</v>
      </c>
      <c r="FK3" s="51" t="n">
        <v>162</v>
      </c>
      <c r="FL3" s="51" t="n">
        <v>163</v>
      </c>
      <c r="FM3" s="51" t="n">
        <v>164</v>
      </c>
      <c r="FN3" s="51" t="n">
        <v>165</v>
      </c>
      <c r="FO3" s="51" t="n">
        <v>166</v>
      </c>
      <c r="FP3" s="51" t="n">
        <v>167</v>
      </c>
      <c r="FQ3" s="51" t="n">
        <v>168</v>
      </c>
      <c r="FR3" s="51" t="n">
        <v>169</v>
      </c>
      <c r="FS3" s="51" t="n">
        <v>170</v>
      </c>
      <c r="FT3" s="51" t="n">
        <v>171</v>
      </c>
      <c r="FU3" s="51" t="n">
        <v>172</v>
      </c>
      <c r="FV3" s="51" t="n">
        <v>173</v>
      </c>
      <c r="FW3" s="51" t="n">
        <v>174</v>
      </c>
      <c r="FX3" s="51" t="n">
        <v>175</v>
      </c>
      <c r="FY3" s="51" t="n">
        <v>176</v>
      </c>
      <c r="FZ3" s="51" t="n">
        <v>177</v>
      </c>
      <c r="GA3" s="51" t="n">
        <v>178</v>
      </c>
      <c r="GB3" s="51" t="n">
        <v>179</v>
      </c>
      <c r="GC3" s="51" t="n">
        <v>180</v>
      </c>
      <c r="GD3" s="51" t="n">
        <v>181</v>
      </c>
      <c r="GE3" s="51" t="n">
        <v>182</v>
      </c>
      <c r="GF3" s="51" t="n">
        <v>183</v>
      </c>
      <c r="GG3" s="51" t="n">
        <v>184</v>
      </c>
      <c r="GH3" s="51" t="n">
        <v>185</v>
      </c>
      <c r="GI3" s="51" t="n">
        <v>186</v>
      </c>
      <c r="GJ3" s="51" t="n">
        <v>187</v>
      </c>
      <c r="GK3" s="51" t="n">
        <v>188</v>
      </c>
      <c r="GL3" s="51" t="n">
        <v>189</v>
      </c>
      <c r="GM3" s="51" t="n">
        <v>190</v>
      </c>
      <c r="GN3" s="51" t="n">
        <v>191</v>
      </c>
      <c r="GO3" s="51" t="n">
        <v>192</v>
      </c>
      <c r="GP3" s="51" t="n">
        <v>193</v>
      </c>
      <c r="GQ3" s="51" t="n">
        <v>194</v>
      </c>
      <c r="GR3" s="51" t="n">
        <v>195</v>
      </c>
      <c r="GS3" s="51" t="n">
        <v>196</v>
      </c>
      <c r="GT3" s="51" t="n">
        <v>197</v>
      </c>
      <c r="GU3" s="51" t="n">
        <v>198</v>
      </c>
      <c r="GV3" s="51" t="n">
        <v>199</v>
      </c>
      <c r="GW3" s="51" t="n">
        <v>200</v>
      </c>
      <c r="GX3" s="51" t="n">
        <v>201</v>
      </c>
      <c r="GY3" s="51" t="n">
        <v>202</v>
      </c>
      <c r="GZ3" s="51" t="n">
        <v>203</v>
      </c>
      <c r="HA3" s="51" t="n">
        <v>204</v>
      </c>
      <c r="HB3" s="51" t="n">
        <v>205</v>
      </c>
      <c r="HC3" s="51" t="n">
        <v>206</v>
      </c>
      <c r="HD3" s="51" t="n">
        <v>207</v>
      </c>
      <c r="HE3" s="51" t="n">
        <v>208</v>
      </c>
      <c r="HF3" s="51" t="n">
        <v>209</v>
      </c>
      <c r="HG3" s="51" t="n">
        <v>210</v>
      </c>
      <c r="HH3" s="51" t="n">
        <v>211</v>
      </c>
      <c r="HI3" s="51" t="n">
        <v>212</v>
      </c>
      <c r="HJ3" s="51" t="n">
        <v>213</v>
      </c>
      <c r="HK3" s="51" t="n">
        <v>214</v>
      </c>
      <c r="HL3" s="51" t="n">
        <v>215</v>
      </c>
      <c r="HM3" s="51" t="n">
        <v>216</v>
      </c>
      <c r="HN3" s="51" t="n">
        <v>217</v>
      </c>
      <c r="HO3" s="51" t="n">
        <v>218</v>
      </c>
      <c r="HP3" s="51" t="n">
        <v>219</v>
      </c>
      <c r="HQ3" s="51" t="n">
        <v>220</v>
      </c>
      <c r="HR3" s="51" t="n">
        <v>221</v>
      </c>
      <c r="HS3" s="51" t="n">
        <v>222</v>
      </c>
      <c r="HT3" s="51" t="n">
        <v>223</v>
      </c>
      <c r="HU3" s="51" t="n">
        <v>224</v>
      </c>
      <c r="JM3" s="51" t="n">
        <v>40</v>
      </c>
      <c r="JT3" s="457" t="n"/>
      <c r="KG3" s="2" t="n"/>
      <c r="KH3" s="508" t="n"/>
    </row>
    <row r="4" ht="15" customHeight="1" thickBot="1">
      <c r="A4" s="3" t="inlineStr">
        <is>
          <t xml:space="preserve">Fluxo de Caixa </t>
        </is>
      </c>
      <c r="B4" s="509" t="inlineStr">
        <is>
          <t>REALIZADO</t>
        </is>
      </c>
      <c r="C4" s="4" t="n"/>
      <c r="D4" s="107" t="n"/>
      <c r="E4" s="107" t="n"/>
      <c r="F4" s="107" t="n"/>
      <c r="G4" s="107" t="n"/>
      <c r="H4" s="107" t="n"/>
      <c r="I4" s="107" t="n"/>
      <c r="J4" s="253" t="n"/>
      <c r="K4" s="254" t="n"/>
      <c r="L4" s="258" t="n"/>
      <c r="M4" s="501" t="inlineStr">
        <is>
          <t>REALIZADO</t>
        </is>
      </c>
      <c r="X4" s="502" t="n"/>
      <c r="Y4" s="502" t="n"/>
      <c r="Z4" s="502" t="n"/>
      <c r="AA4" s="502" t="n"/>
      <c r="AB4" s="502" t="n"/>
      <c r="AC4" s="502" t="n"/>
      <c r="AD4" s="502" t="n"/>
      <c r="AE4" s="502" t="n"/>
      <c r="AF4" s="502" t="n"/>
      <c r="AG4" s="502" t="n"/>
      <c r="AH4" s="502" t="n"/>
      <c r="AI4" s="502" t="n"/>
      <c r="AJ4" s="502" t="n"/>
      <c r="AK4" s="502" t="n"/>
      <c r="AL4" s="502" t="n"/>
      <c r="AM4" s="502" t="n"/>
      <c r="AN4" s="502" t="n"/>
      <c r="AO4" s="502" t="n"/>
      <c r="AP4" s="502" t="n"/>
      <c r="AQ4" s="51" t="n"/>
      <c r="AR4" s="230" t="n"/>
      <c r="AS4" s="5" t="n"/>
      <c r="AT4" s="152" t="n"/>
      <c r="AU4" s="152" t="n"/>
      <c r="AV4" s="152" t="n"/>
      <c r="AW4" s="152" t="n"/>
      <c r="AX4" s="152" t="n"/>
      <c r="AY4" s="152" t="n"/>
      <c r="AZ4" s="152" t="n"/>
      <c r="BA4" s="152" t="n"/>
      <c r="BB4" s="152" t="n"/>
      <c r="BC4" s="152" t="n"/>
      <c r="BD4" s="285" t="n"/>
      <c r="BE4" s="152" t="n"/>
      <c r="BF4" s="152" t="n"/>
      <c r="BG4" s="152" t="n"/>
      <c r="BH4" s="152" t="n"/>
      <c r="BI4" s="152" t="n"/>
      <c r="BJ4" s="152" t="n"/>
      <c r="BK4" s="152" t="n"/>
      <c r="BL4" s="152" t="n"/>
      <c r="BM4" s="152" t="n"/>
      <c r="BN4" s="152" t="n"/>
      <c r="BO4" s="152" t="n"/>
      <c r="BP4" s="285" t="n"/>
      <c r="BQ4" s="152" t="n"/>
      <c r="BR4" s="152" t="n"/>
      <c r="BS4" s="152" t="n"/>
      <c r="BT4" s="152" t="n"/>
      <c r="BU4" s="152" t="n"/>
      <c r="BV4" s="152" t="n"/>
      <c r="BW4" s="152" t="n"/>
      <c r="BX4" s="152" t="n"/>
      <c r="BY4" s="152" t="n"/>
      <c r="BZ4" s="152" t="n"/>
      <c r="CA4" s="152" t="n"/>
      <c r="CB4" s="285" t="n"/>
      <c r="CC4" s="152" t="n"/>
      <c r="CD4" s="152" t="n"/>
      <c r="CE4" s="152" t="n"/>
      <c r="CF4" s="152" t="n"/>
      <c r="CG4" s="152" t="n"/>
      <c r="CH4" s="152" t="n"/>
      <c r="CI4" s="152" t="n"/>
      <c r="CJ4" s="152" t="n"/>
      <c r="CK4" s="152" t="n"/>
      <c r="CL4" s="152" t="n"/>
      <c r="CM4" s="152" t="n"/>
      <c r="CN4" s="285" t="n"/>
      <c r="CO4" s="152" t="n"/>
      <c r="CP4" s="152" t="n"/>
      <c r="CQ4" s="152" t="n"/>
      <c r="CR4" s="152" t="n"/>
      <c r="CS4" s="152" t="n"/>
      <c r="CT4" s="152" t="n"/>
      <c r="CU4" s="152" t="n"/>
      <c r="CV4" s="152" t="n"/>
      <c r="CW4" s="152" t="n"/>
      <c r="CX4" s="152" t="n"/>
      <c r="CY4" s="152" t="n"/>
      <c r="CZ4" s="285" t="n"/>
      <c r="DA4" s="152" t="n"/>
      <c r="DB4" s="152" t="n"/>
      <c r="DC4" s="152" t="n"/>
      <c r="DD4" s="152" t="n"/>
      <c r="DE4" s="152" t="n"/>
      <c r="DF4" s="152" t="n"/>
      <c r="DG4" s="152" t="n"/>
      <c r="DH4" s="152" t="n"/>
      <c r="DI4" s="152" t="n"/>
      <c r="DJ4" s="152" t="n"/>
      <c r="DK4" s="152" t="n"/>
      <c r="DL4" s="152" t="n"/>
      <c r="DM4" s="152" t="n"/>
      <c r="DN4" s="152" t="n"/>
      <c r="DO4" s="152" t="n"/>
      <c r="DP4" s="152" t="n"/>
      <c r="DQ4" s="152" t="n"/>
      <c r="DR4" s="152" t="n"/>
      <c r="DS4" s="152" t="n"/>
      <c r="DT4" s="152" t="n"/>
      <c r="DU4" s="152" t="n"/>
      <c r="DV4" s="152" t="n"/>
      <c r="DW4" s="152" t="n"/>
      <c r="DX4" s="152" t="n"/>
      <c r="DY4" s="152" t="n"/>
      <c r="DZ4" s="152" t="n"/>
      <c r="EA4" s="152" t="n"/>
      <c r="EB4" s="152" t="n"/>
      <c r="EC4" s="152" t="n"/>
      <c r="ED4" s="152" t="n"/>
      <c r="EE4" s="152" t="n"/>
      <c r="EF4" s="152" t="n"/>
      <c r="EG4" s="152" t="n"/>
      <c r="EH4" s="152" t="n"/>
      <c r="EI4" s="152" t="n"/>
      <c r="EJ4" s="152" t="n"/>
      <c r="EK4" s="152" t="n"/>
      <c r="EL4" s="152" t="n"/>
      <c r="EM4" s="152" t="n"/>
      <c r="EN4" s="152" t="n"/>
      <c r="EO4" s="152" t="n"/>
      <c r="EP4" s="152" t="n"/>
      <c r="EQ4" s="152" t="n"/>
      <c r="ER4" s="152" t="n"/>
      <c r="ES4" s="152" t="n"/>
      <c r="ET4" s="152" t="n"/>
      <c r="EU4" s="152" t="n"/>
      <c r="EV4" s="152" t="n"/>
      <c r="EW4" s="152" t="n"/>
      <c r="EX4" s="152" t="n"/>
      <c r="EY4" s="152" t="n"/>
      <c r="EZ4" s="152" t="n"/>
      <c r="FA4" s="152" t="n"/>
      <c r="FB4" s="152" t="n"/>
      <c r="FC4" s="152" t="n"/>
      <c r="FD4" s="152" t="n"/>
      <c r="FE4" s="152" t="n"/>
      <c r="FF4" s="152" t="n"/>
      <c r="FG4" s="152" t="n"/>
      <c r="FH4" s="152" t="n"/>
      <c r="FI4" s="152" t="n"/>
      <c r="FJ4" s="152" t="n"/>
      <c r="FK4" s="152" t="n"/>
      <c r="FL4" s="152" t="n"/>
      <c r="FM4" s="152" t="n"/>
      <c r="FN4" s="152" t="n"/>
      <c r="FO4" s="152" t="n"/>
      <c r="FP4" s="152" t="n"/>
      <c r="FQ4" s="152" t="n"/>
      <c r="FR4" s="152" t="n"/>
      <c r="FS4" s="152" t="n"/>
      <c r="FT4" s="152" t="n"/>
      <c r="FU4" s="152" t="n"/>
      <c r="FV4" s="152" t="n"/>
      <c r="FW4" s="152" t="n"/>
      <c r="FX4" s="152" t="n"/>
      <c r="FY4" s="152" t="n"/>
      <c r="FZ4" s="152" t="n"/>
      <c r="GA4" s="152" t="n"/>
      <c r="GB4" s="152" t="n"/>
      <c r="GC4" s="152" t="n"/>
      <c r="GD4" s="152" t="n"/>
      <c r="GE4" s="152" t="n"/>
      <c r="GF4" s="152" t="n"/>
      <c r="GG4" s="152" t="n"/>
      <c r="GH4" s="152" t="n"/>
      <c r="GI4" s="152" t="n"/>
      <c r="GJ4" s="152" t="n"/>
      <c r="GK4" s="152" t="n"/>
      <c r="GL4" s="152" t="n"/>
      <c r="GM4" s="152" t="n"/>
      <c r="GN4" s="152" t="n"/>
      <c r="GO4" s="152" t="n"/>
      <c r="GP4" s="152" t="n"/>
      <c r="GQ4" s="152" t="n"/>
      <c r="GR4" s="152" t="n"/>
      <c r="GS4" s="152" t="n"/>
      <c r="GT4" s="152" t="n"/>
      <c r="GU4" s="152" t="n"/>
      <c r="GV4" s="152" t="n"/>
      <c r="GW4" s="152" t="n"/>
      <c r="GX4" s="152" t="n"/>
      <c r="GY4" s="152" t="n"/>
      <c r="GZ4" s="152" t="n"/>
      <c r="HA4" s="152" t="n"/>
      <c r="HB4" s="152" t="n"/>
      <c r="HC4" s="152" t="n"/>
      <c r="HD4" s="152" t="n"/>
      <c r="HE4" s="152" t="n"/>
      <c r="HF4" s="152" t="n"/>
      <c r="HG4" s="152" t="n"/>
      <c r="HH4" s="152" t="n"/>
      <c r="HI4" s="152" t="n"/>
      <c r="HJ4" s="152" t="n"/>
      <c r="HK4" s="152" t="n"/>
      <c r="HL4" s="152" t="n"/>
      <c r="HM4" s="152" t="n"/>
      <c r="HN4" s="152" t="n"/>
      <c r="HO4" s="152" t="n"/>
      <c r="HP4" s="152" t="n"/>
      <c r="HQ4" s="152" t="n"/>
      <c r="HR4" s="152" t="n"/>
      <c r="HS4" s="152" t="n"/>
      <c r="HT4" s="152" t="n"/>
      <c r="HU4" s="152" t="n"/>
      <c r="JM4" s="152" t="n"/>
      <c r="JT4" s="457" t="n"/>
      <c r="KG4" s="509" t="inlineStr">
        <is>
          <t>REALIZADO</t>
        </is>
      </c>
      <c r="KH4" s="230" t="n"/>
    </row>
    <row r="5" ht="10.8" customHeight="1" thickTop="1">
      <c r="A5" s="1" t="n"/>
      <c r="B5" s="510" t="n"/>
      <c r="C5" s="6" t="n">
        <v>44958</v>
      </c>
      <c r="D5" s="6" t="n">
        <v>44986</v>
      </c>
      <c r="E5" s="6" t="n">
        <v>45017</v>
      </c>
      <c r="F5" s="6" t="n">
        <v>45047</v>
      </c>
      <c r="G5" s="6" t="n">
        <v>45078</v>
      </c>
      <c r="H5" s="6" t="n">
        <v>45108</v>
      </c>
      <c r="I5" s="6" t="n">
        <v>45139</v>
      </c>
      <c r="J5" s="206" t="n">
        <v>45170</v>
      </c>
      <c r="K5" s="6" t="n">
        <v>45200</v>
      </c>
      <c r="L5" s="6" t="n">
        <v>45231</v>
      </c>
      <c r="M5" s="207" t="n">
        <v>45261</v>
      </c>
      <c r="N5" s="207" t="n">
        <v>45292</v>
      </c>
      <c r="O5" s="207" t="n">
        <v>45323</v>
      </c>
      <c r="P5" s="207" t="n">
        <v>45352</v>
      </c>
      <c r="Q5" s="207" t="n">
        <v>45383</v>
      </c>
      <c r="R5" s="207" t="n">
        <v>45413</v>
      </c>
      <c r="S5" s="207" t="n">
        <v>45444</v>
      </c>
      <c r="T5" s="207" t="n">
        <v>45474</v>
      </c>
      <c r="U5" s="207" t="n">
        <v>45505</v>
      </c>
      <c r="V5" s="207" t="n">
        <v>45536</v>
      </c>
      <c r="W5" s="207" t="n">
        <v>45566</v>
      </c>
      <c r="X5" s="207" t="n">
        <v>45597</v>
      </c>
      <c r="Y5" s="207" t="n">
        <v>45627</v>
      </c>
      <c r="Z5" s="207" t="n">
        <v>45658</v>
      </c>
      <c r="AA5" s="207" t="n">
        <v>45689</v>
      </c>
      <c r="AB5" s="207" t="n">
        <v>45717</v>
      </c>
      <c r="AC5" s="207" t="n">
        <v>45748</v>
      </c>
      <c r="AD5" s="207" t="n">
        <v>45778</v>
      </c>
      <c r="AE5" s="207" t="n">
        <v>45809</v>
      </c>
      <c r="AF5" s="207" t="n">
        <v>45839</v>
      </c>
      <c r="AG5" s="207" t="n">
        <v>45870</v>
      </c>
      <c r="AH5" s="207" t="n">
        <v>45901</v>
      </c>
      <c r="AI5" s="207" t="n">
        <v>45931</v>
      </c>
      <c r="AJ5" s="207" t="n">
        <v>45962</v>
      </c>
      <c r="AK5" s="207" t="n">
        <v>45992</v>
      </c>
      <c r="AL5" s="207" t="n">
        <v>46023</v>
      </c>
      <c r="AM5" s="207" t="n">
        <v>46054</v>
      </c>
      <c r="AN5" s="207" t="n">
        <v>46082</v>
      </c>
      <c r="AO5" s="207" t="n">
        <v>46113</v>
      </c>
      <c r="AP5" s="207" t="n">
        <v>46143</v>
      </c>
      <c r="AQ5" s="199" t="n"/>
      <c r="AR5" s="231" t="inlineStr">
        <is>
          <t>Total | Previsão</t>
        </is>
      </c>
      <c r="AS5" s="199" t="n"/>
      <c r="AT5" s="270" t="n">
        <v>46174</v>
      </c>
      <c r="AU5" s="270" t="n">
        <v>46204</v>
      </c>
      <c r="AV5" s="270" t="n">
        <v>46235</v>
      </c>
      <c r="AW5" s="270" t="n">
        <v>46266</v>
      </c>
      <c r="AX5" s="270" t="n">
        <v>46296</v>
      </c>
      <c r="AY5" s="270" t="n">
        <v>46327</v>
      </c>
      <c r="AZ5" s="270" t="n">
        <v>46357</v>
      </c>
      <c r="BA5" s="270" t="n">
        <v>46388</v>
      </c>
      <c r="BB5" s="270" t="n">
        <v>46419</v>
      </c>
      <c r="BC5" s="270" t="n">
        <v>46447</v>
      </c>
      <c r="BD5" s="270" t="n">
        <v>46478</v>
      </c>
      <c r="BE5" s="270" t="n">
        <v>46508</v>
      </c>
      <c r="BF5" s="270" t="n">
        <v>46539</v>
      </c>
      <c r="BG5" s="270" t="n">
        <v>46569</v>
      </c>
      <c r="BH5" s="270" t="n">
        <v>46600</v>
      </c>
      <c r="BI5" s="270" t="n">
        <v>46631</v>
      </c>
      <c r="BJ5" s="270" t="n">
        <v>46661</v>
      </c>
      <c r="BK5" s="270" t="n">
        <v>46692</v>
      </c>
      <c r="BL5" s="270" t="n">
        <v>46722</v>
      </c>
      <c r="BM5" s="270" t="n">
        <v>46753</v>
      </c>
      <c r="BN5" s="270" t="n">
        <v>46784</v>
      </c>
      <c r="BO5" s="270" t="n">
        <v>46813</v>
      </c>
      <c r="BP5" s="270" t="n">
        <v>46844</v>
      </c>
      <c r="BQ5" s="270" t="n">
        <v>46874</v>
      </c>
      <c r="BR5" s="270" t="n">
        <v>46905</v>
      </c>
      <c r="BS5" s="270" t="n">
        <v>46935</v>
      </c>
      <c r="BT5" s="270" t="n">
        <v>46966</v>
      </c>
      <c r="BU5" s="270" t="n">
        <v>46997</v>
      </c>
      <c r="BV5" s="270" t="n">
        <v>47027</v>
      </c>
      <c r="BW5" s="270" t="n">
        <v>47058</v>
      </c>
      <c r="BX5" s="270" t="n">
        <v>47088</v>
      </c>
      <c r="BY5" s="270" t="n">
        <v>47119</v>
      </c>
      <c r="BZ5" s="270" t="n">
        <v>47150</v>
      </c>
      <c r="CA5" s="270" t="n">
        <v>47178</v>
      </c>
      <c r="CB5" s="270" t="n">
        <v>47209</v>
      </c>
      <c r="CC5" s="270" t="n">
        <v>47239</v>
      </c>
      <c r="CD5" s="270" t="n">
        <v>47270</v>
      </c>
      <c r="CE5" s="270" t="n">
        <v>47300</v>
      </c>
      <c r="CF5" s="270" t="n">
        <v>47331</v>
      </c>
      <c r="CG5" s="270" t="n">
        <v>47362</v>
      </c>
      <c r="CH5" s="270" t="n">
        <v>47392</v>
      </c>
      <c r="CI5" s="270" t="n">
        <v>47423</v>
      </c>
      <c r="CJ5" s="270" t="n">
        <v>47453</v>
      </c>
      <c r="CK5" s="270" t="n">
        <v>47484</v>
      </c>
      <c r="CL5" s="270" t="n">
        <v>47515</v>
      </c>
      <c r="CM5" s="270" t="n">
        <v>47543</v>
      </c>
      <c r="CN5" s="270" t="n">
        <v>47574</v>
      </c>
      <c r="CO5" s="270" t="n">
        <v>47604</v>
      </c>
      <c r="CP5" s="270" t="n">
        <v>47635</v>
      </c>
      <c r="CQ5" s="270" t="n">
        <v>47665</v>
      </c>
      <c r="CR5" s="270" t="n">
        <v>47696</v>
      </c>
      <c r="CS5" s="270" t="n">
        <v>47727</v>
      </c>
      <c r="CT5" s="270" t="n">
        <v>47757</v>
      </c>
      <c r="CU5" s="270" t="n">
        <v>47788</v>
      </c>
      <c r="CV5" s="270" t="n">
        <v>47818</v>
      </c>
      <c r="CW5" s="270" t="n">
        <v>47849</v>
      </c>
      <c r="CX5" s="270" t="n">
        <v>47880</v>
      </c>
      <c r="CY5" s="270" t="n">
        <v>47908</v>
      </c>
      <c r="CZ5" s="270" t="n">
        <v>47939</v>
      </c>
      <c r="DA5" s="270" t="n">
        <v>47969</v>
      </c>
      <c r="DB5" s="270" t="n">
        <v>48000</v>
      </c>
      <c r="DC5" s="270" t="n">
        <v>48030</v>
      </c>
      <c r="DD5" s="270" t="n">
        <v>48061</v>
      </c>
      <c r="DE5" s="270" t="n">
        <v>48092</v>
      </c>
      <c r="DF5" s="270" t="n">
        <v>48122</v>
      </c>
      <c r="DG5" s="270" t="n">
        <v>48153</v>
      </c>
      <c r="DH5" s="270" t="n">
        <v>48183</v>
      </c>
      <c r="DI5" s="270" t="n">
        <v>48214</v>
      </c>
      <c r="DJ5" s="270" t="n">
        <v>48245</v>
      </c>
      <c r="DK5" s="270" t="n">
        <v>48274</v>
      </c>
      <c r="DL5" s="270" t="n">
        <v>48305</v>
      </c>
      <c r="DM5" s="270" t="n">
        <v>48335</v>
      </c>
      <c r="DN5" s="270" t="n">
        <v>48366</v>
      </c>
      <c r="DO5" s="270" t="n">
        <v>48396</v>
      </c>
      <c r="DP5" s="270" t="n">
        <v>48427</v>
      </c>
      <c r="DQ5" s="270" t="n">
        <v>48458</v>
      </c>
      <c r="DR5" s="270" t="n">
        <v>48488</v>
      </c>
      <c r="DS5" s="270" t="n">
        <v>48519</v>
      </c>
      <c r="DT5" s="270" t="n">
        <v>48549</v>
      </c>
      <c r="DU5" s="270" t="n">
        <v>48580</v>
      </c>
      <c r="DV5" s="270" t="n">
        <v>48611</v>
      </c>
      <c r="DW5" s="270" t="n">
        <v>48639</v>
      </c>
      <c r="DX5" s="270" t="n">
        <v>48670</v>
      </c>
      <c r="DY5" s="270" t="n">
        <v>48700</v>
      </c>
      <c r="DZ5" s="270" t="n">
        <v>48731</v>
      </c>
      <c r="EA5" s="270" t="n">
        <v>48761</v>
      </c>
      <c r="EB5" s="270" t="n">
        <v>48792</v>
      </c>
      <c r="EC5" s="270" t="n">
        <v>48823</v>
      </c>
      <c r="ED5" s="270" t="n">
        <v>48853</v>
      </c>
      <c r="EE5" s="270" t="n">
        <v>48884</v>
      </c>
      <c r="EF5" s="270" t="n">
        <v>48914</v>
      </c>
      <c r="EG5" s="270" t="n">
        <v>48945</v>
      </c>
      <c r="EH5" s="270" t="n">
        <v>48976</v>
      </c>
      <c r="EI5" s="270" t="n">
        <v>49004</v>
      </c>
      <c r="EJ5" s="270" t="n">
        <v>49035</v>
      </c>
      <c r="EK5" s="270" t="n">
        <v>49065</v>
      </c>
      <c r="EL5" s="270" t="n">
        <v>49096</v>
      </c>
      <c r="EM5" s="270" t="n">
        <v>49126</v>
      </c>
      <c r="EN5" s="270" t="n">
        <v>49157</v>
      </c>
      <c r="EO5" s="270" t="n">
        <v>49188</v>
      </c>
      <c r="EP5" s="270" t="n">
        <v>49218</v>
      </c>
      <c r="EQ5" s="270" t="n">
        <v>49249</v>
      </c>
      <c r="ER5" s="270" t="n">
        <v>49279</v>
      </c>
      <c r="ES5" s="270" t="n">
        <v>49310</v>
      </c>
      <c r="ET5" s="270" t="n">
        <v>49341</v>
      </c>
      <c r="EU5" s="270" t="n">
        <v>49369</v>
      </c>
      <c r="EV5" s="270" t="n">
        <v>49400</v>
      </c>
      <c r="EW5" s="270" t="n">
        <v>49430</v>
      </c>
      <c r="EX5" s="270" t="n">
        <v>49461</v>
      </c>
      <c r="EY5" s="270" t="n">
        <v>49491</v>
      </c>
      <c r="EZ5" s="270" t="n">
        <v>49522</v>
      </c>
      <c r="FA5" s="270" t="n">
        <v>49553</v>
      </c>
      <c r="FB5" s="270" t="n">
        <v>49583</v>
      </c>
      <c r="FC5" s="270" t="n">
        <v>49614</v>
      </c>
      <c r="FD5" s="270" t="n">
        <v>49644</v>
      </c>
      <c r="FE5" s="270" t="n">
        <v>49675</v>
      </c>
      <c r="FF5" s="270" t="n">
        <v>49706</v>
      </c>
      <c r="FG5" s="270" t="n">
        <v>49735</v>
      </c>
      <c r="FH5" s="270" t="n">
        <v>49766</v>
      </c>
      <c r="FI5" s="270" t="n">
        <v>49796</v>
      </c>
      <c r="FJ5" s="270" t="n">
        <v>49827</v>
      </c>
      <c r="FK5" s="270" t="n">
        <v>49857</v>
      </c>
      <c r="FL5" s="270" t="n">
        <v>49888</v>
      </c>
      <c r="FM5" s="270" t="n">
        <v>49919</v>
      </c>
      <c r="FN5" s="270" t="n">
        <v>49949</v>
      </c>
      <c r="FO5" s="270" t="n">
        <v>49980</v>
      </c>
      <c r="FP5" s="270" t="n">
        <v>50010</v>
      </c>
      <c r="FQ5" s="270" t="n">
        <v>50041</v>
      </c>
      <c r="FR5" s="270" t="n">
        <v>50072</v>
      </c>
      <c r="FS5" s="270" t="n">
        <v>50100</v>
      </c>
      <c r="FT5" s="270" t="n">
        <v>50131</v>
      </c>
      <c r="FU5" s="270" t="n">
        <v>50161</v>
      </c>
      <c r="FV5" s="270" t="n">
        <v>50192</v>
      </c>
      <c r="FW5" s="270" t="n">
        <v>50222</v>
      </c>
      <c r="FX5" s="270" t="n">
        <v>50253</v>
      </c>
      <c r="FY5" s="270" t="n">
        <v>50284</v>
      </c>
      <c r="FZ5" s="270" t="n">
        <v>50314</v>
      </c>
      <c r="GA5" s="270" t="n">
        <v>50345</v>
      </c>
      <c r="GB5" s="270" t="n">
        <v>50375</v>
      </c>
      <c r="GC5" s="270" t="n">
        <v>50406</v>
      </c>
      <c r="GD5" s="270" t="n">
        <v>50437</v>
      </c>
      <c r="GE5" s="270" t="n">
        <v>50465</v>
      </c>
      <c r="GF5" s="270" t="n">
        <v>50496</v>
      </c>
      <c r="GG5" s="270" t="n">
        <v>50526</v>
      </c>
      <c r="GH5" s="270" t="n">
        <v>50557</v>
      </c>
      <c r="GI5" s="270" t="n">
        <v>50587</v>
      </c>
      <c r="GJ5" s="270" t="n">
        <v>50618</v>
      </c>
      <c r="GK5" s="270" t="n">
        <v>50649</v>
      </c>
      <c r="GL5" s="270" t="n">
        <v>50679</v>
      </c>
      <c r="GM5" s="270" t="n">
        <v>50710</v>
      </c>
      <c r="GN5" s="270" t="n">
        <v>50740</v>
      </c>
      <c r="GO5" s="270" t="n">
        <v>50771</v>
      </c>
      <c r="GP5" s="270" t="n">
        <v>50802</v>
      </c>
      <c r="GQ5" s="270" t="n">
        <v>50830</v>
      </c>
      <c r="GR5" s="270" t="n">
        <v>50861</v>
      </c>
      <c r="GS5" s="270" t="n">
        <v>50891</v>
      </c>
      <c r="GT5" s="270" t="n">
        <v>50922</v>
      </c>
      <c r="GU5" s="270" t="n">
        <v>50952</v>
      </c>
      <c r="GV5" s="270" t="n">
        <v>50983</v>
      </c>
      <c r="GW5" s="270" t="n">
        <v>51014</v>
      </c>
      <c r="GX5" s="270" t="n">
        <v>51044</v>
      </c>
      <c r="GY5" s="270" t="n">
        <v>51075</v>
      </c>
      <c r="GZ5" s="270" t="n">
        <v>51105</v>
      </c>
      <c r="HA5" s="270" t="n">
        <v>51136</v>
      </c>
      <c r="HB5" s="270" t="n">
        <v>51167</v>
      </c>
      <c r="HC5" s="270" t="n">
        <v>51196</v>
      </c>
      <c r="HD5" s="270" t="n">
        <v>51227</v>
      </c>
      <c r="HE5" s="270" t="n">
        <v>51257</v>
      </c>
      <c r="HF5" s="270" t="n">
        <v>51288</v>
      </c>
      <c r="HG5" s="270" t="n">
        <v>51318</v>
      </c>
      <c r="HH5" s="270" t="n">
        <v>51349</v>
      </c>
      <c r="HI5" s="270" t="n">
        <v>51380</v>
      </c>
      <c r="HJ5" s="270" t="n">
        <v>51410</v>
      </c>
      <c r="HK5" s="270" t="n">
        <v>51441</v>
      </c>
      <c r="HL5" s="270" t="n">
        <v>51471</v>
      </c>
      <c r="HM5" s="270" t="n">
        <v>51502</v>
      </c>
      <c r="HN5" s="270" t="n">
        <v>51533</v>
      </c>
      <c r="HO5" s="270" t="n">
        <v>51561</v>
      </c>
      <c r="HP5" s="270" t="n">
        <v>51592</v>
      </c>
      <c r="HQ5" s="270" t="n">
        <v>51622</v>
      </c>
      <c r="HR5" s="270" t="n">
        <v>51653</v>
      </c>
      <c r="HS5" s="270" t="n">
        <v>51683</v>
      </c>
      <c r="HT5" s="270" t="n">
        <v>51714</v>
      </c>
      <c r="HU5" s="270" t="n">
        <v>51745</v>
      </c>
      <c r="JM5" s="270" t="n">
        <v>46143</v>
      </c>
      <c r="JT5" s="457" t="n"/>
      <c r="KG5" s="510" t="n"/>
      <c r="KH5" s="231" t="inlineStr">
        <is>
          <t>Total | Previsão</t>
        </is>
      </c>
    </row>
    <row r="6">
      <c r="A6" s="1" t="n"/>
      <c r="B6" s="128" t="n"/>
      <c r="C6" s="66" t="n"/>
      <c r="D6" s="66" t="n"/>
      <c r="E6" s="66" t="n"/>
      <c r="F6" s="66" t="n"/>
      <c r="G6" s="66" t="n"/>
      <c r="H6" s="66" t="n"/>
      <c r="I6" s="66" t="n"/>
      <c r="J6" s="153" t="n"/>
      <c r="K6" s="66" t="n"/>
      <c r="L6" s="66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54" t="n"/>
      <c r="AI6" s="154" t="n"/>
      <c r="AJ6" s="154" t="n"/>
      <c r="AK6" s="154" t="n"/>
      <c r="AL6" s="154" t="n"/>
      <c r="AM6" s="154" t="n"/>
      <c r="AN6" s="154" t="n"/>
      <c r="AO6" s="154" t="n"/>
      <c r="AP6" s="154" t="n"/>
      <c r="AQ6" s="1" t="n"/>
      <c r="AR6" s="232" t="n"/>
      <c r="AS6" s="1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286" t="n"/>
      <c r="BE6" s="66" t="n"/>
      <c r="BF6" s="66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28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286" t="n"/>
      <c r="CC6" s="66" t="n"/>
      <c r="CD6" s="66" t="n"/>
      <c r="CE6" s="66" t="n"/>
      <c r="CF6" s="66" t="n"/>
      <c r="CG6" s="66" t="n"/>
      <c r="CH6" s="66" t="n"/>
      <c r="CI6" s="66" t="n"/>
      <c r="CJ6" s="66" t="n"/>
      <c r="CK6" s="66" t="n"/>
      <c r="CL6" s="66" t="n"/>
      <c r="CM6" s="66" t="n"/>
      <c r="CN6" s="286" t="n"/>
      <c r="CO6" s="66" t="n"/>
      <c r="CP6" s="66" t="n"/>
      <c r="CQ6" s="66" t="n"/>
      <c r="CR6" s="66" t="n"/>
      <c r="CS6" s="66" t="n"/>
      <c r="CT6" s="66" t="n"/>
      <c r="CU6" s="66" t="n"/>
      <c r="CV6" s="66" t="n"/>
      <c r="CW6" s="66" t="n"/>
      <c r="CX6" s="66" t="n"/>
      <c r="CY6" s="66" t="n"/>
      <c r="CZ6" s="286" t="n"/>
      <c r="DA6" s="66" t="n"/>
      <c r="DB6" s="66" t="n"/>
      <c r="DC6" s="66" t="n"/>
      <c r="DD6" s="66" t="n"/>
      <c r="DE6" s="66" t="n"/>
      <c r="DF6" s="66" t="n"/>
      <c r="DG6" s="66" t="n"/>
      <c r="DH6" s="66" t="n"/>
      <c r="DI6" s="66" t="n"/>
      <c r="DJ6" s="66" t="n"/>
      <c r="DK6" s="66" t="n"/>
      <c r="DL6" s="66" t="n"/>
      <c r="DM6" s="66" t="n"/>
      <c r="DN6" s="66" t="n"/>
      <c r="DO6" s="66" t="n"/>
      <c r="DP6" s="66" t="n"/>
      <c r="DQ6" s="66" t="n"/>
      <c r="DR6" s="66" t="n"/>
      <c r="DS6" s="66" t="n"/>
      <c r="DT6" s="66" t="n"/>
      <c r="DU6" s="66" t="n"/>
      <c r="DV6" s="66" t="n"/>
      <c r="DW6" s="66" t="n"/>
      <c r="DX6" s="66" t="n"/>
      <c r="DY6" s="66" t="n"/>
      <c r="DZ6" s="66" t="n"/>
      <c r="EA6" s="66" t="n"/>
      <c r="EB6" s="66" t="n"/>
      <c r="EC6" s="66" t="n"/>
      <c r="ED6" s="66" t="n"/>
      <c r="EE6" s="66" t="n"/>
      <c r="EF6" s="66" t="n"/>
      <c r="EG6" s="66" t="n"/>
      <c r="EH6" s="66" t="n"/>
      <c r="EI6" s="66" t="n"/>
      <c r="EJ6" s="66" t="n"/>
      <c r="EK6" s="66" t="n"/>
      <c r="EL6" s="66" t="n"/>
      <c r="EM6" s="66" t="n"/>
      <c r="EN6" s="66" t="n"/>
      <c r="EO6" s="66" t="n"/>
      <c r="EP6" s="66" t="n"/>
      <c r="EQ6" s="66" t="n"/>
      <c r="ER6" s="66" t="n"/>
      <c r="ES6" s="66" t="n"/>
      <c r="ET6" s="66" t="n"/>
      <c r="EU6" s="66" t="n"/>
      <c r="EV6" s="66" t="n"/>
      <c r="EW6" s="66" t="n"/>
      <c r="EX6" s="66" t="n"/>
      <c r="EY6" s="66" t="n"/>
      <c r="EZ6" s="66" t="n"/>
      <c r="FA6" s="66" t="n"/>
      <c r="FB6" s="66" t="n"/>
      <c r="FC6" s="66" t="n"/>
      <c r="FD6" s="66" t="n"/>
      <c r="FE6" s="66" t="n"/>
      <c r="FF6" s="66" t="n"/>
      <c r="FG6" s="66" t="n"/>
      <c r="FH6" s="66" t="n"/>
      <c r="FI6" s="66" t="n"/>
      <c r="FJ6" s="66" t="n"/>
      <c r="FK6" s="66" t="n"/>
      <c r="FL6" s="66" t="n"/>
      <c r="FM6" s="66" t="n"/>
      <c r="FN6" s="66" t="n"/>
      <c r="FO6" s="66" t="n"/>
      <c r="FP6" s="66" t="n"/>
      <c r="FQ6" s="66" t="n"/>
      <c r="FR6" s="66" t="n"/>
      <c r="FS6" s="66" t="n"/>
      <c r="FT6" s="66" t="n"/>
      <c r="FU6" s="66" t="n"/>
      <c r="FV6" s="66" t="n"/>
      <c r="FW6" s="66" t="n"/>
      <c r="FX6" s="66" t="n"/>
      <c r="FY6" s="66" t="n"/>
      <c r="FZ6" s="66" t="n"/>
      <c r="GA6" s="66" t="n"/>
      <c r="GB6" s="66" t="n"/>
      <c r="GC6" s="66" t="n"/>
      <c r="GD6" s="66" t="n"/>
      <c r="GE6" s="66" t="n"/>
      <c r="GF6" s="66" t="n"/>
      <c r="GG6" s="66" t="n"/>
      <c r="GH6" s="66" t="n"/>
      <c r="GI6" s="66" t="n"/>
      <c r="GJ6" s="66" t="n"/>
      <c r="GK6" s="66" t="n"/>
      <c r="GL6" s="66" t="n"/>
      <c r="GM6" s="66" t="n"/>
      <c r="GN6" s="66" t="n"/>
      <c r="GO6" s="66" t="n"/>
      <c r="GP6" s="66" t="n"/>
      <c r="GQ6" s="66" t="n"/>
      <c r="GR6" s="66" t="n"/>
      <c r="GS6" s="66" t="n"/>
      <c r="GT6" s="66" t="n"/>
      <c r="GU6" s="66" t="n"/>
      <c r="GV6" s="66" t="n"/>
      <c r="GW6" s="66" t="n"/>
      <c r="GX6" s="66" t="n"/>
      <c r="GY6" s="66" t="n"/>
      <c r="GZ6" s="66" t="n"/>
      <c r="HA6" s="66" t="n"/>
      <c r="HB6" s="66" t="n"/>
      <c r="HC6" s="66" t="n"/>
      <c r="HD6" s="66" t="n"/>
      <c r="HE6" s="66" t="n"/>
      <c r="HF6" s="66" t="n"/>
      <c r="HG6" s="66" t="n"/>
      <c r="HH6" s="66" t="n"/>
      <c r="HI6" s="66" t="n"/>
      <c r="HJ6" s="66" t="n"/>
      <c r="HK6" s="66" t="n"/>
      <c r="HL6" s="66" t="n"/>
      <c r="HM6" s="66" t="n"/>
      <c r="HN6" s="66" t="n"/>
      <c r="HO6" s="66" t="n"/>
      <c r="HP6" s="66" t="n"/>
      <c r="HQ6" s="66" t="n"/>
      <c r="HR6" s="66" t="n"/>
      <c r="HS6" s="66" t="n"/>
      <c r="HT6" s="66" t="n"/>
      <c r="HU6" s="66" t="n"/>
      <c r="JM6" s="66" t="n"/>
      <c r="JT6" s="457" t="n"/>
      <c r="KG6" s="128" t="n"/>
      <c r="KH6" s="232" t="n"/>
    </row>
    <row r="7" ht="16.2" customFormat="1" customHeight="1" s="259">
      <c r="A7" s="65" t="inlineStr">
        <is>
          <t>RECEITAS</t>
        </is>
      </c>
      <c r="B7" s="129" t="n"/>
      <c r="C7" s="70" t="n"/>
      <c r="D7" s="70" t="n"/>
      <c r="E7" s="70" t="n"/>
      <c r="F7" s="70" t="n"/>
      <c r="G7" s="70" t="n"/>
      <c r="H7" s="70" t="n"/>
      <c r="I7" s="70" t="n"/>
      <c r="J7" s="155" t="n"/>
      <c r="K7" s="70" t="n"/>
      <c r="L7" s="70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208" t="n"/>
      <c r="AI7" s="208" t="n"/>
      <c r="AJ7" s="208" t="n"/>
      <c r="AK7" s="208" t="n"/>
      <c r="AL7" s="208" t="n"/>
      <c r="AM7" s="208" t="n"/>
      <c r="AN7" s="208" t="n"/>
      <c r="AO7" s="208" t="n"/>
      <c r="AP7" s="208" t="n"/>
      <c r="AQ7" s="198" t="n"/>
      <c r="AR7" s="233" t="n"/>
      <c r="AS7" s="198" t="n"/>
      <c r="AT7" s="70" t="n"/>
      <c r="AU7" s="70" t="n"/>
      <c r="AV7" s="70" t="n"/>
      <c r="AW7" s="70" t="n"/>
      <c r="AX7" s="70" t="n"/>
      <c r="AY7" s="70" t="n"/>
      <c r="AZ7" s="70" t="n"/>
      <c r="BA7" s="70" t="n"/>
      <c r="BB7" s="70" t="n"/>
      <c r="BC7" s="70" t="n"/>
      <c r="BD7" s="287" t="n"/>
      <c r="BE7" s="70" t="n"/>
      <c r="BF7" s="70" t="n"/>
      <c r="BG7" s="70" t="n"/>
      <c r="BH7" s="70" t="n"/>
      <c r="BI7" s="70" t="n"/>
      <c r="BJ7" s="70" t="n"/>
      <c r="BK7" s="70" t="n"/>
      <c r="BL7" s="70" t="n"/>
      <c r="BM7" s="70" t="n"/>
      <c r="BN7" s="70" t="n"/>
      <c r="BO7" s="70" t="n"/>
      <c r="BP7" s="287" t="n"/>
      <c r="BQ7" s="70" t="n"/>
      <c r="BR7" s="70" t="n"/>
      <c r="BS7" s="70" t="n"/>
      <c r="BT7" s="70" t="n"/>
      <c r="BU7" s="70" t="n"/>
      <c r="BV7" s="70" t="n"/>
      <c r="BW7" s="70" t="n"/>
      <c r="BX7" s="70" t="n"/>
      <c r="BY7" s="70" t="n"/>
      <c r="BZ7" s="70" t="n"/>
      <c r="CA7" s="70" t="n"/>
      <c r="CB7" s="287" t="n"/>
      <c r="CC7" s="70" t="n"/>
      <c r="CD7" s="70" t="n"/>
      <c r="CE7" s="70" t="n"/>
      <c r="CF7" s="70" t="n"/>
      <c r="CG7" s="70" t="n"/>
      <c r="CH7" s="70" t="n"/>
      <c r="CI7" s="70" t="n"/>
      <c r="CJ7" s="70" t="n"/>
      <c r="CK7" s="70" t="n"/>
      <c r="CL7" s="70" t="n"/>
      <c r="CM7" s="70" t="n"/>
      <c r="CN7" s="287" t="n"/>
      <c r="CO7" s="70" t="n"/>
      <c r="CP7" s="70" t="n"/>
      <c r="CQ7" s="70" t="n"/>
      <c r="CR7" s="70" t="n"/>
      <c r="CS7" s="70" t="n"/>
      <c r="CT7" s="70" t="n"/>
      <c r="CU7" s="70" t="n"/>
      <c r="CV7" s="70" t="n"/>
      <c r="CW7" s="70" t="n"/>
      <c r="CX7" s="70" t="n"/>
      <c r="CY7" s="70" t="n"/>
      <c r="CZ7" s="287" t="n"/>
      <c r="DA7" s="70" t="n"/>
      <c r="DB7" s="70" t="n"/>
      <c r="DC7" s="70" t="n"/>
      <c r="DD7" s="70" t="n"/>
      <c r="DE7" s="70" t="n"/>
      <c r="DF7" s="70" t="n"/>
      <c r="DG7" s="70" t="n"/>
      <c r="DH7" s="70" t="n"/>
      <c r="DI7" s="70" t="n"/>
      <c r="DJ7" s="70" t="n"/>
      <c r="DK7" s="70" t="n"/>
      <c r="DL7" s="70" t="n"/>
      <c r="DM7" s="70" t="n"/>
      <c r="DN7" s="70" t="n"/>
      <c r="DO7" s="70" t="n"/>
      <c r="DP7" s="70" t="n"/>
      <c r="DQ7" s="70" t="n"/>
      <c r="DR7" s="70" t="n"/>
      <c r="DS7" s="70" t="n"/>
      <c r="DT7" s="70" t="n"/>
      <c r="DU7" s="70" t="n"/>
      <c r="DV7" s="70" t="n"/>
      <c r="DW7" s="70" t="n"/>
      <c r="DX7" s="70" t="n"/>
      <c r="DY7" s="70" t="n"/>
      <c r="DZ7" s="70" t="n"/>
      <c r="EA7" s="70" t="n"/>
      <c r="EB7" s="70" t="n"/>
      <c r="EC7" s="70" t="n"/>
      <c r="ED7" s="70" t="n"/>
      <c r="EE7" s="70" t="n"/>
      <c r="EF7" s="70" t="n"/>
      <c r="EG7" s="70" t="n"/>
      <c r="EH7" s="70" t="n"/>
      <c r="EI7" s="70" t="n"/>
      <c r="EJ7" s="70" t="n"/>
      <c r="EK7" s="70" t="n"/>
      <c r="EL7" s="70" t="n"/>
      <c r="EM7" s="70" t="n"/>
      <c r="EN7" s="70" t="n"/>
      <c r="EO7" s="70" t="n"/>
      <c r="EP7" s="70" t="n"/>
      <c r="EQ7" s="70" t="n"/>
      <c r="ER7" s="70" t="n"/>
      <c r="ES7" s="70" t="n"/>
      <c r="ET7" s="70" t="n"/>
      <c r="EU7" s="70" t="n"/>
      <c r="EV7" s="70" t="n"/>
      <c r="EW7" s="70" t="n"/>
      <c r="EX7" s="70" t="n"/>
      <c r="EY7" s="70" t="n"/>
      <c r="EZ7" s="70" t="n"/>
      <c r="FA7" s="70" t="n"/>
      <c r="FB7" s="70" t="n"/>
      <c r="FC7" s="70" t="n"/>
      <c r="FD7" s="70" t="n"/>
      <c r="FE7" s="70" t="n"/>
      <c r="FF7" s="70" t="n"/>
      <c r="FG7" s="70" t="n"/>
      <c r="FH7" s="70" t="n"/>
      <c r="FI7" s="70" t="n"/>
      <c r="FJ7" s="70" t="n"/>
      <c r="FK7" s="70" t="n"/>
      <c r="FL7" s="70" t="n"/>
      <c r="FM7" s="70" t="n"/>
      <c r="FN7" s="70" t="n"/>
      <c r="FO7" s="70" t="n"/>
      <c r="FP7" s="70" t="n"/>
      <c r="FQ7" s="70" t="n"/>
      <c r="FR7" s="70" t="n"/>
      <c r="FS7" s="70" t="n"/>
      <c r="FT7" s="70" t="n"/>
      <c r="FU7" s="70" t="n"/>
      <c r="FV7" s="70" t="n"/>
      <c r="FW7" s="70" t="n"/>
      <c r="FX7" s="70" t="n"/>
      <c r="FY7" s="70" t="n"/>
      <c r="FZ7" s="70" t="n"/>
      <c r="GA7" s="70" t="n"/>
      <c r="GB7" s="70" t="n"/>
      <c r="GC7" s="70" t="n"/>
      <c r="GD7" s="70" t="n"/>
      <c r="GE7" s="70" t="n"/>
      <c r="GF7" s="70" t="n"/>
      <c r="GG7" s="70" t="n"/>
      <c r="GH7" s="70" t="n"/>
      <c r="GI7" s="70" t="n"/>
      <c r="GJ7" s="70" t="n"/>
      <c r="GK7" s="70" t="n"/>
      <c r="GL7" s="70" t="n"/>
      <c r="GM7" s="70" t="n"/>
      <c r="GN7" s="70" t="n"/>
      <c r="GO7" s="70" t="n"/>
      <c r="GP7" s="70" t="n"/>
      <c r="GQ7" s="70" t="n"/>
      <c r="GR7" s="70" t="n"/>
      <c r="GS7" s="70" t="n"/>
      <c r="GT7" s="70" t="n"/>
      <c r="GU7" s="70" t="n"/>
      <c r="GV7" s="70" t="n"/>
      <c r="GW7" s="70" t="n"/>
      <c r="GX7" s="70" t="n"/>
      <c r="GY7" s="70" t="n"/>
      <c r="GZ7" s="70" t="n"/>
      <c r="HA7" s="70" t="n"/>
      <c r="HB7" s="70" t="n"/>
      <c r="HC7" s="70" t="n"/>
      <c r="HD7" s="70" t="n"/>
      <c r="HE7" s="70" t="n"/>
      <c r="HF7" s="70" t="n"/>
      <c r="HG7" s="70" t="n"/>
      <c r="HH7" s="70" t="n"/>
      <c r="HI7" s="70" t="n"/>
      <c r="HJ7" s="70" t="n"/>
      <c r="HK7" s="70" t="n"/>
      <c r="HL7" s="70" t="n"/>
      <c r="HM7" s="70" t="n"/>
      <c r="HN7" s="70" t="n"/>
      <c r="HO7" s="70" t="n"/>
      <c r="HP7" s="70" t="n"/>
      <c r="HQ7" s="70" t="n"/>
      <c r="HR7" s="70" t="n"/>
      <c r="HS7" s="70" t="n"/>
      <c r="HT7" s="70" t="n"/>
      <c r="HU7" s="70" t="n"/>
      <c r="JF7" s="70" t="n"/>
      <c r="JG7" s="70" t="n"/>
      <c r="JH7" s="70" t="n"/>
      <c r="JI7" s="70" t="n"/>
      <c r="JM7" s="70" t="n"/>
      <c r="JR7" s="65">
        <f>A7</f>
        <v/>
      </c>
      <c r="JT7" s="458" t="n"/>
      <c r="KG7" s="129" t="n"/>
      <c r="KH7" s="233" t="n"/>
    </row>
    <row r="8" ht="16.2" customHeight="1">
      <c r="A8" s="54" t="inlineStr">
        <is>
          <t>ITBI</t>
        </is>
      </c>
      <c r="B8" s="130">
        <f>SUM(C8:AP8)</f>
        <v/>
      </c>
      <c r="C8" s="67" t="n"/>
      <c r="D8" s="69" t="n"/>
      <c r="E8" s="67" t="n"/>
      <c r="F8" s="67" t="n"/>
      <c r="G8" s="67" t="n"/>
      <c r="H8" s="67" t="n"/>
      <c r="I8" s="68" t="n"/>
      <c r="J8" s="209" t="n"/>
      <c r="K8" s="120" t="n"/>
      <c r="L8" s="511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>
        <v>338614.6800000001</v>
      </c>
      <c r="AC8" s="210" t="n">
        <v>371549.5</v>
      </c>
      <c r="AD8" s="210" t="n">
        <v>148554.82</v>
      </c>
      <c r="AE8" s="210" t="n">
        <v>170837.48</v>
      </c>
      <c r="AF8" s="210" t="n">
        <v>191671.94</v>
      </c>
      <c r="AG8" s="210" t="n">
        <v>135342.79</v>
      </c>
      <c r="AH8" s="210" t="n">
        <v>107538.42</v>
      </c>
      <c r="AI8" s="210" t="n">
        <v>89467.66</v>
      </c>
      <c r="AJ8" s="210" t="n">
        <v>89498.31000000001</v>
      </c>
      <c r="AK8" s="210" t="n">
        <v>150726.26</v>
      </c>
      <c r="AL8" s="210" t="n">
        <v>202733.57</v>
      </c>
      <c r="AM8" s="210" t="n">
        <v>93610.35000000002</v>
      </c>
      <c r="AN8" s="210" t="n">
        <v>102176.17</v>
      </c>
      <c r="AO8" s="210" t="n">
        <v>121648.43</v>
      </c>
      <c r="AP8" s="210" t="n">
        <v>76491.70999999999</v>
      </c>
      <c r="AQ8" s="71" t="n"/>
      <c r="AR8" s="342">
        <f>SUM(AT8:HU8)</f>
        <v/>
      </c>
      <c r="AS8" s="71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0" t="n"/>
      <c r="BC8" s="330" t="n"/>
      <c r="BD8" s="330" t="n"/>
      <c r="BE8" s="330" t="n"/>
      <c r="BF8" s="330" t="n"/>
      <c r="BG8" s="330" t="n"/>
      <c r="BH8" s="330" t="n"/>
      <c r="BI8" s="330" t="n"/>
      <c r="BJ8" s="330" t="n"/>
      <c r="BK8" s="330" t="n"/>
      <c r="BL8" s="330" t="n"/>
      <c r="BM8" s="330" t="n"/>
      <c r="BN8" s="330" t="n"/>
      <c r="BO8" s="330" t="n"/>
      <c r="BP8" s="330" t="n"/>
      <c r="BQ8" s="330" t="n"/>
      <c r="BR8" s="330" t="n"/>
      <c r="BS8" s="330" t="n"/>
      <c r="BT8" s="330" t="n"/>
      <c r="BU8" s="330" t="n"/>
      <c r="BV8" s="330" t="n"/>
      <c r="BW8" s="330" t="n"/>
      <c r="BX8" s="330" t="n"/>
      <c r="BY8" s="330" t="n"/>
      <c r="BZ8" s="330" t="n"/>
      <c r="CA8" s="330" t="n"/>
      <c r="CB8" s="330" t="n"/>
      <c r="CC8" s="330" t="n"/>
      <c r="CD8" s="330" t="n"/>
      <c r="CE8" s="330" t="n"/>
      <c r="CF8" s="330" t="n"/>
      <c r="CG8" s="330" t="n"/>
      <c r="CH8" s="330" t="n"/>
      <c r="CI8" s="330" t="n"/>
      <c r="CJ8" s="330" t="n"/>
      <c r="CK8" s="330" t="n"/>
      <c r="CL8" s="330" t="n"/>
      <c r="CM8" s="330" t="n"/>
      <c r="CN8" s="330" t="n"/>
      <c r="CO8" s="330" t="n"/>
      <c r="CP8" s="330" t="n"/>
      <c r="CQ8" s="330" t="n"/>
      <c r="CR8" s="330" t="n"/>
      <c r="CS8" s="330" t="n"/>
      <c r="CT8" s="330" t="n"/>
      <c r="CU8" s="330" t="n"/>
      <c r="CV8" s="330" t="n"/>
      <c r="CW8" s="330" t="n"/>
      <c r="CX8" s="330" t="n"/>
      <c r="CY8" s="330" t="n"/>
      <c r="CZ8" s="330" t="n"/>
      <c r="DA8" s="330" t="n"/>
      <c r="DB8" s="330" t="n"/>
      <c r="DC8" s="330" t="n"/>
      <c r="DD8" s="330" t="n"/>
      <c r="DE8" s="330" t="n"/>
      <c r="DF8" s="330" t="n"/>
      <c r="DG8" s="330" t="n"/>
      <c r="DH8" s="330" t="n"/>
      <c r="DI8" s="330" t="n"/>
      <c r="DJ8" s="330" t="n"/>
      <c r="DK8" s="330" t="n"/>
      <c r="DL8" s="330" t="n"/>
      <c r="DM8" s="330" t="n"/>
      <c r="DN8" s="330" t="n"/>
      <c r="DO8" s="330" t="n"/>
      <c r="DP8" s="330" t="n"/>
      <c r="DQ8" s="330" t="n"/>
      <c r="DR8" s="330" t="n"/>
      <c r="DS8" s="330" t="n"/>
      <c r="DT8" s="330" t="n"/>
      <c r="DU8" s="330" t="n"/>
      <c r="DV8" s="330" t="n"/>
      <c r="DW8" s="330" t="n"/>
      <c r="DX8" s="330" t="n"/>
      <c r="DY8" s="330" t="n"/>
      <c r="DZ8" s="330" t="n"/>
      <c r="EA8" s="330" t="n"/>
      <c r="EB8" s="330" t="n"/>
      <c r="EC8" s="330" t="n"/>
      <c r="ED8" s="330" t="n"/>
      <c r="EE8" s="330" t="n"/>
      <c r="EF8" s="330" t="n"/>
      <c r="EG8" s="330" t="n"/>
      <c r="EH8" s="330" t="n"/>
      <c r="EI8" s="330" t="n"/>
      <c r="EJ8" s="330" t="n"/>
      <c r="EK8" s="330" t="n"/>
      <c r="EL8" s="330" t="n"/>
      <c r="EM8" s="330" t="n"/>
      <c r="EN8" s="330" t="n"/>
      <c r="EO8" s="330" t="n"/>
      <c r="EP8" s="330" t="n"/>
      <c r="EQ8" s="330" t="n"/>
      <c r="ER8" s="330" t="n"/>
      <c r="ES8" s="330" t="n"/>
      <c r="ET8" s="330" t="n"/>
      <c r="EU8" s="330" t="n"/>
      <c r="EV8" s="330" t="n"/>
      <c r="EW8" s="330" t="n"/>
      <c r="EX8" s="330" t="n"/>
      <c r="EY8" s="330" t="n"/>
      <c r="EZ8" s="330" t="n"/>
      <c r="FA8" s="330" t="n"/>
      <c r="FB8" s="330" t="n"/>
      <c r="FC8" s="330" t="n"/>
      <c r="FD8" s="330" t="n"/>
      <c r="FE8" s="330" t="n"/>
      <c r="FF8" s="330" t="n"/>
      <c r="FG8" s="330" t="n"/>
      <c r="FH8" s="330" t="n"/>
      <c r="FI8" s="330" t="n"/>
      <c r="FJ8" s="330" t="n"/>
      <c r="FK8" s="330" t="n"/>
      <c r="FL8" s="330" t="n"/>
      <c r="FM8" s="330" t="n"/>
      <c r="FN8" s="330" t="n"/>
      <c r="FO8" s="330" t="n"/>
      <c r="FP8" s="330" t="n"/>
      <c r="FQ8" s="330" t="n"/>
      <c r="FR8" s="330" t="n"/>
      <c r="FS8" s="330" t="n"/>
      <c r="FT8" s="330" t="n"/>
      <c r="FU8" s="330" t="n"/>
      <c r="FV8" s="330" t="n"/>
      <c r="FW8" s="330" t="n"/>
      <c r="FX8" s="330" t="n"/>
      <c r="FY8" s="330" t="n"/>
      <c r="FZ8" s="330" t="n"/>
      <c r="GA8" s="330" t="n"/>
      <c r="GB8" s="330" t="n"/>
      <c r="GC8" s="330" t="n"/>
      <c r="GD8" s="330" t="n"/>
      <c r="GE8" s="330" t="n"/>
      <c r="GF8" s="330" t="n"/>
      <c r="GG8" s="330" t="n"/>
      <c r="GH8" s="330" t="n"/>
      <c r="GI8" s="330" t="n"/>
      <c r="GJ8" s="330" t="n"/>
      <c r="GK8" s="330" t="n"/>
      <c r="GL8" s="330" t="n"/>
      <c r="GM8" s="330" t="n"/>
      <c r="GN8" s="330" t="n"/>
      <c r="GO8" s="330" t="n"/>
      <c r="GP8" s="330" t="n"/>
      <c r="GQ8" s="330" t="n"/>
      <c r="GR8" s="330" t="n"/>
      <c r="GS8" s="330" t="n"/>
      <c r="GT8" s="330" t="n"/>
      <c r="GU8" s="330" t="n"/>
      <c r="GV8" s="330" t="n"/>
      <c r="GW8" s="330" t="n"/>
      <c r="GX8" s="330" t="n"/>
      <c r="GY8" s="330" t="n"/>
      <c r="GZ8" s="330" t="n"/>
      <c r="HA8" s="330" t="n"/>
      <c r="HB8" s="330" t="n"/>
      <c r="HC8" s="330" t="n"/>
      <c r="HD8" s="330" t="n"/>
      <c r="HE8" s="330" t="n"/>
      <c r="HF8" s="330" t="n"/>
      <c r="HG8" s="330" t="n"/>
      <c r="HH8" s="330" t="n"/>
      <c r="HI8" s="330" t="n"/>
      <c r="HJ8" s="330" t="n"/>
      <c r="HK8" s="330" t="n"/>
      <c r="HL8" s="330" t="n"/>
      <c r="HM8" s="330" t="n"/>
      <c r="HN8" s="330" t="n"/>
      <c r="HO8" s="330" t="n"/>
      <c r="HP8" s="330" t="n"/>
      <c r="HQ8" s="330" t="n"/>
      <c r="HR8" s="330" t="n"/>
      <c r="HS8" s="330" t="n"/>
      <c r="HT8" s="330" t="n"/>
      <c r="HU8" s="330" t="n"/>
      <c r="JF8" s="330">
        <f>AP8</f>
        <v/>
      </c>
      <c r="JG8" s="330">
        <f>SUM(Z8:AK8)</f>
        <v/>
      </c>
      <c r="JH8" s="330">
        <f>SUM(AL8:AP8)</f>
        <v/>
      </c>
      <c r="JI8" s="330">
        <f>SUM(C8:AP8)</f>
        <v/>
      </c>
      <c r="JJ8" s="446" t="n"/>
      <c r="JM8" s="330" t="n"/>
      <c r="JR8" s="54">
        <f>A8</f>
        <v/>
      </c>
      <c r="JS8" s="330">
        <f>SUM(C8:AP8)</f>
        <v/>
      </c>
      <c r="JT8" s="459" t="n"/>
      <c r="JU8" s="330">
        <f>SUM(AT8:AZ8)</f>
        <v/>
      </c>
      <c r="JV8" s="330">
        <f>SUM(BA8:BL8)</f>
        <v/>
      </c>
      <c r="JW8" s="330">
        <f>SUM(BM8:BX8)</f>
        <v/>
      </c>
      <c r="JX8" s="330">
        <f>SUM(BY8:CJ8)</f>
        <v/>
      </c>
      <c r="JY8" s="330">
        <f>SUM(CK8:CV8)</f>
        <v/>
      </c>
      <c r="JZ8" s="330">
        <f>SUM(CW8:HU8)</f>
        <v/>
      </c>
      <c r="KG8" s="130">
        <f>B8</f>
        <v/>
      </c>
      <c r="KH8" s="342">
        <f>AR8</f>
        <v/>
      </c>
    </row>
    <row r="9" ht="16.2" customHeight="1">
      <c r="A9" s="329" t="inlineStr">
        <is>
          <t>Receitas Contratadas</t>
        </is>
      </c>
      <c r="B9" s="130">
        <f>SUM(C9:AP9)</f>
        <v/>
      </c>
      <c r="C9" s="85" t="n"/>
      <c r="D9" s="87" t="n"/>
      <c r="E9" s="85" t="n"/>
      <c r="F9" s="85" t="n"/>
      <c r="G9" s="85" t="n"/>
      <c r="H9" s="85" t="n"/>
      <c r="I9" s="86" t="n"/>
      <c r="J9" s="211" t="n"/>
      <c r="K9" s="117" t="n"/>
      <c r="L9" s="117" t="n"/>
      <c r="M9" s="212" t="n"/>
      <c r="N9" s="212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>
        <v>2857997.660000001</v>
      </c>
      <c r="AC9" s="212" t="n">
        <v>3156158.31</v>
      </c>
      <c r="AD9" s="212" t="n">
        <v>1788940.75</v>
      </c>
      <c r="AE9" s="212">
        <f>3240637.47-AE8+19092.42</f>
        <v/>
      </c>
      <c r="AF9" s="212" t="n">
        <v>1881026.59</v>
      </c>
      <c r="AG9" s="212" t="n">
        <v>2310558.13</v>
      </c>
      <c r="AH9" s="212">
        <f>2548839.41-78352.42</f>
        <v/>
      </c>
      <c r="AI9" s="212" t="n">
        <v>2551921.93</v>
      </c>
      <c r="AJ9" s="212">
        <f>2138552.83-41382.42</f>
        <v/>
      </c>
      <c r="AK9" s="212" t="n">
        <v>4079024.849999999</v>
      </c>
      <c r="AL9" s="212" t="n">
        <v>4698660.810000001</v>
      </c>
      <c r="AM9" s="212" t="n">
        <v>3087731.23</v>
      </c>
      <c r="AN9" s="212">
        <f>7279760.12-30654.55</f>
        <v/>
      </c>
      <c r="AO9" s="212">
        <f>3684860.85-29012.57-24791.61</f>
        <v/>
      </c>
      <c r="AP9" s="212" t="n">
        <v>3243847.88</v>
      </c>
      <c r="AQ9" s="71" t="n"/>
      <c r="AR9" s="342">
        <f>SUM(AT9:HU9)</f>
        <v/>
      </c>
      <c r="AS9" s="71" t="n"/>
      <c r="AT9" s="330" t="n">
        <v>3574821.41</v>
      </c>
      <c r="AU9" s="330" t="n">
        <v>2767000.73</v>
      </c>
      <c r="AV9" s="330" t="n">
        <v>2446947.659999999</v>
      </c>
      <c r="AW9" s="330" t="n">
        <v>3652273.539999999</v>
      </c>
      <c r="AX9" s="330" t="n">
        <v>2932990.98</v>
      </c>
      <c r="AY9" s="330" t="n">
        <v>2528178.009999999</v>
      </c>
      <c r="AZ9" s="330" t="n">
        <v>3753790.289999999</v>
      </c>
      <c r="BA9" s="330" t="n">
        <v>4012049.61</v>
      </c>
      <c r="BB9" s="330" t="n">
        <v>3544053.89</v>
      </c>
      <c r="BC9" s="330" t="n">
        <v>3455923.519999999</v>
      </c>
      <c r="BD9" s="330" t="n">
        <v>3435572.26</v>
      </c>
      <c r="BE9" s="330" t="n">
        <v>2126327.37</v>
      </c>
      <c r="BF9" s="330" t="n">
        <v>1595056.27</v>
      </c>
      <c r="BG9" s="330" t="n">
        <v>1682126.52</v>
      </c>
      <c r="BH9" s="330" t="n">
        <v>1531678.26</v>
      </c>
      <c r="BI9" s="330" t="n">
        <v>1005222.87</v>
      </c>
      <c r="BJ9" s="330" t="n">
        <v>965285.41</v>
      </c>
      <c r="BK9" s="330" t="n">
        <v>1636485.08</v>
      </c>
      <c r="BL9" s="330" t="n">
        <v>1675939.04</v>
      </c>
      <c r="BM9" s="330" t="n">
        <v>913661.5099999999</v>
      </c>
      <c r="BN9" s="330" t="n">
        <v>799107.12</v>
      </c>
      <c r="BO9" s="330" t="n">
        <v>1148317.94</v>
      </c>
      <c r="BP9" s="330" t="n">
        <v>1245834.129999999</v>
      </c>
      <c r="BQ9" s="330" t="n">
        <v>688488.9899999999</v>
      </c>
      <c r="BR9" s="330" t="n">
        <v>475750.0699999999</v>
      </c>
      <c r="BS9" s="330" t="n">
        <v>483123.5599999999</v>
      </c>
      <c r="BT9" s="330" t="n">
        <v>573091.6699999999</v>
      </c>
      <c r="BU9" s="330" t="n">
        <v>445746.7899999999</v>
      </c>
      <c r="BV9" s="330" t="n">
        <v>445746.7299999999</v>
      </c>
      <c r="BW9" s="330" t="n">
        <v>467823.3599999999</v>
      </c>
      <c r="BX9" s="330" t="n">
        <v>445746.7299999999</v>
      </c>
      <c r="BY9" s="330" t="n">
        <v>443425.3899999999</v>
      </c>
      <c r="BZ9" s="330" t="n">
        <v>367739.2399999999</v>
      </c>
      <c r="CA9" s="330" t="n">
        <v>393894.6799999999</v>
      </c>
      <c r="CB9" s="330" t="n">
        <v>628058.54</v>
      </c>
      <c r="CC9" s="330" t="n">
        <v>835888.2499999999</v>
      </c>
      <c r="CD9" s="330" t="n">
        <v>365111.1699999999</v>
      </c>
      <c r="CE9" s="330" t="n">
        <v>422908.01</v>
      </c>
      <c r="CF9" s="330" t="n">
        <v>492947.79</v>
      </c>
      <c r="CG9" s="330" t="n">
        <v>366947.0499999999</v>
      </c>
      <c r="CH9" s="330" t="n">
        <v>366947.1199999999</v>
      </c>
      <c r="CI9" s="330" t="n">
        <v>380365.0999999999</v>
      </c>
      <c r="CJ9" s="330" t="n">
        <v>358288.4699999999</v>
      </c>
      <c r="CK9" s="330" t="n">
        <v>407361.5899999999</v>
      </c>
      <c r="CL9" s="330" t="n">
        <v>358288.4699999999</v>
      </c>
      <c r="CM9" s="330" t="n">
        <v>372054.76</v>
      </c>
      <c r="CN9" s="330" t="n">
        <v>633307.2700000001</v>
      </c>
      <c r="CO9" s="330" t="n">
        <v>760631.49</v>
      </c>
      <c r="CP9" s="330" t="n">
        <v>354866.26</v>
      </c>
      <c r="CQ9" s="330" t="n">
        <v>418462.35</v>
      </c>
      <c r="CR9" s="330" t="n">
        <v>355407.3199999999</v>
      </c>
      <c r="CS9" s="330" t="n">
        <v>355407.27</v>
      </c>
      <c r="CT9" s="330" t="n">
        <v>355407.27</v>
      </c>
      <c r="CU9" s="330" t="n">
        <v>377483.9</v>
      </c>
      <c r="CV9" s="330" t="n">
        <v>344499.8199999999</v>
      </c>
      <c r="CW9" s="330" t="n">
        <v>393572.9399999999</v>
      </c>
      <c r="CX9" s="330" t="n">
        <v>344499.8199999999</v>
      </c>
      <c r="CY9" s="330" t="n">
        <v>370765.27</v>
      </c>
      <c r="CZ9" s="330" t="n">
        <v>644037.2600000001</v>
      </c>
      <c r="DA9" s="330" t="n">
        <v>652601.6</v>
      </c>
      <c r="DB9" s="330" t="n">
        <v>332584.3799999999</v>
      </c>
      <c r="DC9" s="330" t="n">
        <v>421539.19</v>
      </c>
      <c r="DD9" s="330" t="n">
        <v>333179.6799999999</v>
      </c>
      <c r="DE9" s="330" t="n">
        <v>333179.7</v>
      </c>
      <c r="DF9" s="330" t="n">
        <v>333179.7</v>
      </c>
      <c r="DG9" s="330" t="n">
        <v>355256.33</v>
      </c>
      <c r="DH9" s="330" t="n">
        <v>333179.7</v>
      </c>
      <c r="DI9" s="330" t="n">
        <v>382252.8199999999</v>
      </c>
      <c r="DJ9" s="330" t="n">
        <v>333179.7</v>
      </c>
      <c r="DK9" s="330" t="n">
        <v>359415.99</v>
      </c>
      <c r="DL9" s="330" t="n">
        <v>655336.5200000001</v>
      </c>
      <c r="DM9" s="330" t="n">
        <v>355909.5599999999</v>
      </c>
      <c r="DN9" s="330" t="n">
        <v>333832.92</v>
      </c>
      <c r="DO9" s="330" t="n">
        <v>431713.34</v>
      </c>
      <c r="DP9" s="330" t="n">
        <v>334487.99</v>
      </c>
      <c r="DQ9" s="330" t="n">
        <v>334487.95</v>
      </c>
      <c r="DR9" s="330" t="n">
        <v>334487.95</v>
      </c>
      <c r="DS9" s="330" t="n">
        <v>356564.58</v>
      </c>
      <c r="DT9" s="330" t="n">
        <v>334487.95</v>
      </c>
      <c r="DU9" s="330" t="n">
        <v>383561.0699999999</v>
      </c>
      <c r="DV9" s="330" t="n">
        <v>334487.95</v>
      </c>
      <c r="DW9" s="330" t="n">
        <v>360650.28</v>
      </c>
      <c r="DX9" s="330" t="n">
        <v>531581.8100000002</v>
      </c>
      <c r="DY9" s="330" t="n">
        <v>289043.6900000001</v>
      </c>
      <c r="DZ9" s="330" t="n">
        <v>249797.02</v>
      </c>
      <c r="EA9" s="330" t="n">
        <v>325590.01</v>
      </c>
      <c r="EB9" s="330" t="n">
        <v>201524.8600000001</v>
      </c>
      <c r="EC9" s="330" t="n">
        <v>177058.5300000001</v>
      </c>
      <c r="ED9" s="330" t="n">
        <v>165595.82</v>
      </c>
      <c r="EE9" s="330" t="n">
        <v>187672.45</v>
      </c>
      <c r="EF9" s="330" t="n">
        <v>151718.75</v>
      </c>
      <c r="EG9" s="330" t="n">
        <v>186523.8400000001</v>
      </c>
      <c r="EH9" s="330" t="n">
        <v>114989.8</v>
      </c>
      <c r="EI9" s="330" t="n">
        <v>101752.25</v>
      </c>
      <c r="EJ9" s="330" t="n">
        <v>72859.21000000001</v>
      </c>
      <c r="EK9" s="330" t="n">
        <v>37160.03</v>
      </c>
      <c r="EL9" s="330" t="n">
        <v>0</v>
      </c>
      <c r="EM9" s="330" t="n">
        <v>0</v>
      </c>
      <c r="EN9" s="330" t="n">
        <v>0</v>
      </c>
      <c r="EO9" s="330" t="n">
        <v>0</v>
      </c>
      <c r="EP9" s="330" t="n">
        <v>0</v>
      </c>
      <c r="EQ9" s="330" t="n">
        <v>0</v>
      </c>
      <c r="ER9" s="330" t="n">
        <v>0</v>
      </c>
      <c r="ES9" s="330" t="n">
        <v>0</v>
      </c>
      <c r="ET9" s="330" t="n">
        <v>0</v>
      </c>
      <c r="EU9" s="330" t="n">
        <v>0</v>
      </c>
      <c r="EV9" s="330" t="n">
        <v>0</v>
      </c>
      <c r="EW9" s="330" t="n">
        <v>0</v>
      </c>
      <c r="EX9" s="330" t="n">
        <v>0</v>
      </c>
      <c r="EY9" s="330" t="n">
        <v>0</v>
      </c>
      <c r="EZ9" s="330" t="n">
        <v>0</v>
      </c>
      <c r="FA9" s="330" t="n">
        <v>0</v>
      </c>
      <c r="FB9" s="330" t="n">
        <v>0</v>
      </c>
      <c r="FC9" s="330" t="n">
        <v>0</v>
      </c>
      <c r="FD9" s="330" t="n">
        <v>0</v>
      </c>
      <c r="FE9" s="330" t="n">
        <v>0</v>
      </c>
      <c r="FF9" s="330" t="n">
        <v>0</v>
      </c>
      <c r="FG9" s="330" t="n">
        <v>0</v>
      </c>
      <c r="FH9" s="330" t="n">
        <v>0</v>
      </c>
      <c r="FI9" s="330" t="n">
        <v>0</v>
      </c>
      <c r="FJ9" s="330" t="n">
        <v>0</v>
      </c>
      <c r="FK9" s="330" t="n">
        <v>0</v>
      </c>
      <c r="FL9" s="330" t="n">
        <v>0</v>
      </c>
      <c r="FM9" s="330" t="n">
        <v>0</v>
      </c>
      <c r="FN9" s="330" t="n">
        <v>0</v>
      </c>
      <c r="FO9" s="330" t="n">
        <v>0</v>
      </c>
      <c r="FP9" s="330" t="n">
        <v>0</v>
      </c>
      <c r="FQ9" s="330" t="n">
        <v>0</v>
      </c>
      <c r="FR9" s="330" t="n">
        <v>0</v>
      </c>
      <c r="FS9" s="330" t="n">
        <v>0</v>
      </c>
      <c r="FT9" s="330" t="n">
        <v>0</v>
      </c>
      <c r="FU9" s="330" t="n">
        <v>0</v>
      </c>
      <c r="FV9" s="330" t="n">
        <v>0</v>
      </c>
      <c r="FW9" s="330" t="n">
        <v>0</v>
      </c>
      <c r="FX9" s="330" t="n">
        <v>0</v>
      </c>
      <c r="FY9" s="330" t="n">
        <v>0</v>
      </c>
      <c r="FZ9" s="330" t="n">
        <v>0</v>
      </c>
      <c r="GA9" s="330" t="n">
        <v>0</v>
      </c>
      <c r="GB9" s="330" t="n">
        <v>0</v>
      </c>
      <c r="GC9" s="330" t="n">
        <v>0</v>
      </c>
      <c r="GD9" s="330" t="n">
        <v>0</v>
      </c>
      <c r="GE9" s="330" t="n">
        <v>0</v>
      </c>
      <c r="GF9" s="330" t="n">
        <v>0</v>
      </c>
      <c r="GG9" s="330" t="n">
        <v>0</v>
      </c>
      <c r="GH9" s="330" t="n">
        <v>0</v>
      </c>
      <c r="GI9" s="330" t="n">
        <v>0</v>
      </c>
      <c r="GJ9" s="330" t="n">
        <v>0</v>
      </c>
      <c r="GK9" s="330" t="n">
        <v>0</v>
      </c>
      <c r="GL9" s="330" t="n">
        <v>0</v>
      </c>
      <c r="GM9" s="330" t="n">
        <v>0</v>
      </c>
      <c r="GN9" s="330" t="n">
        <v>0</v>
      </c>
      <c r="GO9" s="330" t="n">
        <v>0</v>
      </c>
      <c r="GP9" s="330" t="n">
        <v>0</v>
      </c>
      <c r="GQ9" s="330" t="n">
        <v>0</v>
      </c>
      <c r="GR9" s="330" t="n">
        <v>0</v>
      </c>
      <c r="GS9" s="330" t="n">
        <v>0</v>
      </c>
      <c r="GT9" s="330" t="n">
        <v>0</v>
      </c>
      <c r="GU9" s="330" t="n">
        <v>0</v>
      </c>
      <c r="GV9" s="330" t="n">
        <v>0</v>
      </c>
      <c r="GW9" s="330" t="n">
        <v>0</v>
      </c>
      <c r="GX9" s="330" t="n">
        <v>0</v>
      </c>
      <c r="GY9" s="330" t="n">
        <v>0</v>
      </c>
      <c r="GZ9" s="330" t="n">
        <v>0</v>
      </c>
      <c r="HA9" s="330" t="n">
        <v>0</v>
      </c>
      <c r="HB9" s="330" t="n">
        <v>0</v>
      </c>
      <c r="HC9" s="330" t="n">
        <v>0</v>
      </c>
      <c r="HD9" s="330" t="n">
        <v>0</v>
      </c>
      <c r="HE9" s="330" t="n">
        <v>0</v>
      </c>
      <c r="HF9" s="330" t="n">
        <v>0</v>
      </c>
      <c r="HG9" s="330" t="n">
        <v>0</v>
      </c>
      <c r="HH9" s="330" t="n">
        <v>0</v>
      </c>
      <c r="HI9" s="330" t="n">
        <v>0</v>
      </c>
      <c r="HJ9" s="330" t="n">
        <v>0</v>
      </c>
      <c r="HK9" s="330" t="n">
        <v>0</v>
      </c>
      <c r="HL9" s="330" t="n">
        <v>0</v>
      </c>
      <c r="HM9" s="330" t="n">
        <v>0</v>
      </c>
      <c r="HN9" s="330" t="n">
        <v>0</v>
      </c>
      <c r="HO9" s="330" t="n">
        <v>0</v>
      </c>
      <c r="HP9" s="330" t="n">
        <v>0</v>
      </c>
      <c r="HQ9" s="330" t="n">
        <v>0</v>
      </c>
      <c r="HR9" s="330" t="n">
        <v>0</v>
      </c>
      <c r="HS9" s="330" t="n">
        <v>0</v>
      </c>
      <c r="HT9" s="330" t="n">
        <v>0</v>
      </c>
      <c r="HU9" s="330" t="n">
        <v>0</v>
      </c>
      <c r="JF9" s="330">
        <f>AP9</f>
        <v/>
      </c>
      <c r="JG9" s="330">
        <f>SUM(Z9:AK9)</f>
        <v/>
      </c>
      <c r="JH9" s="330">
        <f>SUM(AL9:AP9)</f>
        <v/>
      </c>
      <c r="JI9" s="330">
        <f>SUM(C9:AP9)</f>
        <v/>
      </c>
      <c r="JJ9" s="446" t="n"/>
      <c r="JM9" s="330" t="n">
        <v>2014799.12</v>
      </c>
      <c r="JR9" s="329">
        <f>A9</f>
        <v/>
      </c>
      <c r="JS9" s="330">
        <f>SUM(C9:AP9)</f>
        <v/>
      </c>
      <c r="JT9" s="459" t="n"/>
      <c r="JU9" s="330">
        <f>SUM(AT9:AZ9)</f>
        <v/>
      </c>
      <c r="JV9" s="330">
        <f>SUM(BA9:BL9)</f>
        <v/>
      </c>
      <c r="JW9" s="330">
        <f>SUM(BM9:BX9)</f>
        <v/>
      </c>
      <c r="JX9" s="330">
        <f>SUM(BY9:CJ9)</f>
        <v/>
      </c>
      <c r="JY9" s="330">
        <f>SUM(CK9:CV9)</f>
        <v/>
      </c>
      <c r="JZ9" s="330">
        <f>SUM(CW9:HU9)</f>
        <v/>
      </c>
      <c r="KG9" s="130">
        <f>B9</f>
        <v/>
      </c>
      <c r="KH9" s="342">
        <f>AR9</f>
        <v/>
      </c>
      <c r="KJ9" s="446">
        <f>+KG9+KH9+KH12</f>
        <v/>
      </c>
    </row>
    <row r="10" ht="7.2" customHeight="1">
      <c r="A10" s="1" t="n"/>
      <c r="B10" s="128" t="n"/>
      <c r="C10" s="1" t="n"/>
      <c r="D10" s="1" t="n"/>
      <c r="E10" s="1" t="n"/>
      <c r="F10" s="1" t="n"/>
      <c r="G10" s="1" t="n"/>
      <c r="H10" s="1" t="n"/>
      <c r="I10" s="1" t="n"/>
      <c r="J10" s="156" t="n"/>
      <c r="K10" s="1" t="n"/>
      <c r="L10" s="1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  <c r="W10" s="157" t="n"/>
      <c r="X10" s="157" t="n"/>
      <c r="Y10" s="157" t="n"/>
      <c r="Z10" s="157" t="n"/>
      <c r="AA10" s="157" t="n"/>
      <c r="AB10" s="157" t="n"/>
      <c r="AC10" s="157" t="n"/>
      <c r="AD10" s="157" t="n"/>
      <c r="AE10" s="157" t="n"/>
      <c r="AF10" s="157" t="n"/>
      <c r="AG10" s="157" t="n"/>
      <c r="AH10" s="157" t="n"/>
      <c r="AI10" s="157" t="n"/>
      <c r="AJ10" s="157" t="n"/>
      <c r="AK10" s="157" t="n"/>
      <c r="AL10" s="157" t="n"/>
      <c r="AM10" s="157" t="n"/>
      <c r="AN10" s="157" t="n"/>
      <c r="AO10" s="157" t="n"/>
      <c r="AP10" s="157" t="n"/>
      <c r="AQ10" s="1" t="n"/>
      <c r="AR10" s="128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289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89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289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289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289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JF10" s="1">
        <f>AP10</f>
        <v/>
      </c>
      <c r="JG10" s="1">
        <f>SUM(Z10:AK10)</f>
        <v/>
      </c>
      <c r="JH10" s="1">
        <f>SUM(AL10:AP10)</f>
        <v/>
      </c>
      <c r="JI10" s="1">
        <f>SUM(C10:AP10)</f>
        <v/>
      </c>
      <c r="JJ10" s="446" t="n"/>
      <c r="JM10" s="1" t="n"/>
      <c r="JR10" s="1">
        <f>A10</f>
        <v/>
      </c>
      <c r="JS10" s="1">
        <f>SUM(C10:AP10)</f>
        <v/>
      </c>
      <c r="JT10" s="460" t="n"/>
      <c r="JU10" s="1">
        <f>SUM(AT10:AZ10)</f>
        <v/>
      </c>
      <c r="JV10" s="1">
        <f>SUM(BA10:BL10)</f>
        <v/>
      </c>
      <c r="JW10" s="1">
        <f>SUM(BM10:BX10)</f>
        <v/>
      </c>
      <c r="JX10" s="1">
        <f>SUM(BY10:CJ10)</f>
        <v/>
      </c>
      <c r="JY10" s="1">
        <f>SUM(CK10:CV10)</f>
        <v/>
      </c>
      <c r="JZ10" s="1">
        <f>SUM(CW10:HU10)</f>
        <v/>
      </c>
      <c r="KG10" s="128">
        <f>B10</f>
        <v/>
      </c>
      <c r="KH10" s="128">
        <f>AR10</f>
        <v/>
      </c>
    </row>
    <row r="11" ht="16.2" customFormat="1" customHeight="1" s="259">
      <c r="A11" s="65" t="inlineStr">
        <is>
          <t>PREVISÃO DE RECEITAS(ESTOQUE)</t>
        </is>
      </c>
      <c r="B11" s="129" t="n"/>
      <c r="C11" s="70" t="n"/>
      <c r="D11" s="70" t="n"/>
      <c r="E11" s="70" t="n"/>
      <c r="F11" s="70" t="n"/>
      <c r="G11" s="70" t="n"/>
      <c r="H11" s="70" t="n"/>
      <c r="I11" s="70" t="n"/>
      <c r="J11" s="155" t="n"/>
      <c r="K11" s="70" t="n"/>
      <c r="L11" s="70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8" t="n"/>
      <c r="AP11" s="208" t="n"/>
      <c r="AQ11" s="198" t="n"/>
      <c r="AR11" s="233" t="n"/>
      <c r="AS11" s="198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287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0" t="n"/>
      <c r="BP11" s="287" t="n"/>
      <c r="BQ11" s="70" t="n"/>
      <c r="BR11" s="70" t="n"/>
      <c r="BS11" s="70" t="n"/>
      <c r="BT11" s="70" t="n"/>
      <c r="BU11" s="70" t="n"/>
      <c r="BV11" s="70" t="n"/>
      <c r="BW11" s="70" t="n"/>
      <c r="BX11" s="70" t="n"/>
      <c r="BY11" s="70" t="n"/>
      <c r="BZ11" s="70" t="n"/>
      <c r="CA11" s="70" t="n"/>
      <c r="CB11" s="287" t="n"/>
      <c r="CC11" s="70" t="n"/>
      <c r="CD11" s="70" t="n"/>
      <c r="CE11" s="70" t="n"/>
      <c r="CF11" s="70" t="n"/>
      <c r="CG11" s="70" t="n"/>
      <c r="CH11" s="70" t="n"/>
      <c r="CI11" s="70" t="n"/>
      <c r="CJ11" s="70" t="n"/>
      <c r="CK11" s="70" t="n"/>
      <c r="CL11" s="70" t="n"/>
      <c r="CM11" s="70" t="n"/>
      <c r="CN11" s="287" t="n"/>
      <c r="CO11" s="70" t="n"/>
      <c r="CP11" s="70" t="n"/>
      <c r="CQ11" s="70" t="n"/>
      <c r="CR11" s="70" t="n"/>
      <c r="CS11" s="70" t="n"/>
      <c r="CT11" s="70" t="n"/>
      <c r="CU11" s="70" t="n"/>
      <c r="CV11" s="70" t="n"/>
      <c r="CW11" s="70" t="n"/>
      <c r="CX11" s="70" t="n"/>
      <c r="CY11" s="70" t="n"/>
      <c r="CZ11" s="287" t="n"/>
      <c r="DA11" s="70" t="n"/>
      <c r="DB11" s="70" t="n"/>
      <c r="DC11" s="70" t="n"/>
      <c r="DD11" s="70" t="n"/>
      <c r="DE11" s="70" t="n"/>
      <c r="DF11" s="70" t="n"/>
      <c r="DG11" s="70" t="n"/>
      <c r="DH11" s="70" t="n"/>
      <c r="DI11" s="70" t="n"/>
      <c r="DJ11" s="70" t="n"/>
      <c r="DK11" s="70" t="n"/>
      <c r="DL11" s="70" t="n"/>
      <c r="DM11" s="70" t="n"/>
      <c r="DN11" s="70" t="n"/>
      <c r="DO11" s="70" t="n"/>
      <c r="DP11" s="70" t="n"/>
      <c r="DQ11" s="70" t="n"/>
      <c r="DR11" s="70" t="n"/>
      <c r="DS11" s="70" t="n"/>
      <c r="DT11" s="70" t="n"/>
      <c r="DU11" s="70" t="n"/>
      <c r="DV11" s="70" t="n"/>
      <c r="DW11" s="70" t="n"/>
      <c r="DX11" s="70" t="n"/>
      <c r="DY11" s="70" t="n"/>
      <c r="DZ11" s="70" t="n"/>
      <c r="EA11" s="70" t="n"/>
      <c r="EB11" s="70" t="n"/>
      <c r="EC11" s="70" t="n"/>
      <c r="ED11" s="70" t="n"/>
      <c r="EE11" s="70" t="n"/>
      <c r="EF11" s="70" t="n"/>
      <c r="EG11" s="70" t="n"/>
      <c r="EH11" s="70" t="n"/>
      <c r="EI11" s="70" t="n"/>
      <c r="EJ11" s="70" t="n"/>
      <c r="EK11" s="70" t="n"/>
      <c r="EL11" s="70" t="n"/>
      <c r="EM11" s="70" t="n"/>
      <c r="EN11" s="70" t="n"/>
      <c r="EO11" s="70" t="n"/>
      <c r="EP11" s="70" t="n"/>
      <c r="EQ11" s="70" t="n"/>
      <c r="ER11" s="70" t="n"/>
      <c r="ES11" s="70" t="n"/>
      <c r="ET11" s="70" t="n"/>
      <c r="EU11" s="70" t="n"/>
      <c r="EV11" s="70" t="n"/>
      <c r="EW11" s="70" t="n"/>
      <c r="EX11" s="70" t="n"/>
      <c r="EY11" s="70" t="n"/>
      <c r="EZ11" s="70" t="n"/>
      <c r="FA11" s="70" t="n"/>
      <c r="FB11" s="70" t="n"/>
      <c r="FC11" s="70" t="n"/>
      <c r="FD11" s="70" t="n"/>
      <c r="FE11" s="70" t="n"/>
      <c r="FF11" s="70" t="n"/>
      <c r="FG11" s="70" t="n"/>
      <c r="FH11" s="70" t="n"/>
      <c r="FI11" s="70" t="n"/>
      <c r="FJ11" s="70" t="n"/>
      <c r="FK11" s="70" t="n"/>
      <c r="FL11" s="70" t="n"/>
      <c r="FM11" s="70" t="n"/>
      <c r="FN11" s="70" t="n"/>
      <c r="FO11" s="70" t="n"/>
      <c r="FP11" s="70" t="n"/>
      <c r="FQ11" s="70" t="n"/>
      <c r="FR11" s="70" t="n"/>
      <c r="FS11" s="70" t="n"/>
      <c r="FT11" s="70" t="n"/>
      <c r="FU11" s="70" t="n"/>
      <c r="FV11" s="70" t="n"/>
      <c r="FW11" s="70" t="n"/>
      <c r="FX11" s="70" t="n"/>
      <c r="FY11" s="70" t="n"/>
      <c r="FZ11" s="70" t="n"/>
      <c r="GA11" s="70" t="n"/>
      <c r="GB11" s="70" t="n"/>
      <c r="GC11" s="70" t="n"/>
      <c r="GD11" s="70" t="n"/>
      <c r="GE11" s="70" t="n"/>
      <c r="GF11" s="70" t="n"/>
      <c r="GG11" s="70" t="n"/>
      <c r="GH11" s="70" t="n"/>
      <c r="GI11" s="70" t="n"/>
      <c r="GJ11" s="70" t="n"/>
      <c r="GK11" s="70" t="n"/>
      <c r="GL11" s="70" t="n"/>
      <c r="GM11" s="70" t="n"/>
      <c r="GN11" s="70" t="n"/>
      <c r="GO11" s="70" t="n"/>
      <c r="GP11" s="70" t="n"/>
      <c r="GQ11" s="70" t="n"/>
      <c r="GR11" s="70" t="n"/>
      <c r="GS11" s="70" t="n"/>
      <c r="GT11" s="70" t="n"/>
      <c r="GU11" s="70" t="n"/>
      <c r="GV11" s="70" t="n"/>
      <c r="GW11" s="70" t="n"/>
      <c r="GX11" s="70" t="n"/>
      <c r="GY11" s="70" t="n"/>
      <c r="GZ11" s="70" t="n"/>
      <c r="HA11" s="70" t="n"/>
      <c r="HB11" s="70" t="n"/>
      <c r="HC11" s="70" t="n"/>
      <c r="HD11" s="70" t="n"/>
      <c r="HE11" s="70" t="n"/>
      <c r="HF11" s="70" t="n"/>
      <c r="HG11" s="70" t="n"/>
      <c r="HH11" s="70" t="n"/>
      <c r="HI11" s="70" t="n"/>
      <c r="HJ11" s="70" t="n"/>
      <c r="HK11" s="70" t="n"/>
      <c r="HL11" s="70" t="n"/>
      <c r="HM11" s="70" t="n"/>
      <c r="HN11" s="70" t="n"/>
      <c r="HO11" s="70" t="n"/>
      <c r="HP11" s="70" t="n"/>
      <c r="HQ11" s="70" t="n"/>
      <c r="HR11" s="70" t="n"/>
      <c r="HS11" s="70" t="n"/>
      <c r="HT11" s="70" t="n"/>
      <c r="HU11" s="70" t="n"/>
      <c r="JF11" s="70">
        <f>AP11</f>
        <v/>
      </c>
      <c r="JG11" s="70">
        <f>SUM(Z11:AK11)</f>
        <v/>
      </c>
      <c r="JH11" s="70">
        <f>SUM(AL11:AP11)</f>
        <v/>
      </c>
      <c r="JI11" s="70">
        <f>SUM(C11:AP11)</f>
        <v/>
      </c>
      <c r="JJ11" s="446" t="n"/>
      <c r="JM11" s="70" t="n"/>
      <c r="JR11" s="65">
        <f>A11</f>
        <v/>
      </c>
      <c r="JS11" s="70">
        <f>SUM(C11:AP11)</f>
        <v/>
      </c>
      <c r="JT11" s="461" t="n"/>
      <c r="JU11" s="70">
        <f>SUM(AT11:AZ11)</f>
        <v/>
      </c>
      <c r="JV11" s="70">
        <f>SUM(BA11:BL11)</f>
        <v/>
      </c>
      <c r="JW11" s="70">
        <f>SUM(BM11:BX11)</f>
        <v/>
      </c>
      <c r="JX11" s="70">
        <f>SUM(BY11:CJ11)</f>
        <v/>
      </c>
      <c r="JY11" s="70">
        <f>SUM(CK11:CV11)</f>
        <v/>
      </c>
      <c r="JZ11" s="70">
        <f>SUM(CW11:HU11)</f>
        <v/>
      </c>
      <c r="KG11" s="129">
        <f>B11</f>
        <v/>
      </c>
      <c r="KH11" s="233">
        <f>AR11</f>
        <v/>
      </c>
    </row>
    <row r="12" ht="16.2" customHeight="1" thickBot="1">
      <c r="A12" s="54" t="inlineStr">
        <is>
          <t>Vendas 05 Lotes a.m.</t>
        </is>
      </c>
      <c r="B12" s="130">
        <f>SUM(C12:AP12)</f>
        <v/>
      </c>
      <c r="C12" s="69" t="n">
        <v>0</v>
      </c>
      <c r="D12" s="69" t="n">
        <v>0</v>
      </c>
      <c r="E12" s="67" t="n">
        <v>0</v>
      </c>
      <c r="F12" s="67" t="n">
        <v>0</v>
      </c>
      <c r="G12" s="67" t="n">
        <v>0</v>
      </c>
      <c r="H12" s="67" t="n">
        <v>0</v>
      </c>
      <c r="I12" s="68" t="n">
        <v>0</v>
      </c>
      <c r="J12" s="213" t="n">
        <v>0</v>
      </c>
      <c r="K12" s="112" t="n">
        <v>0</v>
      </c>
      <c r="L12" s="112" t="n">
        <v>0</v>
      </c>
      <c r="M12" s="214" t="n">
        <v>0</v>
      </c>
      <c r="N12" s="214" t="n">
        <v>0</v>
      </c>
      <c r="O12" s="214" t="n">
        <v>0</v>
      </c>
      <c r="P12" s="214" t="n">
        <v>0</v>
      </c>
      <c r="Q12" s="214" t="n">
        <v>0</v>
      </c>
      <c r="R12" s="214" t="n">
        <v>0</v>
      </c>
      <c r="S12" s="214" t="n">
        <v>0</v>
      </c>
      <c r="T12" s="214" t="n">
        <v>0</v>
      </c>
      <c r="U12" s="214" t="n">
        <v>0</v>
      </c>
      <c r="V12" s="214" t="n">
        <v>0</v>
      </c>
      <c r="W12" s="214" t="n"/>
      <c r="X12" s="214" t="n"/>
      <c r="Y12" s="214" t="n"/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4" t="n"/>
      <c r="AP12" s="214" t="n"/>
      <c r="AQ12" s="71" t="n"/>
      <c r="AR12" s="342">
        <f>SUM(AT12:HU12)</f>
        <v/>
      </c>
      <c r="AS12" s="71" t="n"/>
      <c r="AT12" s="69" t="n">
        <v>1059857.360793</v>
      </c>
      <c r="AU12" s="69" t="n">
        <v>1229758.227800813</v>
      </c>
      <c r="AV12" s="69" t="n">
        <v>1430558.726318625</v>
      </c>
      <c r="AW12" s="69" t="n">
        <v>1605412.971373312</v>
      </c>
      <c r="AX12" s="69" t="n">
        <v>1780267.216428</v>
      </c>
      <c r="AY12" s="69" t="n">
        <v>1955121.461482687</v>
      </c>
      <c r="AZ12" s="69" t="n">
        <v>2129975.706537375</v>
      </c>
      <c r="BA12" s="69" t="n">
        <v>2335729.583102062</v>
      </c>
      <c r="BB12" s="69" t="n">
        <v>2515537.206203624</v>
      </c>
      <c r="BC12" s="69" t="n">
        <v>2695344.829305187</v>
      </c>
      <c r="BD12" s="69" t="n">
        <v>2875152.452406749</v>
      </c>
      <c r="BE12" s="69" t="n">
        <v>3054960.075508311</v>
      </c>
      <c r="BF12" s="69" t="n">
        <v>4490573.819254874</v>
      </c>
      <c r="BG12" s="69" t="n">
        <v>4619166.268873313</v>
      </c>
      <c r="BH12" s="69" t="n">
        <v>4783470.277941749</v>
      </c>
      <c r="BI12" s="69" t="n">
        <v>4910425.160460188</v>
      </c>
      <c r="BJ12" s="69" t="n">
        <v>5037380.042978625</v>
      </c>
      <c r="BK12" s="69" t="n">
        <v>5195234.557007062</v>
      </c>
      <c r="BL12" s="69" t="n">
        <v>5327142.817572375</v>
      </c>
      <c r="BM12" s="69" t="n">
        <v>5494762.637587687</v>
      </c>
      <c r="BN12" s="69" t="n">
        <v>5625033.331053001</v>
      </c>
      <c r="BO12" s="69" t="n">
        <v>5755304.024518314</v>
      </c>
      <c r="BP12" s="69" t="n">
        <v>5919564.312644626</v>
      </c>
      <c r="BQ12" s="69" t="n">
        <v>6055283.721961502</v>
      </c>
      <c r="BR12" s="69" t="n">
        <v>6226714.690728377</v>
      </c>
      <c r="BS12" s="69" t="n">
        <v>6271682.965613999</v>
      </c>
      <c r="BT12" s="69" t="n">
        <v>6316651.240499625</v>
      </c>
      <c r="BU12" s="69" t="n">
        <v>6393011.046858748</v>
      </c>
      <c r="BV12" s="69" t="n">
        <v>6440829.974408437</v>
      </c>
      <c r="BW12" s="69" t="n">
        <v>6524360.461408125</v>
      </c>
      <c r="BX12" s="69" t="n">
        <v>6570541.821857814</v>
      </c>
      <c r="BY12" s="69" t="n">
        <v>6616723.182307503</v>
      </c>
      <c r="BZ12" s="69" t="n">
        <v>6694296.074230691</v>
      </c>
      <c r="CA12" s="69" t="n">
        <v>6743328.087344442</v>
      </c>
      <c r="CB12" s="69" t="n">
        <v>6831642.815853191</v>
      </c>
      <c r="CC12" s="69" t="n">
        <v>6878873.50515694</v>
      </c>
      <c r="CD12" s="69" t="n">
        <v>6926104.194460689</v>
      </c>
      <c r="CE12" s="69" t="n">
        <v>6995364.989982938</v>
      </c>
      <c r="CF12" s="69" t="n">
        <v>7036084.906695749</v>
      </c>
      <c r="CG12" s="69" t="n">
        <v>6851931.757858159</v>
      </c>
      <c r="CH12" s="69" t="n">
        <v>5792744.162009061</v>
      </c>
      <c r="CI12" s="69" t="n">
        <v>5619880.58446031</v>
      </c>
      <c r="CJ12" s="69" t="n">
        <v>5444418.94372406</v>
      </c>
      <c r="CK12" s="69" t="n">
        <v>5268957.30298781</v>
      </c>
      <c r="CL12" s="69" t="n">
        <v>5132505.44979656</v>
      </c>
      <c r="CM12" s="69" t="n">
        <v>4954969.557400311</v>
      </c>
      <c r="CN12" s="69" t="n">
        <v>4777433.665004062</v>
      </c>
      <c r="CO12" s="69" t="n">
        <v>4597039.903101563</v>
      </c>
      <c r="CP12" s="69" t="n">
        <v>4416646.141199062</v>
      </c>
      <c r="CQ12" s="69" t="n">
        <v>4275262.166841561</v>
      </c>
      <c r="CR12" s="69" t="n">
        <v>4092794.153279062</v>
      </c>
      <c r="CS12" s="69" t="n">
        <v>3605349.422013562</v>
      </c>
      <c r="CT12" s="69" t="n">
        <v>2214101.491166812</v>
      </c>
      <c r="CU12" s="69" t="n">
        <v>2098699.723268063</v>
      </c>
      <c r="CV12" s="69" t="n">
        <v>1983025.027519312</v>
      </c>
      <c r="CW12" s="69" t="n">
        <v>1867350.331770563</v>
      </c>
      <c r="CX12" s="69" t="n">
        <v>1751675.636021813</v>
      </c>
      <c r="CY12" s="69" t="n">
        <v>1633143.070766813</v>
      </c>
      <c r="CZ12" s="69" t="n">
        <v>1514610.505511813</v>
      </c>
      <c r="DA12" s="69" t="n">
        <v>1395777.719621813</v>
      </c>
      <c r="DB12" s="69" t="n">
        <v>1276944.933731813</v>
      </c>
      <c r="DC12" s="69" t="n">
        <v>1158112.147841812</v>
      </c>
      <c r="DD12" s="69" t="n">
        <v>1036421.492445562</v>
      </c>
      <c r="DE12" s="69" t="n">
        <v>914730.8370493127</v>
      </c>
      <c r="DF12" s="69" t="n">
        <v>814927.4206393125</v>
      </c>
      <c r="DG12" s="69" t="n">
        <v>803873.8427143126</v>
      </c>
      <c r="DH12" s="69" t="n">
        <v>792820.2647893124</v>
      </c>
      <c r="DI12" s="69" t="n">
        <v>781766.6868643125</v>
      </c>
      <c r="DJ12" s="69" t="n">
        <v>770713.1089393126</v>
      </c>
      <c r="DK12" s="69" t="n">
        <v>759359.3103793126</v>
      </c>
      <c r="DL12" s="69" t="n">
        <v>748005.5118193125</v>
      </c>
      <c r="DM12" s="69" t="n">
        <v>736651.7132593127</v>
      </c>
      <c r="DN12" s="69" t="n">
        <v>725297.9146993125</v>
      </c>
      <c r="DO12" s="69" t="n">
        <v>713944.1161393127</v>
      </c>
      <c r="DP12" s="69" t="n">
        <v>702290.0969443127</v>
      </c>
      <c r="DQ12" s="69" t="n">
        <v>690636.0777493127</v>
      </c>
      <c r="DR12" s="69" t="n">
        <v>681312.8623933125</v>
      </c>
      <c r="DS12" s="69" t="n">
        <v>681312.8623933125</v>
      </c>
      <c r="DT12" s="69" t="n">
        <v>681312.8623933125</v>
      </c>
      <c r="DU12" s="69" t="n">
        <v>681312.8623933125</v>
      </c>
      <c r="DV12" s="69" t="n">
        <v>681312.8623933125</v>
      </c>
      <c r="DW12" s="69" t="n">
        <v>681312.8623933125</v>
      </c>
      <c r="DX12" s="69" t="n">
        <v>681312.8623933125</v>
      </c>
      <c r="DY12" s="69" t="n">
        <v>681312.8623933125</v>
      </c>
      <c r="DZ12" s="69" t="n">
        <v>681312.8623933125</v>
      </c>
      <c r="EA12" s="69" t="n">
        <v>681312.8623933125</v>
      </c>
      <c r="EB12" s="69" t="n">
        <v>681312.8623933125</v>
      </c>
      <c r="EC12" s="69" t="n">
        <v>681312.8623933125</v>
      </c>
      <c r="ED12" s="69" t="n">
        <v>681312.8623933125</v>
      </c>
      <c r="EE12" s="69" t="n">
        <v>681312.8623933125</v>
      </c>
      <c r="EF12" s="69" t="n">
        <v>681312.8623933125</v>
      </c>
      <c r="EG12" s="69" t="n">
        <v>681312.8623933125</v>
      </c>
      <c r="EH12" s="69" t="n">
        <v>681312.8623933125</v>
      </c>
      <c r="EI12" s="69" t="n">
        <v>681312.8623933125</v>
      </c>
      <c r="EJ12" s="69" t="n">
        <v>681312.8623933125</v>
      </c>
      <c r="EK12" s="69" t="n">
        <v>681312.8623933125</v>
      </c>
      <c r="EL12" s="69" t="n">
        <v>681312.8623933125</v>
      </c>
      <c r="EM12" s="69" t="n">
        <v>666055.53950175</v>
      </c>
      <c r="EN12" s="69" t="n">
        <v>650798.2166101877</v>
      </c>
      <c r="EO12" s="69" t="n">
        <v>635096.0738092503</v>
      </c>
      <c r="EP12" s="69" t="n">
        <v>619393.9310083126</v>
      </c>
      <c r="EQ12" s="69" t="n">
        <v>603691.7882073752</v>
      </c>
      <c r="ER12" s="69" t="n">
        <v>587989.6454064377</v>
      </c>
      <c r="ES12" s="69" t="n">
        <v>572287.5026055003</v>
      </c>
      <c r="ET12" s="69" t="n">
        <v>556140.5398951877</v>
      </c>
      <c r="EU12" s="69" t="n">
        <v>539993.5771848753</v>
      </c>
      <c r="EV12" s="69" t="n">
        <v>523846.6144745627</v>
      </c>
      <c r="EW12" s="69" t="n">
        <v>507699.6517642502</v>
      </c>
      <c r="EX12" s="69" t="n">
        <v>491552.6890539377</v>
      </c>
      <c r="EY12" s="69" t="n">
        <v>474960.9064342502</v>
      </c>
      <c r="EZ12" s="69" t="n">
        <v>458369.1238145627</v>
      </c>
      <c r="FA12" s="69" t="n">
        <v>441777.3411948752</v>
      </c>
      <c r="FB12" s="69" t="n">
        <v>425185.5585751878</v>
      </c>
      <c r="FC12" s="69" t="n">
        <v>408593.7759555002</v>
      </c>
      <c r="FD12" s="69" t="n">
        <v>391557.1734264377</v>
      </c>
      <c r="FE12" s="69" t="n">
        <v>374520.5708973752</v>
      </c>
      <c r="FF12" s="69" t="n">
        <v>357483.9683683127</v>
      </c>
      <c r="FG12" s="69" t="n">
        <v>340447.3658392502</v>
      </c>
      <c r="FH12" s="69" t="n">
        <v>323410.7633101877</v>
      </c>
      <c r="FI12" s="69" t="n">
        <v>305884.8588808126</v>
      </c>
      <c r="FJ12" s="69" t="n">
        <v>288358.9544514376</v>
      </c>
      <c r="FK12" s="69" t="n">
        <v>270833.0500220626</v>
      </c>
      <c r="FL12" s="69" t="n">
        <v>253307.1455926876</v>
      </c>
      <c r="FM12" s="69" t="n">
        <v>235781.2411633125</v>
      </c>
      <c r="FN12" s="69" t="n">
        <v>217766.034833625</v>
      </c>
      <c r="FO12" s="69" t="n">
        <v>199750.8285039375</v>
      </c>
      <c r="FP12" s="69" t="n">
        <v>181735.62217425</v>
      </c>
      <c r="FQ12" s="69" t="n">
        <v>163720.4158445625</v>
      </c>
      <c r="FR12" s="69" t="n">
        <v>145705.209514875</v>
      </c>
      <c r="FS12" s="69" t="n">
        <v>127200.701284875</v>
      </c>
      <c r="FT12" s="69" t="n">
        <v>108696.193054875</v>
      </c>
      <c r="FU12" s="69" t="n">
        <v>90191.684824875</v>
      </c>
      <c r="FV12" s="69" t="n">
        <v>71687.176594875</v>
      </c>
      <c r="FW12" s="69" t="n">
        <v>53182.668364875</v>
      </c>
      <c r="FX12" s="69" t="n">
        <v>34188.8582345625</v>
      </c>
      <c r="FY12" s="69" t="n">
        <v>15195.04810425</v>
      </c>
      <c r="FZ12" s="69" t="n"/>
      <c r="GA12" s="69" t="n"/>
      <c r="GB12" s="69" t="n"/>
      <c r="GC12" s="69" t="n"/>
      <c r="GD12" s="69" t="n"/>
      <c r="GE12" s="69" t="n"/>
      <c r="GF12" s="69" t="n"/>
      <c r="GG12" s="69" t="n"/>
      <c r="GH12" s="69" t="n"/>
      <c r="GI12" s="69" t="n"/>
      <c r="GJ12" s="69" t="n"/>
      <c r="GK12" s="69" t="n"/>
      <c r="GL12" s="69" t="n"/>
      <c r="GM12" s="69" t="n"/>
      <c r="GN12" s="69" t="n"/>
      <c r="GO12" s="69" t="n"/>
      <c r="GP12" s="69" t="n"/>
      <c r="GQ12" s="69" t="n"/>
      <c r="GR12" s="69" t="n"/>
      <c r="GS12" s="69" t="n"/>
      <c r="GT12" s="69" t="n"/>
      <c r="GU12" s="69" t="n"/>
      <c r="GV12" s="69" t="n"/>
      <c r="GW12" s="69" t="n"/>
      <c r="GX12" s="69" t="n"/>
      <c r="GY12" s="69" t="n"/>
      <c r="GZ12" s="69" t="n"/>
      <c r="HA12" s="69" t="n"/>
      <c r="HB12" s="69" t="n"/>
      <c r="HC12" s="69" t="n"/>
      <c r="HD12" s="69" t="n"/>
      <c r="HE12" s="69" t="n"/>
      <c r="HF12" s="69" t="n"/>
      <c r="HG12" s="69" t="n"/>
      <c r="HH12" s="69" t="n"/>
      <c r="HI12" s="69" t="n"/>
      <c r="HJ12" s="69" t="n"/>
      <c r="HK12" s="69" t="n"/>
      <c r="HL12" s="69" t="n"/>
      <c r="HM12" s="69" t="n"/>
      <c r="HN12" s="69" t="n"/>
      <c r="HO12" s="68" t="n"/>
      <c r="HP12" s="68" t="n"/>
      <c r="HQ12" s="68" t="n"/>
      <c r="HR12" s="68" t="n"/>
      <c r="HS12" s="68" t="n"/>
      <c r="HT12" s="68" t="n"/>
      <c r="HU12" s="67" t="n"/>
      <c r="JF12" s="68">
        <f>AP12</f>
        <v/>
      </c>
      <c r="JG12" s="68">
        <f>SUM(Z12:AK12)</f>
        <v/>
      </c>
      <c r="JH12" s="68">
        <f>SUM(AL12:AP12)</f>
        <v/>
      </c>
      <c r="JI12" s="68">
        <f>SUM(C12:AP12)</f>
        <v/>
      </c>
      <c r="JJ12" s="446" t="n"/>
      <c r="JM12" s="69" t="n">
        <v>553013.17533</v>
      </c>
      <c r="JR12" s="54">
        <f>A12</f>
        <v/>
      </c>
      <c r="JS12" s="68">
        <f>SUM(C12:AP12)</f>
        <v/>
      </c>
      <c r="JT12" s="462" t="n"/>
      <c r="JU12" s="68">
        <f>SUM(AT12:AZ12)</f>
        <v/>
      </c>
      <c r="JV12" s="68">
        <f>SUM(BA12:BL12)</f>
        <v/>
      </c>
      <c r="JW12" s="68">
        <f>SUM(BM12:BX12)</f>
        <v/>
      </c>
      <c r="JX12" s="68">
        <f>SUM(BY12:CJ12)</f>
        <v/>
      </c>
      <c r="JY12" s="68">
        <f>SUM(CK12:CV12)</f>
        <v/>
      </c>
      <c r="JZ12" s="68">
        <f>SUM(CW12:HU12)</f>
        <v/>
      </c>
      <c r="KG12" s="130">
        <f>B12</f>
        <v/>
      </c>
      <c r="KH12" s="342">
        <f>AR12</f>
        <v/>
      </c>
    </row>
    <row r="13" ht="7.2" customHeight="1" thickTop="1">
      <c r="A13" s="1" t="n"/>
      <c r="B13" s="128" t="n"/>
      <c r="C13" s="1" t="n"/>
      <c r="D13" s="1" t="n"/>
      <c r="E13" s="14" t="n"/>
      <c r="F13" s="14" t="n"/>
      <c r="G13" s="14" t="n"/>
      <c r="H13" s="14" t="n"/>
      <c r="I13" s="14" t="n"/>
      <c r="J13" s="156" t="n"/>
      <c r="K13" s="1" t="n"/>
      <c r="L13" s="1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57" t="n"/>
      <c r="AE13" s="157" t="n"/>
      <c r="AF13" s="157" t="n"/>
      <c r="AG13" s="157" t="n"/>
      <c r="AH13" s="157" t="n"/>
      <c r="AI13" s="157" t="n"/>
      <c r="AJ13" s="157" t="n"/>
      <c r="AK13" s="157" t="n"/>
      <c r="AL13" s="157" t="n"/>
      <c r="AM13" s="157" t="n"/>
      <c r="AN13" s="157" t="n"/>
      <c r="AO13" s="157" t="n"/>
      <c r="AP13" s="157" t="n"/>
      <c r="AQ13" s="1" t="n"/>
      <c r="AR13" s="128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289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289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289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289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289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JF13" s="1">
        <f>AP13</f>
        <v/>
      </c>
      <c r="JG13" s="1">
        <f>SUM(Z13:AK13)</f>
        <v/>
      </c>
      <c r="JH13" s="1">
        <f>SUM(AL13:AP13)</f>
        <v/>
      </c>
      <c r="JI13" s="1">
        <f>SUM(C13:AP13)</f>
        <v/>
      </c>
      <c r="JJ13" s="446" t="n"/>
      <c r="JM13" s="1" t="n"/>
      <c r="JR13" s="1">
        <f>A13</f>
        <v/>
      </c>
      <c r="JS13" s="1">
        <f>SUM(C13:AP13)</f>
        <v/>
      </c>
      <c r="JT13" s="460" t="n"/>
      <c r="JU13" s="1">
        <f>SUM(AT13:AZ13)</f>
        <v/>
      </c>
      <c r="JV13" s="1">
        <f>SUM(BA13:BL13)</f>
        <v/>
      </c>
      <c r="JW13" s="1">
        <f>SUM(BM13:BX13)</f>
        <v/>
      </c>
      <c r="JX13" s="1">
        <f>SUM(BY13:CJ13)</f>
        <v/>
      </c>
      <c r="JY13" s="1">
        <f>SUM(CK13:CV13)</f>
        <v/>
      </c>
      <c r="JZ13" s="1">
        <f>SUM(CW13:HU13)</f>
        <v/>
      </c>
      <c r="KG13" s="128">
        <f>B13</f>
        <v/>
      </c>
      <c r="KH13" s="128">
        <f>AR13</f>
        <v/>
      </c>
    </row>
    <row r="14" ht="16.2" customFormat="1" customHeight="1" s="259">
      <c r="A14" s="65" t="inlineStr">
        <is>
          <t>APORTE DE SÓCIOS</t>
        </is>
      </c>
      <c r="B14" s="129" t="n"/>
      <c r="C14" s="70" t="n"/>
      <c r="D14" s="70" t="n"/>
      <c r="E14" s="70" t="n"/>
      <c r="F14" s="70" t="n"/>
      <c r="G14" s="70" t="n"/>
      <c r="H14" s="70" t="n"/>
      <c r="I14" s="70" t="n"/>
      <c r="J14" s="155" t="n"/>
      <c r="K14" s="70" t="n"/>
      <c r="L14" s="70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198" t="n"/>
      <c r="AR14" s="233" t="n"/>
      <c r="AS14" s="198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  <c r="BC14" s="70" t="n"/>
      <c r="BD14" s="287" t="n"/>
      <c r="BE14" s="70" t="n"/>
      <c r="BF14" s="70" t="n"/>
      <c r="BG14" s="70" t="n"/>
      <c r="BH14" s="70" t="n"/>
      <c r="BI14" s="70" t="n"/>
      <c r="BJ14" s="70" t="n"/>
      <c r="BK14" s="70" t="n"/>
      <c r="BL14" s="70" t="n"/>
      <c r="BM14" s="70" t="n"/>
      <c r="BN14" s="70" t="n"/>
      <c r="BO14" s="70" t="n"/>
      <c r="BP14" s="287" t="n"/>
      <c r="BQ14" s="70" t="n"/>
      <c r="BR14" s="70" t="n"/>
      <c r="BS14" s="70" t="n"/>
      <c r="BT14" s="70" t="n"/>
      <c r="BU14" s="70" t="n"/>
      <c r="BV14" s="70" t="n"/>
      <c r="BW14" s="70" t="n"/>
      <c r="BX14" s="70" t="n"/>
      <c r="BY14" s="70" t="n"/>
      <c r="BZ14" s="70" t="n"/>
      <c r="CA14" s="70" t="n"/>
      <c r="CB14" s="287" t="n"/>
      <c r="CC14" s="70" t="n"/>
      <c r="CD14" s="70" t="n"/>
      <c r="CE14" s="70" t="n"/>
      <c r="CF14" s="70" t="n"/>
      <c r="CG14" s="70" t="n"/>
      <c r="CH14" s="70" t="n"/>
      <c r="CI14" s="70" t="n"/>
      <c r="CJ14" s="70" t="n"/>
      <c r="CK14" s="70" t="n"/>
      <c r="CL14" s="70" t="n"/>
      <c r="CM14" s="70" t="n"/>
      <c r="CN14" s="287" t="n"/>
      <c r="CO14" s="70" t="n"/>
      <c r="CP14" s="70" t="n"/>
      <c r="CQ14" s="70" t="n"/>
      <c r="CR14" s="70" t="n"/>
      <c r="CS14" s="70" t="n"/>
      <c r="CT14" s="70" t="n"/>
      <c r="CU14" s="70" t="n"/>
      <c r="CV14" s="70" t="n"/>
      <c r="CW14" s="70" t="n"/>
      <c r="CX14" s="70" t="n"/>
      <c r="CY14" s="70" t="n"/>
      <c r="CZ14" s="287" t="n"/>
      <c r="DA14" s="70" t="n"/>
      <c r="DB14" s="70" t="n"/>
      <c r="DC14" s="70" t="n"/>
      <c r="DD14" s="70" t="n"/>
      <c r="DE14" s="70" t="n"/>
      <c r="DF14" s="70" t="n"/>
      <c r="DG14" s="70" t="n"/>
      <c r="DH14" s="70" t="n"/>
      <c r="DI14" s="70" t="n"/>
      <c r="DJ14" s="70" t="n"/>
      <c r="DK14" s="70" t="n"/>
      <c r="DL14" s="70" t="n"/>
      <c r="DM14" s="70" t="n"/>
      <c r="DN14" s="70" t="n"/>
      <c r="DO14" s="70" t="n"/>
      <c r="DP14" s="70" t="n"/>
      <c r="DQ14" s="70" t="n"/>
      <c r="DR14" s="70" t="n"/>
      <c r="DS14" s="70" t="n"/>
      <c r="DT14" s="70" t="n"/>
      <c r="DU14" s="70" t="n"/>
      <c r="DV14" s="70" t="n"/>
      <c r="DW14" s="70" t="n"/>
      <c r="DX14" s="70" t="n"/>
      <c r="DY14" s="70" t="n"/>
      <c r="DZ14" s="70" t="n"/>
      <c r="EA14" s="70" t="n"/>
      <c r="EB14" s="70" t="n"/>
      <c r="EC14" s="70" t="n"/>
      <c r="ED14" s="70" t="n"/>
      <c r="EE14" s="70" t="n"/>
      <c r="EF14" s="70" t="n"/>
      <c r="EG14" s="70" t="n"/>
      <c r="EH14" s="70" t="n"/>
      <c r="EI14" s="70" t="n"/>
      <c r="EJ14" s="70" t="n"/>
      <c r="EK14" s="70" t="n"/>
      <c r="EL14" s="70" t="n"/>
      <c r="EM14" s="70" t="n"/>
      <c r="EN14" s="70" t="n"/>
      <c r="EO14" s="70" t="n"/>
      <c r="EP14" s="70" t="n"/>
      <c r="EQ14" s="70" t="n"/>
      <c r="ER14" s="70" t="n"/>
      <c r="ES14" s="70" t="n"/>
      <c r="ET14" s="70" t="n"/>
      <c r="EU14" s="70" t="n"/>
      <c r="EV14" s="70" t="n"/>
      <c r="EW14" s="70" t="n"/>
      <c r="EX14" s="70" t="n"/>
      <c r="EY14" s="70" t="n"/>
      <c r="EZ14" s="70" t="n"/>
      <c r="FA14" s="70" t="n"/>
      <c r="FB14" s="70" t="n"/>
      <c r="FC14" s="70" t="n"/>
      <c r="FD14" s="70" t="n"/>
      <c r="FE14" s="70" t="n"/>
      <c r="FF14" s="70" t="n"/>
      <c r="FG14" s="70" t="n"/>
      <c r="FH14" s="70" t="n"/>
      <c r="FI14" s="70" t="n"/>
      <c r="FJ14" s="70" t="n"/>
      <c r="FK14" s="70" t="n"/>
      <c r="FL14" s="70" t="n"/>
      <c r="FM14" s="70" t="n"/>
      <c r="FN14" s="70" t="n"/>
      <c r="FO14" s="70" t="n"/>
      <c r="FP14" s="70" t="n"/>
      <c r="FQ14" s="70" t="n"/>
      <c r="FR14" s="70" t="n"/>
      <c r="FS14" s="70" t="n"/>
      <c r="FT14" s="70" t="n"/>
      <c r="FU14" s="70" t="n"/>
      <c r="FV14" s="70" t="n"/>
      <c r="FW14" s="70" t="n"/>
      <c r="FX14" s="70" t="n"/>
      <c r="FY14" s="70" t="n"/>
      <c r="FZ14" s="70" t="n"/>
      <c r="GA14" s="70" t="n"/>
      <c r="GB14" s="70" t="n"/>
      <c r="GC14" s="70" t="n"/>
      <c r="GD14" s="70" t="n"/>
      <c r="GE14" s="70" t="n"/>
      <c r="GF14" s="70" t="n"/>
      <c r="GG14" s="70" t="n"/>
      <c r="GH14" s="70" t="n"/>
      <c r="GI14" s="70" t="n"/>
      <c r="GJ14" s="70" t="n"/>
      <c r="GK14" s="70" t="n"/>
      <c r="GL14" s="70" t="n"/>
      <c r="GM14" s="70" t="n"/>
      <c r="GN14" s="70" t="n"/>
      <c r="GO14" s="70" t="n"/>
      <c r="GP14" s="70" t="n"/>
      <c r="GQ14" s="70" t="n"/>
      <c r="GR14" s="70" t="n"/>
      <c r="GS14" s="70" t="n"/>
      <c r="GT14" s="70" t="n"/>
      <c r="GU14" s="70" t="n"/>
      <c r="GV14" s="70" t="n"/>
      <c r="GW14" s="70" t="n"/>
      <c r="GX14" s="70" t="n"/>
      <c r="GY14" s="70" t="n"/>
      <c r="GZ14" s="70" t="n"/>
      <c r="HA14" s="70" t="n"/>
      <c r="HB14" s="70" t="n"/>
      <c r="HC14" s="70" t="n"/>
      <c r="HD14" s="70" t="n"/>
      <c r="HE14" s="70" t="n"/>
      <c r="HF14" s="70" t="n"/>
      <c r="HG14" s="70" t="n"/>
      <c r="HH14" s="70" t="n"/>
      <c r="HI14" s="70" t="n"/>
      <c r="HJ14" s="70" t="n"/>
      <c r="HK14" s="70" t="n"/>
      <c r="HL14" s="70" t="n"/>
      <c r="HM14" s="70" t="n"/>
      <c r="HN14" s="70" t="n"/>
      <c r="HO14" s="70" t="n"/>
      <c r="HP14" s="70" t="n"/>
      <c r="HQ14" s="70" t="n"/>
      <c r="HR14" s="70" t="n"/>
      <c r="HS14" s="70" t="n"/>
      <c r="HT14" s="70" t="n"/>
      <c r="HU14" s="70" t="n"/>
      <c r="JF14" s="70">
        <f>AP14</f>
        <v/>
      </c>
      <c r="JG14" s="70">
        <f>SUM(Z14:AK14)</f>
        <v/>
      </c>
      <c r="JH14" s="70">
        <f>SUM(AL14:AP14)</f>
        <v/>
      </c>
      <c r="JI14" s="70">
        <f>SUM(C14:AP14)</f>
        <v/>
      </c>
      <c r="JJ14" s="446" t="n"/>
      <c r="JM14" s="70" t="n"/>
      <c r="JR14" s="65">
        <f>A14</f>
        <v/>
      </c>
      <c r="JS14" s="70">
        <f>SUM(C14:AP14)</f>
        <v/>
      </c>
      <c r="JT14" s="461" t="n"/>
      <c r="JU14" s="70">
        <f>SUM(AT14:AZ14)</f>
        <v/>
      </c>
      <c r="JV14" s="70">
        <f>SUM(BA14:BL14)</f>
        <v/>
      </c>
      <c r="JW14" s="70">
        <f>SUM(BM14:BX14)</f>
        <v/>
      </c>
      <c r="JX14" s="70">
        <f>SUM(BY14:CJ14)</f>
        <v/>
      </c>
      <c r="JY14" s="70">
        <f>SUM(CK14:CV14)</f>
        <v/>
      </c>
      <c r="JZ14" s="70">
        <f>SUM(CW14:HU14)</f>
        <v/>
      </c>
      <c r="KG14" s="129">
        <f>B14</f>
        <v/>
      </c>
      <c r="KH14" s="233">
        <f>AR14</f>
        <v/>
      </c>
    </row>
    <row r="15" ht="16.2" customHeight="1" thickBot="1">
      <c r="A15" s="54" t="inlineStr">
        <is>
          <t>Aportes</t>
        </is>
      </c>
      <c r="B15" s="130">
        <f>SUM(C15:AP15)</f>
        <v/>
      </c>
      <c r="C15" s="67" t="n">
        <v>2004788.24</v>
      </c>
      <c r="D15" s="69" t="n"/>
      <c r="E15" s="67" t="n"/>
      <c r="F15" s="67" t="n"/>
      <c r="G15" s="67" t="n"/>
      <c r="H15" s="67" t="n"/>
      <c r="I15" s="68" t="n"/>
      <c r="J15" s="189" t="n"/>
      <c r="K15" s="34" t="n"/>
      <c r="L15" s="34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67" t="n"/>
      <c r="Y15" s="214" t="n">
        <v>1000000</v>
      </c>
      <c r="Z15" s="214" t="n">
        <v>1000000</v>
      </c>
      <c r="AA15" s="214" t="n"/>
      <c r="AB15" s="214" t="n">
        <v>1000000</v>
      </c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4" t="n"/>
      <c r="AP15" s="214" t="n"/>
      <c r="AQ15" s="71" t="n"/>
      <c r="AR15" s="342">
        <f>SUM(AT15:HU15)</f>
        <v/>
      </c>
      <c r="AS15" s="71" t="n"/>
      <c r="AT15" s="69" t="n"/>
      <c r="AU15" s="69" t="n"/>
      <c r="AV15" s="69" t="n"/>
      <c r="AW15" s="69" t="n"/>
      <c r="AX15" s="69" t="n"/>
      <c r="AY15" s="69" t="n"/>
      <c r="AZ15" s="69" t="n"/>
      <c r="BA15" s="69" t="n">
        <v>0</v>
      </c>
      <c r="BB15" s="69" t="n">
        <v>0</v>
      </c>
      <c r="BC15" s="69" t="n">
        <v>0</v>
      </c>
      <c r="BD15" s="69" t="n">
        <v>0</v>
      </c>
      <c r="BE15" s="69" t="n">
        <v>0</v>
      </c>
      <c r="BF15" s="67" t="n">
        <v>0</v>
      </c>
      <c r="BG15" s="67" t="n">
        <v>0</v>
      </c>
      <c r="BH15" s="67" t="n">
        <v>0</v>
      </c>
      <c r="BI15" s="67" t="n">
        <v>0</v>
      </c>
      <c r="BJ15" s="67" t="n">
        <v>0</v>
      </c>
      <c r="BK15" s="67" t="n"/>
      <c r="BL15" s="67" t="n">
        <v>0</v>
      </c>
      <c r="BM15" s="67" t="n">
        <v>0</v>
      </c>
      <c r="BN15" s="67" t="n">
        <v>0</v>
      </c>
      <c r="BO15" s="67" t="n">
        <v>0</v>
      </c>
      <c r="BP15" s="288" t="n">
        <v>0</v>
      </c>
      <c r="BQ15" s="69" t="n">
        <v>0</v>
      </c>
      <c r="BR15" s="67" t="n">
        <v>0</v>
      </c>
      <c r="BS15" s="67" t="n">
        <v>0</v>
      </c>
      <c r="BT15" s="67" t="n">
        <v>0</v>
      </c>
      <c r="BU15" s="67" t="n">
        <v>0</v>
      </c>
      <c r="BV15" s="67" t="n">
        <v>0</v>
      </c>
      <c r="BW15" s="67" t="n">
        <v>0</v>
      </c>
      <c r="BX15" s="67" t="n">
        <v>0</v>
      </c>
      <c r="BY15" s="67" t="n">
        <v>0</v>
      </c>
      <c r="BZ15" s="67" t="n">
        <v>0</v>
      </c>
      <c r="CA15" s="67" t="n">
        <v>0</v>
      </c>
      <c r="CB15" s="288" t="n">
        <v>0</v>
      </c>
      <c r="CC15" s="69" t="n">
        <v>0</v>
      </c>
      <c r="CD15" s="67" t="n">
        <v>0</v>
      </c>
      <c r="CE15" s="67" t="n">
        <v>0</v>
      </c>
      <c r="CF15" s="67" t="n">
        <v>0</v>
      </c>
      <c r="CG15" s="67" t="n">
        <v>0</v>
      </c>
      <c r="CH15" s="67" t="n">
        <v>0</v>
      </c>
      <c r="CI15" s="67" t="n">
        <v>0</v>
      </c>
      <c r="CJ15" s="67" t="n">
        <v>0</v>
      </c>
      <c r="CK15" s="67" t="n">
        <v>0</v>
      </c>
      <c r="CL15" s="67" t="n">
        <v>0</v>
      </c>
      <c r="CM15" s="67" t="n">
        <v>0</v>
      </c>
      <c r="CN15" s="288" t="n">
        <v>0</v>
      </c>
      <c r="CO15" s="69" t="n">
        <v>0</v>
      </c>
      <c r="CP15" s="67" t="n">
        <v>0</v>
      </c>
      <c r="CQ15" s="67" t="n">
        <v>0</v>
      </c>
      <c r="CR15" s="67" t="n">
        <v>0</v>
      </c>
      <c r="CS15" s="67" t="n">
        <v>0</v>
      </c>
      <c r="CT15" s="67" t="n">
        <v>0</v>
      </c>
      <c r="CU15" s="67" t="n">
        <v>0</v>
      </c>
      <c r="CV15" s="67" t="n">
        <v>0</v>
      </c>
      <c r="CW15" s="67" t="n">
        <v>0</v>
      </c>
      <c r="CX15" s="67" t="n">
        <v>0</v>
      </c>
      <c r="CY15" s="67" t="n">
        <v>0</v>
      </c>
      <c r="CZ15" s="288" t="n">
        <v>0</v>
      </c>
      <c r="DA15" s="69" t="n">
        <v>0</v>
      </c>
      <c r="DB15" s="67" t="n">
        <v>0</v>
      </c>
      <c r="DC15" s="67" t="n">
        <v>0</v>
      </c>
      <c r="DD15" s="67" t="n">
        <v>0</v>
      </c>
      <c r="DE15" s="67" t="n">
        <v>0</v>
      </c>
      <c r="DF15" s="67" t="n">
        <v>0</v>
      </c>
      <c r="DG15" s="67" t="n">
        <v>0</v>
      </c>
      <c r="DH15" s="67" t="n">
        <v>0</v>
      </c>
      <c r="DI15" s="67" t="n">
        <v>0</v>
      </c>
      <c r="DJ15" s="68" t="n">
        <v>0</v>
      </c>
      <c r="DK15" s="67" t="n">
        <v>0</v>
      </c>
      <c r="DL15" s="68" t="n">
        <v>0</v>
      </c>
      <c r="DM15" s="67" t="n">
        <v>0</v>
      </c>
      <c r="DN15" s="68" t="n">
        <v>0</v>
      </c>
      <c r="DO15" s="68" t="n">
        <v>0</v>
      </c>
      <c r="DP15" s="68" t="n">
        <v>0</v>
      </c>
      <c r="DQ15" s="68" t="n">
        <v>0</v>
      </c>
      <c r="DR15" s="68" t="n">
        <v>0</v>
      </c>
      <c r="DS15" s="68" t="n">
        <v>0</v>
      </c>
      <c r="DT15" s="68" t="n">
        <v>0</v>
      </c>
      <c r="DU15" s="68" t="n">
        <v>0</v>
      </c>
      <c r="DV15" s="68" t="n">
        <v>0</v>
      </c>
      <c r="DW15" s="68" t="n">
        <v>0</v>
      </c>
      <c r="DX15" s="68" t="n">
        <v>0</v>
      </c>
      <c r="DY15" s="68" t="n">
        <v>0</v>
      </c>
      <c r="DZ15" s="68" t="n">
        <v>0</v>
      </c>
      <c r="EA15" s="68" t="n">
        <v>0</v>
      </c>
      <c r="EB15" s="68" t="n">
        <v>0</v>
      </c>
      <c r="EC15" s="68" t="n">
        <v>0</v>
      </c>
      <c r="ED15" s="68" t="n">
        <v>0</v>
      </c>
      <c r="EE15" s="68" t="n">
        <v>0</v>
      </c>
      <c r="EF15" s="68" t="n">
        <v>0</v>
      </c>
      <c r="EG15" s="68" t="n">
        <v>0</v>
      </c>
      <c r="EH15" s="68" t="n">
        <v>0</v>
      </c>
      <c r="EI15" s="68" t="n">
        <v>0</v>
      </c>
      <c r="EJ15" s="68" t="n">
        <v>0</v>
      </c>
      <c r="EK15" s="68" t="n">
        <v>0</v>
      </c>
      <c r="EL15" s="68" t="n">
        <v>0</v>
      </c>
      <c r="EM15" s="68" t="n">
        <v>0</v>
      </c>
      <c r="EN15" s="68" t="n">
        <v>0</v>
      </c>
      <c r="EO15" s="68" t="n">
        <v>0</v>
      </c>
      <c r="EP15" s="68" t="n">
        <v>0</v>
      </c>
      <c r="EQ15" s="68" t="n">
        <v>0</v>
      </c>
      <c r="ER15" s="68" t="n">
        <v>0</v>
      </c>
      <c r="ES15" s="68" t="n">
        <v>0</v>
      </c>
      <c r="ET15" s="68" t="n">
        <v>0</v>
      </c>
      <c r="EU15" s="68" t="n">
        <v>0</v>
      </c>
      <c r="EV15" s="68" t="n">
        <v>0</v>
      </c>
      <c r="EW15" s="68" t="n">
        <v>0</v>
      </c>
      <c r="EX15" s="68" t="n">
        <v>0</v>
      </c>
      <c r="EY15" s="68" t="n">
        <v>0</v>
      </c>
      <c r="EZ15" s="68" t="n">
        <v>0</v>
      </c>
      <c r="FA15" s="68" t="n">
        <v>0</v>
      </c>
      <c r="FB15" s="68" t="n">
        <v>0</v>
      </c>
      <c r="FC15" s="68" t="n">
        <v>0</v>
      </c>
      <c r="FD15" s="68" t="n">
        <v>0</v>
      </c>
      <c r="FE15" s="68" t="n">
        <v>0</v>
      </c>
      <c r="FF15" s="68" t="n">
        <v>0</v>
      </c>
      <c r="FG15" s="68" t="n">
        <v>0</v>
      </c>
      <c r="FH15" s="68" t="n">
        <v>0</v>
      </c>
      <c r="FI15" s="68" t="n">
        <v>0</v>
      </c>
      <c r="FJ15" s="68" t="n">
        <v>0</v>
      </c>
      <c r="FK15" s="68" t="n">
        <v>0</v>
      </c>
      <c r="FL15" s="68" t="n">
        <v>0</v>
      </c>
      <c r="FM15" s="68" t="n">
        <v>0</v>
      </c>
      <c r="FN15" s="68" t="n">
        <v>0</v>
      </c>
      <c r="FO15" s="68" t="n">
        <v>0</v>
      </c>
      <c r="FP15" s="68" t="n">
        <v>0</v>
      </c>
      <c r="FQ15" s="68" t="n">
        <v>0</v>
      </c>
      <c r="FR15" s="68" t="n">
        <v>0</v>
      </c>
      <c r="FS15" s="68" t="n">
        <v>0</v>
      </c>
      <c r="FT15" s="68" t="n">
        <v>0</v>
      </c>
      <c r="FU15" s="68" t="n">
        <v>0</v>
      </c>
      <c r="FV15" s="68" t="n">
        <v>0</v>
      </c>
      <c r="FW15" s="68" t="n">
        <v>0</v>
      </c>
      <c r="FX15" s="68" t="n">
        <v>0</v>
      </c>
      <c r="FY15" s="68" t="n">
        <v>0</v>
      </c>
      <c r="FZ15" s="68" t="n">
        <v>0</v>
      </c>
      <c r="GA15" s="68" t="n">
        <v>0</v>
      </c>
      <c r="GB15" s="68" t="n">
        <v>0</v>
      </c>
      <c r="GC15" s="68" t="n">
        <v>0</v>
      </c>
      <c r="GD15" s="68" t="n">
        <v>0</v>
      </c>
      <c r="GE15" s="68" t="n">
        <v>0</v>
      </c>
      <c r="GF15" s="68" t="n">
        <v>0</v>
      </c>
      <c r="GG15" s="68" t="n">
        <v>0</v>
      </c>
      <c r="GH15" s="68" t="n">
        <v>0</v>
      </c>
      <c r="GI15" s="68" t="n">
        <v>0</v>
      </c>
      <c r="GJ15" s="68" t="n">
        <v>0</v>
      </c>
      <c r="GK15" s="68" t="n">
        <v>0</v>
      </c>
      <c r="GL15" s="68" t="n">
        <v>0</v>
      </c>
      <c r="GM15" s="68" t="n">
        <v>0</v>
      </c>
      <c r="GN15" s="68" t="n">
        <v>0</v>
      </c>
      <c r="GO15" s="68" t="n">
        <v>0</v>
      </c>
      <c r="GP15" s="68" t="n">
        <v>0</v>
      </c>
      <c r="GQ15" s="68" t="n">
        <v>0</v>
      </c>
      <c r="GR15" s="68" t="n">
        <v>0</v>
      </c>
      <c r="GS15" s="68" t="n">
        <v>0</v>
      </c>
      <c r="GT15" s="68" t="n">
        <v>0</v>
      </c>
      <c r="GU15" s="68" t="n">
        <v>0</v>
      </c>
      <c r="GV15" s="68" t="n">
        <v>0</v>
      </c>
      <c r="GW15" s="68" t="n">
        <v>0</v>
      </c>
      <c r="GX15" s="68" t="n">
        <v>0</v>
      </c>
      <c r="GY15" s="68" t="n">
        <v>0</v>
      </c>
      <c r="GZ15" s="68" t="n">
        <v>0</v>
      </c>
      <c r="HA15" s="68" t="n">
        <v>0</v>
      </c>
      <c r="HB15" s="68" t="n">
        <v>0</v>
      </c>
      <c r="HC15" s="68" t="n">
        <v>0</v>
      </c>
      <c r="HD15" s="68" t="n">
        <v>0</v>
      </c>
      <c r="HE15" s="68" t="n">
        <v>0</v>
      </c>
      <c r="HF15" s="68" t="n">
        <v>0</v>
      </c>
      <c r="HG15" s="68" t="n">
        <v>0</v>
      </c>
      <c r="HH15" s="68" t="n">
        <v>0</v>
      </c>
      <c r="HI15" s="68" t="n">
        <v>0</v>
      </c>
      <c r="HJ15" s="68" t="n">
        <v>0</v>
      </c>
      <c r="HK15" s="68" t="n">
        <v>0</v>
      </c>
      <c r="HL15" s="68" t="n">
        <v>0</v>
      </c>
      <c r="HM15" s="68" t="n">
        <v>0</v>
      </c>
      <c r="HN15" s="68" t="n">
        <v>0</v>
      </c>
      <c r="HO15" s="68" t="n">
        <v>0</v>
      </c>
      <c r="HP15" s="68" t="n">
        <v>0</v>
      </c>
      <c r="HQ15" s="68" t="n">
        <v>0</v>
      </c>
      <c r="HR15" s="68" t="n">
        <v>0</v>
      </c>
      <c r="HS15" s="68" t="n">
        <v>0</v>
      </c>
      <c r="HT15" s="68" t="n">
        <v>0</v>
      </c>
      <c r="HU15" s="68" t="n">
        <v>0</v>
      </c>
      <c r="JF15" s="68">
        <f>AP15</f>
        <v/>
      </c>
      <c r="JG15" s="68">
        <f>SUM(Z15:AK15)</f>
        <v/>
      </c>
      <c r="JH15" s="68">
        <f>SUM(AL15:AP15)</f>
        <v/>
      </c>
      <c r="JI15" s="68">
        <f>SUM(C15:AP15)</f>
        <v/>
      </c>
      <c r="JJ15" s="446" t="n"/>
      <c r="JM15" s="69" t="n"/>
      <c r="JR15" s="54">
        <f>A15</f>
        <v/>
      </c>
      <c r="JS15" s="68">
        <f>SUM(C15:AP15)</f>
        <v/>
      </c>
      <c r="JT15" s="462" t="n"/>
      <c r="JU15" s="68">
        <f>SUM(AT15:AZ15)</f>
        <v/>
      </c>
      <c r="JV15" s="68">
        <f>SUM(BA15:BL15)</f>
        <v/>
      </c>
      <c r="JW15" s="68">
        <f>SUM(BM15:BX15)</f>
        <v/>
      </c>
      <c r="JX15" s="68">
        <f>SUM(BY15:CJ15)</f>
        <v/>
      </c>
      <c r="JY15" s="68">
        <f>SUM(CK15:CV15)</f>
        <v/>
      </c>
      <c r="JZ15" s="68">
        <f>SUM(CW15:HU15)</f>
        <v/>
      </c>
      <c r="KG15" s="130">
        <f>B15</f>
        <v/>
      </c>
      <c r="KH15" s="342">
        <f>AR15</f>
        <v/>
      </c>
    </row>
    <row r="16" ht="7.2" customHeight="1" thickTop="1">
      <c r="A16" s="1" t="n"/>
      <c r="B16" s="128" t="n"/>
      <c r="C16" s="512" t="n"/>
      <c r="D16" s="512" t="n"/>
      <c r="E16" s="512" t="n"/>
      <c r="F16" s="512" t="n"/>
      <c r="G16" s="512" t="n"/>
      <c r="H16" s="512" t="n"/>
      <c r="I16" s="512" t="n"/>
      <c r="J16" s="513" t="n"/>
      <c r="K16" s="512" t="n"/>
      <c r="L16" s="512" t="n"/>
      <c r="M16" s="514" t="n"/>
      <c r="N16" s="514" t="n"/>
      <c r="O16" s="514" t="n"/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3" t="n"/>
      <c r="AR16" s="235" t="n"/>
      <c r="AS16" s="53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5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5" t="n"/>
      <c r="BQ16" s="512" t="n"/>
      <c r="BR16" s="512" t="n"/>
      <c r="BS16" s="512" t="n"/>
      <c r="BT16" s="512" t="n"/>
      <c r="BU16" s="512" t="n"/>
      <c r="BV16" s="512" t="n"/>
      <c r="BW16" s="512" t="n"/>
      <c r="BX16" s="512" t="n"/>
      <c r="BY16" s="512" t="n"/>
      <c r="BZ16" s="512" t="n"/>
      <c r="CA16" s="512" t="n"/>
      <c r="CB16" s="515" t="n"/>
      <c r="CC16" s="512" t="n"/>
      <c r="CD16" s="512" t="n"/>
      <c r="CE16" s="512" t="n"/>
      <c r="CF16" s="512" t="n"/>
      <c r="CG16" s="512" t="n"/>
      <c r="CH16" s="512" t="n"/>
      <c r="CI16" s="512" t="n"/>
      <c r="CJ16" s="512" t="n"/>
      <c r="CK16" s="512" t="n"/>
      <c r="CL16" s="512" t="n"/>
      <c r="CM16" s="512" t="n"/>
      <c r="CN16" s="515" t="n"/>
      <c r="CO16" s="512" t="n"/>
      <c r="CP16" s="512" t="n"/>
      <c r="CQ16" s="512" t="n"/>
      <c r="CR16" s="512" t="n"/>
      <c r="CS16" s="512" t="n"/>
      <c r="CT16" s="512" t="n"/>
      <c r="CU16" s="512" t="n"/>
      <c r="CV16" s="512" t="n"/>
      <c r="CW16" s="512" t="n"/>
      <c r="CX16" s="512" t="n"/>
      <c r="CY16" s="512" t="n"/>
      <c r="CZ16" s="515" t="n"/>
      <c r="DA16" s="512" t="n"/>
      <c r="DB16" s="512" t="n"/>
      <c r="DC16" s="512" t="n"/>
      <c r="DD16" s="512" t="n"/>
      <c r="DE16" s="512" t="n"/>
      <c r="DF16" s="512" t="n"/>
      <c r="DG16" s="512" t="n"/>
      <c r="DH16" s="512" t="n"/>
      <c r="DI16" s="512" t="n"/>
      <c r="DJ16" s="512" t="n"/>
      <c r="DK16" s="512" t="n"/>
      <c r="DL16" s="512" t="n"/>
      <c r="DM16" s="512" t="n"/>
      <c r="DN16" s="512" t="n"/>
      <c r="DO16" s="512" t="n"/>
      <c r="DP16" s="512" t="n"/>
      <c r="DQ16" s="512" t="n"/>
      <c r="DR16" s="512" t="n"/>
      <c r="DS16" s="512" t="n"/>
      <c r="DT16" s="512" t="n"/>
      <c r="DU16" s="512" t="n"/>
      <c r="DV16" s="512" t="n"/>
      <c r="DW16" s="512" t="n"/>
      <c r="DX16" s="512" t="n"/>
      <c r="DY16" s="512" t="n"/>
      <c r="DZ16" s="512" t="n"/>
      <c r="EA16" s="512" t="n"/>
      <c r="EB16" s="512" t="n"/>
      <c r="EC16" s="512" t="n"/>
      <c r="ED16" s="512" t="n"/>
      <c r="EE16" s="512" t="n"/>
      <c r="EF16" s="512" t="n"/>
      <c r="EG16" s="512" t="n"/>
      <c r="EH16" s="512" t="n"/>
      <c r="EI16" s="512" t="n"/>
      <c r="EJ16" s="512" t="n"/>
      <c r="EK16" s="512" t="n"/>
      <c r="EL16" s="512" t="n"/>
      <c r="EM16" s="512" t="n"/>
      <c r="EN16" s="512" t="n"/>
      <c r="EO16" s="512" t="n"/>
      <c r="EP16" s="512" t="n"/>
      <c r="EQ16" s="512" t="n"/>
      <c r="ER16" s="512" t="n"/>
      <c r="ES16" s="512" t="n"/>
      <c r="ET16" s="512" t="n"/>
      <c r="EU16" s="512" t="n"/>
      <c r="EV16" s="512" t="n"/>
      <c r="EW16" s="512" t="n"/>
      <c r="EX16" s="512" t="n"/>
      <c r="EY16" s="512" t="n"/>
      <c r="EZ16" s="512" t="n"/>
      <c r="FA16" s="512" t="n"/>
      <c r="FB16" s="512" t="n"/>
      <c r="FC16" s="512" t="n"/>
      <c r="FD16" s="512" t="n"/>
      <c r="FE16" s="512" t="n"/>
      <c r="FF16" s="512" t="n"/>
      <c r="FG16" s="512" t="n"/>
      <c r="FH16" s="512" t="n"/>
      <c r="FI16" s="512" t="n"/>
      <c r="FJ16" s="512" t="n"/>
      <c r="FK16" s="512" t="n"/>
      <c r="FL16" s="512" t="n"/>
      <c r="FM16" s="512" t="n"/>
      <c r="FN16" s="512" t="n"/>
      <c r="FO16" s="512" t="n"/>
      <c r="FP16" s="512" t="n"/>
      <c r="FQ16" s="512" t="n"/>
      <c r="FR16" s="512" t="n"/>
      <c r="FS16" s="512" t="n"/>
      <c r="FT16" s="512" t="n"/>
      <c r="FU16" s="512" t="n"/>
      <c r="FV16" s="512" t="n"/>
      <c r="FW16" s="512" t="n"/>
      <c r="FX16" s="512" t="n"/>
      <c r="FY16" s="512" t="n"/>
      <c r="FZ16" s="512" t="n"/>
      <c r="GA16" s="512" t="n"/>
      <c r="GB16" s="512" t="n"/>
      <c r="GC16" s="512" t="n"/>
      <c r="GD16" s="512" t="n"/>
      <c r="GE16" s="512" t="n"/>
      <c r="GF16" s="512" t="n"/>
      <c r="GG16" s="512" t="n"/>
      <c r="GH16" s="512" t="n"/>
      <c r="GI16" s="512" t="n"/>
      <c r="GJ16" s="512" t="n"/>
      <c r="GK16" s="512" t="n"/>
      <c r="GL16" s="512" t="n"/>
      <c r="GM16" s="512" t="n"/>
      <c r="GN16" s="512" t="n"/>
      <c r="GO16" s="512" t="n"/>
      <c r="GP16" s="512" t="n"/>
      <c r="GQ16" s="512" t="n"/>
      <c r="GR16" s="512" t="n"/>
      <c r="GS16" s="512" t="n"/>
      <c r="GT16" s="512" t="n"/>
      <c r="GU16" s="512" t="n"/>
      <c r="GV16" s="512" t="n"/>
      <c r="GW16" s="512" t="n"/>
      <c r="GX16" s="512" t="n"/>
      <c r="GY16" s="512" t="n"/>
      <c r="GZ16" s="512" t="n"/>
      <c r="HA16" s="512" t="n"/>
      <c r="HB16" s="512" t="n"/>
      <c r="HC16" s="512" t="n"/>
      <c r="HD16" s="512" t="n"/>
      <c r="HE16" s="512" t="n"/>
      <c r="HF16" s="512" t="n"/>
      <c r="HG16" s="512" t="n"/>
      <c r="HH16" s="512" t="n"/>
      <c r="HI16" s="512" t="n"/>
      <c r="HJ16" s="512" t="n"/>
      <c r="HK16" s="512" t="n"/>
      <c r="HL16" s="512" t="n"/>
      <c r="HM16" s="512" t="n"/>
      <c r="HN16" s="512" t="n"/>
      <c r="HO16" s="512" t="n"/>
      <c r="HP16" s="512" t="n"/>
      <c r="HQ16" s="512" t="n"/>
      <c r="HR16" s="512" t="n"/>
      <c r="HS16" s="512" t="n"/>
      <c r="HT16" s="512" t="n"/>
      <c r="HU16" s="512" t="n"/>
      <c r="JF16" s="512">
        <f>AP16</f>
        <v/>
      </c>
      <c r="JG16" s="512">
        <f>SUM(Z16:AK16)</f>
        <v/>
      </c>
      <c r="JH16" s="512">
        <f>SUM(AL16:AP16)</f>
        <v/>
      </c>
      <c r="JI16" s="512">
        <f>SUM(C16:AP16)</f>
        <v/>
      </c>
      <c r="JJ16" s="446" t="n"/>
      <c r="JM16" s="512" t="n"/>
      <c r="JR16" s="1">
        <f>A16</f>
        <v/>
      </c>
      <c r="JS16" s="512">
        <f>SUM(C16:AP16)</f>
        <v/>
      </c>
      <c r="JT16" s="577" t="n"/>
      <c r="JU16" s="512">
        <f>SUM(AT16:AZ16)</f>
        <v/>
      </c>
      <c r="JV16" s="512">
        <f>SUM(BA16:BL16)</f>
        <v/>
      </c>
      <c r="JW16" s="512">
        <f>SUM(BM16:BX16)</f>
        <v/>
      </c>
      <c r="JX16" s="512">
        <f>SUM(BY16:CJ16)</f>
        <v/>
      </c>
      <c r="JY16" s="512">
        <f>SUM(CK16:CV16)</f>
        <v/>
      </c>
      <c r="JZ16" s="512">
        <f>SUM(CW16:HU16)</f>
        <v/>
      </c>
      <c r="KG16" s="128">
        <f>B16</f>
        <v/>
      </c>
      <c r="KH16" s="235">
        <f>AR16</f>
        <v/>
      </c>
    </row>
    <row r="17" ht="16.2" customFormat="1" customHeight="1" s="259">
      <c r="A17" s="65" t="inlineStr">
        <is>
          <t>RECEITA FINANCEIRA (+)</t>
        </is>
      </c>
      <c r="B17" s="129" t="n"/>
      <c r="C17" s="70" t="n"/>
      <c r="D17" s="70" t="n"/>
      <c r="E17" s="70" t="n"/>
      <c r="F17" s="70" t="n"/>
      <c r="G17" s="70" t="n"/>
      <c r="H17" s="70" t="n"/>
      <c r="I17" s="70" t="n"/>
      <c r="J17" s="155" t="n"/>
      <c r="K17" s="70" t="n"/>
      <c r="L17" s="70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198" t="n"/>
      <c r="AR17" s="233" t="n"/>
      <c r="AS17" s="198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  <c r="BC17" s="70" t="n"/>
      <c r="BD17" s="287" t="n"/>
      <c r="BE17" s="70" t="n"/>
      <c r="BF17" s="70" t="n"/>
      <c r="BG17" s="70" t="n"/>
      <c r="BH17" s="70" t="n"/>
      <c r="BI17" s="70" t="n"/>
      <c r="BJ17" s="70" t="n"/>
      <c r="BK17" s="70" t="n"/>
      <c r="BL17" s="70" t="n"/>
      <c r="BM17" s="70" t="n"/>
      <c r="BN17" s="70" t="n"/>
      <c r="BO17" s="70" t="n"/>
      <c r="BP17" s="287" t="n"/>
      <c r="BQ17" s="70" t="n"/>
      <c r="BR17" s="70" t="n"/>
      <c r="BS17" s="70" t="n"/>
      <c r="BT17" s="70" t="n"/>
      <c r="BU17" s="70" t="n"/>
      <c r="BV17" s="70" t="n"/>
      <c r="BW17" s="70" t="n"/>
      <c r="BX17" s="70" t="n"/>
      <c r="BY17" s="70" t="n"/>
      <c r="BZ17" s="70" t="n"/>
      <c r="CA17" s="70" t="n"/>
      <c r="CB17" s="287" t="n"/>
      <c r="CC17" s="70" t="n"/>
      <c r="CD17" s="70" t="n"/>
      <c r="CE17" s="70" t="n"/>
      <c r="CF17" s="70" t="n"/>
      <c r="CG17" s="70" t="n"/>
      <c r="CH17" s="70" t="n"/>
      <c r="CI17" s="70" t="n"/>
      <c r="CJ17" s="70" t="n"/>
      <c r="CK17" s="70" t="n"/>
      <c r="CL17" s="70" t="n"/>
      <c r="CM17" s="70" t="n"/>
      <c r="CN17" s="287" t="n"/>
      <c r="CO17" s="70" t="n"/>
      <c r="CP17" s="70" t="n"/>
      <c r="CQ17" s="70" t="n"/>
      <c r="CR17" s="70" t="n"/>
      <c r="CS17" s="70" t="n"/>
      <c r="CT17" s="70" t="n"/>
      <c r="CU17" s="70" t="n"/>
      <c r="CV17" s="70" t="n"/>
      <c r="CW17" s="70" t="n"/>
      <c r="CX17" s="70" t="n"/>
      <c r="CY17" s="70" t="n"/>
      <c r="CZ17" s="287" t="n"/>
      <c r="DA17" s="70" t="n"/>
      <c r="DB17" s="70" t="n"/>
      <c r="DC17" s="70" t="n"/>
      <c r="DD17" s="70" t="n"/>
      <c r="DE17" s="70" t="n"/>
      <c r="DF17" s="70" t="n"/>
      <c r="DG17" s="70" t="n"/>
      <c r="DH17" s="70" t="n"/>
      <c r="DI17" s="70" t="n"/>
      <c r="DJ17" s="70" t="n"/>
      <c r="DK17" s="70" t="n"/>
      <c r="DL17" s="70" t="n"/>
      <c r="DM17" s="70" t="n"/>
      <c r="DN17" s="70" t="n"/>
      <c r="DO17" s="70" t="n"/>
      <c r="DP17" s="70" t="n"/>
      <c r="DQ17" s="70" t="n"/>
      <c r="DR17" s="70" t="n"/>
      <c r="DS17" s="70" t="n"/>
      <c r="DT17" s="70" t="n"/>
      <c r="DU17" s="70" t="n"/>
      <c r="DV17" s="70" t="n"/>
      <c r="DW17" s="70" t="n"/>
      <c r="DX17" s="70" t="n"/>
      <c r="DY17" s="70" t="n"/>
      <c r="DZ17" s="70" t="n"/>
      <c r="EA17" s="70" t="n"/>
      <c r="EB17" s="70" t="n"/>
      <c r="EC17" s="70" t="n"/>
      <c r="ED17" s="70" t="n"/>
      <c r="EE17" s="70" t="n"/>
      <c r="EF17" s="70" t="n"/>
      <c r="EG17" s="70" t="n"/>
      <c r="EH17" s="70" t="n"/>
      <c r="EI17" s="70" t="n"/>
      <c r="EJ17" s="70" t="n"/>
      <c r="EK17" s="70" t="n"/>
      <c r="EL17" s="70" t="n"/>
      <c r="EM17" s="70" t="n"/>
      <c r="EN17" s="70" t="n"/>
      <c r="EO17" s="70" t="n"/>
      <c r="EP17" s="70" t="n"/>
      <c r="EQ17" s="70" t="n"/>
      <c r="ER17" s="70" t="n"/>
      <c r="ES17" s="70" t="n"/>
      <c r="ET17" s="70" t="n"/>
      <c r="EU17" s="70" t="n"/>
      <c r="EV17" s="70" t="n"/>
      <c r="EW17" s="70" t="n"/>
      <c r="EX17" s="70" t="n"/>
      <c r="EY17" s="70" t="n"/>
      <c r="EZ17" s="70" t="n"/>
      <c r="FA17" s="70" t="n"/>
      <c r="FB17" s="70" t="n"/>
      <c r="FC17" s="70" t="n"/>
      <c r="FD17" s="70" t="n"/>
      <c r="FE17" s="70" t="n"/>
      <c r="FF17" s="70" t="n"/>
      <c r="FG17" s="70" t="n"/>
      <c r="FH17" s="70" t="n"/>
      <c r="FI17" s="70" t="n"/>
      <c r="FJ17" s="70" t="n"/>
      <c r="FK17" s="70" t="n"/>
      <c r="FL17" s="70" t="n"/>
      <c r="FM17" s="70" t="n"/>
      <c r="FN17" s="70" t="n"/>
      <c r="FO17" s="70" t="n"/>
      <c r="FP17" s="70" t="n"/>
      <c r="FQ17" s="70" t="n"/>
      <c r="FR17" s="70" t="n"/>
      <c r="FS17" s="70" t="n"/>
      <c r="FT17" s="70" t="n"/>
      <c r="FU17" s="70" t="n"/>
      <c r="FV17" s="70" t="n"/>
      <c r="FW17" s="70" t="n"/>
      <c r="FX17" s="70" t="n"/>
      <c r="FY17" s="70" t="n"/>
      <c r="FZ17" s="70" t="n"/>
      <c r="GA17" s="70" t="n"/>
      <c r="GB17" s="70" t="n"/>
      <c r="GC17" s="70" t="n"/>
      <c r="GD17" s="70" t="n"/>
      <c r="GE17" s="70" t="n"/>
      <c r="GF17" s="70" t="n"/>
      <c r="GG17" s="70" t="n"/>
      <c r="GH17" s="70" t="n"/>
      <c r="GI17" s="70" t="n"/>
      <c r="GJ17" s="70" t="n"/>
      <c r="GK17" s="70" t="n"/>
      <c r="GL17" s="70" t="n"/>
      <c r="GM17" s="70" t="n"/>
      <c r="GN17" s="70" t="n"/>
      <c r="GO17" s="70" t="n"/>
      <c r="GP17" s="70" t="n"/>
      <c r="GQ17" s="70" t="n"/>
      <c r="GR17" s="70" t="n"/>
      <c r="GS17" s="70" t="n"/>
      <c r="GT17" s="70" t="n"/>
      <c r="GU17" s="70" t="n"/>
      <c r="GV17" s="70" t="n"/>
      <c r="GW17" s="70" t="n"/>
      <c r="GX17" s="70" t="n"/>
      <c r="GY17" s="70" t="n"/>
      <c r="GZ17" s="70" t="n"/>
      <c r="HA17" s="70" t="n"/>
      <c r="HB17" s="70" t="n"/>
      <c r="HC17" s="70" t="n"/>
      <c r="HD17" s="70" t="n"/>
      <c r="HE17" s="70" t="n"/>
      <c r="HF17" s="70" t="n"/>
      <c r="HG17" s="70" t="n"/>
      <c r="HH17" s="70" t="n"/>
      <c r="HI17" s="70" t="n"/>
      <c r="HJ17" s="70" t="n"/>
      <c r="HK17" s="70" t="n"/>
      <c r="HL17" s="70" t="n"/>
      <c r="HM17" s="70" t="n"/>
      <c r="HN17" s="70" t="n"/>
      <c r="HO17" s="70" t="n"/>
      <c r="HP17" s="70" t="n"/>
      <c r="HQ17" s="70" t="n"/>
      <c r="HR17" s="70" t="n"/>
      <c r="HS17" s="70" t="n"/>
      <c r="HT17" s="70" t="n"/>
      <c r="HU17" s="70" t="n"/>
      <c r="JF17" s="70">
        <f>AP17</f>
        <v/>
      </c>
      <c r="JG17" s="70">
        <f>SUM(Z17:AK17)</f>
        <v/>
      </c>
      <c r="JH17" s="70">
        <f>SUM(AL17:AP17)</f>
        <v/>
      </c>
      <c r="JI17" s="70">
        <f>SUM(C17:AP17)</f>
        <v/>
      </c>
      <c r="JJ17" s="446" t="n"/>
      <c r="JM17" s="70" t="n"/>
      <c r="JR17" s="65">
        <f>A17</f>
        <v/>
      </c>
      <c r="JS17" s="70">
        <f>SUM(C17:AP17)</f>
        <v/>
      </c>
      <c r="JT17" s="461" t="n"/>
      <c r="JU17" s="70">
        <f>SUM(AT17:AZ17)</f>
        <v/>
      </c>
      <c r="JV17" s="70">
        <f>SUM(BA17:BL17)</f>
        <v/>
      </c>
      <c r="JW17" s="70">
        <f>SUM(BM17:BX17)</f>
        <v/>
      </c>
      <c r="JX17" s="70">
        <f>SUM(BY17:CJ17)</f>
        <v/>
      </c>
      <c r="JY17" s="70">
        <f>SUM(CK17:CV17)</f>
        <v/>
      </c>
      <c r="JZ17" s="70">
        <f>SUM(CW17:HU17)</f>
        <v/>
      </c>
      <c r="KG17" s="129">
        <f>B17</f>
        <v/>
      </c>
      <c r="KH17" s="233">
        <f>AR17</f>
        <v/>
      </c>
    </row>
    <row r="18" ht="16.2" customHeight="1">
      <c r="A18" s="54" t="inlineStr">
        <is>
          <t>Rendimento Financeiro</t>
        </is>
      </c>
      <c r="B18" s="130">
        <f>SUM(C18:AP18)</f>
        <v/>
      </c>
      <c r="C18" s="67" t="n"/>
      <c r="D18" s="69" t="n"/>
      <c r="E18" s="67" t="n"/>
      <c r="F18" s="67" t="n"/>
      <c r="G18" s="67" t="n"/>
      <c r="H18" s="67" t="n"/>
      <c r="I18" s="68" t="n"/>
      <c r="J18" s="216" t="n"/>
      <c r="K18" s="116" t="n"/>
      <c r="L18" s="116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7" t="n"/>
      <c r="AA18" s="217" t="n"/>
      <c r="AB18" s="217" t="n">
        <v>12646.02</v>
      </c>
      <c r="AC18" s="217" t="n">
        <v>38113.26</v>
      </c>
      <c r="AD18" s="217" t="n">
        <v>57998.09</v>
      </c>
      <c r="AE18" s="217" t="n">
        <v>61248.2</v>
      </c>
      <c r="AF18" s="217" t="n">
        <v>72074.90999999997</v>
      </c>
      <c r="AG18" s="217">
        <f>38669.97+1.14+11658.76-959.8</f>
        <v/>
      </c>
      <c r="AH18" s="217" t="n">
        <v>113822.3199999915</v>
      </c>
      <c r="AI18" s="217" t="n">
        <v>94885.85000000196</v>
      </c>
      <c r="AJ18" s="217">
        <f>78967.8800000008-41382.42</f>
        <v/>
      </c>
      <c r="AK18" s="217" t="n">
        <v>92147.74000000001</v>
      </c>
      <c r="AL18" s="217" t="n">
        <v>87783.19</v>
      </c>
      <c r="AM18" s="217" t="n">
        <v>36405.54</v>
      </c>
      <c r="AN18" s="217" t="n">
        <v>123144.1599999964</v>
      </c>
      <c r="AO18" s="217" t="n">
        <v>161967.4399999995</v>
      </c>
      <c r="AP18" s="217" t="n">
        <v>228379.6799999997</v>
      </c>
      <c r="AQ18" s="71" t="n"/>
      <c r="AR18" s="342">
        <f>SUM(AT18:HU18)</f>
        <v/>
      </c>
      <c r="AS18" s="71" t="n"/>
      <c r="AT18" s="69">
        <f>IF(AP76&gt;0, AP76*1%,0)</f>
        <v/>
      </c>
      <c r="AU18" s="69">
        <f>IF(AT76&gt;0, AT76*1%,0)</f>
        <v/>
      </c>
      <c r="AV18" s="69">
        <f>IF(AU76&gt;0, AU76*1%,0)</f>
        <v/>
      </c>
      <c r="AW18" s="69">
        <f>IF(AV76&gt;0, AV76*1%,0)</f>
        <v/>
      </c>
      <c r="AX18" s="69">
        <f>IF(AW76&gt;0, AW76*1%,0)</f>
        <v/>
      </c>
      <c r="AY18" s="69">
        <f>IF(AX76&gt;0, AX76*0.8%,0)</f>
        <v/>
      </c>
      <c r="AZ18" s="69">
        <f>IF(AY76&gt;0, AY76*0.8%,0)</f>
        <v/>
      </c>
      <c r="BA18" s="69">
        <f>IF(AZ76&gt;0, AZ76*0.8%,0)</f>
        <v/>
      </c>
      <c r="BB18" s="69">
        <f>IF(BA76&gt;0, BA76*0.8%,0)</f>
        <v/>
      </c>
      <c r="BC18" s="69">
        <f>IF(BB76&gt;0, BB76*0.8%,0)</f>
        <v/>
      </c>
      <c r="BD18" s="69">
        <f>IF(BC76&gt;0, BC76*0.8%,0)</f>
        <v/>
      </c>
      <c r="BE18" s="69">
        <f>IF(BD76&gt;0, BD76*0.8%,0)</f>
        <v/>
      </c>
      <c r="BF18" s="69">
        <f>IF(BE76&gt;0, BE76*0.8%,0)</f>
        <v/>
      </c>
      <c r="BG18" s="69">
        <f>IF(BF76&gt;0, BF76*0.8%,0)</f>
        <v/>
      </c>
      <c r="BH18" s="69">
        <f>IF(BG76&gt;0, BG76*0.8%,0)</f>
        <v/>
      </c>
      <c r="BI18" s="69">
        <f>IF(BH76&gt;0, BH76*0.8%,0)</f>
        <v/>
      </c>
      <c r="BJ18" s="69">
        <f>IF(BI76&gt;0, BI76*0.8%,0)</f>
        <v/>
      </c>
      <c r="BK18" s="69">
        <f>IF(BJ76&gt;0, BJ76*0.8%,0)</f>
        <v/>
      </c>
      <c r="BL18" s="69">
        <f>IF(BK76&gt;0, BK76*0.8%,0)</f>
        <v/>
      </c>
      <c r="BM18" s="69">
        <f>IF(BL76&gt;0, BL76*0.8%,0)</f>
        <v/>
      </c>
      <c r="BN18" s="69">
        <f>IF(BM76&gt;0, BM76*0.8%,0)</f>
        <v/>
      </c>
      <c r="BO18" s="69">
        <f>IF(BN76&gt;0, BN76*0.8%,0)</f>
        <v/>
      </c>
      <c r="BP18" s="69">
        <f>IF(BO76&gt;0, BO76*0.8%,0)</f>
        <v/>
      </c>
      <c r="BQ18" s="69">
        <f>IF(BP76&gt;0, BP76*0.8%,0)</f>
        <v/>
      </c>
      <c r="BR18" s="69">
        <f>IF(BQ76&gt;0, BQ76*0.8%,0)</f>
        <v/>
      </c>
      <c r="BS18" s="69">
        <f>IF(BR76&gt;0, BR76*0.8%,0)</f>
        <v/>
      </c>
      <c r="BT18" s="69">
        <f>IF(BS76&gt;0, BS76*0.8%,0)</f>
        <v/>
      </c>
      <c r="BU18" s="69">
        <f>IF(BT76&gt;0, BT76*0.8%,0)</f>
        <v/>
      </c>
      <c r="BV18" s="69">
        <f>IF(BU76&gt;0, BU76*0.8%,0)</f>
        <v/>
      </c>
      <c r="BW18" s="69">
        <f>IF(BV76&gt;0, BV76*0.8%,0)</f>
        <v/>
      </c>
      <c r="BX18" s="69">
        <f>IF(BW76&gt;0, BW76*0.8%,0)</f>
        <v/>
      </c>
      <c r="BY18" s="69">
        <f>IF(BX76&gt;0, BX76*0.8%,0)</f>
        <v/>
      </c>
      <c r="BZ18" s="69">
        <f>IF(BY76&gt;0, BY76*0.8%,0)</f>
        <v/>
      </c>
      <c r="CA18" s="69">
        <f>IF(BZ76&gt;0, BZ76*0.8%,0)</f>
        <v/>
      </c>
      <c r="CB18" s="69">
        <f>IF(CA76&gt;0, CA76*0.8%,0)</f>
        <v/>
      </c>
      <c r="CC18" s="69">
        <f>IF(CB76&gt;0, CB76*0.8%,0)</f>
        <v/>
      </c>
      <c r="CD18" s="69">
        <f>IF(CC76&gt;0, CC76*0.8%,0)</f>
        <v/>
      </c>
      <c r="CE18" s="69">
        <f>IF(CD76&gt;0, CD76*0.8%,0)</f>
        <v/>
      </c>
      <c r="CF18" s="69">
        <f>IF(CE76&gt;0, CE76*0.8%,0)</f>
        <v/>
      </c>
      <c r="CG18" s="69">
        <f>IF(CF76&gt;0, CF76*0.8%,0)</f>
        <v/>
      </c>
      <c r="CH18" s="69">
        <f>IF(CG76&gt;0, CG76*0.8%,0)</f>
        <v/>
      </c>
      <c r="CI18" s="69">
        <f>IF(CH76&gt;0, CH76*0.8%,0)</f>
        <v/>
      </c>
      <c r="CJ18" s="69">
        <f>IF(CI76&gt;0, CI76*0.8%,0)</f>
        <v/>
      </c>
      <c r="CK18" s="69">
        <f>IF(CJ76&gt;0, CJ76*0.8%,0)</f>
        <v/>
      </c>
      <c r="CL18" s="69">
        <f>IF(CK76&gt;0, CK76*0.8%,0)</f>
        <v/>
      </c>
      <c r="CM18" s="69">
        <f>IF(CL76&gt;0, CL76*0.8%,0)</f>
        <v/>
      </c>
      <c r="CN18" s="69">
        <f>IF(CM76&gt;0, CM76*0.8%,0)</f>
        <v/>
      </c>
      <c r="CO18" s="69">
        <f>IF(CN76&gt;0, CN76*0.8%,0)</f>
        <v/>
      </c>
      <c r="CP18" s="69">
        <f>IF(CO76&gt;0, CO76*0.8%,0)</f>
        <v/>
      </c>
      <c r="CQ18" s="69">
        <f>IF(CP76&gt;0, CP76*0.8%,0)</f>
        <v/>
      </c>
      <c r="CR18" s="69">
        <f>IF(CQ76&gt;0, CQ76*0.8%,0)</f>
        <v/>
      </c>
      <c r="CS18" s="69">
        <f>IF(CR76&gt;0, CR76*0.8%,0)</f>
        <v/>
      </c>
      <c r="CT18" s="69">
        <f>IF(CS76&gt;0, CS76*0.8%,0)</f>
        <v/>
      </c>
      <c r="CU18" s="69">
        <f>IF(CT76&gt;0, CT76*0.8%,0)</f>
        <v/>
      </c>
      <c r="CV18" s="69">
        <f>IF(CU76&gt;0, CU76*0.8%,0)</f>
        <v/>
      </c>
      <c r="CW18" s="69">
        <f>IF(CV76&gt;0, CV76*0.8%,0)</f>
        <v/>
      </c>
      <c r="CX18" s="69">
        <f>IF(CW76&gt;0, CW76*0.8%,0)</f>
        <v/>
      </c>
      <c r="CY18" s="69">
        <f>IF(CX76&gt;0, CX76*0.8%,0)</f>
        <v/>
      </c>
      <c r="CZ18" s="69">
        <f>IF(CY76&gt;0, CY76*0.8%,0)</f>
        <v/>
      </c>
      <c r="DA18" s="69">
        <f>IF(CZ76&gt;0, CZ76*0.8%,0)</f>
        <v/>
      </c>
      <c r="DB18" s="69">
        <f>IF(DA76&gt;0, DA76*0.8%,0)</f>
        <v/>
      </c>
      <c r="DC18" s="69">
        <f>IF(DB76&gt;0, DB76*0.8%,0)</f>
        <v/>
      </c>
      <c r="DD18" s="69">
        <f>IF(DC76&gt;0, DC76*0.8%,0)</f>
        <v/>
      </c>
      <c r="DE18" s="69">
        <f>IF(DD76&gt;0, DD76*0.8%,0)</f>
        <v/>
      </c>
      <c r="DF18" s="69">
        <f>IF(DE76&gt;0, DE76*0.8%,0)</f>
        <v/>
      </c>
      <c r="DG18" s="69">
        <f>IF(DF76&gt;0, DF76*0.8%,0)</f>
        <v/>
      </c>
      <c r="DH18" s="69">
        <f>IF(DG76&gt;0, DG76*0.8%,0)</f>
        <v/>
      </c>
      <c r="DI18" s="69">
        <f>IF(DH76&gt;0, DH76*0.8%,0)</f>
        <v/>
      </c>
      <c r="DJ18" s="69">
        <f>IF(DI76&gt;0, DI76*0.8%,0)</f>
        <v/>
      </c>
      <c r="DK18" s="69">
        <f>IF(DJ76&gt;0, DJ76*0.8%,0)</f>
        <v/>
      </c>
      <c r="DL18" s="69">
        <f>IF(DK76&gt;0, DK76*0.8%,0)</f>
        <v/>
      </c>
      <c r="DM18" s="69">
        <f>IF(DL76&gt;0, DL76*0.8%,0)</f>
        <v/>
      </c>
      <c r="DN18" s="69">
        <f>IF(DM76&gt;0, DM76*0.8%,0)</f>
        <v/>
      </c>
      <c r="DO18" s="69">
        <f>IF(DN76&gt;0, DN76*0.8%,0)</f>
        <v/>
      </c>
      <c r="DP18" s="69">
        <f>IF(DO76&gt;0, DO76*0.8%,0)</f>
        <v/>
      </c>
      <c r="DQ18" s="69">
        <f>IF(DP76&gt;0, DP76*0.8%,0)</f>
        <v/>
      </c>
      <c r="DR18" s="69">
        <f>IF(DQ76&gt;0, DQ76*0.8%,0)</f>
        <v/>
      </c>
      <c r="DS18" s="69">
        <f>IF(DR76&gt;0, DR76*0.8%,0)</f>
        <v/>
      </c>
      <c r="DT18" s="69">
        <f>IF(DS76&gt;0, DS76*0.8%,0)</f>
        <v/>
      </c>
      <c r="DU18" s="69">
        <f>IF(DT76&gt;0, DT76*0.8%,0)</f>
        <v/>
      </c>
      <c r="DV18" s="69">
        <f>IF(DU76&gt;0, DU76*0.8%,0)</f>
        <v/>
      </c>
      <c r="DW18" s="69">
        <f>IF(DV76&gt;0, DV76*0.8%,0)</f>
        <v/>
      </c>
      <c r="DX18" s="69">
        <f>IF(DW76&gt;0, DW76*0.8%,0)</f>
        <v/>
      </c>
      <c r="DY18" s="69">
        <f>IF(DX76&gt;0, DX76*0.8%,0)</f>
        <v/>
      </c>
      <c r="DZ18" s="69">
        <f>IF(DY76&gt;0, DY76*0.8%,0)</f>
        <v/>
      </c>
      <c r="EA18" s="69">
        <f>IF(DZ76&gt;0, DZ76*0.8%,0)</f>
        <v/>
      </c>
      <c r="EB18" s="69">
        <f>IF(EA76&gt;0, EA76*0.8%,0)</f>
        <v/>
      </c>
      <c r="EC18" s="69">
        <f>IF(EB76&gt;0, EB76*0.8%,0)</f>
        <v/>
      </c>
      <c r="ED18" s="69">
        <f>IF(EC76&gt;0, EC76*0.8%,0)</f>
        <v/>
      </c>
      <c r="EE18" s="69">
        <f>IF(ED76&gt;0, ED76*0.8%,0)</f>
        <v/>
      </c>
      <c r="EF18" s="69">
        <f>IF(EE76&gt;0, EE76*0.8%,0)</f>
        <v/>
      </c>
      <c r="EG18" s="69">
        <f>IF(EF76&gt;0, EF76*0.8%,0)</f>
        <v/>
      </c>
      <c r="EH18" s="69">
        <f>IF(EG76&gt;0, EG76*0.8%,0)</f>
        <v/>
      </c>
      <c r="EI18" s="69">
        <f>IF(EH76&gt;0, EH76*0.8%,0)</f>
        <v/>
      </c>
      <c r="EJ18" s="69">
        <f>IF(EI76&gt;0, EI76*0.8%,0)</f>
        <v/>
      </c>
      <c r="EK18" s="69">
        <f>IF(EJ76&gt;0, EJ76*0.8%,0)</f>
        <v/>
      </c>
      <c r="EL18" s="69">
        <f>IF(EK76&gt;0, EK76*0.8%,0)</f>
        <v/>
      </c>
      <c r="EM18" s="69">
        <f>IF(EL76&gt;0, EL76*0.8%,0)</f>
        <v/>
      </c>
      <c r="EN18" s="69">
        <f>IF(EM76&gt;0, EM76*0.8%,0)</f>
        <v/>
      </c>
      <c r="EO18" s="69">
        <f>IF(EN76&gt;0, EN76*0.8%,0)</f>
        <v/>
      </c>
      <c r="EP18" s="69">
        <f>IF(EO76&gt;0, EO76*0.8%,0)</f>
        <v/>
      </c>
      <c r="EQ18" s="69">
        <f>IF(EP76&gt;0, EP76*0.8%,0)</f>
        <v/>
      </c>
      <c r="ER18" s="69">
        <f>IF(EQ76&gt;0, EQ76*0.8%,0)</f>
        <v/>
      </c>
      <c r="ES18" s="69">
        <f>IF(ER76&gt;0, ER76*0.8%,0)</f>
        <v/>
      </c>
      <c r="ET18" s="69">
        <f>IF(ES76&gt;0, ES76*0.8%,0)</f>
        <v/>
      </c>
      <c r="EU18" s="69">
        <f>IF(ET76&gt;0, ET76*0.8%,0)</f>
        <v/>
      </c>
      <c r="EV18" s="69">
        <f>IF(EU76&gt;0, EU76*0.8%,0)</f>
        <v/>
      </c>
      <c r="EW18" s="69">
        <f>IF(EV76&gt;0, EV76*0.8%,0)</f>
        <v/>
      </c>
      <c r="EX18" s="69">
        <f>IF(EW76&gt;0, EW76*0.8%,0)</f>
        <v/>
      </c>
      <c r="EY18" s="69">
        <f>IF(EX76&gt;0, EX76*0.8%,0)</f>
        <v/>
      </c>
      <c r="EZ18" s="69">
        <f>IF(EY76&gt;0, EY76*0.8%,0)</f>
        <v/>
      </c>
      <c r="FA18" s="69">
        <f>IF(EZ76&gt;0, EZ76*0.8%,0)</f>
        <v/>
      </c>
      <c r="FB18" s="69">
        <f>IF(FA76&gt;0, FA76*0.8%,0)</f>
        <v/>
      </c>
      <c r="FC18" s="69">
        <f>IF(FB76&gt;0, FB76*0.8%,0)</f>
        <v/>
      </c>
      <c r="FD18" s="69">
        <f>IF(FC76&gt;0, FC76*0.8%,0)</f>
        <v/>
      </c>
      <c r="FE18" s="69">
        <f>IF(FD76&gt;0, FD76*0.8%,0)</f>
        <v/>
      </c>
      <c r="FF18" s="69">
        <f>IF(FE76&gt;0, FE76*0.8%,0)</f>
        <v/>
      </c>
      <c r="FG18" s="69">
        <f>IF(FF76&gt;0, FF76*0.8%,0)</f>
        <v/>
      </c>
      <c r="FH18" s="69">
        <f>IF(FG76&gt;0, FG76*0.8%,0)</f>
        <v/>
      </c>
      <c r="FI18" s="69">
        <f>IF(FH76&gt;0, FH76*0.8%,0)</f>
        <v/>
      </c>
      <c r="FJ18" s="69">
        <f>IF(FI76&gt;0, FI76*0.8%,0)</f>
        <v/>
      </c>
      <c r="FK18" s="69">
        <f>IF(FJ76&gt;0, FJ76*0.8%,0)</f>
        <v/>
      </c>
      <c r="FL18" s="69">
        <f>IF(FK76&gt;0, FK76*0.8%,0)</f>
        <v/>
      </c>
      <c r="FM18" s="69">
        <f>IF(FL76&gt;0, FL76*0.8%,0)</f>
        <v/>
      </c>
      <c r="FN18" s="69">
        <f>IF(FM76&gt;0, FM76*0.8%,0)</f>
        <v/>
      </c>
      <c r="FO18" s="69">
        <f>IF(FN76&gt;0, FN76*0.8%,0)</f>
        <v/>
      </c>
      <c r="FP18" s="69">
        <f>IF(FO76&gt;0, FO76*0.8%,0)</f>
        <v/>
      </c>
      <c r="FQ18" s="69">
        <f>IF(FP76&gt;0, FP76*0.8%,0)</f>
        <v/>
      </c>
      <c r="FR18" s="69">
        <f>IF(FQ76&gt;0, FQ76*0.8%,0)</f>
        <v/>
      </c>
      <c r="FS18" s="69">
        <f>IF(FR76&gt;0, FR76*0.8%,0)</f>
        <v/>
      </c>
      <c r="FT18" s="69">
        <f>IF(FS76&gt;0, FS76*0.8%,0)</f>
        <v/>
      </c>
      <c r="FU18" s="69">
        <f>IF(FT76&gt;0, FT76*0.8%,0)</f>
        <v/>
      </c>
      <c r="FV18" s="69">
        <f>IF(FU76&gt;0, FU76*0.8%,0)</f>
        <v/>
      </c>
      <c r="FW18" s="69">
        <f>IF(FV76&gt;0, FV76*0.8%,0)</f>
        <v/>
      </c>
      <c r="FX18" s="69">
        <f>IF(FW76&gt;0, FW76*0.8%,0)</f>
        <v/>
      </c>
      <c r="FY18" s="69">
        <f>IF(FX76&gt;0, FX76*0.8%,0)</f>
        <v/>
      </c>
      <c r="FZ18" s="69">
        <f>IF(FY76&gt;0, FY76*0.8%,0)</f>
        <v/>
      </c>
      <c r="GA18" s="69">
        <f>IF(FZ76&gt;0, FZ76*0.8%,0)</f>
        <v/>
      </c>
      <c r="GB18" s="69">
        <f>IF(GA76&gt;0, GA76*0.8%,0)</f>
        <v/>
      </c>
      <c r="GC18" s="69">
        <f>IF(GB76&gt;0, GB76*0.8%,0)</f>
        <v/>
      </c>
      <c r="GD18" s="69">
        <f>IF(GC76&gt;0, GC76*0.8%,0)</f>
        <v/>
      </c>
      <c r="GE18" s="69">
        <f>IF(GD76&gt;0, GD76*0.8%,0)</f>
        <v/>
      </c>
      <c r="GF18" s="69">
        <f>IF(GE76&gt;0, GE76*0.8%,0)</f>
        <v/>
      </c>
      <c r="GG18" s="69">
        <f>IF(GF76&gt;0, GF76*0.8%,0)</f>
        <v/>
      </c>
      <c r="GH18" s="69">
        <f>IF(GG76&gt;0, GG76*0.8%,0)</f>
        <v/>
      </c>
      <c r="GI18" s="69">
        <f>IF(GH76&gt;0, GH76*0.8%,0)</f>
        <v/>
      </c>
      <c r="GJ18" s="69">
        <f>IF(GI76&gt;0, GI76*0.8%,0)</f>
        <v/>
      </c>
      <c r="GK18" s="69">
        <f>IF(GJ76&gt;0, GJ76*0.8%,0)</f>
        <v/>
      </c>
      <c r="GL18" s="69">
        <f>IF(GK76&gt;0, GK76*0.8%,0)</f>
        <v/>
      </c>
      <c r="GM18" s="69">
        <f>IF(GL76&gt;0, GL76*0.8%,0)</f>
        <v/>
      </c>
      <c r="GN18" s="69">
        <f>IF(GM76&gt;0, GM76*0.8%,0)</f>
        <v/>
      </c>
      <c r="GO18" s="69">
        <f>IF(GN76&gt;0, GN76*0.8%,0)</f>
        <v/>
      </c>
      <c r="GP18" s="69">
        <f>IF(GO76&gt;0, GO76*0.8%,0)</f>
        <v/>
      </c>
      <c r="GQ18" s="69">
        <f>IF(GP76&gt;0, GP76*0.8%,0)</f>
        <v/>
      </c>
      <c r="GR18" s="69">
        <f>IF(GQ76&gt;0, GQ76*0.8%,0)</f>
        <v/>
      </c>
      <c r="GS18" s="69">
        <f>IF(GR76&gt;0, GR76*0.8%,0)</f>
        <v/>
      </c>
      <c r="GT18" s="69">
        <f>IF(GS76&gt;0, GS76*0.8%,0)</f>
        <v/>
      </c>
      <c r="GU18" s="69">
        <f>IF(GT76&gt;0, GT76*0.8%,0)</f>
        <v/>
      </c>
      <c r="GV18" s="69">
        <f>IF(GU76&gt;0, GU76*0.8%,0)</f>
        <v/>
      </c>
      <c r="GW18" s="69">
        <f>IF(GV76&gt;0, GV76*0.8%,0)</f>
        <v/>
      </c>
      <c r="GX18" s="69">
        <f>IF(GW76&gt;0, GW76*0.8%,0)</f>
        <v/>
      </c>
      <c r="GY18" s="69">
        <f>IF(GX76&gt;0, GX76*0.8%,0)</f>
        <v/>
      </c>
      <c r="GZ18" s="69">
        <f>IF(GY76&gt;0, GY76*0.8%,0)</f>
        <v/>
      </c>
      <c r="HA18" s="69">
        <f>IF(GZ76&gt;0, GZ76*0.8%,0)</f>
        <v/>
      </c>
      <c r="HB18" s="69">
        <f>IF(HA76&gt;0, HA76*0.8%,0)</f>
        <v/>
      </c>
      <c r="HC18" s="69">
        <f>IF(HB76&gt;0, HB76*0.8%,0)</f>
        <v/>
      </c>
      <c r="HD18" s="69">
        <f>IF(HC76&gt;0, HC76*0.8%,0)</f>
        <v/>
      </c>
      <c r="HE18" s="69">
        <f>IF(HD76&gt;0, HD76*0.8%,0)</f>
        <v/>
      </c>
      <c r="HF18" s="69">
        <f>IF(HE76&gt;0, HE76*0.8%,0)</f>
        <v/>
      </c>
      <c r="HG18" s="69">
        <f>IF(HF76&gt;0, HF76*0.8%,0)</f>
        <v/>
      </c>
      <c r="HH18" s="69">
        <f>IF(HG76&gt;0, HG76*0.8%,0)</f>
        <v/>
      </c>
      <c r="HI18" s="69">
        <f>IF(HH76&gt;0, HH76*0.8%,0)</f>
        <v/>
      </c>
      <c r="HJ18" s="69">
        <f>IF(HI76&gt;0, HI76*0.8%,0)</f>
        <v/>
      </c>
      <c r="HK18" s="69">
        <f>IF(HJ76&gt;0, HJ76*0.8%,0)</f>
        <v/>
      </c>
      <c r="HL18" s="69">
        <f>IF(HK76&gt;0, HK76*0.8%,0)</f>
        <v/>
      </c>
      <c r="HM18" s="69">
        <f>IF(HL76&gt;0, HL76*0.8%,0)</f>
        <v/>
      </c>
      <c r="HN18" s="69">
        <f>IF(HM76&gt;0, HM76*0.8%,0)</f>
        <v/>
      </c>
      <c r="HO18" s="69">
        <f>IF(HN76&gt;0, HN76*0.8%,0)</f>
        <v/>
      </c>
      <c r="HP18" s="69">
        <f>IF(HO76&gt;0, HO76*0.8%,0)</f>
        <v/>
      </c>
      <c r="HQ18" s="69">
        <f>IF(HP76&gt;0, HP76*0.8%,0)</f>
        <v/>
      </c>
      <c r="HR18" s="69">
        <f>IF(HQ76&gt;0, HQ76*0.8%,0)</f>
        <v/>
      </c>
      <c r="HS18" s="69">
        <f>IF(HR76&gt;0, HR76*0.8%,0)</f>
        <v/>
      </c>
      <c r="HT18" s="69">
        <f>IF(HS76&gt;0, HS76*0.8%,0)</f>
        <v/>
      </c>
      <c r="HU18" s="69">
        <f>IF(HT76&gt;0, HT76*0.8%,0)</f>
        <v/>
      </c>
      <c r="JF18" s="69">
        <f>AP18</f>
        <v/>
      </c>
      <c r="JG18" s="69">
        <f>SUM(Z18:AK18)</f>
        <v/>
      </c>
      <c r="JH18" s="69">
        <f>SUM(AL18:AP18)</f>
        <v/>
      </c>
      <c r="JI18" s="69">
        <f>SUM(C18:AP18)</f>
        <v/>
      </c>
      <c r="JJ18" s="446" t="n"/>
      <c r="JM18" s="69" t="n">
        <v>125712.4885</v>
      </c>
      <c r="JR18" s="54">
        <f>A18</f>
        <v/>
      </c>
      <c r="JS18" s="69">
        <f>SUM(C18:AP18)</f>
        <v/>
      </c>
      <c r="JT18" s="459" t="n"/>
      <c r="JU18" s="69">
        <f>SUM(AT18:AZ18)</f>
        <v/>
      </c>
      <c r="JV18" s="69">
        <f>SUM(BA18:BL18)</f>
        <v/>
      </c>
      <c r="JW18" s="69">
        <f>SUM(BM18:BX18)</f>
        <v/>
      </c>
      <c r="JX18" s="69">
        <f>SUM(BY18:CJ18)</f>
        <v/>
      </c>
      <c r="JY18" s="69">
        <f>SUM(CK18:CV18)</f>
        <v/>
      </c>
      <c r="JZ18" s="69">
        <f>SUM(CW18:HU18)</f>
        <v/>
      </c>
      <c r="KG18" s="130">
        <f>B18</f>
        <v/>
      </c>
      <c r="KH18" s="342">
        <f>AR18</f>
        <v/>
      </c>
    </row>
    <row r="19" ht="7.2" customHeight="1">
      <c r="A19" s="1" t="n"/>
      <c r="B19" s="128" t="n"/>
      <c r="C19" s="1" t="n"/>
      <c r="D19" s="1" t="n"/>
      <c r="E19" s="1" t="n"/>
      <c r="F19" s="1" t="n"/>
      <c r="G19" s="1" t="n"/>
      <c r="H19" s="1" t="n"/>
      <c r="I19" s="1" t="n"/>
      <c r="J19" s="156" t="n"/>
      <c r="K19" s="1" t="n"/>
      <c r="L19" s="1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  <c r="AG19" s="157" t="n"/>
      <c r="AH19" s="157" t="n"/>
      <c r="AI19" s="157" t="n"/>
      <c r="AJ19" s="157" t="n"/>
      <c r="AK19" s="157" t="n"/>
      <c r="AL19" s="157" t="n"/>
      <c r="AM19" s="157" t="n"/>
      <c r="AN19" s="157" t="n"/>
      <c r="AO19" s="157" t="n"/>
      <c r="AP19" s="157" t="n"/>
      <c r="AQ19" s="93" t="n"/>
      <c r="AR19" s="236" t="n"/>
      <c r="AS19" s="93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289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289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289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289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289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JF19" s="1">
        <f>AP19</f>
        <v/>
      </c>
      <c r="JG19" s="1">
        <f>SUM(Z19:AK19)</f>
        <v/>
      </c>
      <c r="JH19" s="1">
        <f>SUM(AL19:AP19)</f>
        <v/>
      </c>
      <c r="JI19" s="1">
        <f>SUM(C19:AP19)</f>
        <v/>
      </c>
      <c r="JJ19" s="446" t="n"/>
      <c r="JM19" s="1" t="n"/>
      <c r="JR19" s="1">
        <f>A19</f>
        <v/>
      </c>
      <c r="JS19" s="1">
        <f>SUM(C19:AP19)</f>
        <v/>
      </c>
      <c r="JT19" s="460" t="n"/>
      <c r="JU19" s="1">
        <f>SUM(AT19:AZ19)</f>
        <v/>
      </c>
      <c r="JV19" s="1">
        <f>SUM(BA19:BL19)</f>
        <v/>
      </c>
      <c r="JW19" s="1">
        <f>SUM(BM19:BX19)</f>
        <v/>
      </c>
      <c r="JX19" s="1">
        <f>SUM(BY19:CJ19)</f>
        <v/>
      </c>
      <c r="JY19" s="1">
        <f>SUM(CK19:CV19)</f>
        <v/>
      </c>
      <c r="JZ19" s="1">
        <f>SUM(CW19:HU19)</f>
        <v/>
      </c>
      <c r="KG19" s="128">
        <f>B19</f>
        <v/>
      </c>
      <c r="KH19" s="236">
        <f>AR19</f>
        <v/>
      </c>
    </row>
    <row r="20" ht="16.2" customFormat="1" customHeight="1" s="259">
      <c r="A20" s="96" t="inlineStr">
        <is>
          <t>TOTAL RECEITAS REAL (+)</t>
        </is>
      </c>
      <c r="B20" s="131">
        <f>SUM(C20:AP20)</f>
        <v/>
      </c>
      <c r="C20" s="72">
        <f>SUM(C8+C9+C15+C18)</f>
        <v/>
      </c>
      <c r="D20" s="72">
        <f>SUM(D8+D9+D15+D18)</f>
        <v/>
      </c>
      <c r="E20" s="72">
        <f>SUM(E8+E9+E15+E18)</f>
        <v/>
      </c>
      <c r="F20" s="72">
        <f>SUM(F8+F9+F12+F15+F18)</f>
        <v/>
      </c>
      <c r="G20" s="72">
        <f>SUM(G8+G9+G12+G15+G18)</f>
        <v/>
      </c>
      <c r="H20" s="72">
        <f>SUM(H8+H9+H12+H15+H18)</f>
        <v/>
      </c>
      <c r="I20" s="72">
        <f>SUM(I8+I9+I12+I15+I18)</f>
        <v/>
      </c>
      <c r="J20" s="160">
        <f>SUM(J8+J9+J15+J18)</f>
        <v/>
      </c>
      <c r="K20" s="72">
        <f>SUM(K8+K9+K15+K18)</f>
        <v/>
      </c>
      <c r="L20" s="72">
        <f>SUM(L8+L9+L15+L18)</f>
        <v/>
      </c>
      <c r="M20" s="161">
        <f>SUM(M8+M9+M15+M18)</f>
        <v/>
      </c>
      <c r="N20" s="161">
        <f>SUM(N8+N9+N15+N18)</f>
        <v/>
      </c>
      <c r="O20" s="161">
        <f>SUM(O8+O9+O15+O18)</f>
        <v/>
      </c>
      <c r="P20" s="161">
        <f>SUM(P8+P9+P15+P18)</f>
        <v/>
      </c>
      <c r="Q20" s="161">
        <f>SUM(Q8+Q9+Q15+Q18)</f>
        <v/>
      </c>
      <c r="R20" s="161">
        <f>SUM(R8+R9+R15+R18)</f>
        <v/>
      </c>
      <c r="S20" s="161">
        <f>SUM(S8+S9+S15+S18)</f>
        <v/>
      </c>
      <c r="T20" s="161">
        <f>SUM(T8+T9+T15+T18)</f>
        <v/>
      </c>
      <c r="U20" s="161">
        <f>SUM(U8+U9+U15+U18)</f>
        <v/>
      </c>
      <c r="V20" s="161">
        <f>SUM(V8+V9+V15+V18)</f>
        <v/>
      </c>
      <c r="W20" s="161">
        <f>SUM(W8+W9+W15+W18)</f>
        <v/>
      </c>
      <c r="X20" s="161">
        <f>SUM(X8+X9+X15+X18)</f>
        <v/>
      </c>
      <c r="Y20" s="161">
        <f>SUM(Y8+Y9+Y15+Y18)</f>
        <v/>
      </c>
      <c r="Z20" s="161">
        <f>SUM(Z8+Z9+Z15+Z18)</f>
        <v/>
      </c>
      <c r="AA20" s="161">
        <f>SUM(AA8+AA9+AA15+AA18)</f>
        <v/>
      </c>
      <c r="AB20" s="161">
        <f>SUM(AB8+AB9+AB15+AB18)</f>
        <v/>
      </c>
      <c r="AC20" s="161">
        <f>SUM(AC8+AC9+AC15+AC18)</f>
        <v/>
      </c>
      <c r="AD20" s="161">
        <f>SUM(AD8+AD9+AD15+AD18)</f>
        <v/>
      </c>
      <c r="AE20" s="161">
        <f>SUM(AE8+AE9+AE15+AE18)</f>
        <v/>
      </c>
      <c r="AF20" s="161">
        <f>SUM(AF8+AF9+AF15+AF18)</f>
        <v/>
      </c>
      <c r="AG20" s="161">
        <f>SUM(AG8+AG9+AG15+AG18)</f>
        <v/>
      </c>
      <c r="AH20" s="161">
        <f>SUM(AH8+AH9+AH15+AH18)</f>
        <v/>
      </c>
      <c r="AI20" s="161">
        <f>SUM(AI8+AI9+AI15+AI18)</f>
        <v/>
      </c>
      <c r="AJ20" s="161">
        <f>SUM(AJ8+AJ9+AJ15+AJ18)</f>
        <v/>
      </c>
      <c r="AK20" s="161">
        <f>SUM(AK8+AK9+AK15+AK18)</f>
        <v/>
      </c>
      <c r="AL20" s="161">
        <f>SUM(AL8+AL9+AL15+AL18)</f>
        <v/>
      </c>
      <c r="AM20" s="161">
        <f>SUM(AM8+AM9+AM15+AM18)</f>
        <v/>
      </c>
      <c r="AN20" s="161">
        <f>SUM(AN8+AN9+AN15+AN18)</f>
        <v/>
      </c>
      <c r="AO20" s="161">
        <f>SUM(AO8+AO9+AO15+AO18)</f>
        <v/>
      </c>
      <c r="AP20" s="161">
        <f>SUM(AP8+AP9+AP15+AP18)</f>
        <v/>
      </c>
      <c r="AQ20" s="71" t="n"/>
      <c r="AR20" s="131">
        <f>SUM(AT20:HU20)</f>
        <v/>
      </c>
      <c r="AS20" s="71" t="n"/>
      <c r="AT20" s="72">
        <f>SUM(AT8+AT9+AT15+AT18)</f>
        <v/>
      </c>
      <c r="AU20" s="72">
        <f>SUM(AU8+AU9+AU15+AU18)</f>
        <v/>
      </c>
      <c r="AV20" s="72">
        <f>SUM(AV8+AV9+AV15+AV18)</f>
        <v/>
      </c>
      <c r="AW20" s="72">
        <f>SUM(AW8+AW9+AW15+AW18)</f>
        <v/>
      </c>
      <c r="AX20" s="72">
        <f>SUM(AX8+AX9+AX15+AX18)</f>
        <v/>
      </c>
      <c r="AY20" s="72">
        <f>SUM(AY8+AY9+AY15+AY18)</f>
        <v/>
      </c>
      <c r="AZ20" s="72">
        <f>SUM(AZ8+AZ9+AZ15+AZ18)</f>
        <v/>
      </c>
      <c r="BA20" s="72">
        <f>SUM(BA8+BA9+BA15+BA18)</f>
        <v/>
      </c>
      <c r="BB20" s="72">
        <f>SUM(BB8+BB9+BB15+BB18)</f>
        <v/>
      </c>
      <c r="BC20" s="72">
        <f>SUM(BC8+BC9+BC15+BC18)</f>
        <v/>
      </c>
      <c r="BD20" s="291">
        <f>SUM(BD8+BD9+BD15+BD18)</f>
        <v/>
      </c>
      <c r="BE20" s="98">
        <f>SUM(BE8+BE9+BE15+BE18)</f>
        <v/>
      </c>
      <c r="BF20" s="72">
        <f>SUM(BF8+BF9+BF15+BF18)</f>
        <v/>
      </c>
      <c r="BG20" s="72">
        <f>SUM(BG8+BG9+BG15+BG18)</f>
        <v/>
      </c>
      <c r="BH20" s="72">
        <f>SUM(BH8+BH9+BH15+BH18)</f>
        <v/>
      </c>
      <c r="BI20" s="72">
        <f>SUM(BI8+BI9+BI15+BI18)</f>
        <v/>
      </c>
      <c r="BJ20" s="72">
        <f>SUM(BJ8+BJ9+BJ15+BJ18)</f>
        <v/>
      </c>
      <c r="BK20" s="72">
        <f>SUM(BK8+BK9+BK15+BK18)</f>
        <v/>
      </c>
      <c r="BL20" s="72">
        <f>SUM(BL8+BL9+BL15+BL18)</f>
        <v/>
      </c>
      <c r="BM20" s="72">
        <f>SUM(BM8+BM9+BM15+BM18)</f>
        <v/>
      </c>
      <c r="BN20" s="72">
        <f>SUM(BN8+BN9+BN15+BN18)</f>
        <v/>
      </c>
      <c r="BO20" s="72">
        <f>SUM(BO8+BO9+BO15+BO18)</f>
        <v/>
      </c>
      <c r="BP20" s="291">
        <f>SUM(BP8+BP9+BP15+BP18)</f>
        <v/>
      </c>
      <c r="BQ20" s="98">
        <f>SUM(BQ8+BQ9+BQ15+BQ18)</f>
        <v/>
      </c>
      <c r="BR20" s="72">
        <f>SUM(BR8+BR9+BR15+BR18)</f>
        <v/>
      </c>
      <c r="BS20" s="72">
        <f>SUM(BS8+BS9+BS15+BS18)</f>
        <v/>
      </c>
      <c r="BT20" s="72">
        <f>SUM(BT8+BT9+BT15+BT18)</f>
        <v/>
      </c>
      <c r="BU20" s="72">
        <f>SUM(BU8+BU9+BU15+BU18)</f>
        <v/>
      </c>
      <c r="BV20" s="72">
        <f>SUM(BV8+BV9+BV15+BV18)</f>
        <v/>
      </c>
      <c r="BW20" s="72">
        <f>SUM(BW8+BW9+BW15+BW18)</f>
        <v/>
      </c>
      <c r="BX20" s="72">
        <f>SUM(BX8+BX9+BX15+BX18)</f>
        <v/>
      </c>
      <c r="BY20" s="72">
        <f>SUM(BY8+BY9+BY15+BY18)</f>
        <v/>
      </c>
      <c r="BZ20" s="72">
        <f>SUM(BZ8+BZ9+BZ15+BZ18)</f>
        <v/>
      </c>
      <c r="CA20" s="72">
        <f>SUM(CA8+CA9+CA15+CA18)</f>
        <v/>
      </c>
      <c r="CB20" s="291">
        <f>SUM(CB8+CB9+CB15+CB18)</f>
        <v/>
      </c>
      <c r="CC20" s="98">
        <f>SUM(CC8+CC9+CC15+CC18)</f>
        <v/>
      </c>
      <c r="CD20" s="72">
        <f>SUM(CD8+CD9+CD15+CD18)</f>
        <v/>
      </c>
      <c r="CE20" s="72">
        <f>SUM(CE8+CE9+CE15+CE18)</f>
        <v/>
      </c>
      <c r="CF20" s="72">
        <f>SUM(CF8+CF9+CF15+CF18)</f>
        <v/>
      </c>
      <c r="CG20" s="72">
        <f>SUM(CG8+CG9+CG15+CG18)</f>
        <v/>
      </c>
      <c r="CH20" s="72">
        <f>SUM(CH8+CH9+CH15+CH18)</f>
        <v/>
      </c>
      <c r="CI20" s="72">
        <f>SUM(CI8+CI9+CI15+CI18)</f>
        <v/>
      </c>
      <c r="CJ20" s="72">
        <f>SUM(CJ8+CJ9+CJ15+CJ18)</f>
        <v/>
      </c>
      <c r="CK20" s="72">
        <f>SUM(CK8+CK9+CK15+CK18)</f>
        <v/>
      </c>
      <c r="CL20" s="72">
        <f>SUM(CL8+CL9+CL15+CL18)</f>
        <v/>
      </c>
      <c r="CM20" s="72">
        <f>SUM(CM8+CM9+CM15+CM18)</f>
        <v/>
      </c>
      <c r="CN20" s="291">
        <f>SUM(CN8+CN9+CN15+CN18)</f>
        <v/>
      </c>
      <c r="CO20" s="98">
        <f>SUM(CO8+CO9+CO15+CO18)</f>
        <v/>
      </c>
      <c r="CP20" s="72">
        <f>SUM(CP8+CP9+CP15+CP18)</f>
        <v/>
      </c>
      <c r="CQ20" s="72">
        <f>SUM(CQ8+CQ9+CQ15+CQ18)</f>
        <v/>
      </c>
      <c r="CR20" s="72">
        <f>SUM(CR8+CR9+CR15+CR18)</f>
        <v/>
      </c>
      <c r="CS20" s="72">
        <f>SUM(CS8+CS9+CS15+CS18)</f>
        <v/>
      </c>
      <c r="CT20" s="72">
        <f>SUM(CT8+CT9+CT15+CT18)</f>
        <v/>
      </c>
      <c r="CU20" s="72">
        <f>SUM(CU8+CU9+CU15+CU18)</f>
        <v/>
      </c>
      <c r="CV20" s="72">
        <f>SUM(CV8+CV9+CV15+CV18)</f>
        <v/>
      </c>
      <c r="CW20" s="72">
        <f>SUM(CW8+CW9+CW15+CW18)</f>
        <v/>
      </c>
      <c r="CX20" s="72">
        <f>SUM(CX8+CX9+CX15+CX18)</f>
        <v/>
      </c>
      <c r="CY20" s="72">
        <f>SUM(CY8+CY9+CY15+CY18)</f>
        <v/>
      </c>
      <c r="CZ20" s="291">
        <f>SUM(CZ8+CZ9+CZ15+CZ18)</f>
        <v/>
      </c>
      <c r="DA20" s="98">
        <f>SUM(DA8+DA9+DA15+DA18)</f>
        <v/>
      </c>
      <c r="DB20" s="72">
        <f>SUM(DB8+DB9+DB15+DB18)</f>
        <v/>
      </c>
      <c r="DC20" s="72">
        <f>SUM(DC8+DC9+DC15+DC18)</f>
        <v/>
      </c>
      <c r="DD20" s="72">
        <f>SUM(DD8+DD9+DD15+DD18)</f>
        <v/>
      </c>
      <c r="DE20" s="72">
        <f>SUM(DE8+DE9+DE15+DE18)</f>
        <v/>
      </c>
      <c r="DF20" s="72">
        <f>SUM(DF8+DF9+DF15+DF18)</f>
        <v/>
      </c>
      <c r="DG20" s="72">
        <f>SUM(DG8+DG9+DG15+DG18)</f>
        <v/>
      </c>
      <c r="DH20" s="72">
        <f>SUM(DH8+DH9+DH15+DH18)</f>
        <v/>
      </c>
      <c r="DI20" s="72">
        <f>SUM(DI8+DI9+DI15+DI18)</f>
        <v/>
      </c>
      <c r="DJ20" s="72">
        <f>SUM(DJ8+DJ9+DJ15+DJ18)</f>
        <v/>
      </c>
      <c r="DK20" s="72">
        <f>SUM(DK8+DK9+DK15+DK18)</f>
        <v/>
      </c>
      <c r="DL20" s="72">
        <f>SUM(DL8+DL9+DL15+DL18)</f>
        <v/>
      </c>
      <c r="DM20" s="72">
        <f>SUM(DM8+DM9+DM15+DM18)</f>
        <v/>
      </c>
      <c r="DN20" s="72">
        <f>SUM(DN8+DN9+DN15+DN18)</f>
        <v/>
      </c>
      <c r="DO20" s="72">
        <f>SUM(DO8+DO9+DO15+DO18)</f>
        <v/>
      </c>
      <c r="DP20" s="72">
        <f>SUM(DP8+DP9+DP15+DP18)</f>
        <v/>
      </c>
      <c r="DQ20" s="72">
        <f>SUM(DQ8+DQ9+DQ15+DQ18)</f>
        <v/>
      </c>
      <c r="DR20" s="72">
        <f>SUM(DR8+DR9+DR15+DR18)</f>
        <v/>
      </c>
      <c r="DS20" s="72">
        <f>SUM(DS8+DS9+DS15+DS18)</f>
        <v/>
      </c>
      <c r="DT20" s="72">
        <f>SUM(DT8+DT9+DT15+DT18)</f>
        <v/>
      </c>
      <c r="DU20" s="72">
        <f>SUM(DU8+DU9+DU15+DU18)</f>
        <v/>
      </c>
      <c r="DV20" s="72">
        <f>SUM(DV8+DV9+DV15+DV18)</f>
        <v/>
      </c>
      <c r="DW20" s="72">
        <f>SUM(DW8+DW9+DW15+DW18)</f>
        <v/>
      </c>
      <c r="DX20" s="72">
        <f>SUM(DX8+DX9+DX15+DX18)</f>
        <v/>
      </c>
      <c r="DY20" s="72">
        <f>SUM(DY8+DY9+DY15+DY18)</f>
        <v/>
      </c>
      <c r="DZ20" s="72">
        <f>SUM(DZ8+DZ9+DZ15+DZ18)</f>
        <v/>
      </c>
      <c r="EA20" s="72">
        <f>SUM(EA8+EA9+EA15+EA18)</f>
        <v/>
      </c>
      <c r="EB20" s="72">
        <f>SUM(EB8+EB9+EB15+EB18)</f>
        <v/>
      </c>
      <c r="EC20" s="72">
        <f>SUM(EC8+EC9+EC15+EC18)</f>
        <v/>
      </c>
      <c r="ED20" s="72">
        <f>SUM(ED8+ED9+ED15+ED18)</f>
        <v/>
      </c>
      <c r="EE20" s="72">
        <f>SUM(EE8+EE9+EE15+EE18)</f>
        <v/>
      </c>
      <c r="EF20" s="72">
        <f>SUM(EF8+EF9+EF15+EF18)</f>
        <v/>
      </c>
      <c r="EG20" s="72">
        <f>SUM(EG8+EG9+EG15+EG18)</f>
        <v/>
      </c>
      <c r="EH20" s="72">
        <f>SUM(EH8+EH9+EH15+EH18)</f>
        <v/>
      </c>
      <c r="EI20" s="72">
        <f>SUM(EI8+EI9+EI15+EI18)</f>
        <v/>
      </c>
      <c r="EJ20" s="72">
        <f>SUM(EJ8+EJ9+EJ15+EJ18)</f>
        <v/>
      </c>
      <c r="EK20" s="72">
        <f>SUM(EK8+EK9+EK15+EK18)</f>
        <v/>
      </c>
      <c r="EL20" s="72">
        <f>SUM(EL8+EL9+EL15+EL18)</f>
        <v/>
      </c>
      <c r="EM20" s="72">
        <f>SUM(EM8+EM9+EM15+EM18)</f>
        <v/>
      </c>
      <c r="EN20" s="72">
        <f>SUM(EN8+EN9+EN15+EN18)</f>
        <v/>
      </c>
      <c r="EO20" s="72">
        <f>SUM(EO8+EO9+EO15+EO18)</f>
        <v/>
      </c>
      <c r="EP20" s="72">
        <f>SUM(EP8+EP9+EP15+EP18)</f>
        <v/>
      </c>
      <c r="EQ20" s="72">
        <f>SUM(EQ8+EQ9+EQ15+EQ18)</f>
        <v/>
      </c>
      <c r="ER20" s="72">
        <f>SUM(ER8+ER9+ER15+ER18)</f>
        <v/>
      </c>
      <c r="ES20" s="72">
        <f>SUM(ES8+ES9+ES15+ES18)</f>
        <v/>
      </c>
      <c r="ET20" s="72">
        <f>SUM(ET8+ET9+ET15+ET18)</f>
        <v/>
      </c>
      <c r="EU20" s="72">
        <f>SUM(EU8+EU9+EU15+EU18)</f>
        <v/>
      </c>
      <c r="EV20" s="72">
        <f>SUM(EV8+EV9+EV15+EV18)</f>
        <v/>
      </c>
      <c r="EW20" s="72">
        <f>SUM(EW8+EW9+EW15+EW18)</f>
        <v/>
      </c>
      <c r="EX20" s="72">
        <f>SUM(EX8+EX9+EX15+EX18)</f>
        <v/>
      </c>
      <c r="EY20" s="72">
        <f>SUM(EY8+EY9+EY15+EY18)</f>
        <v/>
      </c>
      <c r="EZ20" s="72">
        <f>SUM(EZ8+EZ9+EZ15+EZ18)</f>
        <v/>
      </c>
      <c r="FA20" s="72">
        <f>SUM(FA8+FA9+FA15+FA18)</f>
        <v/>
      </c>
      <c r="FB20" s="72">
        <f>SUM(FB8+FB9+FB15+FB18)</f>
        <v/>
      </c>
      <c r="FC20" s="72">
        <f>SUM(FC8+FC9+FC15+FC18)</f>
        <v/>
      </c>
      <c r="FD20" s="72">
        <f>SUM(FD8+FD9+FD15+FD18)</f>
        <v/>
      </c>
      <c r="FE20" s="72">
        <f>SUM(FE8+FE9+FE15+FE18)</f>
        <v/>
      </c>
      <c r="FF20" s="72">
        <f>SUM(FF8+FF9+FF15+FF18)</f>
        <v/>
      </c>
      <c r="FG20" s="72">
        <f>SUM(FG8+FG9+FG15+FG18)</f>
        <v/>
      </c>
      <c r="FH20" s="72">
        <f>SUM(FH8+FH9+FH15+FH18)</f>
        <v/>
      </c>
      <c r="FI20" s="72">
        <f>SUM(FI8+FI9+FI15+FI18)</f>
        <v/>
      </c>
      <c r="FJ20" s="72">
        <f>SUM(FJ8+FJ9+FJ15+FJ18)</f>
        <v/>
      </c>
      <c r="FK20" s="72">
        <f>SUM(FK8+FK9+FK15+FK18)</f>
        <v/>
      </c>
      <c r="FL20" s="72">
        <f>SUM(FL8+FL9+FL15+FL18)</f>
        <v/>
      </c>
      <c r="FM20" s="72">
        <f>SUM(FM8+FM9+FM15+FM18)</f>
        <v/>
      </c>
      <c r="FN20" s="72">
        <f>SUM(FN8+FN9+FN15+FN18)</f>
        <v/>
      </c>
      <c r="FO20" s="72">
        <f>SUM(FO8+FO9+FO15+FO18)</f>
        <v/>
      </c>
      <c r="FP20" s="72">
        <f>SUM(FP8+FP9+FP15+FP18)</f>
        <v/>
      </c>
      <c r="FQ20" s="72">
        <f>SUM(FQ8+FQ9+FQ15+FQ18)</f>
        <v/>
      </c>
      <c r="FR20" s="72">
        <f>SUM(FR8+FR9+FR15+FR18)</f>
        <v/>
      </c>
      <c r="FS20" s="72">
        <f>SUM(FS8+FS9+FS15+FS18)</f>
        <v/>
      </c>
      <c r="FT20" s="72">
        <f>SUM(FT8+FT9+FT15+FT18)</f>
        <v/>
      </c>
      <c r="FU20" s="72">
        <f>SUM(FU8+FU9+FU15+FU18)</f>
        <v/>
      </c>
      <c r="FV20" s="72">
        <f>SUM(FV8+FV9+FV15+FV18)</f>
        <v/>
      </c>
      <c r="FW20" s="72">
        <f>SUM(FW8+FW9+FW15+FW18)</f>
        <v/>
      </c>
      <c r="FX20" s="72">
        <f>SUM(FX8+FX9+FX15+FX18)</f>
        <v/>
      </c>
      <c r="FY20" s="72">
        <f>SUM(FY8+FY9+FY15+FY18)</f>
        <v/>
      </c>
      <c r="FZ20" s="72">
        <f>SUM(FZ8+FZ9+FZ15+FZ18)</f>
        <v/>
      </c>
      <c r="GA20" s="72">
        <f>SUM(GA8+GA9+GA15+GA18)</f>
        <v/>
      </c>
      <c r="GB20" s="72">
        <f>SUM(GB8+GB9+GB15+GB18)</f>
        <v/>
      </c>
      <c r="GC20" s="72">
        <f>SUM(GC8+GC9+GC15+GC18)</f>
        <v/>
      </c>
      <c r="GD20" s="72">
        <f>SUM(GD8+GD9+GD15+GD18)</f>
        <v/>
      </c>
      <c r="GE20" s="72">
        <f>SUM(GE8+GE9+GE15+GE18)</f>
        <v/>
      </c>
      <c r="GF20" s="72">
        <f>SUM(GF8+GF9+GF15+GF18)</f>
        <v/>
      </c>
      <c r="GG20" s="72">
        <f>SUM(GG8+GG9+GG15+GG18)</f>
        <v/>
      </c>
      <c r="GH20" s="72">
        <f>SUM(GH8+GH9+GH15+GH18)</f>
        <v/>
      </c>
      <c r="GI20" s="72">
        <f>SUM(GI8+GI9+GI15+GI18)</f>
        <v/>
      </c>
      <c r="GJ20" s="72">
        <f>SUM(GJ8+GJ9+GJ15+GJ18)</f>
        <v/>
      </c>
      <c r="GK20" s="72">
        <f>SUM(GK8+GK9+GK15+GK18)</f>
        <v/>
      </c>
      <c r="GL20" s="72">
        <f>SUM(GL8+GL9+GL15+GL18)</f>
        <v/>
      </c>
      <c r="GM20" s="72">
        <f>SUM(GM8+GM9+GM15+GM18)</f>
        <v/>
      </c>
      <c r="GN20" s="72">
        <f>SUM(GN8+GN9+GN15+GN18)</f>
        <v/>
      </c>
      <c r="GO20" s="72">
        <f>SUM(GO8+GO9+GO15+GO18)</f>
        <v/>
      </c>
      <c r="GP20" s="72">
        <f>SUM(GP8+GP9+GP15+GP18)</f>
        <v/>
      </c>
      <c r="GQ20" s="72">
        <f>SUM(GQ8+GQ9+GQ15+GQ18)</f>
        <v/>
      </c>
      <c r="GR20" s="72">
        <f>SUM(GR8+GR9+GR15+GR18)</f>
        <v/>
      </c>
      <c r="GS20" s="72">
        <f>SUM(GS8+GS9+GS15+GS18)</f>
        <v/>
      </c>
      <c r="GT20" s="72">
        <f>SUM(GT8+GT9+GT15+GT18)</f>
        <v/>
      </c>
      <c r="GU20" s="72">
        <f>SUM(GU8+GU9+GU15+GU18)</f>
        <v/>
      </c>
      <c r="GV20" s="72">
        <f>SUM(GV8+GV9+GV15+GV18)</f>
        <v/>
      </c>
      <c r="GW20" s="72">
        <f>SUM(GW8+GW9+GW15+GW18)</f>
        <v/>
      </c>
      <c r="GX20" s="72">
        <f>SUM(GX8+GX9+GX15+GX18)</f>
        <v/>
      </c>
      <c r="GY20" s="72">
        <f>SUM(GY8+GY9+GY15+GY18)</f>
        <v/>
      </c>
      <c r="GZ20" s="72">
        <f>SUM(GZ8+GZ9+GZ15+GZ18)</f>
        <v/>
      </c>
      <c r="HA20" s="72">
        <f>SUM(HA8+HA9+HA15+HA18)</f>
        <v/>
      </c>
      <c r="HB20" s="72">
        <f>SUM(HB8+HB9+HB15+HB18)</f>
        <v/>
      </c>
      <c r="HC20" s="72">
        <f>SUM(HC8+HC9+HC15+HC18)</f>
        <v/>
      </c>
      <c r="HD20" s="72">
        <f>SUM(HD8+HD9+HD15+HD18)</f>
        <v/>
      </c>
      <c r="HE20" s="72">
        <f>SUM(HE8+HE9+HE15+HE18)</f>
        <v/>
      </c>
      <c r="HF20" s="72">
        <f>SUM(HF8+HF9+HF15+HF18)</f>
        <v/>
      </c>
      <c r="HG20" s="72">
        <f>SUM(HG8+HG9+HG15+HG18)</f>
        <v/>
      </c>
      <c r="HH20" s="72">
        <f>SUM(HH8+HH9+HH15+HH18)</f>
        <v/>
      </c>
      <c r="HI20" s="72">
        <f>SUM(HI8+HI9+HI15+HI18)</f>
        <v/>
      </c>
      <c r="HJ20" s="72">
        <f>SUM(HJ8+HJ9+HJ15+HJ18)</f>
        <v/>
      </c>
      <c r="HK20" s="72">
        <f>SUM(HK8+HK9+HK15+HK18)</f>
        <v/>
      </c>
      <c r="HL20" s="72">
        <f>SUM(HL8+HL9+HL15+HL18)</f>
        <v/>
      </c>
      <c r="HM20" s="72">
        <f>SUM(HM8+HM9+HM15+HM18)</f>
        <v/>
      </c>
      <c r="HN20" s="72">
        <f>SUM(HN8+HN9+HN15+HN18)</f>
        <v/>
      </c>
      <c r="HO20" s="72">
        <f>SUM(HO8+HO9+HO15+HO18)</f>
        <v/>
      </c>
      <c r="HP20" s="72">
        <f>SUM(HP8+HP9+HP15+HP18)</f>
        <v/>
      </c>
      <c r="HQ20" s="72">
        <f>SUM(HQ8+HQ9+HQ15+HQ18)</f>
        <v/>
      </c>
      <c r="HR20" s="72">
        <f>SUM(HR8+HR9+HR15+HR18)</f>
        <v/>
      </c>
      <c r="HS20" s="72">
        <f>SUM(HS8+HS9+HS15+HS18)</f>
        <v/>
      </c>
      <c r="HT20" s="72">
        <f>SUM(HT8+HT9+HT15+HT18)</f>
        <v/>
      </c>
      <c r="HU20" s="72">
        <f>SUM(HU8+HU9+HU15+HU18)</f>
        <v/>
      </c>
      <c r="JF20" s="72">
        <f>AP20</f>
        <v/>
      </c>
      <c r="JG20" s="72">
        <f>SUM(Z20:AK20)</f>
        <v/>
      </c>
      <c r="JH20" s="72">
        <f>SUM(AL20:AP20)</f>
        <v/>
      </c>
      <c r="JI20" s="72">
        <f>SUM(C20:AP20)</f>
        <v/>
      </c>
      <c r="JJ20" s="446" t="n"/>
      <c r="JM20" s="72" t="n">
        <v>2140511.6085</v>
      </c>
      <c r="JR20" s="96">
        <f>A20</f>
        <v/>
      </c>
      <c r="JS20" s="72">
        <f>SUM(C20:AP20)</f>
        <v/>
      </c>
      <c r="JT20" s="464" t="n"/>
      <c r="JU20" s="72">
        <f>SUM(AT20:AZ20)</f>
        <v/>
      </c>
      <c r="JV20" s="72">
        <f>SUM(BA20:BL20)</f>
        <v/>
      </c>
      <c r="JW20" s="72">
        <f>SUM(BM20:BX20)</f>
        <v/>
      </c>
      <c r="JX20" s="72">
        <f>SUM(BY20:CJ20)</f>
        <v/>
      </c>
      <c r="JY20" s="72">
        <f>SUM(CK20:CV20)</f>
        <v/>
      </c>
      <c r="JZ20" s="72">
        <f>SUM(CW20:HU20)</f>
        <v/>
      </c>
      <c r="KG20" s="131">
        <f>B20</f>
        <v/>
      </c>
      <c r="KH20" s="131">
        <f>AR20</f>
        <v/>
      </c>
    </row>
    <row r="21" ht="16.2" customHeight="1">
      <c r="A21" s="97" t="inlineStr">
        <is>
          <t>TOTAL DE RECEITAS + PREVISÃO VENDAS</t>
        </is>
      </c>
      <c r="B21" s="132">
        <f>SUM(C21:AP21)</f>
        <v/>
      </c>
      <c r="C21" s="18">
        <f>C12+C20</f>
        <v/>
      </c>
      <c r="D21" s="18">
        <f>D12+D20</f>
        <v/>
      </c>
      <c r="E21" s="18">
        <f>E12+E20</f>
        <v/>
      </c>
      <c r="F21" s="18">
        <f>F12+F20</f>
        <v/>
      </c>
      <c r="G21" s="18">
        <f>G12+G20</f>
        <v/>
      </c>
      <c r="H21" s="18">
        <f>H12+H20</f>
        <v/>
      </c>
      <c r="I21" s="18">
        <f>I12+I20</f>
        <v/>
      </c>
      <c r="J21" s="162">
        <f>J12+J9+J18+J15+J8</f>
        <v/>
      </c>
      <c r="K21" s="18">
        <f>K12+K9+K18+K15+K8</f>
        <v/>
      </c>
      <c r="L21" s="18">
        <f>L12+L9+L18+L15+L8</f>
        <v/>
      </c>
      <c r="M21" s="163">
        <f>M12+M9+M18+M15+M8</f>
        <v/>
      </c>
      <c r="N21" s="163">
        <f>N12+N9+N18+N15+N8</f>
        <v/>
      </c>
      <c r="O21" s="163">
        <f>O12+O9+O18+O15+O8</f>
        <v/>
      </c>
      <c r="P21" s="163">
        <f>P12+P9+P18+P15+P8</f>
        <v/>
      </c>
      <c r="Q21" s="163">
        <f>Q12+Q9+Q18+Q15+Q8</f>
        <v/>
      </c>
      <c r="R21" s="163">
        <f>R12+R9+R18+R15+R8</f>
        <v/>
      </c>
      <c r="S21" s="163">
        <f>S12+S9+S18+S15+S8</f>
        <v/>
      </c>
      <c r="T21" s="163">
        <f>T12+T9+T18+T15+T8</f>
        <v/>
      </c>
      <c r="U21" s="163">
        <f>U12+U9+U18+U15+U8</f>
        <v/>
      </c>
      <c r="V21" s="163">
        <f>V12+V9+V18+V15+V8</f>
        <v/>
      </c>
      <c r="W21" s="163">
        <f>W12+W9+W18+W15+W8</f>
        <v/>
      </c>
      <c r="X21" s="163">
        <f>X12+X9+X18+X15+X8</f>
        <v/>
      </c>
      <c r="Y21" s="163">
        <f>Y12+Y9+Y18+Y15+Y8</f>
        <v/>
      </c>
      <c r="Z21" s="163">
        <f>Z12+Z9+Z18+Z15+Z8</f>
        <v/>
      </c>
      <c r="AA21" s="163">
        <f>AA12+AA9+AA18+AA15+AA8</f>
        <v/>
      </c>
      <c r="AB21" s="163">
        <f>AB12+AB9+AB18+AB15+AB8</f>
        <v/>
      </c>
      <c r="AC21" s="163">
        <f>AC12+AC9+AC18+AC15+AC8</f>
        <v/>
      </c>
      <c r="AD21" s="163">
        <f>AD12+AD9+AD18+AD15+AD8</f>
        <v/>
      </c>
      <c r="AE21" s="163">
        <f>AE12+AE9+AE18+AE15+AE8</f>
        <v/>
      </c>
      <c r="AF21" s="163">
        <f>AF12+AF9+AF18+AF15+AF8</f>
        <v/>
      </c>
      <c r="AG21" s="163">
        <f>AG12+AG9+AG18+AG15+AG8</f>
        <v/>
      </c>
      <c r="AH21" s="163">
        <f>AH12+AH9+AH18+AH15+AH8</f>
        <v/>
      </c>
      <c r="AI21" s="163">
        <f>AI12+AI9+AI18+AI15+AI8</f>
        <v/>
      </c>
      <c r="AJ21" s="163">
        <f>AJ12+AJ9+AJ18+AJ15+AJ8</f>
        <v/>
      </c>
      <c r="AK21" s="163">
        <f>AK12+AK9+AK18+AK15+AK8</f>
        <v/>
      </c>
      <c r="AL21" s="163">
        <f>AL12+AL9+AL18+AL15+AL8</f>
        <v/>
      </c>
      <c r="AM21" s="163">
        <f>AM12+AM9+AM18+AM15+AM8</f>
        <v/>
      </c>
      <c r="AN21" s="163">
        <f>AN12+AN9+AN18+AN15+AN8</f>
        <v/>
      </c>
      <c r="AO21" s="163">
        <f>AO12+AO9+AO18+AO15+AO8</f>
        <v/>
      </c>
      <c r="AP21" s="163">
        <f>AP12+AP9+AP18+AP15+AP8</f>
        <v/>
      </c>
      <c r="AQ21" s="17" t="n"/>
      <c r="AR21" s="237">
        <f>SUM(AT21:HU21)</f>
        <v/>
      </c>
      <c r="AS21" s="17" t="n"/>
      <c r="AT21" s="18">
        <f>AT12+AT9+AT18+AT15+AT8</f>
        <v/>
      </c>
      <c r="AU21" s="18">
        <f>AU12+AU9+AU18+AU15+AU8</f>
        <v/>
      </c>
      <c r="AV21" s="18">
        <f>AV12+AV9+AV18+AV15+AV8</f>
        <v/>
      </c>
      <c r="AW21" s="18">
        <f>AW12+AW9+AW18+AW15+AW8</f>
        <v/>
      </c>
      <c r="AX21" s="18">
        <f>AX12+AX9+AX18+AX15+AX8</f>
        <v/>
      </c>
      <c r="AY21" s="18">
        <f>AY12+AY9+AY18+AY15+AY8</f>
        <v/>
      </c>
      <c r="AZ21" s="18">
        <f>AZ12+AZ9+AZ18+AZ15+AZ8</f>
        <v/>
      </c>
      <c r="BA21" s="18">
        <f>BA12+BA9+BA18+BA15+BA8</f>
        <v/>
      </c>
      <c r="BB21" s="18">
        <f>BB12+BB9+BB18+BB15+BB8</f>
        <v/>
      </c>
      <c r="BC21" s="18">
        <f>BC12+BC9+BC18+BC15+BC8</f>
        <v/>
      </c>
      <c r="BD21" s="292">
        <f>BD12+BD9+BD18+BD15+BD8</f>
        <v/>
      </c>
      <c r="BE21" s="99">
        <f>BE12+BE9+BE18+BE15+BE8</f>
        <v/>
      </c>
      <c r="BF21" s="18">
        <f>BF12+BF9+BF18+BF15+BF8</f>
        <v/>
      </c>
      <c r="BG21" s="18">
        <f>BG12+BG9+BG18+BG15+BG8</f>
        <v/>
      </c>
      <c r="BH21" s="18">
        <f>BH12+BH9+BH18+BH15+BH8</f>
        <v/>
      </c>
      <c r="BI21" s="18">
        <f>BI12+BI9+BI18+BI15+BI8</f>
        <v/>
      </c>
      <c r="BJ21" s="18">
        <f>BJ12+BJ9+BJ18+BJ15+BJ8</f>
        <v/>
      </c>
      <c r="BK21" s="18">
        <f>BK12+BK9+BK18+BK15+BK8</f>
        <v/>
      </c>
      <c r="BL21" s="18">
        <f>BL12+BL9+BL18+BL15+BL8</f>
        <v/>
      </c>
      <c r="BM21" s="18">
        <f>BM12+BM9+BM18+BM15+BM8</f>
        <v/>
      </c>
      <c r="BN21" s="18">
        <f>BN12+BN9+BN18+BN15+BN8</f>
        <v/>
      </c>
      <c r="BO21" s="18">
        <f>BO12+BO9+BO18+BO15+BO8</f>
        <v/>
      </c>
      <c r="BP21" s="292">
        <f>BP12+BP9+BP18+BP15+BP8</f>
        <v/>
      </c>
      <c r="BQ21" s="99">
        <f>BQ12+BQ9+BQ18+BQ15+BQ8</f>
        <v/>
      </c>
      <c r="BR21" s="18">
        <f>BR12+BR9+BR18+BR15+BR8</f>
        <v/>
      </c>
      <c r="BS21" s="18">
        <f>BS12+BS9+BS18+BS15+BS8</f>
        <v/>
      </c>
      <c r="BT21" s="18">
        <f>BT12+BT9+BT18+BT15+BT8</f>
        <v/>
      </c>
      <c r="BU21" s="18">
        <f>BU12+BU9+BU18+BU15+BU8</f>
        <v/>
      </c>
      <c r="BV21" s="18">
        <f>BV12+BV9+BV18+BV15+BV8</f>
        <v/>
      </c>
      <c r="BW21" s="18">
        <f>BW12+BW9+BW18+BW15+BW8</f>
        <v/>
      </c>
      <c r="BX21" s="18">
        <f>BX12+BX9+BX18+BX15+BX8</f>
        <v/>
      </c>
      <c r="BY21" s="18">
        <f>BY12+BY9+BY18+BY15+BY8</f>
        <v/>
      </c>
      <c r="BZ21" s="18">
        <f>BZ12+BZ9+BZ18+BZ15+BZ8</f>
        <v/>
      </c>
      <c r="CA21" s="18">
        <f>CA12+CA9+CA18+CA15+CA8</f>
        <v/>
      </c>
      <c r="CB21" s="292">
        <f>CB12+CB9+CB18+CB15+CB8</f>
        <v/>
      </c>
      <c r="CC21" s="99">
        <f>CC12+CC9+CC18+CC15+CC8</f>
        <v/>
      </c>
      <c r="CD21" s="18">
        <f>CD12+CD9+CD18+CD15+CD8</f>
        <v/>
      </c>
      <c r="CE21" s="18">
        <f>CE12+CE9+CE18+CE15+CE8</f>
        <v/>
      </c>
      <c r="CF21" s="18">
        <f>CF12+CF9+CF18+CF15+CF8</f>
        <v/>
      </c>
      <c r="CG21" s="18">
        <f>CG12+CG9+CG18+CG15+CG8</f>
        <v/>
      </c>
      <c r="CH21" s="18">
        <f>CH12+CH9+CH18+CH15+CH8</f>
        <v/>
      </c>
      <c r="CI21" s="18">
        <f>CI12+CI9+CI18+CI15+CI8</f>
        <v/>
      </c>
      <c r="CJ21" s="18">
        <f>CJ12+CJ9+CJ18+CJ15+CJ8</f>
        <v/>
      </c>
      <c r="CK21" s="18">
        <f>CK12+CK9+CK18+CK15+CK8</f>
        <v/>
      </c>
      <c r="CL21" s="18">
        <f>CL12+CL9+CL18+CL15+CL8</f>
        <v/>
      </c>
      <c r="CM21" s="18">
        <f>CM12+CM9+CM18+CM15+CM8</f>
        <v/>
      </c>
      <c r="CN21" s="292">
        <f>CN12+CN9+CN18+CN15+CN8</f>
        <v/>
      </c>
      <c r="CO21" s="99">
        <f>CO12+CO9+CO18+CO15+CO8</f>
        <v/>
      </c>
      <c r="CP21" s="18">
        <f>CP12+CP9+CP18+CP15+CP8</f>
        <v/>
      </c>
      <c r="CQ21" s="18">
        <f>CQ12+CQ9+CQ18+CQ15+CQ8</f>
        <v/>
      </c>
      <c r="CR21" s="18">
        <f>CR12+CR9+CR18+CR15+CR8</f>
        <v/>
      </c>
      <c r="CS21" s="18">
        <f>CS12+CS9+CS18+CS15+CS8</f>
        <v/>
      </c>
      <c r="CT21" s="18">
        <f>CT12+CT9+CT18+CT15+CT8</f>
        <v/>
      </c>
      <c r="CU21" s="18">
        <f>CU12+CU9+CU18+CU15+CU8</f>
        <v/>
      </c>
      <c r="CV21" s="18">
        <f>CV12+CV9+CV18+CV15+CV8</f>
        <v/>
      </c>
      <c r="CW21" s="18">
        <f>CW12+CW9+CW18+CW15+CW8</f>
        <v/>
      </c>
      <c r="CX21" s="18">
        <f>CX12+CX9+CX18+CX15+CX8</f>
        <v/>
      </c>
      <c r="CY21" s="18">
        <f>CY12+CY9+CY18+CY15+CY8</f>
        <v/>
      </c>
      <c r="CZ21" s="292">
        <f>CZ12+CZ9+CZ18+CZ15+CZ8</f>
        <v/>
      </c>
      <c r="DA21" s="99">
        <f>DA12+DA9+DA18+DA15+DA8</f>
        <v/>
      </c>
      <c r="DB21" s="18">
        <f>DB12+DB9+DB18+DB15+DB8</f>
        <v/>
      </c>
      <c r="DC21" s="18">
        <f>DC12+DC9+DC18+DC15+DC8</f>
        <v/>
      </c>
      <c r="DD21" s="18">
        <f>DD12+DD9+DD18+DD15+DD8</f>
        <v/>
      </c>
      <c r="DE21" s="18">
        <f>DE12+DE9+DE18+DE15+DE8</f>
        <v/>
      </c>
      <c r="DF21" s="18">
        <f>DF12+DF9+DF18+DF15+DF8</f>
        <v/>
      </c>
      <c r="DG21" s="18">
        <f>DG12+DG9+DG18+DG15+DG8</f>
        <v/>
      </c>
      <c r="DH21" s="18">
        <f>DH12+DH9+DH18+DH15+DH8</f>
        <v/>
      </c>
      <c r="DI21" s="18">
        <f>DI12+DI9+DI18+DI15+DI8</f>
        <v/>
      </c>
      <c r="DJ21" s="18">
        <f>DJ12+DJ9+DJ18+DJ15+DJ8</f>
        <v/>
      </c>
      <c r="DK21" s="18">
        <f>DK12+DK9+DK18+DK15+DK8</f>
        <v/>
      </c>
      <c r="DL21" s="18">
        <f>DL12+DL9+DL18+DL15+DL8</f>
        <v/>
      </c>
      <c r="DM21" s="18">
        <f>DM12+DM9+DM18+DM15+DM8</f>
        <v/>
      </c>
      <c r="DN21" s="18">
        <f>DN12+DN9+DN18+DN15+DN8</f>
        <v/>
      </c>
      <c r="DO21" s="18">
        <f>DO12+DO9+DO18+DO15+DO8</f>
        <v/>
      </c>
      <c r="DP21" s="18">
        <f>DP12+DP9+DP18+DP15+DP8</f>
        <v/>
      </c>
      <c r="DQ21" s="18">
        <f>DQ12+DQ9+DQ18+DQ15+DQ8</f>
        <v/>
      </c>
      <c r="DR21" s="18">
        <f>DR12+DR9+DR18+DR15+DR8</f>
        <v/>
      </c>
      <c r="DS21" s="18">
        <f>DS12+DS9+DS18+DS15+DS8</f>
        <v/>
      </c>
      <c r="DT21" s="18">
        <f>DT12+DT9+DT18+DT15+DT8</f>
        <v/>
      </c>
      <c r="DU21" s="18">
        <f>DU12+DU9+DU18+DU15+DU8</f>
        <v/>
      </c>
      <c r="DV21" s="18">
        <f>DV12+DV9+DV18+DV15+DV8</f>
        <v/>
      </c>
      <c r="DW21" s="18">
        <f>DW12+DW9+DW18+DW15+DW8</f>
        <v/>
      </c>
      <c r="DX21" s="18">
        <f>DX12+DX9+DX18+DX15+DX8</f>
        <v/>
      </c>
      <c r="DY21" s="18">
        <f>DY12+DY9+DY18+DY15+DY8</f>
        <v/>
      </c>
      <c r="DZ21" s="18">
        <f>DZ12+DZ9+DZ18+DZ15+DZ8</f>
        <v/>
      </c>
      <c r="EA21" s="18">
        <f>EA12+EA9+EA18+EA15+EA8</f>
        <v/>
      </c>
      <c r="EB21" s="18">
        <f>EB12+EB9+EB18+EB15+EB8</f>
        <v/>
      </c>
      <c r="EC21" s="18">
        <f>EC12+EC9+EC18+EC15+EC8</f>
        <v/>
      </c>
      <c r="ED21" s="18">
        <f>ED12+ED9+ED18+ED15+ED8</f>
        <v/>
      </c>
      <c r="EE21" s="18">
        <f>EE12+EE9+EE18+EE15+EE8</f>
        <v/>
      </c>
      <c r="EF21" s="18">
        <f>EF12+EF9+EF18+EF15+EF8</f>
        <v/>
      </c>
      <c r="EG21" s="18">
        <f>EG12+EG9+EG18+EG15+EG8</f>
        <v/>
      </c>
      <c r="EH21" s="18">
        <f>EH12+EH9+EH18+EH15+EH8</f>
        <v/>
      </c>
      <c r="EI21" s="18">
        <f>EI12+EI9+EI18+EI15+EI8</f>
        <v/>
      </c>
      <c r="EJ21" s="18">
        <f>EJ12+EJ9+EJ18+EJ15+EJ8</f>
        <v/>
      </c>
      <c r="EK21" s="18">
        <f>EK12+EK9+EK18+EK15+EK8</f>
        <v/>
      </c>
      <c r="EL21" s="18">
        <f>EL12+EL9+EL18+EL15+EL8</f>
        <v/>
      </c>
      <c r="EM21" s="18">
        <f>EM12+EM9+EM18+EM15+EM8</f>
        <v/>
      </c>
      <c r="EN21" s="18">
        <f>EN12+EN9+EN18+EN15+EN8</f>
        <v/>
      </c>
      <c r="EO21" s="18">
        <f>EO12+EO9+EO18+EO15+EO8</f>
        <v/>
      </c>
      <c r="EP21" s="18">
        <f>EP12+EP9+EP18+EP15+EP8</f>
        <v/>
      </c>
      <c r="EQ21" s="18">
        <f>EQ12+EQ9+EQ18+EQ15+EQ8</f>
        <v/>
      </c>
      <c r="ER21" s="18">
        <f>ER12+ER9+ER18+ER15+ER8</f>
        <v/>
      </c>
      <c r="ES21" s="18">
        <f>ES12+ES9+ES18+ES15+ES8</f>
        <v/>
      </c>
      <c r="ET21" s="18">
        <f>ET12+ET9+ET18+ET15+ET8</f>
        <v/>
      </c>
      <c r="EU21" s="18">
        <f>EU12+EU9+EU18+EU15+EU8</f>
        <v/>
      </c>
      <c r="EV21" s="18">
        <f>EV12+EV9+EV18+EV15+EV8</f>
        <v/>
      </c>
      <c r="EW21" s="18">
        <f>EW12+EW9+EW18+EW15+EW8</f>
        <v/>
      </c>
      <c r="EX21" s="18">
        <f>EX12+EX9+EX18+EX15+EX8</f>
        <v/>
      </c>
      <c r="EY21" s="18">
        <f>EY12+EY9+EY18+EY15+EY8</f>
        <v/>
      </c>
      <c r="EZ21" s="18">
        <f>EZ12+EZ9+EZ18+EZ15+EZ8</f>
        <v/>
      </c>
      <c r="FA21" s="18">
        <f>FA12+FA9+FA18+FA15+FA8</f>
        <v/>
      </c>
      <c r="FB21" s="18">
        <f>FB12+FB9+FB18+FB15+FB8</f>
        <v/>
      </c>
      <c r="FC21" s="18">
        <f>FC12+FC9+FC18+FC15+FC8</f>
        <v/>
      </c>
      <c r="FD21" s="18">
        <f>FD12+FD9+FD18+FD15+FD8</f>
        <v/>
      </c>
      <c r="FE21" s="18">
        <f>FE12+FE9+FE18+FE15+FE8</f>
        <v/>
      </c>
      <c r="FF21" s="18">
        <f>FF12+FF9+FF18+FF15+FF8</f>
        <v/>
      </c>
      <c r="FG21" s="18">
        <f>FG12+FG9+FG18+FG15+FG8</f>
        <v/>
      </c>
      <c r="FH21" s="18">
        <f>FH12+FH9+FH18+FH15+FH8</f>
        <v/>
      </c>
      <c r="FI21" s="18">
        <f>FI12+FI9+FI18+FI15+FI8</f>
        <v/>
      </c>
      <c r="FJ21" s="18">
        <f>FJ12+FJ9+FJ18+FJ15+FJ8</f>
        <v/>
      </c>
      <c r="FK21" s="18">
        <f>FK12+FK9+FK18+FK15+FK8</f>
        <v/>
      </c>
      <c r="FL21" s="18">
        <f>FL12+FL9+FL18+FL15+FL8</f>
        <v/>
      </c>
      <c r="FM21" s="18">
        <f>FM12+FM9+FM18+FM15+FM8</f>
        <v/>
      </c>
      <c r="FN21" s="18">
        <f>FN12+FN9+FN18+FN15+FN8</f>
        <v/>
      </c>
      <c r="FO21" s="18">
        <f>FO12+FO9+FO18+FO15+FO8</f>
        <v/>
      </c>
      <c r="FP21" s="18">
        <f>FP12+FP9+FP18+FP15+FP8</f>
        <v/>
      </c>
      <c r="FQ21" s="18">
        <f>FQ12+FQ9+FQ18+FQ15+FQ8</f>
        <v/>
      </c>
      <c r="FR21" s="18">
        <f>FR12+FR9+FR18+FR15+FR8</f>
        <v/>
      </c>
      <c r="FS21" s="18">
        <f>FS12+FS9+FS18+FS15+FS8</f>
        <v/>
      </c>
      <c r="FT21" s="18">
        <f>FT12+FT9+FT18+FT15+FT8</f>
        <v/>
      </c>
      <c r="FU21" s="18">
        <f>FU12+FU9+FU18+FU15+FU8</f>
        <v/>
      </c>
      <c r="FV21" s="18">
        <f>FV12+FV9+FV18+FV15+FV8</f>
        <v/>
      </c>
      <c r="FW21" s="18">
        <f>FW12+FW9+FW18+FW15+FW8</f>
        <v/>
      </c>
      <c r="FX21" s="18">
        <f>FX12+FX9+FX18+FX15+FX8</f>
        <v/>
      </c>
      <c r="FY21" s="18">
        <f>FY12+FY9+FY18+FY15+FY8</f>
        <v/>
      </c>
      <c r="FZ21" s="18">
        <f>FZ12+FZ9+FZ18+FZ15+FZ8</f>
        <v/>
      </c>
      <c r="GA21" s="18">
        <f>GA12+GA9+GA18+GA15+GA8</f>
        <v/>
      </c>
      <c r="GB21" s="18">
        <f>GB12+GB9+GB18+GB15+GB8</f>
        <v/>
      </c>
      <c r="GC21" s="18">
        <f>GC12+GC9+GC18+GC15+GC8</f>
        <v/>
      </c>
      <c r="GD21" s="18">
        <f>GD12+GD9+GD18+GD15+GD8</f>
        <v/>
      </c>
      <c r="GE21" s="18">
        <f>GE12+GE9+GE18+GE15+GE8</f>
        <v/>
      </c>
      <c r="GF21" s="18">
        <f>GF12+GF9+GF18+GF15+GF8</f>
        <v/>
      </c>
      <c r="GG21" s="18">
        <f>GG12+GG9+GG18+GG15+GG8</f>
        <v/>
      </c>
      <c r="GH21" s="18">
        <f>GH12+GH9+GH18+GH15+GH8</f>
        <v/>
      </c>
      <c r="GI21" s="18">
        <f>GI12+GI9+GI18+GI15+GI8</f>
        <v/>
      </c>
      <c r="GJ21" s="18">
        <f>GJ12+GJ9+GJ18+GJ15+GJ8</f>
        <v/>
      </c>
      <c r="GK21" s="18">
        <f>GK12+GK9+GK18+GK15+GK8</f>
        <v/>
      </c>
      <c r="GL21" s="18">
        <f>GL12+GL9+GL18+GL15+GL8</f>
        <v/>
      </c>
      <c r="GM21" s="18">
        <f>GM12+GM9+GM18+GM15+GM8</f>
        <v/>
      </c>
      <c r="GN21" s="18">
        <f>GN12+GN9+GN18+GN15+GN8</f>
        <v/>
      </c>
      <c r="GO21" s="18">
        <f>GO12+GO9+GO18+GO15+GO8</f>
        <v/>
      </c>
      <c r="GP21" s="18">
        <f>GP12+GP9+GP18+GP15+GP8</f>
        <v/>
      </c>
      <c r="GQ21" s="18">
        <f>GQ12+GQ9+GQ18+GQ15+GQ8</f>
        <v/>
      </c>
      <c r="GR21" s="18">
        <f>GR12+GR9+GR18+GR15+GR8</f>
        <v/>
      </c>
      <c r="GS21" s="18">
        <f>GS12+GS9+GS18+GS15+GS8</f>
        <v/>
      </c>
      <c r="GT21" s="18">
        <f>GT12+GT9+GT18+GT15+GT8</f>
        <v/>
      </c>
      <c r="GU21" s="18">
        <f>GU12+GU9+GU18+GU15+GU8</f>
        <v/>
      </c>
      <c r="GV21" s="18">
        <f>GV12+GV9+GV18+GV15+GV8</f>
        <v/>
      </c>
      <c r="GW21" s="18">
        <f>GW12+GW9+GW18+GW15+GW8</f>
        <v/>
      </c>
      <c r="GX21" s="18">
        <f>GX12+GX9+GX18+GX15+GX8</f>
        <v/>
      </c>
      <c r="GY21" s="18">
        <f>GY12+GY9+GY18+GY15+GY8</f>
        <v/>
      </c>
      <c r="GZ21" s="18">
        <f>GZ12+GZ9+GZ18+GZ15+GZ8</f>
        <v/>
      </c>
      <c r="HA21" s="18">
        <f>HA12+HA9+HA18+HA15+HA8</f>
        <v/>
      </c>
      <c r="HB21" s="18">
        <f>HB12+HB9+HB18+HB15+HB8</f>
        <v/>
      </c>
      <c r="HC21" s="18">
        <f>HC12+HC9+HC18+HC15+HC8</f>
        <v/>
      </c>
      <c r="HD21" s="18">
        <f>HD12+HD9+HD18+HD15+HD8</f>
        <v/>
      </c>
      <c r="HE21" s="18">
        <f>HE12+HE9+HE18+HE15+HE8</f>
        <v/>
      </c>
      <c r="HF21" s="18">
        <f>HF12+HF9+HF18+HF15+HF8</f>
        <v/>
      </c>
      <c r="HG21" s="18">
        <f>HG12+HG9+HG18+HG15+HG8</f>
        <v/>
      </c>
      <c r="HH21" s="18">
        <f>HH12+HH9+HH18+HH15+HH8</f>
        <v/>
      </c>
      <c r="HI21" s="18">
        <f>HI12+HI9+HI18+HI15+HI8</f>
        <v/>
      </c>
      <c r="HJ21" s="18">
        <f>HJ12+HJ9+HJ18+HJ15+HJ8</f>
        <v/>
      </c>
      <c r="HK21" s="18">
        <f>HK12+HK9+HK18+HK15+HK8</f>
        <v/>
      </c>
      <c r="HL21" s="18">
        <f>HL12+HL9+HL18+HL15+HL8</f>
        <v/>
      </c>
      <c r="HM21" s="18">
        <f>HM12+HM9+HM18+HM15+HM8</f>
        <v/>
      </c>
      <c r="HN21" s="18">
        <f>HN12+HN9+HN18+HN15+HN8</f>
        <v/>
      </c>
      <c r="HO21" s="18">
        <f>HO12+HO9+HO18+HO15+HO8</f>
        <v/>
      </c>
      <c r="HP21" s="18">
        <f>HP12+HP9+HP18+HP15+HP8</f>
        <v/>
      </c>
      <c r="HQ21" s="18">
        <f>HQ12+HQ9+HQ18+HQ15+HQ8</f>
        <v/>
      </c>
      <c r="HR21" s="18">
        <f>HR12+HR9+HR18+HR15+HR8</f>
        <v/>
      </c>
      <c r="HS21" s="18">
        <f>HS12+HS9+HS18+HS15+HS8</f>
        <v/>
      </c>
      <c r="HT21" s="18">
        <f>HT12+HT9+HT18+HT15+HT8</f>
        <v/>
      </c>
      <c r="HU21" s="18">
        <f>HU12+HU9+HU18+HU15+HU8</f>
        <v/>
      </c>
      <c r="JF21" s="18">
        <f>AP21</f>
        <v/>
      </c>
      <c r="JG21" s="18">
        <f>SUM(Z21:AK21)</f>
        <v/>
      </c>
      <c r="JH21" s="18">
        <f>SUM(AL21:AP21)</f>
        <v/>
      </c>
      <c r="JI21" s="18">
        <f>SUM(C21:AP21)</f>
        <v/>
      </c>
      <c r="JJ21" s="446" t="n"/>
      <c r="JM21" s="18" t="n">
        <v>2693524.78383</v>
      </c>
      <c r="JR21" s="97">
        <f>A21</f>
        <v/>
      </c>
      <c r="JS21" s="18">
        <f>SUM(C21:AP21)</f>
        <v/>
      </c>
      <c r="JT21" s="18" t="n"/>
      <c r="JU21" s="18">
        <f>SUM(AT21:AZ21)</f>
        <v/>
      </c>
      <c r="JV21" s="18">
        <f>SUM(BA21:BL21)</f>
        <v/>
      </c>
      <c r="JW21" s="18">
        <f>SUM(BM21:BX21)</f>
        <v/>
      </c>
      <c r="JX21" s="18">
        <f>SUM(BY21:CJ21)</f>
        <v/>
      </c>
      <c r="JY21" s="18">
        <f>SUM(CK21:CV21)</f>
        <v/>
      </c>
      <c r="JZ21" s="18">
        <f>SUM(CW21:HU21)</f>
        <v/>
      </c>
      <c r="KG21" s="132">
        <f>B21</f>
        <v/>
      </c>
      <c r="KH21" s="237">
        <f>AR21</f>
        <v/>
      </c>
    </row>
    <row r="22" ht="6.75" customHeight="1" thickBot="1">
      <c r="A22" s="52" t="n"/>
      <c r="B22" s="133" t="n"/>
      <c r="C22" s="17" t="n"/>
      <c r="D22" s="17" t="n"/>
      <c r="E22" s="17" t="n"/>
      <c r="F22" s="17" t="n"/>
      <c r="G22" s="17" t="n"/>
      <c r="H22" s="17" t="n"/>
      <c r="I22" s="17" t="n"/>
      <c r="J22" s="164" t="n"/>
      <c r="K22" s="17" t="n"/>
      <c r="L22" s="17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238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293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293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293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293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293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JF22" s="17">
        <f>AP22</f>
        <v/>
      </c>
      <c r="JG22" s="17">
        <f>SUM(Z22:AK22)</f>
        <v/>
      </c>
      <c r="JH22" s="17">
        <f>SUM(AL22:AP22)</f>
        <v/>
      </c>
      <c r="JI22" s="17">
        <f>SUM(C22:AP22)</f>
        <v/>
      </c>
      <c r="JJ22" s="446" t="n"/>
      <c r="JM22" s="17" t="n"/>
      <c r="KG22" s="133">
        <f>B22</f>
        <v/>
      </c>
      <c r="KH22" s="238">
        <f>AR22</f>
        <v/>
      </c>
    </row>
    <row r="23" ht="16.5" customHeight="1">
      <c r="A23" s="63" t="inlineStr">
        <is>
          <t>DESPESAS OPERACIONAIS</t>
        </is>
      </c>
      <c r="B23" s="134" t="n"/>
      <c r="C23" s="64" t="n"/>
      <c r="D23" s="64" t="n"/>
      <c r="E23" s="64" t="n"/>
      <c r="F23" s="64" t="n"/>
      <c r="G23" s="64" t="n"/>
      <c r="H23" s="64" t="n"/>
      <c r="I23" s="64" t="n"/>
      <c r="J23" s="166" t="n"/>
      <c r="K23" s="64" t="n"/>
      <c r="L23" s="64" t="n"/>
      <c r="M23" s="167" t="n"/>
      <c r="N23" s="167" t="n"/>
      <c r="O23" s="167" t="n"/>
      <c r="P23" s="167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7" t="n"/>
      <c r="AC23" s="167" t="n"/>
      <c r="AD23" s="167" t="n"/>
      <c r="AE23" s="167" t="n"/>
      <c r="AF23" s="167" t="n"/>
      <c r="AG23" s="167" t="n"/>
      <c r="AH23" s="167" t="n"/>
      <c r="AI23" s="167" t="n"/>
      <c r="AJ23" s="167" t="n"/>
      <c r="AK23" s="167" t="n"/>
      <c r="AL23" s="167" t="n"/>
      <c r="AM23" s="167" t="n"/>
      <c r="AN23" s="167" t="n"/>
      <c r="AO23" s="167" t="n"/>
      <c r="AP23" s="167" t="n"/>
      <c r="AQ23" s="17" t="n"/>
      <c r="AR23" s="331" t="n"/>
      <c r="AS23" s="17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29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29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29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29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29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  <c r="DY23" s="64" t="n"/>
      <c r="DZ23" s="64" t="n"/>
      <c r="EA23" s="64" t="n"/>
      <c r="EB23" s="64" t="n"/>
      <c r="EC23" s="64" t="n"/>
      <c r="ED23" s="64" t="n"/>
      <c r="EE23" s="64" t="n"/>
      <c r="EF23" s="64" t="n"/>
      <c r="EG23" s="64" t="n"/>
      <c r="EH23" s="64" t="n"/>
      <c r="EI23" s="64" t="n"/>
      <c r="EJ23" s="64" t="n"/>
      <c r="EK23" s="64" t="n"/>
      <c r="EL23" s="64" t="n"/>
      <c r="EM23" s="64" t="n"/>
      <c r="EN23" s="64" t="n"/>
      <c r="EO23" s="64" t="n"/>
      <c r="EP23" s="64" t="n"/>
      <c r="EQ23" s="64" t="n"/>
      <c r="ER23" s="64" t="n"/>
      <c r="ES23" s="64" t="n"/>
      <c r="ET23" s="64" t="n"/>
      <c r="EU23" s="64" t="n"/>
      <c r="EV23" s="64" t="n"/>
      <c r="EW23" s="64" t="n"/>
      <c r="EX23" s="64" t="n"/>
      <c r="EY23" s="64" t="n"/>
      <c r="EZ23" s="64" t="n"/>
      <c r="FA23" s="64" t="n"/>
      <c r="FB23" s="64" t="n"/>
      <c r="FC23" s="64" t="n"/>
      <c r="FD23" s="64" t="n"/>
      <c r="FE23" s="64" t="n"/>
      <c r="FF23" s="64" t="n"/>
      <c r="FG23" s="64" t="n"/>
      <c r="FH23" s="64" t="n"/>
      <c r="FI23" s="64" t="n"/>
      <c r="FJ23" s="64" t="n"/>
      <c r="FK23" s="64" t="n"/>
      <c r="FL23" s="64" t="n"/>
      <c r="FM23" s="64" t="n"/>
      <c r="FN23" s="64" t="n"/>
      <c r="FO23" s="64" t="n"/>
      <c r="FP23" s="64" t="n"/>
      <c r="FQ23" s="64" t="n"/>
      <c r="FR23" s="64" t="n"/>
      <c r="FS23" s="64" t="n"/>
      <c r="FT23" s="64" t="n"/>
      <c r="FU23" s="64" t="n"/>
      <c r="FV23" s="64" t="n"/>
      <c r="FW23" s="64" t="n"/>
      <c r="FX23" s="64" t="n"/>
      <c r="FY23" s="64" t="n"/>
      <c r="FZ23" s="64" t="n"/>
      <c r="GA23" s="64" t="n"/>
      <c r="GB23" s="64" t="n"/>
      <c r="GC23" s="64" t="n"/>
      <c r="GD23" s="64" t="n"/>
      <c r="GE23" s="64" t="n"/>
      <c r="GF23" s="64" t="n"/>
      <c r="GG23" s="64" t="n"/>
      <c r="GH23" s="64" t="n"/>
      <c r="GI23" s="64" t="n"/>
      <c r="GJ23" s="64" t="n"/>
      <c r="GK23" s="64" t="n"/>
      <c r="GL23" s="64" t="n"/>
      <c r="GM23" s="64" t="n"/>
      <c r="GN23" s="64" t="n"/>
      <c r="GO23" s="64" t="n"/>
      <c r="GP23" s="64" t="n"/>
      <c r="GQ23" s="64" t="n"/>
      <c r="GR23" s="64" t="n"/>
      <c r="GS23" s="64" t="n"/>
      <c r="GT23" s="64" t="n"/>
      <c r="GU23" s="64" t="n"/>
      <c r="GV23" s="64" t="n"/>
      <c r="GW23" s="64" t="n"/>
      <c r="GX23" s="64" t="n"/>
      <c r="GY23" s="64" t="n"/>
      <c r="GZ23" s="64" t="n"/>
      <c r="HA23" s="64" t="n"/>
      <c r="HB23" s="64" t="n"/>
      <c r="HC23" s="64" t="n"/>
      <c r="HD23" s="64" t="n"/>
      <c r="HE23" s="64" t="n"/>
      <c r="HF23" s="64" t="n"/>
      <c r="HG23" s="64" t="n"/>
      <c r="HH23" s="64" t="n"/>
      <c r="HI23" s="64" t="n"/>
      <c r="HJ23" s="64" t="n"/>
      <c r="HK23" s="64" t="n"/>
      <c r="HL23" s="64" t="n"/>
      <c r="HM23" s="64" t="n"/>
      <c r="HN23" s="64" t="n"/>
      <c r="HO23" s="64" t="n"/>
      <c r="HP23" s="64" t="n"/>
      <c r="HQ23" s="64" t="n"/>
      <c r="HR23" s="64" t="n"/>
      <c r="HS23" s="64" t="n"/>
      <c r="HT23" s="64" t="n"/>
      <c r="HU23" s="64" t="n"/>
      <c r="JF23" s="64">
        <f>AP23</f>
        <v/>
      </c>
      <c r="JG23" s="64">
        <f>SUM(Z23:AK23)</f>
        <v/>
      </c>
      <c r="JH23" s="64">
        <f>SUM(AL23:AP23)</f>
        <v/>
      </c>
      <c r="JI23" s="64">
        <f>SUM(C23:AP23)</f>
        <v/>
      </c>
      <c r="JJ23" s="446" t="n"/>
      <c r="JM23" s="64" t="n"/>
      <c r="KG23" s="134">
        <f>B23</f>
        <v/>
      </c>
      <c r="KH23" s="331">
        <f>AR23</f>
        <v/>
      </c>
    </row>
    <row r="24" ht="16.2" customFormat="1" customHeight="1" s="259">
      <c r="A24" s="62" t="inlineStr">
        <is>
          <t>DESPESAS COMERCIAIS(-)</t>
        </is>
      </c>
      <c r="B24" s="135" t="n"/>
      <c r="C24" s="60" t="n"/>
      <c r="D24" s="60" t="n"/>
      <c r="E24" s="61" t="n"/>
      <c r="F24" s="61" t="n"/>
      <c r="G24" s="61" t="n"/>
      <c r="H24" s="61" t="n"/>
      <c r="I24" s="61" t="n"/>
      <c r="J24" s="168" t="n"/>
      <c r="K24" s="61" t="n"/>
      <c r="L24" s="61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69" t="n"/>
      <c r="AF24" s="169" t="n"/>
      <c r="AG24" s="169" t="n"/>
      <c r="AH24" s="169" t="n"/>
      <c r="AI24" s="169" t="n"/>
      <c r="AJ24" s="169" t="n"/>
      <c r="AK24" s="169" t="n"/>
      <c r="AL24" s="169" t="n"/>
      <c r="AM24" s="169" t="n"/>
      <c r="AN24" s="169" t="n"/>
      <c r="AO24" s="169" t="n"/>
      <c r="AP24" s="169" t="n"/>
      <c r="AQ24" s="202" t="n"/>
      <c r="AR24" s="239" t="n"/>
      <c r="AS24" s="202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295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295" t="n"/>
      <c r="BQ24" s="61" t="n"/>
      <c r="BR24" s="61" t="n"/>
      <c r="BS24" s="61" t="n"/>
      <c r="BT24" s="61" t="n"/>
      <c r="BU24" s="61" t="n"/>
      <c r="BV24" s="61" t="n"/>
      <c r="BW24" s="61" t="n"/>
      <c r="BX24" s="61" t="n"/>
      <c r="BY24" s="61" t="n"/>
      <c r="BZ24" s="61" t="n"/>
      <c r="CA24" s="61" t="n"/>
      <c r="CB24" s="295" t="n"/>
      <c r="CC24" s="61" t="n"/>
      <c r="CD24" s="61" t="n"/>
      <c r="CE24" s="61" t="n"/>
      <c r="CF24" s="61" t="n"/>
      <c r="CG24" s="61" t="n"/>
      <c r="CH24" s="61" t="n"/>
      <c r="CI24" s="61" t="n"/>
      <c r="CJ24" s="61" t="n"/>
      <c r="CK24" s="61" t="n"/>
      <c r="CL24" s="61" t="n"/>
      <c r="CM24" s="61" t="n"/>
      <c r="CN24" s="295" t="n"/>
      <c r="CO24" s="61" t="n"/>
      <c r="CP24" s="61" t="n"/>
      <c r="CQ24" s="61" t="n"/>
      <c r="CR24" s="61" t="n"/>
      <c r="CS24" s="61" t="n"/>
      <c r="CT24" s="61" t="n"/>
      <c r="CU24" s="61" t="n"/>
      <c r="CV24" s="61" t="n"/>
      <c r="CW24" s="61" t="n"/>
      <c r="CX24" s="61" t="n"/>
      <c r="CY24" s="61" t="n"/>
      <c r="CZ24" s="295" t="n"/>
      <c r="DA24" s="61" t="n"/>
      <c r="DB24" s="61" t="n"/>
      <c r="DC24" s="61" t="n"/>
      <c r="DD24" s="61" t="n"/>
      <c r="DE24" s="61" t="n"/>
      <c r="DF24" s="61" t="n"/>
      <c r="DG24" s="61" t="n"/>
      <c r="DH24" s="61" t="n"/>
      <c r="DI24" s="61" t="n"/>
      <c r="DJ24" s="61" t="n"/>
      <c r="DK24" s="61" t="n"/>
      <c r="DL24" s="61" t="n"/>
      <c r="DM24" s="61" t="n"/>
      <c r="DN24" s="61" t="n"/>
      <c r="DO24" s="61" t="n"/>
      <c r="DP24" s="61" t="n"/>
      <c r="DQ24" s="61" t="n"/>
      <c r="DR24" s="61" t="n"/>
      <c r="DS24" s="61" t="n"/>
      <c r="DT24" s="61" t="n"/>
      <c r="DU24" s="61" t="n"/>
      <c r="DV24" s="61" t="n"/>
      <c r="DW24" s="61" t="n"/>
      <c r="DX24" s="61" t="n"/>
      <c r="DY24" s="61" t="n"/>
      <c r="DZ24" s="61" t="n"/>
      <c r="EA24" s="61" t="n"/>
      <c r="EB24" s="61" t="n"/>
      <c r="EC24" s="61" t="n"/>
      <c r="ED24" s="61" t="n"/>
      <c r="EE24" s="61" t="n"/>
      <c r="EF24" s="61" t="n"/>
      <c r="EG24" s="61" t="n"/>
      <c r="EH24" s="61" t="n"/>
      <c r="EI24" s="61" t="n"/>
      <c r="EJ24" s="61" t="n"/>
      <c r="EK24" s="61" t="n"/>
      <c r="EL24" s="61" t="n"/>
      <c r="EM24" s="61" t="n"/>
      <c r="EN24" s="61" t="n"/>
      <c r="EO24" s="61" t="n"/>
      <c r="EP24" s="61" t="n"/>
      <c r="EQ24" s="61" t="n"/>
      <c r="ER24" s="61" t="n"/>
      <c r="ES24" s="61" t="n"/>
      <c r="ET24" s="61" t="n"/>
      <c r="EU24" s="61" t="n"/>
      <c r="EV24" s="61" t="n"/>
      <c r="EW24" s="61" t="n"/>
      <c r="EX24" s="61" t="n"/>
      <c r="EY24" s="61" t="n"/>
      <c r="EZ24" s="61" t="n"/>
      <c r="FA24" s="61" t="n"/>
      <c r="FB24" s="61" t="n"/>
      <c r="FC24" s="61" t="n"/>
      <c r="FD24" s="61" t="n"/>
      <c r="FE24" s="61" t="n"/>
      <c r="FF24" s="61" t="n"/>
      <c r="FG24" s="61" t="n"/>
      <c r="FH24" s="61" t="n"/>
      <c r="FI24" s="61" t="n"/>
      <c r="FJ24" s="61" t="n"/>
      <c r="FK24" s="61" t="n"/>
      <c r="FL24" s="61" t="n"/>
      <c r="FM24" s="61" t="n"/>
      <c r="FN24" s="61" t="n"/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  <c r="GA24" s="61" t="n"/>
      <c r="GB24" s="61" t="n"/>
      <c r="GC24" s="61" t="n"/>
      <c r="GD24" s="61" t="n"/>
      <c r="GE24" s="61" t="n"/>
      <c r="GF24" s="61" t="n"/>
      <c r="GG24" s="61" t="n"/>
      <c r="GH24" s="61" t="n"/>
      <c r="GI24" s="61" t="n"/>
      <c r="GJ24" s="61" t="n"/>
      <c r="GK24" s="61" t="n"/>
      <c r="GL24" s="61" t="n"/>
      <c r="GM24" s="61" t="n"/>
      <c r="GN24" s="61" t="n"/>
      <c r="GO24" s="61" t="n"/>
      <c r="GP24" s="61" t="n"/>
      <c r="GQ24" s="61" t="n"/>
      <c r="GR24" s="61" t="n"/>
      <c r="GS24" s="61" t="n"/>
      <c r="GT24" s="61" t="n"/>
      <c r="GU24" s="61" t="n"/>
      <c r="GV24" s="61" t="n"/>
      <c r="GW24" s="61" t="n"/>
      <c r="GX24" s="61" t="n"/>
      <c r="GY24" s="61" t="n"/>
      <c r="GZ24" s="61" t="n"/>
      <c r="HA24" s="61" t="n"/>
      <c r="HB24" s="61" t="n"/>
      <c r="HC24" s="61" t="n"/>
      <c r="HD24" s="61" t="n"/>
      <c r="HE24" s="61" t="n"/>
      <c r="HF24" s="61" t="n"/>
      <c r="HG24" s="61" t="n"/>
      <c r="HH24" s="61" t="n"/>
      <c r="HI24" s="61" t="n"/>
      <c r="HJ24" s="61" t="n"/>
      <c r="HK24" s="61" t="n"/>
      <c r="HL24" s="61" t="n"/>
      <c r="HM24" s="61" t="n"/>
      <c r="HN24" s="61" t="n"/>
      <c r="HO24" s="61" t="n"/>
      <c r="HP24" s="61" t="n"/>
      <c r="HQ24" s="61" t="n"/>
      <c r="HR24" s="61" t="n"/>
      <c r="HS24" s="61" t="n"/>
      <c r="HT24" s="61" t="n"/>
      <c r="HU24" s="61" t="n"/>
      <c r="JF24" s="61">
        <f>AP24</f>
        <v/>
      </c>
      <c r="JG24" s="61">
        <f>SUM(Z24:AK24)</f>
        <v/>
      </c>
      <c r="JH24" s="61">
        <f>SUM(AL24:AP24)</f>
        <v/>
      </c>
      <c r="JI24" s="61">
        <f>SUM(C24:AP24)</f>
        <v/>
      </c>
      <c r="JJ24" s="446" t="n"/>
      <c r="JM24" s="61" t="n"/>
      <c r="KG24" s="135">
        <f>B24</f>
        <v/>
      </c>
      <c r="KH24" s="239">
        <f>AR24</f>
        <v/>
      </c>
    </row>
    <row r="25" ht="16.2" customHeight="1">
      <c r="A25" s="7" t="inlineStr">
        <is>
          <t>Comissões S/ Venda (Equipe Interna)</t>
        </is>
      </c>
      <c r="B25" s="136">
        <f>SUM(C25:AP25)</f>
        <v/>
      </c>
      <c r="C25" s="85" t="n"/>
      <c r="D25" s="87" t="n"/>
      <c r="E25" s="85" t="n"/>
      <c r="F25" s="85" t="n"/>
      <c r="G25" s="85" t="n"/>
      <c r="H25" s="85" t="n"/>
      <c r="I25" s="86" t="n"/>
      <c r="J25" s="218" t="n"/>
      <c r="K25" s="114" t="n"/>
      <c r="L25" s="122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>
        <f>-128438.23-228.84</f>
        <v/>
      </c>
      <c r="AD25" s="219" t="n">
        <v>-86736.99000000001</v>
      </c>
      <c r="AE25" s="219" t="n">
        <v>-82255.25</v>
      </c>
      <c r="AF25" s="219" t="n">
        <v>-80040.85000000001</v>
      </c>
      <c r="AG25" s="219">
        <f>-82521.74-1070.23</f>
        <v/>
      </c>
      <c r="AH25" s="219">
        <f>-114789.41-1258.17+78352.42</f>
        <v/>
      </c>
      <c r="AI25" s="219">
        <f>-37646.35-993.8</f>
        <v/>
      </c>
      <c r="AJ25" s="219">
        <f>-62577.85-603.53+41382.42</f>
        <v/>
      </c>
      <c r="AK25" s="219">
        <f>-37057.07-2155.37</f>
        <v/>
      </c>
      <c r="AL25" s="219" t="n">
        <v>-87950.28</v>
      </c>
      <c r="AM25" s="219">
        <f>-80793.74-4080.62</f>
        <v/>
      </c>
      <c r="AN25" s="219" t="n">
        <v>-59242.37</v>
      </c>
      <c r="AO25" s="219" t="n">
        <v>-141694.57</v>
      </c>
      <c r="AP25" s="219">
        <f>-40733.2-1610.72</f>
        <v/>
      </c>
      <c r="AQ25" s="53" t="n"/>
      <c r="AR25" s="345">
        <f>SUM(AT25:HU25)</f>
        <v/>
      </c>
      <c r="AS25" s="53" t="n"/>
      <c r="AT25" s="87" t="n">
        <v>-28685.08</v>
      </c>
      <c r="AU25" s="87" t="n">
        <v>-28685.08</v>
      </c>
      <c r="AV25" s="87" t="n">
        <v>-28685.08</v>
      </c>
      <c r="AW25" s="87" t="n">
        <v>-28685.08</v>
      </c>
      <c r="AX25" s="87" t="n">
        <v>-28685.08</v>
      </c>
      <c r="AY25" s="87" t="n">
        <v>-28685.08</v>
      </c>
      <c r="AZ25" s="87" t="n">
        <v>-28685.08</v>
      </c>
      <c r="BA25" s="87" t="n">
        <v>-28685.08</v>
      </c>
      <c r="BB25" s="87" t="n">
        <v>-28685.08</v>
      </c>
      <c r="BC25" s="87" t="n">
        <v>-28685.08</v>
      </c>
      <c r="BD25" s="87" t="n">
        <v>-28685.08</v>
      </c>
      <c r="BE25" s="87" t="n">
        <v>-28685.08</v>
      </c>
      <c r="BF25" s="87" t="n">
        <v>-28685.08</v>
      </c>
      <c r="BG25" s="87" t="n">
        <v>-28685.08</v>
      </c>
      <c r="BH25" s="87" t="n">
        <v>-28685.08</v>
      </c>
      <c r="BI25" s="87" t="n">
        <v>-28685.08</v>
      </c>
      <c r="BJ25" s="87" t="n">
        <v>-28685.08</v>
      </c>
      <c r="BK25" s="87" t="n">
        <v>-28685.08</v>
      </c>
      <c r="BL25" s="87" t="n">
        <v>-28685.08</v>
      </c>
      <c r="BM25" s="87" t="n">
        <v>-28685.08</v>
      </c>
      <c r="BN25" s="87" t="n">
        <v>-28685.08</v>
      </c>
      <c r="BO25" s="87" t="n">
        <v>-28685.08</v>
      </c>
      <c r="BP25" s="87" t="n">
        <v>-28685.08</v>
      </c>
      <c r="BQ25" s="87" t="n">
        <v>-28685.08</v>
      </c>
      <c r="BR25" s="87" t="n">
        <v>-28685.08</v>
      </c>
      <c r="BS25" s="87" t="n">
        <v>-28685.08</v>
      </c>
      <c r="BT25" s="87" t="n">
        <v>-28685.08</v>
      </c>
      <c r="BU25" s="87" t="n">
        <v>-28685.08</v>
      </c>
      <c r="BV25" s="87" t="n">
        <v>-28685.08</v>
      </c>
      <c r="BW25" s="87" t="n">
        <v>-28685.08</v>
      </c>
      <c r="BX25" s="87" t="n">
        <v>-28685.08</v>
      </c>
      <c r="BY25" s="87" t="n">
        <v>-28685.08</v>
      </c>
      <c r="BZ25" s="87" t="n">
        <v>-28685.08</v>
      </c>
      <c r="CA25" s="87" t="n">
        <v>-15000</v>
      </c>
      <c r="CB25" s="87" t="n">
        <v>-15000</v>
      </c>
      <c r="CC25" s="87" t="n">
        <v>-15000</v>
      </c>
      <c r="CD25" s="87" t="n">
        <v>-15000</v>
      </c>
      <c r="CE25" s="87" t="n">
        <v>-15000</v>
      </c>
      <c r="CF25" s="87" t="n">
        <v>-15000</v>
      </c>
      <c r="CG25" s="87" t="n">
        <v>-15000</v>
      </c>
      <c r="CH25" s="87" t="n">
        <v>-15000</v>
      </c>
      <c r="CI25" s="87" t="n">
        <v>-15000</v>
      </c>
      <c r="CJ25" s="87" t="n">
        <v>-15000</v>
      </c>
      <c r="CK25" s="87" t="n">
        <v>-15000</v>
      </c>
      <c r="CL25" s="87" t="n">
        <v>-15000</v>
      </c>
      <c r="CM25" s="87" t="n">
        <v>-15000</v>
      </c>
      <c r="CN25" s="87" t="n">
        <v>-15000</v>
      </c>
      <c r="CO25" s="87" t="n">
        <v>-15000</v>
      </c>
      <c r="CP25" s="87" t="n">
        <v>-15000</v>
      </c>
      <c r="CQ25" s="87" t="n">
        <v>-15000</v>
      </c>
      <c r="CR25" s="87" t="n">
        <v>-15000</v>
      </c>
      <c r="CS25" s="87" t="n">
        <v>-15000</v>
      </c>
      <c r="CT25" s="87" t="n">
        <v>-15000</v>
      </c>
      <c r="CU25" s="87" t="n">
        <v>-15000</v>
      </c>
      <c r="CV25" s="87" t="n">
        <v>-15000</v>
      </c>
      <c r="CW25" s="87" t="n">
        <v>-15000</v>
      </c>
      <c r="CX25" s="87" t="n">
        <v>-15000</v>
      </c>
      <c r="CY25" s="87" t="n">
        <v>-15000</v>
      </c>
      <c r="CZ25" s="87" t="n">
        <v>-15000</v>
      </c>
      <c r="DA25" s="87" t="n">
        <v>-15000</v>
      </c>
      <c r="DB25" s="87" t="n">
        <v>-15000</v>
      </c>
      <c r="DC25" s="87" t="n">
        <v>-15000</v>
      </c>
      <c r="DD25" s="87" t="n">
        <v>-15000</v>
      </c>
      <c r="DE25" s="87" t="n">
        <v>-15000</v>
      </c>
      <c r="DF25" s="87" t="n">
        <v>-15000</v>
      </c>
      <c r="DG25" s="87" t="n">
        <v>-15000</v>
      </c>
      <c r="DH25" s="87" t="n">
        <v>-15000</v>
      </c>
      <c r="DI25" s="87" t="n">
        <v>-15000</v>
      </c>
      <c r="DJ25" s="87" t="n">
        <v>-15000</v>
      </c>
      <c r="DK25" s="87" t="n">
        <v>-15000</v>
      </c>
      <c r="DL25" s="87" t="n">
        <v>-15000</v>
      </c>
      <c r="DM25" s="87" t="n">
        <v>-15000</v>
      </c>
      <c r="DN25" s="87" t="n">
        <v>-15000</v>
      </c>
      <c r="DO25" s="87" t="n">
        <v>-15000</v>
      </c>
      <c r="DP25" s="87" t="n">
        <v>-15000</v>
      </c>
      <c r="DQ25" s="87" t="n">
        <v>-15000</v>
      </c>
      <c r="DR25" s="87" t="n"/>
      <c r="DS25" s="86" t="n">
        <v>0</v>
      </c>
      <c r="DT25" s="86" t="n">
        <v>0</v>
      </c>
      <c r="DU25" s="86" t="n">
        <v>0</v>
      </c>
      <c r="DV25" s="86" t="n">
        <v>0</v>
      </c>
      <c r="DW25" s="86" t="n">
        <v>0</v>
      </c>
      <c r="DX25" s="86" t="n">
        <v>0</v>
      </c>
      <c r="DY25" s="86" t="n">
        <v>0</v>
      </c>
      <c r="DZ25" s="86" t="n">
        <v>0</v>
      </c>
      <c r="EA25" s="86" t="n">
        <v>0</v>
      </c>
      <c r="EB25" s="86" t="n">
        <v>0</v>
      </c>
      <c r="EC25" s="86" t="n">
        <v>0</v>
      </c>
      <c r="ED25" s="86" t="n">
        <v>0</v>
      </c>
      <c r="EE25" s="86" t="n">
        <v>0</v>
      </c>
      <c r="EF25" s="86" t="n">
        <v>0</v>
      </c>
      <c r="EG25" s="86" t="n">
        <v>0</v>
      </c>
      <c r="EH25" s="86" t="n">
        <v>0</v>
      </c>
      <c r="EI25" s="86" t="n">
        <v>0</v>
      </c>
      <c r="EJ25" s="86" t="n">
        <v>0</v>
      </c>
      <c r="EK25" s="86" t="n">
        <v>0</v>
      </c>
      <c r="EL25" s="86" t="n">
        <v>0</v>
      </c>
      <c r="EM25" s="86" t="n">
        <v>0</v>
      </c>
      <c r="EN25" s="86" t="n">
        <v>0</v>
      </c>
      <c r="EO25" s="86" t="n">
        <v>0</v>
      </c>
      <c r="EP25" s="86" t="n">
        <v>0</v>
      </c>
      <c r="EQ25" s="86" t="n">
        <v>0</v>
      </c>
      <c r="ER25" s="86" t="n">
        <v>0</v>
      </c>
      <c r="ES25" s="86" t="n">
        <v>0</v>
      </c>
      <c r="ET25" s="86" t="n">
        <v>0</v>
      </c>
      <c r="EU25" s="86" t="n">
        <v>0</v>
      </c>
      <c r="EV25" s="86" t="n">
        <v>0</v>
      </c>
      <c r="EW25" s="86" t="n">
        <v>0</v>
      </c>
      <c r="EX25" s="86" t="n">
        <v>0</v>
      </c>
      <c r="EY25" s="86" t="n">
        <v>0</v>
      </c>
      <c r="EZ25" s="86" t="n">
        <v>0</v>
      </c>
      <c r="FA25" s="86" t="n">
        <v>0</v>
      </c>
      <c r="FB25" s="86" t="n">
        <v>0</v>
      </c>
      <c r="FC25" s="86" t="n">
        <v>0</v>
      </c>
      <c r="FD25" s="86" t="n">
        <v>0</v>
      </c>
      <c r="FE25" s="86" t="n">
        <v>0</v>
      </c>
      <c r="FF25" s="86" t="n">
        <v>0</v>
      </c>
      <c r="FG25" s="86" t="n">
        <v>0</v>
      </c>
      <c r="FH25" s="86" t="n">
        <v>0</v>
      </c>
      <c r="FI25" s="86" t="n">
        <v>0</v>
      </c>
      <c r="FJ25" s="86" t="n">
        <v>0</v>
      </c>
      <c r="FK25" s="86" t="n">
        <v>0</v>
      </c>
      <c r="FL25" s="86" t="n">
        <v>0</v>
      </c>
      <c r="FM25" s="86" t="n">
        <v>0</v>
      </c>
      <c r="FN25" s="86" t="n">
        <v>0</v>
      </c>
      <c r="FO25" s="86" t="n">
        <v>0</v>
      </c>
      <c r="FP25" s="86" t="n">
        <v>0</v>
      </c>
      <c r="FQ25" s="86" t="n">
        <v>0</v>
      </c>
      <c r="FR25" s="86" t="n">
        <v>0</v>
      </c>
      <c r="FS25" s="86" t="n">
        <v>0</v>
      </c>
      <c r="FT25" s="86" t="n">
        <v>0</v>
      </c>
      <c r="FU25" s="86" t="n">
        <v>0</v>
      </c>
      <c r="FV25" s="86" t="n">
        <v>0</v>
      </c>
      <c r="FW25" s="86" t="n">
        <v>0</v>
      </c>
      <c r="FX25" s="86" t="n">
        <v>0</v>
      </c>
      <c r="FY25" s="86" t="n">
        <v>0</v>
      </c>
      <c r="FZ25" s="86" t="n">
        <v>0</v>
      </c>
      <c r="GA25" s="86" t="n">
        <v>0</v>
      </c>
      <c r="GB25" s="86" t="n">
        <v>0</v>
      </c>
      <c r="GC25" s="86" t="n">
        <v>0</v>
      </c>
      <c r="GD25" s="86" t="n">
        <v>0</v>
      </c>
      <c r="GE25" s="86" t="n">
        <v>0</v>
      </c>
      <c r="GF25" s="86" t="n">
        <v>0</v>
      </c>
      <c r="GG25" s="86" t="n">
        <v>0</v>
      </c>
      <c r="GH25" s="86" t="n">
        <v>0</v>
      </c>
      <c r="GI25" s="86" t="n">
        <v>0</v>
      </c>
      <c r="GJ25" s="86" t="n">
        <v>0</v>
      </c>
      <c r="GK25" s="86" t="n">
        <v>0</v>
      </c>
      <c r="GL25" s="86" t="n">
        <v>0</v>
      </c>
      <c r="GM25" s="86" t="n">
        <v>0</v>
      </c>
      <c r="GN25" s="86" t="n">
        <v>0</v>
      </c>
      <c r="GO25" s="86" t="n">
        <v>0</v>
      </c>
      <c r="GP25" s="86" t="n">
        <v>0</v>
      </c>
      <c r="GQ25" s="86" t="n">
        <v>0</v>
      </c>
      <c r="GR25" s="86" t="n">
        <v>0</v>
      </c>
      <c r="GS25" s="86" t="n">
        <v>0</v>
      </c>
      <c r="GT25" s="86" t="n">
        <v>0</v>
      </c>
      <c r="GU25" s="86" t="n">
        <v>0</v>
      </c>
      <c r="GV25" s="86" t="n">
        <v>0</v>
      </c>
      <c r="GW25" s="86" t="n">
        <v>0</v>
      </c>
      <c r="GX25" s="86" t="n">
        <v>0</v>
      </c>
      <c r="GY25" s="86" t="n">
        <v>0</v>
      </c>
      <c r="GZ25" s="86" t="n">
        <v>0</v>
      </c>
      <c r="HA25" s="86" t="n">
        <v>0</v>
      </c>
      <c r="HB25" s="86" t="n">
        <v>0</v>
      </c>
      <c r="HC25" s="86" t="n">
        <v>0</v>
      </c>
      <c r="HD25" s="86" t="n">
        <v>0</v>
      </c>
      <c r="HE25" s="86" t="n">
        <v>0</v>
      </c>
      <c r="HF25" s="86" t="n">
        <v>0</v>
      </c>
      <c r="HG25" s="86" t="n">
        <v>0</v>
      </c>
      <c r="HH25" s="86" t="n">
        <v>0</v>
      </c>
      <c r="HI25" s="86" t="n">
        <v>0</v>
      </c>
      <c r="HJ25" s="86" t="n">
        <v>0</v>
      </c>
      <c r="HK25" s="86" t="n">
        <v>0</v>
      </c>
      <c r="HL25" s="86" t="n">
        <v>0</v>
      </c>
      <c r="HM25" s="86" t="n">
        <v>0</v>
      </c>
      <c r="HN25" s="86" t="n">
        <v>0</v>
      </c>
      <c r="HO25" s="86" t="n">
        <v>0</v>
      </c>
      <c r="HP25" s="86" t="n">
        <v>0</v>
      </c>
      <c r="HQ25" s="86" t="n">
        <v>0</v>
      </c>
      <c r="HR25" s="86" t="n">
        <v>0</v>
      </c>
      <c r="HS25" s="86" t="n">
        <v>0</v>
      </c>
      <c r="HT25" s="86" t="n">
        <v>0</v>
      </c>
      <c r="HU25" s="86" t="n">
        <v>0</v>
      </c>
      <c r="JF25" s="87">
        <f>AP25</f>
        <v/>
      </c>
      <c r="JG25" s="87">
        <f>SUM(Z25:AK25)</f>
        <v/>
      </c>
      <c r="JH25" s="87">
        <f>SUM(AL25:AP25)</f>
        <v/>
      </c>
      <c r="JI25" s="87">
        <f>SUM(C25:AP25)</f>
        <v/>
      </c>
      <c r="JJ25" s="446" t="n"/>
      <c r="JM25" s="87" t="n">
        <v>-28685.08</v>
      </c>
      <c r="JS25" s="446">
        <f>+JS9+JS12</f>
        <v/>
      </c>
      <c r="JT25" s="446" t="n"/>
      <c r="JU25" s="446">
        <f>+JU9+JU12</f>
        <v/>
      </c>
      <c r="JV25" s="446">
        <f>+JV9+JV12</f>
        <v/>
      </c>
      <c r="JW25" s="446">
        <f>+JW9+JW12</f>
        <v/>
      </c>
      <c r="JX25" s="446">
        <f>+JX9+JX12</f>
        <v/>
      </c>
      <c r="JY25" s="446">
        <f>+JY9+JY12</f>
        <v/>
      </c>
      <c r="JZ25" s="446">
        <f>+JZ9+JZ12</f>
        <v/>
      </c>
      <c r="KG25" s="136">
        <f>B25</f>
        <v/>
      </c>
      <c r="KH25" s="345">
        <f>AR25</f>
        <v/>
      </c>
    </row>
    <row r="26" ht="16.2" customHeight="1">
      <c r="A26" s="7" t="inlineStr">
        <is>
          <t>Stand de Venda - Manutenção</t>
        </is>
      </c>
      <c r="B26" s="136">
        <f>SUM(C26:AP26)</f>
        <v/>
      </c>
      <c r="C26" s="85" t="n"/>
      <c r="D26" s="87" t="n"/>
      <c r="E26" s="85" t="n"/>
      <c r="F26" s="85" t="n"/>
      <c r="G26" s="85" t="n"/>
      <c r="H26" s="85" t="n"/>
      <c r="I26" s="86" t="n"/>
      <c r="J26" s="218" t="n"/>
      <c r="K26" s="114" t="n"/>
      <c r="L26" s="122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>
        <v>-34442.6</v>
      </c>
      <c r="X26" s="219" t="n">
        <v>-422668.9</v>
      </c>
      <c r="Y26" s="219" t="n">
        <v>-260275.15</v>
      </c>
      <c r="Z26" s="219" t="n">
        <v>-364851.06</v>
      </c>
      <c r="AA26" s="219" t="n">
        <v>-241871.81</v>
      </c>
      <c r="AB26" s="219" t="n">
        <v>-456303.01</v>
      </c>
      <c r="AC26" s="219">
        <f>-66426.55-83395.55-107752.3</f>
        <v/>
      </c>
      <c r="AD26" s="219" t="n">
        <v>-81306.34000000001</v>
      </c>
      <c r="AE26" s="219" t="n">
        <v>-75796.13</v>
      </c>
      <c r="AF26" s="219" t="n">
        <v>-59026.11</v>
      </c>
      <c r="AG26" s="219" t="n">
        <v>-44076.02</v>
      </c>
      <c r="AH26" s="219" t="n">
        <v>-65441.81</v>
      </c>
      <c r="AI26" s="219" t="n">
        <v>-74949.34</v>
      </c>
      <c r="AJ26" s="219" t="n">
        <v>-74150.16</v>
      </c>
      <c r="AK26" s="219">
        <f>-81019.72+17900</f>
        <v/>
      </c>
      <c r="AL26" s="219" t="n">
        <v>-79367.71000000001</v>
      </c>
      <c r="AM26" s="219" t="n">
        <v>-76750.58</v>
      </c>
      <c r="AN26" s="219" t="n">
        <v>-65331.12</v>
      </c>
      <c r="AO26" s="219" t="n">
        <v>-146149.02</v>
      </c>
      <c r="AP26" s="219" t="n">
        <v>-70580.67</v>
      </c>
      <c r="AQ26" s="53" t="n"/>
      <c r="AR26" s="345">
        <f>SUM(AT26:HU26)</f>
        <v/>
      </c>
      <c r="AS26" s="53" t="n"/>
      <c r="AT26" s="87" t="n">
        <v>-55000.0000044</v>
      </c>
      <c r="AU26" s="87" t="n">
        <v>-55000.0000044</v>
      </c>
      <c r="AV26" s="87" t="n">
        <v>-55000.0000044</v>
      </c>
      <c r="AW26" s="87" t="n">
        <v>-55000.0000044</v>
      </c>
      <c r="AX26" s="87" t="n">
        <v>-55000.0000044</v>
      </c>
      <c r="AY26" s="87" t="n">
        <v>-55000.0000044</v>
      </c>
      <c r="AZ26" s="87" t="n">
        <v>-55000.0000044</v>
      </c>
      <c r="BA26" s="87" t="n">
        <v>-55000.0000044</v>
      </c>
      <c r="BB26" s="87" t="n">
        <v>-55000.0000044</v>
      </c>
      <c r="BC26" s="87" t="n">
        <v>-55000.0000044</v>
      </c>
      <c r="BD26" s="87" t="n">
        <v>-55000.0000044</v>
      </c>
      <c r="BE26" s="87" t="n">
        <v>-55000.0000044</v>
      </c>
      <c r="BF26" s="87" t="n">
        <v>-55000.0000044</v>
      </c>
      <c r="BG26" s="87" t="n">
        <v>-55000.0000044</v>
      </c>
      <c r="BH26" s="87" t="n">
        <v>-55000.0000044</v>
      </c>
      <c r="BI26" s="87" t="n">
        <v>-55000.0000044</v>
      </c>
      <c r="BJ26" s="87" t="n">
        <v>-55000.0000044</v>
      </c>
      <c r="BK26" s="87" t="n">
        <v>-55000.0000044</v>
      </c>
      <c r="BL26" s="87" t="n">
        <v>-55000.0000044</v>
      </c>
      <c r="BM26" s="87" t="n">
        <v>-55000.0000044</v>
      </c>
      <c r="BN26" s="87" t="n">
        <v>-55000.0000044</v>
      </c>
      <c r="BO26" s="87" t="n">
        <v>-54999.999846</v>
      </c>
      <c r="BP26" s="87" t="n">
        <v>-54999.999846</v>
      </c>
      <c r="BQ26" s="87" t="n">
        <v>0</v>
      </c>
      <c r="BR26" s="87" t="n">
        <v>0</v>
      </c>
      <c r="BS26" s="87" t="n">
        <v>0</v>
      </c>
      <c r="BT26" s="87" t="n">
        <v>0</v>
      </c>
      <c r="BU26" s="87" t="n">
        <v>0</v>
      </c>
      <c r="BV26" s="87" t="n">
        <v>0</v>
      </c>
      <c r="BW26" s="87" t="n">
        <v>0</v>
      </c>
      <c r="BX26" s="87" t="n">
        <v>0</v>
      </c>
      <c r="BY26" s="87" t="n">
        <v>0</v>
      </c>
      <c r="BZ26" s="87" t="n">
        <v>0</v>
      </c>
      <c r="CA26" s="87" t="n">
        <v>0</v>
      </c>
      <c r="CB26" s="87" t="n">
        <v>0</v>
      </c>
      <c r="CC26" s="87" t="n">
        <v>0</v>
      </c>
      <c r="CD26" s="87" t="n">
        <v>0</v>
      </c>
      <c r="CE26" s="87" t="n">
        <v>0</v>
      </c>
      <c r="CF26" s="87" t="n">
        <v>0</v>
      </c>
      <c r="CG26" s="87" t="n">
        <v>0</v>
      </c>
      <c r="CH26" s="87" t="n">
        <v>0</v>
      </c>
      <c r="CI26" s="87" t="n">
        <v>0</v>
      </c>
      <c r="CJ26" s="87" t="n">
        <v>0</v>
      </c>
      <c r="CK26" s="87" t="n">
        <v>0</v>
      </c>
      <c r="CL26" s="87" t="n">
        <v>0</v>
      </c>
      <c r="CM26" s="87" t="n">
        <v>0</v>
      </c>
      <c r="CN26" s="87" t="n">
        <v>0</v>
      </c>
      <c r="CO26" s="87" t="n">
        <v>0</v>
      </c>
      <c r="CP26" s="87" t="n">
        <v>0</v>
      </c>
      <c r="CQ26" s="87" t="n">
        <v>0</v>
      </c>
      <c r="CR26" s="87" t="n">
        <v>0</v>
      </c>
      <c r="CS26" s="87" t="n">
        <v>0</v>
      </c>
      <c r="CT26" s="87" t="n">
        <v>0</v>
      </c>
      <c r="CU26" s="87" t="n">
        <v>0</v>
      </c>
      <c r="CV26" s="87" t="n">
        <v>0</v>
      </c>
      <c r="CW26" s="87" t="n">
        <v>0</v>
      </c>
      <c r="CX26" s="87" t="n">
        <v>0</v>
      </c>
      <c r="CY26" s="87" t="n">
        <v>0</v>
      </c>
      <c r="CZ26" s="87" t="n">
        <v>0</v>
      </c>
      <c r="DA26" s="87" t="n">
        <v>0</v>
      </c>
      <c r="DB26" s="87" t="n">
        <v>0</v>
      </c>
      <c r="DC26" s="87" t="n">
        <v>0</v>
      </c>
      <c r="DD26" s="87" t="n">
        <v>0</v>
      </c>
      <c r="DE26" s="87" t="n">
        <v>0</v>
      </c>
      <c r="DF26" s="87" t="n">
        <v>0</v>
      </c>
      <c r="DG26" s="87" t="n">
        <v>0</v>
      </c>
      <c r="DH26" s="87" t="n">
        <v>0</v>
      </c>
      <c r="DI26" s="87" t="n">
        <v>0</v>
      </c>
      <c r="DJ26" s="87" t="n">
        <v>0</v>
      </c>
      <c r="DK26" s="87" t="n">
        <v>0</v>
      </c>
      <c r="DL26" s="87" t="n">
        <v>0</v>
      </c>
      <c r="DM26" s="87" t="n">
        <v>0</v>
      </c>
      <c r="DN26" s="87" t="n">
        <v>0</v>
      </c>
      <c r="DO26" s="87" t="n">
        <v>0</v>
      </c>
      <c r="DP26" s="87" t="n">
        <v>0</v>
      </c>
      <c r="DQ26" s="87" t="n">
        <v>0</v>
      </c>
      <c r="DR26" s="87" t="n">
        <v>0</v>
      </c>
      <c r="DS26" s="87" t="n">
        <v>0</v>
      </c>
      <c r="DT26" s="87" t="n">
        <v>0</v>
      </c>
      <c r="DU26" s="87" t="n">
        <v>0</v>
      </c>
      <c r="DV26" s="87" t="n">
        <v>0</v>
      </c>
      <c r="DW26" s="87" t="n">
        <v>0</v>
      </c>
      <c r="DX26" s="87" t="n">
        <v>0</v>
      </c>
      <c r="DY26" s="87" t="n">
        <v>0</v>
      </c>
      <c r="DZ26" s="87" t="n">
        <v>0</v>
      </c>
      <c r="EA26" s="87" t="n">
        <v>0</v>
      </c>
      <c r="EB26" s="87" t="n">
        <v>0</v>
      </c>
      <c r="EC26" s="87" t="n">
        <v>0</v>
      </c>
      <c r="ED26" s="87" t="n">
        <v>0</v>
      </c>
      <c r="EE26" s="87" t="n">
        <v>0</v>
      </c>
      <c r="EF26" s="87" t="n">
        <v>0</v>
      </c>
      <c r="EG26" s="87" t="n">
        <v>0</v>
      </c>
      <c r="EH26" s="87" t="n">
        <v>0</v>
      </c>
      <c r="EI26" s="87" t="n">
        <v>0</v>
      </c>
      <c r="EJ26" s="87" t="n">
        <v>0</v>
      </c>
      <c r="EK26" s="87" t="n">
        <v>0</v>
      </c>
      <c r="EL26" s="87" t="n">
        <v>0</v>
      </c>
      <c r="EM26" s="87" t="n">
        <v>0</v>
      </c>
      <c r="EN26" s="87" t="n">
        <v>0</v>
      </c>
      <c r="EO26" s="87" t="n">
        <v>0</v>
      </c>
      <c r="EP26" s="87" t="n">
        <v>0</v>
      </c>
      <c r="EQ26" s="87" t="n">
        <v>0</v>
      </c>
      <c r="ER26" s="87" t="n">
        <v>0</v>
      </c>
      <c r="ES26" s="87" t="n">
        <v>0</v>
      </c>
      <c r="ET26" s="87" t="n">
        <v>0</v>
      </c>
      <c r="EU26" s="87" t="n">
        <v>0</v>
      </c>
      <c r="EV26" s="87" t="n">
        <v>0</v>
      </c>
      <c r="EW26" s="87" t="n">
        <v>0</v>
      </c>
      <c r="EX26" s="87" t="n">
        <v>0</v>
      </c>
      <c r="EY26" s="87" t="n">
        <v>0</v>
      </c>
      <c r="EZ26" s="87" t="n">
        <v>0</v>
      </c>
      <c r="FA26" s="87" t="n">
        <v>0</v>
      </c>
      <c r="FB26" s="87" t="n">
        <v>0</v>
      </c>
      <c r="FC26" s="87" t="n">
        <v>0</v>
      </c>
      <c r="FD26" s="87" t="n">
        <v>0</v>
      </c>
      <c r="FE26" s="87" t="n">
        <v>0</v>
      </c>
      <c r="FF26" s="87" t="n">
        <v>0</v>
      </c>
      <c r="FG26" s="87" t="n">
        <v>0</v>
      </c>
      <c r="FH26" s="87" t="n">
        <v>0</v>
      </c>
      <c r="FI26" s="87" t="n">
        <v>0</v>
      </c>
      <c r="FJ26" s="87" t="n">
        <v>0</v>
      </c>
      <c r="FK26" s="87" t="n">
        <v>0</v>
      </c>
      <c r="FL26" s="87" t="n">
        <v>0</v>
      </c>
      <c r="FM26" s="87" t="n">
        <v>0</v>
      </c>
      <c r="FN26" s="87" t="n">
        <v>0</v>
      </c>
      <c r="FO26" s="87" t="n">
        <v>0</v>
      </c>
      <c r="FP26" s="87" t="n">
        <v>0</v>
      </c>
      <c r="FQ26" s="87" t="n">
        <v>0</v>
      </c>
      <c r="FR26" s="87" t="n">
        <v>0</v>
      </c>
      <c r="FS26" s="87" t="n">
        <v>0</v>
      </c>
      <c r="FT26" s="87" t="n">
        <v>0</v>
      </c>
      <c r="FU26" s="87" t="n">
        <v>0</v>
      </c>
      <c r="FV26" s="87" t="n">
        <v>0</v>
      </c>
      <c r="FW26" s="87" t="n">
        <v>0</v>
      </c>
      <c r="FX26" s="87" t="n">
        <v>0</v>
      </c>
      <c r="FY26" s="87" t="n">
        <v>0</v>
      </c>
      <c r="FZ26" s="87" t="n">
        <v>0</v>
      </c>
      <c r="GA26" s="87" t="n">
        <v>0</v>
      </c>
      <c r="GB26" s="87" t="n">
        <v>0</v>
      </c>
      <c r="GC26" s="87" t="n">
        <v>0</v>
      </c>
      <c r="GD26" s="87" t="n">
        <v>0</v>
      </c>
      <c r="GE26" s="87" t="n">
        <v>0</v>
      </c>
      <c r="GF26" s="87" t="n">
        <v>0</v>
      </c>
      <c r="GG26" s="87" t="n">
        <v>0</v>
      </c>
      <c r="GH26" s="87" t="n">
        <v>0</v>
      </c>
      <c r="GI26" s="87" t="n">
        <v>0</v>
      </c>
      <c r="GJ26" s="87" t="n">
        <v>0</v>
      </c>
      <c r="GK26" s="87" t="n">
        <v>0</v>
      </c>
      <c r="GL26" s="87" t="n">
        <v>0</v>
      </c>
      <c r="GM26" s="87" t="n">
        <v>0</v>
      </c>
      <c r="GN26" s="87" t="n">
        <v>0</v>
      </c>
      <c r="GO26" s="87" t="n">
        <v>0</v>
      </c>
      <c r="GP26" s="87" t="n">
        <v>0</v>
      </c>
      <c r="GQ26" s="87" t="n">
        <v>0</v>
      </c>
      <c r="GR26" s="87" t="n">
        <v>0</v>
      </c>
      <c r="GS26" s="87" t="n">
        <v>0</v>
      </c>
      <c r="GT26" s="87" t="n">
        <v>0</v>
      </c>
      <c r="GU26" s="87" t="n">
        <v>0</v>
      </c>
      <c r="GV26" s="87" t="n">
        <v>0</v>
      </c>
      <c r="GW26" s="87" t="n">
        <v>0</v>
      </c>
      <c r="GX26" s="87" t="n">
        <v>0</v>
      </c>
      <c r="GY26" s="87" t="n">
        <v>0</v>
      </c>
      <c r="GZ26" s="87" t="n">
        <v>0</v>
      </c>
      <c r="HA26" s="87" t="n">
        <v>0</v>
      </c>
      <c r="HB26" s="87" t="n">
        <v>0</v>
      </c>
      <c r="HC26" s="87" t="n">
        <v>0</v>
      </c>
      <c r="HD26" s="87" t="n">
        <v>0</v>
      </c>
      <c r="HE26" s="87" t="n">
        <v>0</v>
      </c>
      <c r="HF26" s="87" t="n">
        <v>0</v>
      </c>
      <c r="HG26" s="87" t="n">
        <v>0</v>
      </c>
      <c r="HH26" s="87" t="n">
        <v>0</v>
      </c>
      <c r="HI26" s="87" t="n">
        <v>0</v>
      </c>
      <c r="HJ26" s="87" t="n">
        <v>0</v>
      </c>
      <c r="HK26" s="87" t="n">
        <v>0</v>
      </c>
      <c r="HL26" s="87" t="n">
        <v>0</v>
      </c>
      <c r="HM26" s="87" t="n">
        <v>0</v>
      </c>
      <c r="HN26" s="87" t="n">
        <v>0</v>
      </c>
      <c r="HO26" s="87" t="n">
        <v>0</v>
      </c>
      <c r="HP26" s="87" t="n">
        <v>0</v>
      </c>
      <c r="HQ26" s="87" t="n">
        <v>0</v>
      </c>
      <c r="HR26" s="87" t="n">
        <v>0</v>
      </c>
      <c r="HS26" s="87" t="n">
        <v>0</v>
      </c>
      <c r="HT26" s="87" t="n">
        <v>0</v>
      </c>
      <c r="HU26" s="87" t="n">
        <v>0</v>
      </c>
      <c r="JF26" s="87">
        <f>AP26</f>
        <v/>
      </c>
      <c r="JG26" s="87">
        <f>SUM(Z26:AK26)</f>
        <v/>
      </c>
      <c r="JH26" s="87">
        <f>SUM(AL26:AP26)</f>
        <v/>
      </c>
      <c r="JI26" s="87">
        <f>SUM(C26:AP26)</f>
        <v/>
      </c>
      <c r="JJ26" s="446" t="n"/>
      <c r="JM26" s="87" t="n">
        <v>-55000.0000044</v>
      </c>
      <c r="KG26" s="136">
        <f>B26</f>
        <v/>
      </c>
      <c r="KH26" s="345">
        <f>AR26</f>
        <v/>
      </c>
    </row>
    <row r="27" ht="16.2" customHeight="1">
      <c r="A27" s="7" t="inlineStr">
        <is>
          <t>Marketing</t>
        </is>
      </c>
      <c r="B27" s="136">
        <f>SUM(C27:AP27)</f>
        <v/>
      </c>
      <c r="C27" s="85" t="n"/>
      <c r="D27" s="87" t="n"/>
      <c r="E27" s="85" t="n"/>
      <c r="F27" s="85" t="n"/>
      <c r="G27" s="85" t="n"/>
      <c r="H27" s="85" t="n"/>
      <c r="I27" s="86" t="n"/>
      <c r="J27" s="218" t="n"/>
      <c r="K27" s="114" t="n"/>
      <c r="L27" s="122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>
        <v>-32159.95</v>
      </c>
      <c r="X27" s="219" t="n">
        <v>-30740</v>
      </c>
      <c r="Y27" s="219" t="n">
        <v>-18988.62</v>
      </c>
      <c r="Z27" s="219" t="n">
        <v>-196816.01</v>
      </c>
      <c r="AA27" s="219" t="n">
        <v>-308461.65</v>
      </c>
      <c r="AB27" s="219" t="n">
        <v>-387396.3</v>
      </c>
      <c r="AC27" s="219" t="n">
        <v>-264220.34</v>
      </c>
      <c r="AD27" s="219" t="n">
        <v>-187387.35</v>
      </c>
      <c r="AE27" s="219" t="n">
        <v>-142662.13</v>
      </c>
      <c r="AF27" s="219">
        <f>-121163.48+959.8</f>
        <v/>
      </c>
      <c r="AG27" s="219">
        <f>-101944.3+959.8</f>
        <v/>
      </c>
      <c r="AH27" s="219">
        <f>-94040.76-9315.02</f>
        <v/>
      </c>
      <c r="AI27" s="219" t="n">
        <v>-184088.23</v>
      </c>
      <c r="AJ27" s="219" t="n">
        <v>-148907.24</v>
      </c>
      <c r="AK27" s="219">
        <f>-148676.77-17900</f>
        <v/>
      </c>
      <c r="AL27" s="219" t="n">
        <v>-280720.57</v>
      </c>
      <c r="AM27" s="219" t="n">
        <v>-80116.73</v>
      </c>
      <c r="AN27" s="219" t="n">
        <v>-140928.2</v>
      </c>
      <c r="AO27" s="219" t="n">
        <v>-83275.14999999999</v>
      </c>
      <c r="AP27" s="219" t="n">
        <v>-161932.68</v>
      </c>
      <c r="AQ27" s="53" t="n"/>
      <c r="AR27" s="345">
        <f>SUM(AT27:HU27)</f>
        <v/>
      </c>
      <c r="AS27" s="53" t="n"/>
      <c r="AT27" s="87" t="n">
        <v>-166659.2695133614</v>
      </c>
      <c r="AU27" s="87" t="n">
        <v>-166659.2695133614</v>
      </c>
      <c r="AV27" s="87" t="n">
        <v>-166659.2695133614</v>
      </c>
      <c r="AW27" s="87" t="n">
        <v>-166659.2695133614</v>
      </c>
      <c r="AX27" s="87" t="n">
        <v>-166659.2695133614</v>
      </c>
      <c r="AY27" s="87" t="n">
        <v>-166659.2695133614</v>
      </c>
      <c r="AZ27" s="87" t="n">
        <v>-166659.2695133614</v>
      </c>
      <c r="BA27" s="87" t="n">
        <v>-83329.63475668074</v>
      </c>
      <c r="BB27" s="87" t="n">
        <v>-83329.63475668074</v>
      </c>
      <c r="BC27" s="87" t="n">
        <v>-83329.63475668074</v>
      </c>
      <c r="BD27" s="87" t="n">
        <v>-83329.63475668074</v>
      </c>
      <c r="BE27" s="87" t="n">
        <v>-83329.63475668074</v>
      </c>
      <c r="BF27" s="87" t="n">
        <v>-83329.63475668074</v>
      </c>
      <c r="BG27" s="87" t="n">
        <v>-83329.63475668074</v>
      </c>
      <c r="BH27" s="87" t="n">
        <v>-83329.63475668074</v>
      </c>
      <c r="BI27" s="87" t="n">
        <v>-83329.63475668074</v>
      </c>
      <c r="BJ27" s="87" t="n">
        <v>-83329.63475668074</v>
      </c>
      <c r="BK27" s="87" t="n">
        <v>-83329.63475668074</v>
      </c>
      <c r="BL27" s="87" t="n">
        <v>-83329.63475668074</v>
      </c>
      <c r="BM27" s="87" t="n">
        <v>-83329.63475668074</v>
      </c>
      <c r="BN27" s="87" t="n">
        <v>-83329.63475668074</v>
      </c>
      <c r="BO27" s="87" t="n">
        <v>-83329.63475668074</v>
      </c>
      <c r="BP27" s="87" t="n">
        <v>-83329.63475668074</v>
      </c>
      <c r="BQ27" s="87" t="n">
        <v>-83329.63475668074</v>
      </c>
      <c r="BR27" s="87" t="n">
        <v>-83329.63475668074</v>
      </c>
      <c r="BS27" s="87" t="n">
        <v>-83329.63475668074</v>
      </c>
      <c r="BT27" s="87" t="n">
        <v>-83329.63475668074</v>
      </c>
      <c r="BU27" s="87" t="n">
        <v>-83329.63475668074</v>
      </c>
      <c r="BV27" s="87" t="n">
        <v>-83329.63475668074</v>
      </c>
      <c r="BW27" s="87" t="n">
        <v>-83329.63475668074</v>
      </c>
      <c r="BX27" s="87" t="n">
        <v>-83329.63475668074</v>
      </c>
      <c r="BY27" s="87" t="n">
        <v>-83329.63475668074</v>
      </c>
      <c r="BZ27" s="87" t="n">
        <v>-83329.63475668074</v>
      </c>
      <c r="CA27" s="87" t="n">
        <v>-83329.63475668074</v>
      </c>
      <c r="CB27" s="87" t="n">
        <v>-83329.63475668074</v>
      </c>
      <c r="CC27" s="87" t="n">
        <v>-83329.63475668074</v>
      </c>
      <c r="CD27" s="87" t="n">
        <v>-83329.63475668074</v>
      </c>
      <c r="CE27" s="87" t="n">
        <v>-83329.63475668074</v>
      </c>
      <c r="CF27" s="87" t="n">
        <v>-83329.63475668074</v>
      </c>
      <c r="CG27" s="87" t="n">
        <v>-83329.63475668074</v>
      </c>
      <c r="CH27" s="87" t="n">
        <v>-83329.63475668074</v>
      </c>
      <c r="CI27" s="87" t="n">
        <v>-83329.63475668074</v>
      </c>
      <c r="CJ27" s="87" t="n">
        <v>-83329.63475668074</v>
      </c>
      <c r="CK27" s="87" t="n">
        <v>-83329.63475668074</v>
      </c>
      <c r="CL27" s="87" t="n">
        <v>-83329.63475668074</v>
      </c>
      <c r="CM27" s="87" t="n">
        <v>-83329.63475668074</v>
      </c>
      <c r="CN27" s="87" t="n">
        <v>-83329.63475668074</v>
      </c>
      <c r="CO27" s="87" t="n">
        <v>-83329.63475668074</v>
      </c>
      <c r="CP27" s="87" t="n">
        <v>-83329.63475668074</v>
      </c>
      <c r="CQ27" s="87" t="n">
        <v>-83329.63475668074</v>
      </c>
      <c r="CR27" s="87" t="n">
        <v>-83329.63475668074</v>
      </c>
      <c r="CS27" s="87" t="n">
        <v>-83329.63475668074</v>
      </c>
      <c r="CT27" s="87" t="n">
        <v>-83329.63475668074</v>
      </c>
      <c r="CU27" s="87" t="n">
        <v>-83329.63475668074</v>
      </c>
      <c r="CV27" s="87" t="n">
        <v>-83329.63475668074</v>
      </c>
      <c r="CW27" s="87" t="n">
        <v>-83329.63475668074</v>
      </c>
      <c r="CX27" s="87" t="n">
        <v>-83329.63475668074</v>
      </c>
      <c r="CY27" s="87" t="n">
        <v>-83329.63475668074</v>
      </c>
      <c r="CZ27" s="87" t="n">
        <v>-83329.63475668074</v>
      </c>
      <c r="DA27" s="87" t="n">
        <v>-83329.63475668074</v>
      </c>
      <c r="DB27" s="87" t="n">
        <v>-83329.63475668074</v>
      </c>
      <c r="DC27" s="87" t="n">
        <v>-83329.63475668074</v>
      </c>
      <c r="DD27" s="87" t="n">
        <v>-83329.63475668074</v>
      </c>
      <c r="DE27" s="87" t="n">
        <v>-83329.63475668074</v>
      </c>
      <c r="DF27" s="87" t="n">
        <v>-83329.63475668074</v>
      </c>
      <c r="DG27" s="87" t="n">
        <v>-83329.63475668074</v>
      </c>
      <c r="DH27" s="87" t="n">
        <v>-83329.63475668074</v>
      </c>
      <c r="DI27" s="87" t="n">
        <v>-83329.63475668074</v>
      </c>
      <c r="DJ27" s="87" t="n"/>
      <c r="DK27" s="87" t="n"/>
      <c r="DL27" s="87" t="n"/>
      <c r="DM27" s="87" t="n"/>
      <c r="DN27" s="87" t="n"/>
      <c r="DO27" s="87" t="n"/>
      <c r="DP27" s="87" t="n"/>
      <c r="DQ27" s="87" t="n"/>
      <c r="DR27" s="87" t="n"/>
      <c r="DS27" s="87" t="n">
        <v>0</v>
      </c>
      <c r="DT27" s="87" t="n">
        <v>0</v>
      </c>
      <c r="DU27" s="87" t="n">
        <v>0</v>
      </c>
      <c r="DV27" s="87" t="n">
        <v>0</v>
      </c>
      <c r="DW27" s="87" t="n">
        <v>0</v>
      </c>
      <c r="DX27" s="87" t="n">
        <v>0</v>
      </c>
      <c r="DY27" s="87" t="n">
        <v>0</v>
      </c>
      <c r="DZ27" s="87" t="n">
        <v>0</v>
      </c>
      <c r="EA27" s="87" t="n">
        <v>0</v>
      </c>
      <c r="EB27" s="87" t="n"/>
      <c r="EC27" s="87" t="n">
        <v>0</v>
      </c>
      <c r="ED27" s="87" t="n">
        <v>0</v>
      </c>
      <c r="EE27" s="87" t="n">
        <v>0</v>
      </c>
      <c r="EF27" s="87" t="n">
        <v>0</v>
      </c>
      <c r="EG27" s="87" t="n">
        <v>0</v>
      </c>
      <c r="EH27" s="87" t="n">
        <v>0</v>
      </c>
      <c r="EI27" s="87" t="n">
        <v>0</v>
      </c>
      <c r="EJ27" s="87" t="n">
        <v>0</v>
      </c>
      <c r="EK27" s="87" t="n">
        <v>0</v>
      </c>
      <c r="EL27" s="87" t="n">
        <v>0</v>
      </c>
      <c r="EM27" s="87" t="n">
        <v>0</v>
      </c>
      <c r="EN27" s="87" t="n">
        <v>0</v>
      </c>
      <c r="EO27" s="87" t="n">
        <v>0</v>
      </c>
      <c r="EP27" s="87" t="n">
        <v>0</v>
      </c>
      <c r="EQ27" s="87" t="n">
        <v>0</v>
      </c>
      <c r="ER27" s="87" t="n">
        <v>0</v>
      </c>
      <c r="ES27" s="87" t="n">
        <v>0</v>
      </c>
      <c r="ET27" s="87" t="n">
        <v>0</v>
      </c>
      <c r="EU27" s="87" t="n">
        <v>0</v>
      </c>
      <c r="EV27" s="87" t="n">
        <v>0</v>
      </c>
      <c r="EW27" s="87" t="n">
        <v>0</v>
      </c>
      <c r="EX27" s="87" t="n">
        <v>0</v>
      </c>
      <c r="EY27" s="87" t="n">
        <v>0</v>
      </c>
      <c r="EZ27" s="87" t="n">
        <v>0</v>
      </c>
      <c r="FA27" s="87" t="n">
        <v>0</v>
      </c>
      <c r="FB27" s="87" t="n">
        <v>0</v>
      </c>
      <c r="FC27" s="87" t="n">
        <v>0</v>
      </c>
      <c r="FD27" s="87" t="n">
        <v>0</v>
      </c>
      <c r="FE27" s="87" t="n">
        <v>0</v>
      </c>
      <c r="FF27" s="87" t="n">
        <v>0</v>
      </c>
      <c r="FG27" s="87" t="n">
        <v>0</v>
      </c>
      <c r="FH27" s="87" t="n">
        <v>0</v>
      </c>
      <c r="FI27" s="87" t="n">
        <v>0</v>
      </c>
      <c r="FJ27" s="87" t="n">
        <v>0</v>
      </c>
      <c r="FK27" s="87" t="n">
        <v>0</v>
      </c>
      <c r="FL27" s="87" t="n">
        <v>0</v>
      </c>
      <c r="FM27" s="87" t="n">
        <v>0</v>
      </c>
      <c r="FN27" s="87" t="n">
        <v>0</v>
      </c>
      <c r="FO27" s="87" t="n">
        <v>0</v>
      </c>
      <c r="FP27" s="87" t="n">
        <v>0</v>
      </c>
      <c r="FQ27" s="87" t="n">
        <v>0</v>
      </c>
      <c r="FR27" s="87" t="n">
        <v>0</v>
      </c>
      <c r="FS27" s="87" t="n">
        <v>0</v>
      </c>
      <c r="FT27" s="87" t="n">
        <v>0</v>
      </c>
      <c r="FU27" s="87" t="n">
        <v>0</v>
      </c>
      <c r="FV27" s="87" t="n">
        <v>0</v>
      </c>
      <c r="FW27" s="87" t="n">
        <v>0</v>
      </c>
      <c r="FX27" s="87" t="n">
        <v>0</v>
      </c>
      <c r="FY27" s="87" t="n">
        <v>0</v>
      </c>
      <c r="FZ27" s="87" t="n">
        <v>0</v>
      </c>
      <c r="GA27" s="87" t="n">
        <v>0</v>
      </c>
      <c r="GB27" s="87" t="n">
        <v>0</v>
      </c>
      <c r="GC27" s="87" t="n">
        <v>0</v>
      </c>
      <c r="GD27" s="87" t="n">
        <v>0</v>
      </c>
      <c r="GE27" s="87" t="n">
        <v>0</v>
      </c>
      <c r="GF27" s="87" t="n">
        <v>0</v>
      </c>
      <c r="GG27" s="87" t="n">
        <v>0</v>
      </c>
      <c r="GH27" s="87" t="n">
        <v>0</v>
      </c>
      <c r="GI27" s="87" t="n">
        <v>0</v>
      </c>
      <c r="GJ27" s="87" t="n">
        <v>0</v>
      </c>
      <c r="GK27" s="87" t="n">
        <v>0</v>
      </c>
      <c r="GL27" s="87" t="n">
        <v>0</v>
      </c>
      <c r="GM27" s="87" t="n">
        <v>0</v>
      </c>
      <c r="GN27" s="87" t="n">
        <v>0</v>
      </c>
      <c r="GO27" s="87" t="n">
        <v>0</v>
      </c>
      <c r="GP27" s="87" t="n">
        <v>0</v>
      </c>
      <c r="GQ27" s="87" t="n">
        <v>0</v>
      </c>
      <c r="GR27" s="87" t="n">
        <v>0</v>
      </c>
      <c r="GS27" s="87" t="n">
        <v>0</v>
      </c>
      <c r="GT27" s="87" t="n">
        <v>0</v>
      </c>
      <c r="GU27" s="87" t="n">
        <v>0</v>
      </c>
      <c r="GV27" s="87" t="n">
        <v>0</v>
      </c>
      <c r="GW27" s="87" t="n">
        <v>0</v>
      </c>
      <c r="GX27" s="87" t="n">
        <v>0</v>
      </c>
      <c r="GY27" s="87" t="n">
        <v>0</v>
      </c>
      <c r="GZ27" s="87" t="n">
        <v>0</v>
      </c>
      <c r="HA27" s="87" t="n">
        <v>0</v>
      </c>
      <c r="HB27" s="87" t="n">
        <v>0</v>
      </c>
      <c r="HC27" s="87" t="n">
        <v>0</v>
      </c>
      <c r="HD27" s="87" t="n">
        <v>0</v>
      </c>
      <c r="HE27" s="87" t="n">
        <v>0</v>
      </c>
      <c r="HF27" s="87" t="n">
        <v>0</v>
      </c>
      <c r="HG27" s="87" t="n">
        <v>0</v>
      </c>
      <c r="HH27" s="87" t="n">
        <v>0</v>
      </c>
      <c r="HI27" s="87" t="n">
        <v>0</v>
      </c>
      <c r="HJ27" s="87" t="n">
        <v>0</v>
      </c>
      <c r="HK27" s="87" t="n">
        <v>0</v>
      </c>
      <c r="HL27" s="87" t="n">
        <v>0</v>
      </c>
      <c r="HM27" s="87" t="n">
        <v>0</v>
      </c>
      <c r="HN27" s="87" t="n">
        <v>0</v>
      </c>
      <c r="HO27" s="87" t="n">
        <v>0</v>
      </c>
      <c r="HP27" s="87" t="n">
        <v>0</v>
      </c>
      <c r="HQ27" s="87" t="n">
        <v>0</v>
      </c>
      <c r="HR27" s="87" t="n">
        <v>0</v>
      </c>
      <c r="HS27" s="87" t="n">
        <v>0</v>
      </c>
      <c r="HT27" s="87" t="n">
        <v>0</v>
      </c>
      <c r="HU27" s="87" t="n">
        <v>0</v>
      </c>
      <c r="JF27" s="87">
        <f>AP27</f>
        <v/>
      </c>
      <c r="JG27" s="87">
        <f>SUM(Z27:AK27)</f>
        <v/>
      </c>
      <c r="JH27" s="87">
        <f>SUM(AL27:AP27)</f>
        <v/>
      </c>
      <c r="JI27" s="87">
        <f>SUM(C27:AP27)</f>
        <v/>
      </c>
      <c r="JJ27" s="446" t="n"/>
      <c r="JM27" s="87" t="n">
        <v>-166659.2695133614</v>
      </c>
      <c r="KG27" s="136">
        <f>B27</f>
        <v/>
      </c>
      <c r="KH27" s="345">
        <f>AR27</f>
        <v/>
      </c>
    </row>
    <row r="28" ht="16.2" customHeight="1">
      <c r="A28" s="7" t="n"/>
      <c r="B28" s="136">
        <f>SUM(C28:AP28)</f>
        <v/>
      </c>
      <c r="C28" s="85" t="n"/>
      <c r="D28" s="87" t="n"/>
      <c r="E28" s="85" t="n"/>
      <c r="F28" s="85" t="n"/>
      <c r="G28" s="85" t="n"/>
      <c r="H28" s="85" t="n"/>
      <c r="I28" s="86" t="n"/>
      <c r="J28" s="218" t="n"/>
      <c r="K28" s="114" t="n"/>
      <c r="L28" s="122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53" t="n"/>
      <c r="AR28" s="345">
        <f>SUM(AT28:HU28)</f>
        <v/>
      </c>
      <c r="AS28" s="53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296" t="n"/>
      <c r="BE28" s="87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296" t="n"/>
      <c r="BQ28" s="87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296" t="n"/>
      <c r="CC28" s="87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296" t="n"/>
      <c r="CO28" s="87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296" t="n"/>
      <c r="DA28" s="87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6" t="n"/>
      <c r="DK28" s="85" t="n"/>
      <c r="DL28" s="86" t="n">
        <v>0</v>
      </c>
      <c r="DM28" s="86" t="n">
        <v>0</v>
      </c>
      <c r="DN28" s="86" t="n">
        <v>0</v>
      </c>
      <c r="DO28" s="86" t="n">
        <v>0</v>
      </c>
      <c r="DP28" s="86" t="n">
        <v>0</v>
      </c>
      <c r="DQ28" s="86" t="n">
        <v>0</v>
      </c>
      <c r="DR28" s="86" t="n">
        <v>0</v>
      </c>
      <c r="DS28" s="86" t="n">
        <v>0</v>
      </c>
      <c r="DT28" s="86" t="n">
        <v>0</v>
      </c>
      <c r="DU28" s="86" t="n">
        <v>0</v>
      </c>
      <c r="DV28" s="86" t="n">
        <v>0</v>
      </c>
      <c r="DW28" s="86" t="n">
        <v>0</v>
      </c>
      <c r="DX28" s="86" t="n">
        <v>0</v>
      </c>
      <c r="DY28" s="86" t="n">
        <v>0</v>
      </c>
      <c r="DZ28" s="86" t="n">
        <v>0</v>
      </c>
      <c r="EA28" s="86" t="n">
        <v>0</v>
      </c>
      <c r="EB28" s="86" t="n">
        <v>0</v>
      </c>
      <c r="EC28" s="86" t="n">
        <v>0</v>
      </c>
      <c r="ED28" s="86" t="n">
        <v>0</v>
      </c>
      <c r="EE28" s="86" t="n">
        <v>0</v>
      </c>
      <c r="EF28" s="86" t="n">
        <v>0</v>
      </c>
      <c r="EG28" s="86" t="n">
        <v>0</v>
      </c>
      <c r="EH28" s="86" t="n">
        <v>0</v>
      </c>
      <c r="EI28" s="86" t="n">
        <v>0</v>
      </c>
      <c r="EJ28" s="86" t="n">
        <v>0</v>
      </c>
      <c r="EK28" s="86" t="n">
        <v>0</v>
      </c>
      <c r="EL28" s="86" t="n">
        <v>0</v>
      </c>
      <c r="EM28" s="86" t="n">
        <v>0</v>
      </c>
      <c r="EN28" s="86" t="n">
        <v>0</v>
      </c>
      <c r="EO28" s="86" t="n">
        <v>0</v>
      </c>
      <c r="EP28" s="86" t="n">
        <v>0</v>
      </c>
      <c r="EQ28" s="86" t="n">
        <v>0</v>
      </c>
      <c r="ER28" s="86" t="n">
        <v>0</v>
      </c>
      <c r="ES28" s="86" t="n">
        <v>0</v>
      </c>
      <c r="ET28" s="86" t="n">
        <v>0</v>
      </c>
      <c r="EU28" s="86" t="n">
        <v>0</v>
      </c>
      <c r="EV28" s="86" t="n">
        <v>0</v>
      </c>
      <c r="EW28" s="86" t="n">
        <v>0</v>
      </c>
      <c r="EX28" s="86" t="n">
        <v>0</v>
      </c>
      <c r="EY28" s="86" t="n">
        <v>0</v>
      </c>
      <c r="EZ28" s="86" t="n">
        <v>0</v>
      </c>
      <c r="FA28" s="86" t="n">
        <v>0</v>
      </c>
      <c r="FB28" s="86" t="n">
        <v>0</v>
      </c>
      <c r="FC28" s="86" t="n">
        <v>0</v>
      </c>
      <c r="FD28" s="86" t="n">
        <v>0</v>
      </c>
      <c r="FE28" s="86" t="n">
        <v>0</v>
      </c>
      <c r="FF28" s="86" t="n">
        <v>0</v>
      </c>
      <c r="FG28" s="86" t="n">
        <v>0</v>
      </c>
      <c r="FH28" s="86" t="n">
        <v>0</v>
      </c>
      <c r="FI28" s="86" t="n">
        <v>0</v>
      </c>
      <c r="FJ28" s="86" t="n">
        <v>0</v>
      </c>
      <c r="FK28" s="86" t="n">
        <v>0</v>
      </c>
      <c r="FL28" s="86" t="n">
        <v>0</v>
      </c>
      <c r="FM28" s="86" t="n">
        <v>0</v>
      </c>
      <c r="FN28" s="86" t="n">
        <v>0</v>
      </c>
      <c r="FO28" s="86" t="n">
        <v>0</v>
      </c>
      <c r="FP28" s="86" t="n">
        <v>0</v>
      </c>
      <c r="FQ28" s="86" t="n">
        <v>0</v>
      </c>
      <c r="FR28" s="86" t="n">
        <v>0</v>
      </c>
      <c r="FS28" s="86" t="n">
        <v>0</v>
      </c>
      <c r="FT28" s="86" t="n">
        <v>0</v>
      </c>
      <c r="FU28" s="86" t="n">
        <v>0</v>
      </c>
      <c r="FV28" s="86" t="n">
        <v>0</v>
      </c>
      <c r="FW28" s="86" t="n">
        <v>0</v>
      </c>
      <c r="FX28" s="86" t="n">
        <v>0</v>
      </c>
      <c r="FY28" s="86" t="n">
        <v>0</v>
      </c>
      <c r="FZ28" s="86" t="n">
        <v>0</v>
      </c>
      <c r="GA28" s="86" t="n">
        <v>0</v>
      </c>
      <c r="GB28" s="86" t="n">
        <v>0</v>
      </c>
      <c r="GC28" s="86" t="n">
        <v>0</v>
      </c>
      <c r="GD28" s="86" t="n">
        <v>0</v>
      </c>
      <c r="GE28" s="86" t="n">
        <v>0</v>
      </c>
      <c r="GF28" s="86" t="n">
        <v>0</v>
      </c>
      <c r="GG28" s="86" t="n">
        <v>0</v>
      </c>
      <c r="GH28" s="86" t="n">
        <v>0</v>
      </c>
      <c r="GI28" s="86" t="n">
        <v>0</v>
      </c>
      <c r="GJ28" s="86" t="n">
        <v>0</v>
      </c>
      <c r="GK28" s="86" t="n">
        <v>0</v>
      </c>
      <c r="GL28" s="86" t="n">
        <v>0</v>
      </c>
      <c r="GM28" s="86" t="n">
        <v>0</v>
      </c>
      <c r="GN28" s="86" t="n">
        <v>0</v>
      </c>
      <c r="GO28" s="86" t="n">
        <v>0</v>
      </c>
      <c r="GP28" s="86" t="n">
        <v>0</v>
      </c>
      <c r="GQ28" s="86" t="n">
        <v>0</v>
      </c>
      <c r="GR28" s="86" t="n">
        <v>0</v>
      </c>
      <c r="GS28" s="86" t="n">
        <v>0</v>
      </c>
      <c r="GT28" s="86" t="n">
        <v>0</v>
      </c>
      <c r="GU28" s="86" t="n">
        <v>0</v>
      </c>
      <c r="GV28" s="86" t="n">
        <v>0</v>
      </c>
      <c r="GW28" s="86" t="n">
        <v>0</v>
      </c>
      <c r="GX28" s="86" t="n">
        <v>0</v>
      </c>
      <c r="GY28" s="86" t="n">
        <v>0</v>
      </c>
      <c r="GZ28" s="86" t="n">
        <v>0</v>
      </c>
      <c r="HA28" s="86" t="n">
        <v>0</v>
      </c>
      <c r="HB28" s="86" t="n">
        <v>0</v>
      </c>
      <c r="HC28" s="86" t="n">
        <v>0</v>
      </c>
      <c r="HD28" s="86" t="n">
        <v>0</v>
      </c>
      <c r="HE28" s="86" t="n">
        <v>0</v>
      </c>
      <c r="HF28" s="86" t="n">
        <v>0</v>
      </c>
      <c r="HG28" s="86" t="n">
        <v>0</v>
      </c>
      <c r="HH28" s="86" t="n">
        <v>0</v>
      </c>
      <c r="HI28" s="86" t="n">
        <v>0</v>
      </c>
      <c r="HJ28" s="86" t="n">
        <v>0</v>
      </c>
      <c r="HK28" s="86" t="n">
        <v>0</v>
      </c>
      <c r="HL28" s="86" t="n">
        <v>0</v>
      </c>
      <c r="HM28" s="86" t="n">
        <v>0</v>
      </c>
      <c r="HN28" s="86" t="n">
        <v>0</v>
      </c>
      <c r="HO28" s="86" t="n">
        <v>0</v>
      </c>
      <c r="HP28" s="86" t="n">
        <v>0</v>
      </c>
      <c r="HQ28" s="86" t="n">
        <v>0</v>
      </c>
      <c r="HR28" s="86" t="n">
        <v>0</v>
      </c>
      <c r="HS28" s="86" t="n">
        <v>0</v>
      </c>
      <c r="HT28" s="86" t="n">
        <v>0</v>
      </c>
      <c r="HU28" s="86" t="n">
        <v>0</v>
      </c>
      <c r="JF28" s="85">
        <f>AP28</f>
        <v/>
      </c>
      <c r="JG28" s="85">
        <f>SUM(Z28:AK28)</f>
        <v/>
      </c>
      <c r="JH28" s="85">
        <f>SUM(AL28:AP28)</f>
        <v/>
      </c>
      <c r="JI28" s="85">
        <f>SUM(C28:AP28)</f>
        <v/>
      </c>
      <c r="JJ28" s="446" t="n"/>
      <c r="JM28" s="86" t="n"/>
      <c r="KG28" s="136">
        <f>B28</f>
        <v/>
      </c>
      <c r="KH28" s="345">
        <f>AR28</f>
        <v/>
      </c>
    </row>
    <row r="29" ht="16.2" customHeight="1" thickBot="1">
      <c r="A29" s="77" t="inlineStr">
        <is>
          <t>Subtotal</t>
        </is>
      </c>
      <c r="B29" s="137">
        <f>SUM(C29:AP29)</f>
        <v/>
      </c>
      <c r="C29" s="516">
        <f>SUM(C25:C28)</f>
        <v/>
      </c>
      <c r="D29" s="516">
        <f>SUM(D25:D28)</f>
        <v/>
      </c>
      <c r="E29" s="516">
        <f>SUM(E25:E28)</f>
        <v/>
      </c>
      <c r="F29" s="516">
        <f>SUM(F25:F28)</f>
        <v/>
      </c>
      <c r="G29" s="516">
        <f>SUM(G25:G28)</f>
        <v/>
      </c>
      <c r="H29" s="516">
        <f>SUM(H25:H28)</f>
        <v/>
      </c>
      <c r="I29" s="517">
        <f>SUM(I25:I28)</f>
        <v/>
      </c>
      <c r="J29" s="518">
        <f>SUM(J25:J28)</f>
        <v/>
      </c>
      <c r="K29" s="516">
        <f>SUM(K25:K28)</f>
        <v/>
      </c>
      <c r="L29" s="516">
        <f>SUM(L25:L28)</f>
        <v/>
      </c>
      <c r="M29" s="519">
        <f>SUM(M25:M28)</f>
        <v/>
      </c>
      <c r="N29" s="519">
        <f>SUM(N25:N28)</f>
        <v/>
      </c>
      <c r="O29" s="519">
        <f>SUM(O25:O28)</f>
        <v/>
      </c>
      <c r="P29" s="519">
        <f>SUM(P25:P28)</f>
        <v/>
      </c>
      <c r="Q29" s="519">
        <f>SUM(Q25:Q28)</f>
        <v/>
      </c>
      <c r="R29" s="519">
        <f>SUM(R25:R28)</f>
        <v/>
      </c>
      <c r="S29" s="519">
        <f>SUM(S25:S28)</f>
        <v/>
      </c>
      <c r="T29" s="519">
        <f>SUM(T25:T28)</f>
        <v/>
      </c>
      <c r="U29" s="519">
        <f>SUM(U25:U28)</f>
        <v/>
      </c>
      <c r="V29" s="519">
        <f>SUM(V25:V28)</f>
        <v/>
      </c>
      <c r="W29" s="519">
        <f>SUM(W25:W28)</f>
        <v/>
      </c>
      <c r="X29" s="519">
        <f>SUM(X25:X28)</f>
        <v/>
      </c>
      <c r="Y29" s="519">
        <f>SUM(Y25:Y28)</f>
        <v/>
      </c>
      <c r="Z29" s="519">
        <f>SUM(Z25:Z28)</f>
        <v/>
      </c>
      <c r="AA29" s="519">
        <f>SUM(AA25:AA28)</f>
        <v/>
      </c>
      <c r="AB29" s="519">
        <f>SUM(AB25:AB28)</f>
        <v/>
      </c>
      <c r="AC29" s="519">
        <f>SUM(AC25:AC28)</f>
        <v/>
      </c>
      <c r="AD29" s="519">
        <f>SUM(AD25:AD28)</f>
        <v/>
      </c>
      <c r="AE29" s="519">
        <f>SUM(AE25:AE28)</f>
        <v/>
      </c>
      <c r="AF29" s="519">
        <f>SUM(AF25:AF28)</f>
        <v/>
      </c>
      <c r="AG29" s="519">
        <f>SUM(AG25:AG28)</f>
        <v/>
      </c>
      <c r="AH29" s="519">
        <f>SUM(AH25:AH28)</f>
        <v/>
      </c>
      <c r="AI29" s="519">
        <f>SUM(AI25:AI28)</f>
        <v/>
      </c>
      <c r="AJ29" s="519">
        <f>SUM(AJ25:AJ28)</f>
        <v/>
      </c>
      <c r="AK29" s="519">
        <f>SUM(AK25:AK28)</f>
        <v/>
      </c>
      <c r="AL29" s="519">
        <f>SUM(AL25:AL28)</f>
        <v/>
      </c>
      <c r="AM29" s="519">
        <f>SUM(AM25:AM28)</f>
        <v/>
      </c>
      <c r="AN29" s="519">
        <f>SUM(AN25:AN28)</f>
        <v/>
      </c>
      <c r="AO29" s="519">
        <f>SUM(AO25:AO28)</f>
        <v/>
      </c>
      <c r="AP29" s="519">
        <f>SUM(AP25:AP28)</f>
        <v/>
      </c>
      <c r="AQ29" s="13" t="n"/>
      <c r="AR29" s="332">
        <f>SUM(AT29:HU29)</f>
        <v/>
      </c>
      <c r="AS29" s="13" t="n"/>
      <c r="AT29" s="516">
        <f>SUM(AT25:AT28)</f>
        <v/>
      </c>
      <c r="AU29" s="516">
        <f>SUM(AU25:AU28)</f>
        <v/>
      </c>
      <c r="AV29" s="516">
        <f>SUM(AV25:AV28)</f>
        <v/>
      </c>
      <c r="AW29" s="516">
        <f>SUM(AW25:AW28)</f>
        <v/>
      </c>
      <c r="AX29" s="516">
        <f>SUM(AX25:AX28)</f>
        <v/>
      </c>
      <c r="AY29" s="516">
        <f>SUM(AY25:AY28)</f>
        <v/>
      </c>
      <c r="AZ29" s="516">
        <f>SUM(AZ25:AZ28)</f>
        <v/>
      </c>
      <c r="BA29" s="516">
        <f>SUM(BA25:BA28)</f>
        <v/>
      </c>
      <c r="BB29" s="516">
        <f>SUM(BB25:BB28)</f>
        <v/>
      </c>
      <c r="BC29" s="516">
        <f>SUM(BC25:BC28)</f>
        <v/>
      </c>
      <c r="BD29" s="521">
        <f>SUM(BD25:BD28)</f>
        <v/>
      </c>
      <c r="BE29" s="520">
        <f>SUM(BE25:BE28)</f>
        <v/>
      </c>
      <c r="BF29" s="516">
        <f>SUM(BF25:BF28)</f>
        <v/>
      </c>
      <c r="BG29" s="516">
        <f>SUM(BG25:BG28)</f>
        <v/>
      </c>
      <c r="BH29" s="516">
        <f>SUM(BH25:BH28)</f>
        <v/>
      </c>
      <c r="BI29" s="516">
        <f>SUM(BI25:BI28)</f>
        <v/>
      </c>
      <c r="BJ29" s="516">
        <f>SUM(BJ25:BJ28)</f>
        <v/>
      </c>
      <c r="BK29" s="516">
        <f>SUM(BK25:BK28)</f>
        <v/>
      </c>
      <c r="BL29" s="516">
        <f>SUM(BL25:BL28)</f>
        <v/>
      </c>
      <c r="BM29" s="516">
        <f>SUM(BM25:BM28)</f>
        <v/>
      </c>
      <c r="BN29" s="516">
        <f>SUM(BN25:BN28)</f>
        <v/>
      </c>
      <c r="BO29" s="516">
        <f>SUM(BO25:BO28)</f>
        <v/>
      </c>
      <c r="BP29" s="521">
        <f>SUM(BP25:BP28)</f>
        <v/>
      </c>
      <c r="BQ29" s="520">
        <f>SUM(BQ25:BQ28)</f>
        <v/>
      </c>
      <c r="BR29" s="516">
        <f>SUM(BR25:BR28)</f>
        <v/>
      </c>
      <c r="BS29" s="516">
        <f>SUM(BS25:BS28)</f>
        <v/>
      </c>
      <c r="BT29" s="516">
        <f>SUM(BT25:BT28)</f>
        <v/>
      </c>
      <c r="BU29" s="516">
        <f>SUM(BU25:BU28)</f>
        <v/>
      </c>
      <c r="BV29" s="516">
        <f>SUM(BV25:BV28)</f>
        <v/>
      </c>
      <c r="BW29" s="516">
        <f>SUM(BW25:BW28)</f>
        <v/>
      </c>
      <c r="BX29" s="516">
        <f>SUM(BX25:BX28)</f>
        <v/>
      </c>
      <c r="BY29" s="516">
        <f>SUM(BY25:BY28)</f>
        <v/>
      </c>
      <c r="BZ29" s="516">
        <f>SUM(BZ25:BZ28)</f>
        <v/>
      </c>
      <c r="CA29" s="516">
        <f>SUM(CA25:CA28)</f>
        <v/>
      </c>
      <c r="CB29" s="521">
        <f>SUM(CB25:CB28)</f>
        <v/>
      </c>
      <c r="CC29" s="520">
        <f>SUM(CC25:CC28)</f>
        <v/>
      </c>
      <c r="CD29" s="516">
        <f>SUM(CD25:CD28)</f>
        <v/>
      </c>
      <c r="CE29" s="516">
        <f>SUM(CE25:CE28)</f>
        <v/>
      </c>
      <c r="CF29" s="516">
        <f>SUM(CF25:CF28)</f>
        <v/>
      </c>
      <c r="CG29" s="516">
        <f>SUM(CG25:CG28)</f>
        <v/>
      </c>
      <c r="CH29" s="516">
        <f>SUM(CH25:CH28)</f>
        <v/>
      </c>
      <c r="CI29" s="516">
        <f>SUM(CI25:CI28)</f>
        <v/>
      </c>
      <c r="CJ29" s="516">
        <f>SUM(CJ25:CJ28)</f>
        <v/>
      </c>
      <c r="CK29" s="516">
        <f>SUM(CK25:CK28)</f>
        <v/>
      </c>
      <c r="CL29" s="516">
        <f>SUM(CL25:CL28)</f>
        <v/>
      </c>
      <c r="CM29" s="516">
        <f>SUM(CM25:CM28)</f>
        <v/>
      </c>
      <c r="CN29" s="521">
        <f>SUM(CN25:CN28)</f>
        <v/>
      </c>
      <c r="CO29" s="520">
        <f>SUM(CO25:CO28)</f>
        <v/>
      </c>
      <c r="CP29" s="516">
        <f>SUM(CP25:CP28)</f>
        <v/>
      </c>
      <c r="CQ29" s="516">
        <f>SUM(CQ25:CQ28)</f>
        <v/>
      </c>
      <c r="CR29" s="516">
        <f>SUM(CR25:CR28)</f>
        <v/>
      </c>
      <c r="CS29" s="516">
        <f>SUM(CS25:CS28)</f>
        <v/>
      </c>
      <c r="CT29" s="516">
        <f>SUM(CT25:CT28)</f>
        <v/>
      </c>
      <c r="CU29" s="516">
        <f>SUM(CU25:CU28)</f>
        <v/>
      </c>
      <c r="CV29" s="516">
        <f>SUM(CV25:CV28)</f>
        <v/>
      </c>
      <c r="CW29" s="516">
        <f>SUM(CW25:CW28)</f>
        <v/>
      </c>
      <c r="CX29" s="516">
        <f>SUM(CX25:CX28)</f>
        <v/>
      </c>
      <c r="CY29" s="516">
        <f>SUM(CY25:CY28)</f>
        <v/>
      </c>
      <c r="CZ29" s="521">
        <f>SUM(CZ25:CZ28)</f>
        <v/>
      </c>
      <c r="DA29" s="520">
        <f>SUM(DA25:DA28)</f>
        <v/>
      </c>
      <c r="DB29" s="516">
        <f>SUM(DB25:DB28)</f>
        <v/>
      </c>
      <c r="DC29" s="516">
        <f>SUM(DC25:DC28)</f>
        <v/>
      </c>
      <c r="DD29" s="516">
        <f>SUM(DD25:DD28)</f>
        <v/>
      </c>
      <c r="DE29" s="516">
        <f>SUM(DE25:DE28)</f>
        <v/>
      </c>
      <c r="DF29" s="516">
        <f>SUM(DF25:DF28)</f>
        <v/>
      </c>
      <c r="DG29" s="516">
        <f>SUM(DG25:DG28)</f>
        <v/>
      </c>
      <c r="DH29" s="516">
        <f>SUM(DH25:DH28)</f>
        <v/>
      </c>
      <c r="DI29" s="516">
        <f>SUM(DI25:DI28)</f>
        <v/>
      </c>
      <c r="DJ29" s="517">
        <f>SUM(DJ25:DJ28)</f>
        <v/>
      </c>
      <c r="DK29" s="517">
        <f>SUM(DK25:DK28)</f>
        <v/>
      </c>
      <c r="DL29" s="517">
        <f>SUM(DL25:DL28)</f>
        <v/>
      </c>
      <c r="DM29" s="517">
        <f>SUM(DM25:DM28)</f>
        <v/>
      </c>
      <c r="DN29" s="517">
        <f>SUM(DN25:DN28)</f>
        <v/>
      </c>
      <c r="DO29" s="517">
        <f>SUM(DO25:DO28)</f>
        <v/>
      </c>
      <c r="DP29" s="517">
        <f>SUM(DP25:DP28)</f>
        <v/>
      </c>
      <c r="DQ29" s="517">
        <f>SUM(DQ25:DQ28)</f>
        <v/>
      </c>
      <c r="DR29" s="517">
        <f>SUM(DR25:DR28)</f>
        <v/>
      </c>
      <c r="DS29" s="517">
        <f>SUM(DS25:DS28)</f>
        <v/>
      </c>
      <c r="DT29" s="517">
        <f>SUM(DT25:DT28)</f>
        <v/>
      </c>
      <c r="DU29" s="517">
        <f>SUM(DU25:DU28)</f>
        <v/>
      </c>
      <c r="DV29" s="517">
        <f>SUM(DV25:DV28)</f>
        <v/>
      </c>
      <c r="DW29" s="517">
        <f>SUM(DW25:DW28)</f>
        <v/>
      </c>
      <c r="DX29" s="517">
        <f>SUM(DX25:DX28)</f>
        <v/>
      </c>
      <c r="DY29" s="517">
        <f>SUM(DY25:DY28)</f>
        <v/>
      </c>
      <c r="DZ29" s="517">
        <f>SUM(DZ25:DZ28)</f>
        <v/>
      </c>
      <c r="EA29" s="517">
        <f>SUM(EA25:EA28)</f>
        <v/>
      </c>
      <c r="EB29" s="517">
        <f>SUM(EB25:EB28)</f>
        <v/>
      </c>
      <c r="EC29" s="517">
        <f>SUM(EC25:EC28)</f>
        <v/>
      </c>
      <c r="ED29" s="517">
        <f>SUM(ED25:ED28)</f>
        <v/>
      </c>
      <c r="EE29" s="517">
        <f>SUM(EE25:EE28)</f>
        <v/>
      </c>
      <c r="EF29" s="517">
        <f>SUM(EF25:EF28)</f>
        <v/>
      </c>
      <c r="EG29" s="517">
        <f>SUM(EG25:EG28)</f>
        <v/>
      </c>
      <c r="EH29" s="517">
        <f>SUM(EH25:EH28)</f>
        <v/>
      </c>
      <c r="EI29" s="517">
        <f>SUM(EI25:EI28)</f>
        <v/>
      </c>
      <c r="EJ29" s="517">
        <f>SUM(EJ25:EJ28)</f>
        <v/>
      </c>
      <c r="EK29" s="517">
        <f>SUM(EK25:EK28)</f>
        <v/>
      </c>
      <c r="EL29" s="517">
        <f>SUM(EL25:EL28)</f>
        <v/>
      </c>
      <c r="EM29" s="517">
        <f>SUM(EM25:EM28)</f>
        <v/>
      </c>
      <c r="EN29" s="517">
        <f>SUM(EN25:EN28)</f>
        <v/>
      </c>
      <c r="EO29" s="517">
        <f>SUM(EO25:EO28)</f>
        <v/>
      </c>
      <c r="EP29" s="517">
        <f>SUM(EP25:EP28)</f>
        <v/>
      </c>
      <c r="EQ29" s="517">
        <f>SUM(EQ25:EQ28)</f>
        <v/>
      </c>
      <c r="ER29" s="517">
        <f>SUM(ER25:ER28)</f>
        <v/>
      </c>
      <c r="ES29" s="517">
        <f>SUM(ES25:ES28)</f>
        <v/>
      </c>
      <c r="ET29" s="517">
        <f>SUM(ET25:ET28)</f>
        <v/>
      </c>
      <c r="EU29" s="517">
        <f>SUM(EU25:EU28)</f>
        <v/>
      </c>
      <c r="EV29" s="517">
        <f>SUM(EV25:EV28)</f>
        <v/>
      </c>
      <c r="EW29" s="517">
        <f>SUM(EW25:EW28)</f>
        <v/>
      </c>
      <c r="EX29" s="517">
        <f>SUM(EX25:EX28)</f>
        <v/>
      </c>
      <c r="EY29" s="517">
        <f>SUM(EY25:EY28)</f>
        <v/>
      </c>
      <c r="EZ29" s="517">
        <f>SUM(EZ25:EZ28)</f>
        <v/>
      </c>
      <c r="FA29" s="517">
        <f>SUM(FA25:FA28)</f>
        <v/>
      </c>
      <c r="FB29" s="517">
        <f>SUM(FB25:FB28)</f>
        <v/>
      </c>
      <c r="FC29" s="517">
        <f>SUM(FC25:FC28)</f>
        <v/>
      </c>
      <c r="FD29" s="517">
        <f>SUM(FD25:FD28)</f>
        <v/>
      </c>
      <c r="FE29" s="517">
        <f>SUM(FE25:FE28)</f>
        <v/>
      </c>
      <c r="FF29" s="517">
        <f>SUM(FF25:FF28)</f>
        <v/>
      </c>
      <c r="FG29" s="517">
        <f>SUM(FG25:FG28)</f>
        <v/>
      </c>
      <c r="FH29" s="517">
        <f>SUM(FH25:FH28)</f>
        <v/>
      </c>
      <c r="FI29" s="517">
        <f>SUM(FI25:FI28)</f>
        <v/>
      </c>
      <c r="FJ29" s="517">
        <f>SUM(FJ25:FJ28)</f>
        <v/>
      </c>
      <c r="FK29" s="517">
        <f>SUM(FK25:FK28)</f>
        <v/>
      </c>
      <c r="FL29" s="517">
        <f>SUM(FL25:FL28)</f>
        <v/>
      </c>
      <c r="FM29" s="517">
        <f>SUM(FM25:FM28)</f>
        <v/>
      </c>
      <c r="FN29" s="517">
        <f>SUM(FN25:FN28)</f>
        <v/>
      </c>
      <c r="FO29" s="517">
        <f>SUM(FO25:FO28)</f>
        <v/>
      </c>
      <c r="FP29" s="517">
        <f>SUM(FP25:FP28)</f>
        <v/>
      </c>
      <c r="FQ29" s="517">
        <f>SUM(FQ25:FQ28)</f>
        <v/>
      </c>
      <c r="FR29" s="517">
        <f>SUM(FR25:FR28)</f>
        <v/>
      </c>
      <c r="FS29" s="517">
        <f>SUM(FS25:FS28)</f>
        <v/>
      </c>
      <c r="FT29" s="517">
        <f>SUM(FT25:FT28)</f>
        <v/>
      </c>
      <c r="FU29" s="517">
        <f>SUM(FU25:FU28)</f>
        <v/>
      </c>
      <c r="FV29" s="517">
        <f>SUM(FV25:FV28)</f>
        <v/>
      </c>
      <c r="FW29" s="517">
        <f>SUM(FW25:FW28)</f>
        <v/>
      </c>
      <c r="FX29" s="517">
        <f>SUM(FX25:FX28)</f>
        <v/>
      </c>
      <c r="FY29" s="517">
        <f>SUM(FY25:FY28)</f>
        <v/>
      </c>
      <c r="FZ29" s="517">
        <f>SUM(FZ25:FZ28)</f>
        <v/>
      </c>
      <c r="GA29" s="517">
        <f>SUM(GA25:GA28)</f>
        <v/>
      </c>
      <c r="GB29" s="517">
        <f>SUM(GB25:GB28)</f>
        <v/>
      </c>
      <c r="GC29" s="517">
        <f>SUM(GC25:GC28)</f>
        <v/>
      </c>
      <c r="GD29" s="517">
        <f>SUM(GD25:GD28)</f>
        <v/>
      </c>
      <c r="GE29" s="517">
        <f>SUM(GE25:GE28)</f>
        <v/>
      </c>
      <c r="GF29" s="517">
        <f>SUM(GF25:GF28)</f>
        <v/>
      </c>
      <c r="GG29" s="517">
        <f>SUM(GG25:GG28)</f>
        <v/>
      </c>
      <c r="GH29" s="517">
        <f>SUM(GH25:GH28)</f>
        <v/>
      </c>
      <c r="GI29" s="517">
        <f>SUM(GI25:GI28)</f>
        <v/>
      </c>
      <c r="GJ29" s="517">
        <f>SUM(GJ25:GJ28)</f>
        <v/>
      </c>
      <c r="GK29" s="517">
        <f>SUM(GK25:GK28)</f>
        <v/>
      </c>
      <c r="GL29" s="517">
        <f>SUM(GL25:GL28)</f>
        <v/>
      </c>
      <c r="GM29" s="517">
        <f>SUM(GM25:GM28)</f>
        <v/>
      </c>
      <c r="GN29" s="517">
        <f>SUM(GN25:GN28)</f>
        <v/>
      </c>
      <c r="GO29" s="517">
        <f>SUM(GO25:GO28)</f>
        <v/>
      </c>
      <c r="GP29" s="517">
        <f>SUM(GP25:GP28)</f>
        <v/>
      </c>
      <c r="GQ29" s="517">
        <f>SUM(GQ25:GQ28)</f>
        <v/>
      </c>
      <c r="GR29" s="517">
        <f>SUM(GR25:GR28)</f>
        <v/>
      </c>
      <c r="GS29" s="517">
        <f>SUM(GS25:GS28)</f>
        <v/>
      </c>
      <c r="GT29" s="517">
        <f>SUM(GT25:GT28)</f>
        <v/>
      </c>
      <c r="GU29" s="517">
        <f>SUM(GU25:GU28)</f>
        <v/>
      </c>
      <c r="GV29" s="517">
        <f>SUM(GV25:GV28)</f>
        <v/>
      </c>
      <c r="GW29" s="517">
        <f>SUM(GW25:GW28)</f>
        <v/>
      </c>
      <c r="GX29" s="517">
        <f>SUM(GX25:GX28)</f>
        <v/>
      </c>
      <c r="GY29" s="517">
        <f>SUM(GY25:GY28)</f>
        <v/>
      </c>
      <c r="GZ29" s="517">
        <f>SUM(GZ25:GZ28)</f>
        <v/>
      </c>
      <c r="HA29" s="517">
        <f>SUM(HA25:HA28)</f>
        <v/>
      </c>
      <c r="HB29" s="517">
        <f>SUM(HB25:HB28)</f>
        <v/>
      </c>
      <c r="HC29" s="517">
        <f>SUM(HC25:HC28)</f>
        <v/>
      </c>
      <c r="HD29" s="517">
        <f>SUM(HD25:HD28)</f>
        <v/>
      </c>
      <c r="HE29" s="517">
        <f>SUM(HE25:HE28)</f>
        <v/>
      </c>
      <c r="HF29" s="517">
        <f>SUM(HF25:HF28)</f>
        <v/>
      </c>
      <c r="HG29" s="517">
        <f>SUM(HG25:HG28)</f>
        <v/>
      </c>
      <c r="HH29" s="517">
        <f>SUM(HH25:HH28)</f>
        <v/>
      </c>
      <c r="HI29" s="517">
        <f>SUM(HI25:HI28)</f>
        <v/>
      </c>
      <c r="HJ29" s="517">
        <f>SUM(HJ25:HJ28)</f>
        <v/>
      </c>
      <c r="HK29" s="517">
        <f>SUM(HK25:HK28)</f>
        <v/>
      </c>
      <c r="HL29" s="517">
        <f>SUM(HL25:HL28)</f>
        <v/>
      </c>
      <c r="HM29" s="517">
        <f>SUM(HM25:HM28)</f>
        <v/>
      </c>
      <c r="HN29" s="517">
        <f>SUM(HN25:HN28)</f>
        <v/>
      </c>
      <c r="HO29" s="517">
        <f>SUM(HO25:HO28)</f>
        <v/>
      </c>
      <c r="HP29" s="517">
        <f>SUM(HP25:HP28)</f>
        <v/>
      </c>
      <c r="HQ29" s="517">
        <f>SUM(HQ25:HQ28)</f>
        <v/>
      </c>
      <c r="HR29" s="517">
        <f>SUM(HR25:HR28)</f>
        <v/>
      </c>
      <c r="HS29" s="517">
        <f>SUM(HS25:HS28)</f>
        <v/>
      </c>
      <c r="HT29" s="517">
        <f>SUM(HT25:HT28)</f>
        <v/>
      </c>
      <c r="HU29" s="517">
        <f>SUM(HU25:HU28)</f>
        <v/>
      </c>
      <c r="JF29" s="516">
        <f>AP29</f>
        <v/>
      </c>
      <c r="JG29" s="516">
        <f>SUM(Z29:AK29)</f>
        <v/>
      </c>
      <c r="JH29" s="516">
        <f>SUM(AL29:AP29)</f>
        <v/>
      </c>
      <c r="JI29" s="516">
        <f>SUM(C29:AP29)</f>
        <v/>
      </c>
      <c r="JJ29" s="446" t="n"/>
      <c r="JM29" s="517" t="n">
        <v>-250344.3495177614</v>
      </c>
      <c r="KG29" s="137">
        <f>B29</f>
        <v/>
      </c>
      <c r="KH29" s="332">
        <f>AR29</f>
        <v/>
      </c>
    </row>
    <row r="30" ht="6.75" customHeight="1" thickBot="1">
      <c r="A30" s="88" t="n"/>
      <c r="B30" s="138" t="n"/>
      <c r="C30" s="522" t="n"/>
      <c r="D30" s="522" t="n"/>
      <c r="E30" s="522" t="n"/>
      <c r="F30" s="522" t="n"/>
      <c r="G30" s="522" t="n"/>
      <c r="H30" s="522" t="n"/>
      <c r="I30" s="522" t="n"/>
      <c r="J30" s="523" t="n"/>
      <c r="K30" s="522" t="n"/>
      <c r="L30" s="522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524" t="n"/>
      <c r="AI30" s="524" t="n"/>
      <c r="AJ30" s="524" t="n"/>
      <c r="AK30" s="524" t="n"/>
      <c r="AL30" s="524" t="n"/>
      <c r="AM30" s="524" t="n"/>
      <c r="AN30" s="524" t="n"/>
      <c r="AO30" s="524" t="n"/>
      <c r="AP30" s="524" t="n"/>
      <c r="AQ30" s="13" t="n"/>
      <c r="AR30" s="240" t="n"/>
      <c r="AS30" s="13" t="n"/>
      <c r="AT30" s="522" t="n"/>
      <c r="AU30" s="522" t="n"/>
      <c r="AV30" s="522" t="n"/>
      <c r="AW30" s="522" t="n"/>
      <c r="AX30" s="522" t="n"/>
      <c r="AY30" s="522" t="n"/>
      <c r="AZ30" s="522" t="n"/>
      <c r="BA30" s="522" t="n"/>
      <c r="BB30" s="522" t="n"/>
      <c r="BC30" s="522" t="n"/>
      <c r="BD30" s="525" t="n"/>
      <c r="BE30" s="522" t="n"/>
      <c r="BF30" s="522" t="n"/>
      <c r="BG30" s="522" t="n"/>
      <c r="BH30" s="522" t="n"/>
      <c r="BI30" s="522" t="n"/>
      <c r="BJ30" s="522" t="n"/>
      <c r="BK30" s="522" t="n"/>
      <c r="BL30" s="522" t="n"/>
      <c r="BM30" s="522" t="n"/>
      <c r="BN30" s="522" t="n"/>
      <c r="BO30" s="522" t="n"/>
      <c r="BP30" s="525" t="n"/>
      <c r="BQ30" s="522" t="n"/>
      <c r="BR30" s="522" t="n"/>
      <c r="BS30" s="522" t="n"/>
      <c r="BT30" s="522" t="n"/>
      <c r="BU30" s="522" t="n"/>
      <c r="BV30" s="522" t="n"/>
      <c r="BW30" s="522" t="n"/>
      <c r="BX30" s="522" t="n"/>
      <c r="BY30" s="522" t="n"/>
      <c r="BZ30" s="522" t="n"/>
      <c r="CA30" s="522" t="n"/>
      <c r="CB30" s="525" t="n"/>
      <c r="CC30" s="522" t="n"/>
      <c r="CD30" s="522" t="n"/>
      <c r="CE30" s="522" t="n"/>
      <c r="CF30" s="522" t="n"/>
      <c r="CG30" s="522" t="n"/>
      <c r="CH30" s="522" t="n"/>
      <c r="CI30" s="522" t="n"/>
      <c r="CJ30" s="522" t="n"/>
      <c r="CK30" s="522" t="n"/>
      <c r="CL30" s="522" t="n"/>
      <c r="CM30" s="522" t="n"/>
      <c r="CN30" s="525" t="n"/>
      <c r="CO30" s="522" t="n"/>
      <c r="CP30" s="522" t="n"/>
      <c r="CQ30" s="522" t="n"/>
      <c r="CR30" s="522" t="n"/>
      <c r="CS30" s="522" t="n"/>
      <c r="CT30" s="522" t="n"/>
      <c r="CU30" s="522" t="n"/>
      <c r="CV30" s="522" t="n"/>
      <c r="CW30" s="522" t="n"/>
      <c r="CX30" s="522" t="n"/>
      <c r="CY30" s="522" t="n"/>
      <c r="CZ30" s="525" t="n"/>
      <c r="DA30" s="522" t="n"/>
      <c r="DB30" s="522" t="n"/>
      <c r="DC30" s="522" t="n"/>
      <c r="DD30" s="522" t="n"/>
      <c r="DE30" s="522" t="n"/>
      <c r="DF30" s="522" t="n"/>
      <c r="DG30" s="522" t="n"/>
      <c r="DH30" s="522" t="n"/>
      <c r="DI30" s="522" t="n"/>
      <c r="DJ30" s="522" t="n"/>
      <c r="DK30" s="522" t="n"/>
      <c r="DL30" s="522" t="n"/>
      <c r="DM30" s="522" t="n"/>
      <c r="DN30" s="522" t="n"/>
      <c r="DO30" s="522" t="n"/>
      <c r="DP30" s="522" t="n"/>
      <c r="DQ30" s="522" t="n"/>
      <c r="DR30" s="522" t="n"/>
      <c r="DS30" s="522" t="n"/>
      <c r="DT30" s="522" t="n"/>
      <c r="DU30" s="522" t="n"/>
      <c r="DV30" s="522" t="n"/>
      <c r="DW30" s="522" t="n"/>
      <c r="DX30" s="522" t="n"/>
      <c r="DY30" s="522" t="n"/>
      <c r="DZ30" s="522" t="n"/>
      <c r="EA30" s="522" t="n"/>
      <c r="EB30" s="522" t="n"/>
      <c r="EC30" s="522" t="n"/>
      <c r="ED30" s="522" t="n"/>
      <c r="EE30" s="522" t="n"/>
      <c r="EF30" s="522" t="n"/>
      <c r="EG30" s="522" t="n"/>
      <c r="EH30" s="522" t="n"/>
      <c r="EI30" s="522" t="n"/>
      <c r="EJ30" s="522" t="n"/>
      <c r="EK30" s="522" t="n"/>
      <c r="EL30" s="522" t="n"/>
      <c r="EM30" s="522" t="n"/>
      <c r="EN30" s="522" t="n"/>
      <c r="EO30" s="522" t="n"/>
      <c r="EP30" s="522" t="n"/>
      <c r="EQ30" s="522" t="n"/>
      <c r="ER30" s="522" t="n"/>
      <c r="ES30" s="522" t="n"/>
      <c r="ET30" s="522" t="n"/>
      <c r="EU30" s="522" t="n"/>
      <c r="EV30" s="522" t="n"/>
      <c r="EW30" s="522" t="n"/>
      <c r="EX30" s="522" t="n"/>
      <c r="EY30" s="522" t="n"/>
      <c r="EZ30" s="522" t="n"/>
      <c r="FA30" s="522" t="n"/>
      <c r="FB30" s="522" t="n"/>
      <c r="FC30" s="522" t="n"/>
      <c r="FD30" s="522" t="n"/>
      <c r="FE30" s="522" t="n"/>
      <c r="FF30" s="522" t="n"/>
      <c r="FG30" s="522" t="n"/>
      <c r="FH30" s="522" t="n"/>
      <c r="FI30" s="522" t="n"/>
      <c r="FJ30" s="522" t="n"/>
      <c r="FK30" s="522" t="n"/>
      <c r="FL30" s="522" t="n"/>
      <c r="FM30" s="522" t="n"/>
      <c r="FN30" s="522" t="n"/>
      <c r="FO30" s="522" t="n"/>
      <c r="FP30" s="522" t="n"/>
      <c r="FQ30" s="522" t="n"/>
      <c r="FR30" s="522" t="n"/>
      <c r="FS30" s="522" t="n"/>
      <c r="FT30" s="522" t="n"/>
      <c r="FU30" s="522" t="n"/>
      <c r="FV30" s="522" t="n"/>
      <c r="FW30" s="522" t="n"/>
      <c r="FX30" s="522" t="n"/>
      <c r="FY30" s="522" t="n"/>
      <c r="FZ30" s="522" t="n"/>
      <c r="GA30" s="522" t="n"/>
      <c r="GB30" s="522" t="n"/>
      <c r="GC30" s="522" t="n"/>
      <c r="GD30" s="522" t="n"/>
      <c r="GE30" s="522" t="n"/>
      <c r="GF30" s="522" t="n"/>
      <c r="GG30" s="522" t="n"/>
      <c r="GH30" s="522" t="n"/>
      <c r="GI30" s="522" t="n"/>
      <c r="GJ30" s="522" t="n"/>
      <c r="GK30" s="522" t="n"/>
      <c r="GL30" s="522" t="n"/>
      <c r="GM30" s="522" t="n"/>
      <c r="GN30" s="522" t="n"/>
      <c r="GO30" s="522" t="n"/>
      <c r="GP30" s="522" t="n"/>
      <c r="GQ30" s="522" t="n"/>
      <c r="GR30" s="522" t="n"/>
      <c r="GS30" s="522" t="n"/>
      <c r="GT30" s="522" t="n"/>
      <c r="GU30" s="522" t="n"/>
      <c r="GV30" s="522" t="n"/>
      <c r="GW30" s="522" t="n"/>
      <c r="GX30" s="522" t="n"/>
      <c r="GY30" s="522" t="n"/>
      <c r="GZ30" s="522" t="n"/>
      <c r="HA30" s="522" t="n"/>
      <c r="HB30" s="522" t="n"/>
      <c r="HC30" s="522" t="n"/>
      <c r="HD30" s="522" t="n"/>
      <c r="HE30" s="522" t="n"/>
      <c r="HF30" s="522" t="n"/>
      <c r="HG30" s="522" t="n"/>
      <c r="HH30" s="522" t="n"/>
      <c r="HI30" s="522" t="n"/>
      <c r="HJ30" s="522" t="n"/>
      <c r="HK30" s="522" t="n"/>
      <c r="HL30" s="522" t="n"/>
      <c r="HM30" s="522" t="n"/>
      <c r="HN30" s="522" t="n"/>
      <c r="HO30" s="522" t="n"/>
      <c r="HP30" s="522" t="n"/>
      <c r="HQ30" s="522" t="n"/>
      <c r="HR30" s="522" t="n"/>
      <c r="HS30" s="522" t="n"/>
      <c r="HT30" s="522" t="n"/>
      <c r="HU30" s="522" t="n"/>
      <c r="JF30" s="522">
        <f>AP30</f>
        <v/>
      </c>
      <c r="JG30" s="522">
        <f>SUM(Z30:AK30)</f>
        <v/>
      </c>
      <c r="JH30" s="522">
        <f>SUM(AL30:AP30)</f>
        <v/>
      </c>
      <c r="JI30" s="522">
        <f>SUM(C30:AP30)</f>
        <v/>
      </c>
      <c r="JJ30" s="446" t="n"/>
      <c r="JM30" s="522" t="n"/>
      <c r="KG30" s="138">
        <f>B30</f>
        <v/>
      </c>
      <c r="KH30" s="240">
        <f>AR30</f>
        <v/>
      </c>
    </row>
    <row r="31" ht="16.2" customHeight="1">
      <c r="A31" s="19" t="inlineStr">
        <is>
          <t>ITBI + IPTU ESTOQUE(-)</t>
        </is>
      </c>
      <c r="B31" s="139" t="n"/>
      <c r="C31" s="20" t="n"/>
      <c r="D31" s="22" t="n"/>
      <c r="E31" s="20" t="n"/>
      <c r="F31" s="20" t="n"/>
      <c r="G31" s="20" t="n"/>
      <c r="H31" s="20" t="n"/>
      <c r="I31" s="21" t="n"/>
      <c r="J31" s="175" t="n"/>
      <c r="K31" s="21" t="n"/>
      <c r="L31" s="108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  <c r="AL31" s="220" t="n"/>
      <c r="AM31" s="220" t="n"/>
      <c r="AN31" s="220" t="n"/>
      <c r="AO31" s="220" t="n"/>
      <c r="AP31" s="220" t="n"/>
      <c r="AQ31" s="200" t="n"/>
      <c r="AR31" s="334" t="n"/>
      <c r="AS31" s="20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99" t="n"/>
      <c r="BE31" s="22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99" t="n"/>
      <c r="BQ31" s="22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99" t="n"/>
      <c r="CC31" s="22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99" t="n"/>
      <c r="CO31" s="22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320" t="n"/>
      <c r="DA31" s="22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1" t="n"/>
      <c r="DK31" s="20" t="n"/>
      <c r="DL31" s="21" t="n"/>
      <c r="DM31" s="20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1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1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1" t="n"/>
      <c r="GI31" s="21" t="n"/>
      <c r="GJ31" s="21" t="n"/>
      <c r="GK31" s="21" t="n"/>
      <c r="GL31" s="21" t="n"/>
      <c r="GM31" s="21" t="n"/>
      <c r="GN31" s="21" t="n"/>
      <c r="GO31" s="21" t="n"/>
      <c r="GP31" s="21" t="n"/>
      <c r="GQ31" s="21" t="n"/>
      <c r="GR31" s="21" t="n"/>
      <c r="GS31" s="21" t="n"/>
      <c r="GT31" s="21" t="n"/>
      <c r="GU31" s="21" t="n"/>
      <c r="GV31" s="21" t="n"/>
      <c r="GW31" s="21" t="n"/>
      <c r="GX31" s="21" t="n"/>
      <c r="GY31" s="21" t="n"/>
      <c r="GZ31" s="21" t="n"/>
      <c r="HA31" s="21" t="n"/>
      <c r="HB31" s="21" t="n"/>
      <c r="HC31" s="21" t="n"/>
      <c r="HD31" s="21" t="n"/>
      <c r="HE31" s="21" t="n"/>
      <c r="HF31" s="21" t="n"/>
      <c r="HG31" s="21" t="n"/>
      <c r="HH31" s="21" t="n"/>
      <c r="HI31" s="21" t="n"/>
      <c r="HJ31" s="21" t="n"/>
      <c r="HK31" s="21" t="n"/>
      <c r="HL31" s="21" t="n"/>
      <c r="HM31" s="21" t="n"/>
      <c r="HN31" s="21" t="n"/>
      <c r="HO31" s="21" t="n"/>
      <c r="HP31" s="21" t="n"/>
      <c r="HQ31" s="21" t="n"/>
      <c r="HR31" s="21" t="n"/>
      <c r="HS31" s="21" t="n"/>
      <c r="HT31" s="21" t="n"/>
      <c r="HU31" s="21" t="n"/>
      <c r="JF31" s="20">
        <f>AP31</f>
        <v/>
      </c>
      <c r="JG31" s="20">
        <f>SUM(Z31:AK31)</f>
        <v/>
      </c>
      <c r="JH31" s="20">
        <f>SUM(AL31:AP31)</f>
        <v/>
      </c>
      <c r="JI31" s="20">
        <f>SUM(C31:AP31)</f>
        <v/>
      </c>
      <c r="JJ31" s="446" t="n"/>
      <c r="JM31" s="21" t="n"/>
      <c r="KG31" s="139">
        <f>B31</f>
        <v/>
      </c>
      <c r="KH31" s="334">
        <f>AR31</f>
        <v/>
      </c>
    </row>
    <row r="32" ht="15.75" customHeight="1">
      <c r="A32" s="7" t="inlineStr">
        <is>
          <t>ITBI</t>
        </is>
      </c>
      <c r="B32" s="136">
        <f>SUM(C32:AP32)</f>
        <v/>
      </c>
      <c r="C32" s="85" t="n"/>
      <c r="D32" s="87" t="n"/>
      <c r="E32" s="85" t="n"/>
      <c r="F32" s="85" t="n"/>
      <c r="G32" s="85" t="n"/>
      <c r="H32" s="85" t="n"/>
      <c r="I32" s="86" t="n"/>
      <c r="J32" s="218" t="n"/>
      <c r="K32" s="113" t="n"/>
      <c r="L32" s="122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0" t="n"/>
      <c r="X32" s="219" t="n"/>
      <c r="Y32" s="219" t="n"/>
      <c r="Z32" s="219" t="n"/>
      <c r="AA32" s="219" t="n"/>
      <c r="AB32" s="219" t="n"/>
      <c r="AC32" s="219" t="n"/>
      <c r="AD32" s="219">
        <f>-425723.20325</f>
        <v/>
      </c>
      <c r="AE32" s="219" t="n">
        <v>-169878.95</v>
      </c>
      <c r="AF32" s="219" t="n">
        <v>-233674.3</v>
      </c>
      <c r="AG32" s="219" t="n">
        <v>-164053.77</v>
      </c>
      <c r="AH32" s="219" t="n">
        <v>-88145.00999999999</v>
      </c>
      <c r="AI32" s="219" t="n">
        <v>-72316.23</v>
      </c>
      <c r="AJ32" s="219" t="n">
        <v>-116408.21</v>
      </c>
      <c r="AK32" s="219" t="n">
        <v>-93487.63</v>
      </c>
      <c r="AL32" s="219" t="n">
        <v>-225000.78</v>
      </c>
      <c r="AM32" s="219" t="n">
        <v>-144626.49</v>
      </c>
      <c r="AN32" s="219" t="n">
        <v>-113015.4</v>
      </c>
      <c r="AO32" s="219" t="n">
        <v>-73115.61</v>
      </c>
      <c r="AP32" s="219" t="n">
        <v>-100151.9</v>
      </c>
      <c r="AQ32" s="13" t="n"/>
      <c r="AR32" s="345">
        <f>SUM(AT32:HU32)</f>
        <v/>
      </c>
      <c r="AS32" s="13" t="n"/>
      <c r="AT32" s="87">
        <f>-(B8+B32)/3</f>
        <v/>
      </c>
      <c r="AU32" s="87">
        <f>AT32</f>
        <v/>
      </c>
      <c r="AV32" s="87">
        <f>AU32</f>
        <v/>
      </c>
      <c r="AW32" s="87" t="n">
        <v>0</v>
      </c>
      <c r="AX32" s="87" t="n">
        <v>0</v>
      </c>
      <c r="AY32" s="87" t="n">
        <v>0</v>
      </c>
      <c r="AZ32" s="87" t="n">
        <v>0</v>
      </c>
      <c r="BA32" s="87" t="n">
        <v>0</v>
      </c>
      <c r="BB32" s="87" t="n">
        <v>0</v>
      </c>
      <c r="BC32" s="87" t="n">
        <v>0</v>
      </c>
      <c r="BD32" s="87" t="n">
        <v>0</v>
      </c>
      <c r="BE32" s="87" t="n">
        <v>0</v>
      </c>
      <c r="BF32" s="87" t="n">
        <v>0</v>
      </c>
      <c r="BG32" s="87" t="n">
        <v>0</v>
      </c>
      <c r="BH32" s="87" t="n">
        <v>0</v>
      </c>
      <c r="BI32" s="87" t="n">
        <v>0</v>
      </c>
      <c r="BJ32" s="87" t="n">
        <v>0</v>
      </c>
      <c r="BK32" s="87" t="n">
        <v>0</v>
      </c>
      <c r="BL32" s="87" t="n">
        <v>0</v>
      </c>
      <c r="BM32" s="87" t="n">
        <v>0</v>
      </c>
      <c r="BN32" s="87" t="n">
        <v>0</v>
      </c>
      <c r="BO32" s="87" t="n">
        <v>0</v>
      </c>
      <c r="BP32" s="87" t="n">
        <v>0</v>
      </c>
      <c r="BQ32" s="87" t="n">
        <v>0</v>
      </c>
      <c r="BR32" s="87" t="n">
        <v>0</v>
      </c>
      <c r="BS32" s="87" t="n">
        <v>0</v>
      </c>
      <c r="BT32" s="87" t="n">
        <v>0</v>
      </c>
      <c r="BU32" s="87" t="n">
        <v>0</v>
      </c>
      <c r="BV32" s="87" t="n">
        <v>0</v>
      </c>
      <c r="BW32" s="87" t="n">
        <v>0</v>
      </c>
      <c r="BX32" s="87" t="n">
        <v>0</v>
      </c>
      <c r="BY32" s="87" t="n">
        <v>0</v>
      </c>
      <c r="BZ32" s="87" t="n">
        <v>0</v>
      </c>
      <c r="CA32" s="87" t="n">
        <v>0</v>
      </c>
      <c r="CB32" s="87" t="n">
        <v>0</v>
      </c>
      <c r="CC32" s="87" t="n">
        <v>0</v>
      </c>
      <c r="CD32" s="87" t="n">
        <v>0</v>
      </c>
      <c r="CE32" s="87" t="n">
        <v>0</v>
      </c>
      <c r="CF32" s="87" t="n">
        <v>0</v>
      </c>
      <c r="CG32" s="87" t="n">
        <v>0</v>
      </c>
      <c r="CH32" s="87" t="n">
        <v>0</v>
      </c>
      <c r="CI32" s="87" t="n">
        <v>0</v>
      </c>
      <c r="CJ32" s="87" t="n">
        <v>0</v>
      </c>
      <c r="CK32" s="87" t="n">
        <v>0</v>
      </c>
      <c r="CL32" s="87" t="n">
        <v>0</v>
      </c>
      <c r="CM32" s="87" t="n">
        <v>0</v>
      </c>
      <c r="CN32" s="87" t="n">
        <v>0</v>
      </c>
      <c r="CO32" s="87" t="n">
        <v>0</v>
      </c>
      <c r="CP32" s="87" t="n">
        <v>0</v>
      </c>
      <c r="CQ32" s="87" t="n">
        <v>0</v>
      </c>
      <c r="CR32" s="87" t="n">
        <v>0</v>
      </c>
      <c r="CS32" s="87" t="n">
        <v>0</v>
      </c>
      <c r="CT32" s="87" t="n">
        <v>0</v>
      </c>
      <c r="CU32" s="87" t="n">
        <v>0</v>
      </c>
      <c r="CV32" s="87" t="n">
        <v>0</v>
      </c>
      <c r="CW32" s="87" t="n">
        <v>0</v>
      </c>
      <c r="CX32" s="87" t="n">
        <v>0</v>
      </c>
      <c r="CY32" s="87" t="n">
        <v>0</v>
      </c>
      <c r="CZ32" s="87" t="n">
        <v>0</v>
      </c>
      <c r="DA32" s="87" t="n">
        <v>0</v>
      </c>
      <c r="DB32" s="87" t="n">
        <v>0</v>
      </c>
      <c r="DC32" s="87" t="n">
        <v>0</v>
      </c>
      <c r="DD32" s="87" t="n">
        <v>0</v>
      </c>
      <c r="DE32" s="87" t="n">
        <v>0</v>
      </c>
      <c r="DF32" s="87" t="n">
        <v>0</v>
      </c>
      <c r="DG32" s="87" t="n">
        <v>0</v>
      </c>
      <c r="DH32" s="87" t="n">
        <v>0</v>
      </c>
      <c r="DI32" s="87" t="n">
        <v>0</v>
      </c>
      <c r="DJ32" s="87" t="n">
        <v>0</v>
      </c>
      <c r="DK32" s="87" t="n">
        <v>0</v>
      </c>
      <c r="DL32" s="87" t="n">
        <v>0</v>
      </c>
      <c r="DM32" s="87" t="n">
        <v>0</v>
      </c>
      <c r="DN32" s="87" t="n">
        <v>0</v>
      </c>
      <c r="DO32" s="87" t="n">
        <v>0</v>
      </c>
      <c r="DP32" s="87" t="n">
        <v>0</v>
      </c>
      <c r="DQ32" s="87" t="n">
        <v>0</v>
      </c>
      <c r="DR32" s="87" t="n">
        <v>0</v>
      </c>
      <c r="DS32" s="87" t="n">
        <v>0</v>
      </c>
      <c r="DT32" s="87" t="n">
        <v>0</v>
      </c>
      <c r="DU32" s="87" t="n">
        <v>0</v>
      </c>
      <c r="DV32" s="87" t="n">
        <v>0</v>
      </c>
      <c r="DW32" s="87" t="n">
        <v>0</v>
      </c>
      <c r="DX32" s="87" t="n">
        <v>0</v>
      </c>
      <c r="DY32" s="87" t="n">
        <v>0</v>
      </c>
      <c r="DZ32" s="87" t="n">
        <v>0</v>
      </c>
      <c r="EA32" s="87" t="n">
        <v>0</v>
      </c>
      <c r="EB32" s="87" t="n">
        <v>0</v>
      </c>
      <c r="EC32" s="87" t="n">
        <v>0</v>
      </c>
      <c r="ED32" s="87" t="n">
        <v>0</v>
      </c>
      <c r="EE32" s="87" t="n">
        <v>0</v>
      </c>
      <c r="EF32" s="87" t="n">
        <v>0</v>
      </c>
      <c r="EG32" s="87" t="n">
        <v>0</v>
      </c>
      <c r="EH32" s="87" t="n">
        <v>0</v>
      </c>
      <c r="EI32" s="87" t="n">
        <v>0</v>
      </c>
      <c r="EJ32" s="87" t="n">
        <v>0</v>
      </c>
      <c r="EK32" s="87" t="n">
        <v>0</v>
      </c>
      <c r="EL32" s="87" t="n">
        <v>0</v>
      </c>
      <c r="EM32" s="87" t="n">
        <v>0</v>
      </c>
      <c r="EN32" s="87" t="n">
        <v>0</v>
      </c>
      <c r="EO32" s="87" t="n">
        <v>0</v>
      </c>
      <c r="EP32" s="87" t="n">
        <v>0</v>
      </c>
      <c r="EQ32" s="87" t="n">
        <v>0</v>
      </c>
      <c r="ER32" s="87" t="n">
        <v>0</v>
      </c>
      <c r="ES32" s="87" t="n">
        <v>0</v>
      </c>
      <c r="ET32" s="87" t="n">
        <v>0</v>
      </c>
      <c r="EU32" s="87" t="n">
        <v>0</v>
      </c>
      <c r="EV32" s="87" t="n">
        <v>0</v>
      </c>
      <c r="EW32" s="87" t="n">
        <v>0</v>
      </c>
      <c r="EX32" s="87" t="n">
        <v>0</v>
      </c>
      <c r="EY32" s="87" t="n">
        <v>0</v>
      </c>
      <c r="EZ32" s="87" t="n">
        <v>0</v>
      </c>
      <c r="FA32" s="87" t="n">
        <v>0</v>
      </c>
      <c r="FB32" s="87" t="n">
        <v>0</v>
      </c>
      <c r="FC32" s="87" t="n">
        <v>0</v>
      </c>
      <c r="FD32" s="87" t="n">
        <v>0</v>
      </c>
      <c r="FE32" s="87" t="n">
        <v>0</v>
      </c>
      <c r="FF32" s="87" t="n">
        <v>0</v>
      </c>
      <c r="FG32" s="87" t="n">
        <v>0</v>
      </c>
      <c r="FH32" s="87" t="n">
        <v>0</v>
      </c>
      <c r="FI32" s="87" t="n">
        <v>0</v>
      </c>
      <c r="FJ32" s="87" t="n">
        <v>0</v>
      </c>
      <c r="FK32" s="87" t="n">
        <v>0</v>
      </c>
      <c r="FL32" s="87" t="n">
        <v>0</v>
      </c>
      <c r="FM32" s="87" t="n">
        <v>0</v>
      </c>
      <c r="FN32" s="87" t="n">
        <v>0</v>
      </c>
      <c r="FO32" s="87" t="n">
        <v>0</v>
      </c>
      <c r="FP32" s="87" t="n">
        <v>0</v>
      </c>
      <c r="FQ32" s="87" t="n">
        <v>0</v>
      </c>
      <c r="FR32" s="87" t="n">
        <v>0</v>
      </c>
      <c r="FS32" s="87" t="n">
        <v>0</v>
      </c>
      <c r="FT32" s="87" t="n">
        <v>0</v>
      </c>
      <c r="FU32" s="87" t="n">
        <v>0</v>
      </c>
      <c r="FV32" s="87" t="n">
        <v>0</v>
      </c>
      <c r="FW32" s="87" t="n">
        <v>0</v>
      </c>
      <c r="FX32" s="87" t="n">
        <v>0</v>
      </c>
      <c r="FY32" s="87" t="n">
        <v>0</v>
      </c>
      <c r="FZ32" s="87" t="n">
        <v>0</v>
      </c>
      <c r="GA32" s="87" t="n">
        <v>0</v>
      </c>
      <c r="GB32" s="87" t="n">
        <v>0</v>
      </c>
      <c r="GC32" s="87" t="n">
        <v>0</v>
      </c>
      <c r="GD32" s="87" t="n">
        <v>0</v>
      </c>
      <c r="GE32" s="87" t="n">
        <v>0</v>
      </c>
      <c r="GF32" s="87" t="n">
        <v>0</v>
      </c>
      <c r="GG32" s="87" t="n">
        <v>0</v>
      </c>
      <c r="GH32" s="87" t="n">
        <v>0</v>
      </c>
      <c r="GI32" s="87" t="n">
        <v>0</v>
      </c>
      <c r="GJ32" s="87" t="n">
        <v>0</v>
      </c>
      <c r="GK32" s="87" t="n">
        <v>0</v>
      </c>
      <c r="GL32" s="87" t="n">
        <v>0</v>
      </c>
      <c r="GM32" s="87" t="n">
        <v>0</v>
      </c>
      <c r="GN32" s="87" t="n">
        <v>0</v>
      </c>
      <c r="GO32" s="87" t="n">
        <v>0</v>
      </c>
      <c r="GP32" s="87" t="n">
        <v>0</v>
      </c>
      <c r="GQ32" s="87" t="n">
        <v>0</v>
      </c>
      <c r="GR32" s="87" t="n">
        <v>0</v>
      </c>
      <c r="GS32" s="87" t="n">
        <v>0</v>
      </c>
      <c r="GT32" s="87" t="n">
        <v>0</v>
      </c>
      <c r="GU32" s="87" t="n">
        <v>0</v>
      </c>
      <c r="GV32" s="87" t="n">
        <v>0</v>
      </c>
      <c r="GW32" s="87" t="n">
        <v>0</v>
      </c>
      <c r="GX32" s="87" t="n">
        <v>0</v>
      </c>
      <c r="GY32" s="87" t="n">
        <v>0</v>
      </c>
      <c r="GZ32" s="87" t="n">
        <v>0</v>
      </c>
      <c r="HA32" s="87" t="n">
        <v>0</v>
      </c>
      <c r="HB32" s="87" t="n">
        <v>0</v>
      </c>
      <c r="HC32" s="87" t="n">
        <v>0</v>
      </c>
      <c r="HD32" s="87" t="n">
        <v>0</v>
      </c>
      <c r="HE32" s="87" t="n">
        <v>0</v>
      </c>
      <c r="HF32" s="87" t="n">
        <v>0</v>
      </c>
      <c r="HG32" s="87" t="n">
        <v>0</v>
      </c>
      <c r="HH32" s="87" t="n">
        <v>0</v>
      </c>
      <c r="HI32" s="87" t="n">
        <v>0</v>
      </c>
      <c r="HJ32" s="87" t="n">
        <v>0</v>
      </c>
      <c r="HK32" s="87" t="n">
        <v>0</v>
      </c>
      <c r="HL32" s="87" t="n">
        <v>0</v>
      </c>
      <c r="HM32" s="87" t="n">
        <v>0</v>
      </c>
      <c r="HN32" s="87" t="n">
        <v>0</v>
      </c>
      <c r="HO32" s="87" t="n">
        <v>0</v>
      </c>
      <c r="HP32" s="87" t="n">
        <v>0</v>
      </c>
      <c r="HQ32" s="87" t="n">
        <v>0</v>
      </c>
      <c r="HR32" s="87" t="n">
        <v>0</v>
      </c>
      <c r="HS32" s="87" t="n">
        <v>0</v>
      </c>
      <c r="HT32" s="87" t="n">
        <v>0</v>
      </c>
      <c r="HU32" s="87" t="n">
        <v>0</v>
      </c>
      <c r="JF32" s="87">
        <f>AP32</f>
        <v/>
      </c>
      <c r="JG32" s="87">
        <f>SUM(Z32:AK32)</f>
        <v/>
      </c>
      <c r="JH32" s="87">
        <f>SUM(AL32:AP32)</f>
        <v/>
      </c>
      <c r="JI32" s="87">
        <f>SUM(C32:AP32)</f>
        <v/>
      </c>
      <c r="JJ32" s="446" t="n"/>
      <c r="JM32" s="87" t="n">
        <v>-131508.2655833335</v>
      </c>
      <c r="KG32" s="136">
        <f>B32</f>
        <v/>
      </c>
      <c r="KH32" s="345">
        <f>AR32</f>
        <v/>
      </c>
    </row>
    <row r="33" ht="15.75" customHeight="1">
      <c r="A33" s="7" t="inlineStr">
        <is>
          <t>IPTU Estoque</t>
        </is>
      </c>
      <c r="B33" s="136">
        <f>SUM(C33:AP33)</f>
        <v/>
      </c>
      <c r="C33" s="24" t="n"/>
      <c r="D33" s="26" t="n"/>
      <c r="E33" s="256" t="n"/>
      <c r="F33" s="256" t="n"/>
      <c r="G33" s="256" t="n"/>
      <c r="H33" s="256" t="n"/>
      <c r="I33" s="257" t="n"/>
      <c r="J33" s="176" t="n"/>
      <c r="K33" s="25" t="n"/>
      <c r="L33" s="34" t="n"/>
      <c r="M33" s="15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>
        <v>-63859.04000000006</v>
      </c>
      <c r="AF33" s="219" t="n">
        <v>-62215.4</v>
      </c>
      <c r="AG33" s="219" t="n">
        <v>-62215.4</v>
      </c>
      <c r="AH33" s="219" t="n">
        <v>-60545.9</v>
      </c>
      <c r="AI33" s="219" t="n">
        <v>-61966.65</v>
      </c>
      <c r="AJ33" s="219" t="n">
        <v>-58978.75</v>
      </c>
      <c r="AK33" s="219" t="n">
        <v>-56594.14</v>
      </c>
      <c r="AL33" s="219" t="n"/>
      <c r="AM33" s="219" t="n"/>
      <c r="AN33" s="219" t="n">
        <v>-38399.02</v>
      </c>
      <c r="AO33" s="219" t="n">
        <v>-38162.09</v>
      </c>
      <c r="AP33" s="219" t="n">
        <v>-37873.25</v>
      </c>
      <c r="AQ33" s="13" t="n"/>
      <c r="AR33" s="345">
        <f>SUM(AT33:HU33)</f>
        <v/>
      </c>
      <c r="AS33" s="13" t="n"/>
      <c r="AT33" s="87" t="n">
        <v>-29841</v>
      </c>
      <c r="AU33" s="87" t="n">
        <v>-29106</v>
      </c>
      <c r="AV33" s="87" t="n">
        <v>-28371</v>
      </c>
      <c r="AW33" s="87" t="n">
        <v>-27636</v>
      </c>
      <c r="AX33" s="87" t="n">
        <v>-26901</v>
      </c>
      <c r="AY33" s="87" t="n">
        <v>-26166</v>
      </c>
      <c r="AZ33" s="87" t="n">
        <v>-25431</v>
      </c>
      <c r="BA33" s="87" t="n">
        <v>-24696</v>
      </c>
      <c r="BB33" s="87" t="n">
        <v>-23961</v>
      </c>
      <c r="BC33" s="87" t="n">
        <v>-23226</v>
      </c>
      <c r="BD33" s="87" t="n">
        <v>-22491</v>
      </c>
      <c r="BE33" s="87" t="n">
        <v>-21756</v>
      </c>
      <c r="BF33" s="87" t="n">
        <v>-21021</v>
      </c>
      <c r="BG33" s="87" t="n">
        <v>-20286</v>
      </c>
      <c r="BH33" s="87" t="n">
        <v>-78204</v>
      </c>
      <c r="BI33" s="87" t="n">
        <v>-75264</v>
      </c>
      <c r="BJ33" s="87" t="n">
        <v>-72324</v>
      </c>
      <c r="BK33" s="87" t="n">
        <v>-69384</v>
      </c>
      <c r="BL33" s="87" t="n">
        <v>-66444</v>
      </c>
      <c r="BM33" s="87" t="n">
        <v>-63504</v>
      </c>
      <c r="BN33" s="87" t="n">
        <v>-60564</v>
      </c>
      <c r="BO33" s="87" t="n">
        <v>-57624</v>
      </c>
      <c r="BP33" s="87" t="n">
        <v>-54684</v>
      </c>
      <c r="BQ33" s="87" t="n">
        <v>-51744</v>
      </c>
      <c r="BR33" s="87" t="n">
        <v>-48804</v>
      </c>
      <c r="BS33" s="87" t="n">
        <v>-45864</v>
      </c>
      <c r="BT33" s="87" t="n">
        <v>-42924</v>
      </c>
      <c r="BU33" s="87" t="n">
        <v>-39984</v>
      </c>
      <c r="BV33" s="87" t="n">
        <v>-37044</v>
      </c>
      <c r="BW33" s="87" t="n">
        <v>-34104</v>
      </c>
      <c r="BX33" s="87" t="n">
        <v>-31164</v>
      </c>
      <c r="BY33" s="87" t="n">
        <v>-28224</v>
      </c>
      <c r="BZ33" s="87" t="n">
        <v>-25284</v>
      </c>
      <c r="CA33" s="87" t="n">
        <v>-22344</v>
      </c>
      <c r="CB33" s="87" t="n">
        <v>-19404</v>
      </c>
      <c r="CC33" s="87" t="n">
        <v>-16464</v>
      </c>
      <c r="CD33" s="87" t="n">
        <v>-13524</v>
      </c>
      <c r="CE33" s="87" t="n">
        <v>-10584</v>
      </c>
      <c r="CF33" s="87" t="n">
        <v>-7644</v>
      </c>
      <c r="CG33" s="87" t="n">
        <v>-4704</v>
      </c>
      <c r="CH33" s="87" t="n">
        <v>-1764</v>
      </c>
      <c r="CI33" s="87" t="n">
        <v>0</v>
      </c>
      <c r="CJ33" s="87" t="n">
        <v>0</v>
      </c>
      <c r="CK33" s="87" t="n">
        <v>0</v>
      </c>
      <c r="CL33" s="87" t="n">
        <v>0</v>
      </c>
      <c r="CM33" s="87" t="n">
        <v>0</v>
      </c>
      <c r="CN33" s="87" t="n">
        <v>0</v>
      </c>
      <c r="CO33" s="87" t="n">
        <v>0</v>
      </c>
      <c r="CP33" s="87" t="n">
        <v>0</v>
      </c>
      <c r="CQ33" s="87" t="n">
        <v>0</v>
      </c>
      <c r="CR33" s="87" t="n">
        <v>0</v>
      </c>
      <c r="CS33" s="87" t="n">
        <v>0</v>
      </c>
      <c r="CT33" s="87" t="n">
        <v>0</v>
      </c>
      <c r="CU33" s="87" t="n">
        <v>0</v>
      </c>
      <c r="CV33" s="87" t="n">
        <v>0</v>
      </c>
      <c r="CW33" s="87" t="n">
        <v>0</v>
      </c>
      <c r="CX33" s="87" t="n">
        <v>0</v>
      </c>
      <c r="CY33" s="87" t="n">
        <v>0</v>
      </c>
      <c r="CZ33" s="87" t="n">
        <v>0</v>
      </c>
      <c r="DA33" s="87" t="n">
        <v>0</v>
      </c>
      <c r="DB33" s="87" t="n">
        <v>0</v>
      </c>
      <c r="DC33" s="87" t="n">
        <v>0</v>
      </c>
      <c r="DD33" s="87" t="n">
        <v>0</v>
      </c>
      <c r="DE33" s="87" t="n">
        <v>0</v>
      </c>
      <c r="DF33" s="87" t="n">
        <v>0</v>
      </c>
      <c r="DG33" s="87" t="n">
        <v>0</v>
      </c>
      <c r="DH33" s="87" t="n">
        <v>0</v>
      </c>
      <c r="DI33" s="87" t="n">
        <v>0</v>
      </c>
      <c r="DJ33" s="87" t="n">
        <v>0</v>
      </c>
      <c r="DK33" s="87" t="n">
        <v>0</v>
      </c>
      <c r="DL33" s="87" t="n">
        <v>0</v>
      </c>
      <c r="DM33" s="87" t="n">
        <v>0</v>
      </c>
      <c r="DN33" s="87" t="n">
        <v>0</v>
      </c>
      <c r="DO33" s="87" t="n">
        <v>0</v>
      </c>
      <c r="DP33" s="87" t="n">
        <v>0</v>
      </c>
      <c r="DQ33" s="87" t="n">
        <v>0</v>
      </c>
      <c r="DR33" s="87" t="n">
        <v>0</v>
      </c>
      <c r="DS33" s="87" t="n">
        <v>0</v>
      </c>
      <c r="DT33" s="87" t="n">
        <v>0</v>
      </c>
      <c r="DU33" s="87" t="n">
        <v>0</v>
      </c>
      <c r="DV33" s="87" t="n">
        <v>0</v>
      </c>
      <c r="DW33" s="87" t="n">
        <v>0</v>
      </c>
      <c r="DX33" s="87" t="n">
        <v>0</v>
      </c>
      <c r="DY33" s="87" t="n">
        <v>0</v>
      </c>
      <c r="DZ33" s="87" t="n">
        <v>0</v>
      </c>
      <c r="EA33" s="87" t="n">
        <v>0</v>
      </c>
      <c r="EB33" s="87" t="n">
        <v>0</v>
      </c>
      <c r="EC33" s="87" t="n">
        <v>0</v>
      </c>
      <c r="ED33" s="87" t="n">
        <v>0</v>
      </c>
      <c r="EE33" s="87" t="n">
        <v>0</v>
      </c>
      <c r="EF33" s="87" t="n">
        <v>0</v>
      </c>
      <c r="EG33" s="87" t="n">
        <v>0</v>
      </c>
      <c r="EH33" s="87" t="n">
        <v>0</v>
      </c>
      <c r="EI33" s="87" t="n">
        <v>0</v>
      </c>
      <c r="EJ33" s="87" t="n"/>
      <c r="EK33" s="87" t="n"/>
      <c r="EL33" s="87" t="n"/>
      <c r="EM33" s="87" t="n"/>
      <c r="EN33" s="87" t="n"/>
      <c r="EO33" s="26" t="n"/>
      <c r="EP33" s="26" t="n"/>
      <c r="EQ33" s="26" t="n"/>
      <c r="ER33" s="26" t="n"/>
      <c r="ES33" s="26" t="n"/>
      <c r="ET33" s="26" t="n"/>
      <c r="EU33" s="26" t="n"/>
      <c r="EV33" s="26" t="n"/>
      <c r="EW33" s="26" t="n"/>
      <c r="EX33" s="26" t="n"/>
      <c r="EY33" s="26" t="n"/>
      <c r="EZ33" s="26" t="n"/>
      <c r="FA33" s="26" t="n"/>
      <c r="FB33" s="26" t="n"/>
      <c r="FC33" s="26" t="n"/>
      <c r="FD33" s="26" t="n"/>
      <c r="FE33" s="26" t="n"/>
      <c r="FF33" s="26" t="n"/>
      <c r="FG33" s="26" t="n"/>
      <c r="FH33" s="26" t="n"/>
      <c r="FI33" s="26" t="n"/>
      <c r="FJ33" s="26" t="n"/>
      <c r="FK33" s="26" t="n"/>
      <c r="FL33" s="26" t="n"/>
      <c r="FM33" s="26" t="n"/>
      <c r="FN33" s="26" t="n"/>
      <c r="FO33" s="26" t="n"/>
      <c r="FP33" s="26" t="n"/>
      <c r="FQ33" s="26" t="n"/>
      <c r="FR33" s="26" t="n"/>
      <c r="FS33" s="26" t="n"/>
      <c r="FT33" s="26" t="n"/>
      <c r="FU33" s="26" t="n"/>
      <c r="FV33" s="26" t="n"/>
      <c r="FW33" s="26" t="n"/>
      <c r="FX33" s="26" t="n"/>
      <c r="FY33" s="26" t="n"/>
      <c r="FZ33" s="26" t="n"/>
      <c r="GA33" s="26" t="n"/>
      <c r="GB33" s="26" t="n"/>
      <c r="GC33" s="26" t="n"/>
      <c r="GD33" s="26" t="n"/>
      <c r="GE33" s="26" t="n"/>
      <c r="GF33" s="26" t="n"/>
      <c r="GG33" s="26" t="n"/>
      <c r="GH33" s="26" t="n"/>
      <c r="GI33" s="26" t="n"/>
      <c r="GJ33" s="26" t="n"/>
      <c r="GK33" s="26" t="n"/>
      <c r="GL33" s="26" t="n"/>
      <c r="GM33" s="26" t="n"/>
      <c r="GN33" s="26" t="n"/>
      <c r="GO33" s="26" t="n"/>
      <c r="GP33" s="26" t="n"/>
      <c r="GQ33" s="26" t="n"/>
      <c r="GR33" s="26" t="n"/>
      <c r="GS33" s="26" t="n"/>
      <c r="GT33" s="26" t="n"/>
      <c r="GU33" s="26" t="n">
        <v>0</v>
      </c>
      <c r="GV33" s="26" t="n">
        <v>0</v>
      </c>
      <c r="GW33" s="26" t="n">
        <v>0</v>
      </c>
      <c r="GX33" s="26" t="n">
        <v>0</v>
      </c>
      <c r="GY33" s="26" t="n">
        <v>0</v>
      </c>
      <c r="GZ33" s="26" t="n">
        <v>0</v>
      </c>
      <c r="HA33" s="26" t="n">
        <v>0</v>
      </c>
      <c r="HB33" s="26" t="n">
        <v>0</v>
      </c>
      <c r="HC33" s="26" t="n">
        <v>0</v>
      </c>
      <c r="HD33" s="26" t="n">
        <v>0</v>
      </c>
      <c r="HE33" s="26" t="n">
        <v>0</v>
      </c>
      <c r="HF33" s="26" t="n">
        <v>0</v>
      </c>
      <c r="HG33" s="26" t="n">
        <v>0</v>
      </c>
      <c r="HH33" s="26" t="n">
        <v>0</v>
      </c>
      <c r="HI33" s="26" t="n">
        <v>0</v>
      </c>
      <c r="HJ33" s="26" t="n">
        <v>0</v>
      </c>
      <c r="HK33" s="26" t="n">
        <v>0</v>
      </c>
      <c r="HL33" s="26" t="n">
        <v>0</v>
      </c>
      <c r="HM33" s="26" t="n">
        <v>0</v>
      </c>
      <c r="HN33" s="26" t="n">
        <v>0</v>
      </c>
      <c r="HO33" s="26" t="n">
        <v>0</v>
      </c>
      <c r="HP33" s="26" t="n">
        <v>0</v>
      </c>
      <c r="HQ33" s="26" t="n">
        <v>0</v>
      </c>
      <c r="HR33" s="26" t="n">
        <v>0</v>
      </c>
      <c r="HS33" s="26" t="n">
        <v>0</v>
      </c>
      <c r="HT33" s="26" t="n">
        <v>0</v>
      </c>
      <c r="HU33" s="26" t="n">
        <v>0</v>
      </c>
      <c r="JF33" s="87">
        <f>AP33</f>
        <v/>
      </c>
      <c r="JG33" s="87">
        <f>SUM(Z33:AK33)</f>
        <v/>
      </c>
      <c r="JH33" s="87">
        <f>SUM(AL33:AP33)</f>
        <v/>
      </c>
      <c r="JI33" s="87">
        <f>SUM(C33:AP33)</f>
        <v/>
      </c>
      <c r="JJ33" s="446" t="n"/>
      <c r="JM33" s="87" t="n">
        <v>-30502.5</v>
      </c>
      <c r="KG33" s="136">
        <f>B33</f>
        <v/>
      </c>
      <c r="KH33" s="345">
        <f>AR33</f>
        <v/>
      </c>
    </row>
    <row r="34" ht="15.75" customHeight="1">
      <c r="A34" s="7" t="inlineStr">
        <is>
          <t>Condominio Estoque</t>
        </is>
      </c>
      <c r="B34" s="136">
        <f>SUM(C34:AP34)</f>
        <v/>
      </c>
      <c r="C34" s="25" t="n"/>
      <c r="D34" s="53" t="n"/>
      <c r="E34" s="256" t="n"/>
      <c r="F34" s="256" t="n"/>
      <c r="G34" s="256" t="n"/>
      <c r="H34" s="256" t="n"/>
      <c r="I34" s="257" t="n"/>
      <c r="J34" s="176" t="n"/>
      <c r="K34" s="25" t="n"/>
      <c r="L34" s="34" t="n"/>
      <c r="M34" s="15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13" t="n"/>
      <c r="AR34" s="345">
        <f>SUM(AT34:HU34)</f>
        <v/>
      </c>
      <c r="AS34" s="13" t="n"/>
      <c r="AT34" s="87" t="n">
        <v>0</v>
      </c>
      <c r="AU34" s="87" t="n">
        <v>0</v>
      </c>
      <c r="AV34" s="87" t="n">
        <v>0</v>
      </c>
      <c r="AW34" s="87" t="n">
        <v>0</v>
      </c>
      <c r="AX34" s="87" t="n">
        <v>0</v>
      </c>
      <c r="AY34" s="87" t="n">
        <v>0</v>
      </c>
      <c r="AZ34" s="87" t="n">
        <v>0</v>
      </c>
      <c r="BA34" s="87" t="n">
        <v>0</v>
      </c>
      <c r="BB34" s="87" t="n">
        <v>0</v>
      </c>
      <c r="BC34" s="87" t="n">
        <v>0</v>
      </c>
      <c r="BD34" s="87" t="n">
        <v>0</v>
      </c>
      <c r="BE34" s="87" t="n">
        <v>0</v>
      </c>
      <c r="BF34" s="87" t="n">
        <v>0</v>
      </c>
      <c r="BG34" s="87" t="n">
        <v>0</v>
      </c>
      <c r="BH34" s="87" t="n">
        <v>-266000</v>
      </c>
      <c r="BI34" s="87" t="n">
        <v>-256000</v>
      </c>
      <c r="BJ34" s="87" t="n">
        <v>-246000</v>
      </c>
      <c r="BK34" s="87" t="n">
        <v>-236000</v>
      </c>
      <c r="BL34" s="87" t="n">
        <v>-226000</v>
      </c>
      <c r="BM34" s="87" t="n">
        <v>-216000</v>
      </c>
      <c r="BN34" s="87" t="n">
        <v>-206000</v>
      </c>
      <c r="BO34" s="87" t="n">
        <v>-196000</v>
      </c>
      <c r="BP34" s="87" t="n">
        <v>-186000</v>
      </c>
      <c r="BQ34" s="87" t="n">
        <v>-176000</v>
      </c>
      <c r="BR34" s="87" t="n">
        <v>-166000</v>
      </c>
      <c r="BS34" s="87" t="n">
        <v>-156000</v>
      </c>
      <c r="BT34" s="87" t="n">
        <v>-146000</v>
      </c>
      <c r="BU34" s="87" t="n">
        <v>-136000</v>
      </c>
      <c r="BV34" s="87" t="n">
        <v>-126000</v>
      </c>
      <c r="BW34" s="87" t="n">
        <v>-116000</v>
      </c>
      <c r="BX34" s="87" t="n">
        <v>-106000</v>
      </c>
      <c r="BY34" s="87" t="n">
        <v>-96000</v>
      </c>
      <c r="BZ34" s="87" t="n">
        <v>-86000</v>
      </c>
      <c r="CA34" s="87" t="n">
        <v>-76000</v>
      </c>
      <c r="CB34" s="87" t="n">
        <v>-66000</v>
      </c>
      <c r="CC34" s="87" t="n">
        <v>-56000</v>
      </c>
      <c r="CD34" s="87" t="n">
        <v>-46000</v>
      </c>
      <c r="CE34" s="87" t="n">
        <v>-36000</v>
      </c>
      <c r="CF34" s="87" t="n">
        <v>-26000</v>
      </c>
      <c r="CG34" s="87" t="n">
        <v>-16000</v>
      </c>
      <c r="CH34" s="87" t="n">
        <v>-6000</v>
      </c>
      <c r="CI34" s="87" t="n">
        <v>0</v>
      </c>
      <c r="CJ34" s="87" t="n">
        <v>0</v>
      </c>
      <c r="CK34" s="87" t="n">
        <v>0</v>
      </c>
      <c r="CL34" s="87" t="n">
        <v>0</v>
      </c>
      <c r="CM34" s="87" t="n">
        <v>0</v>
      </c>
      <c r="CN34" s="87" t="n">
        <v>0</v>
      </c>
      <c r="CO34" s="87" t="n">
        <v>0</v>
      </c>
      <c r="CP34" s="87" t="n">
        <v>0</v>
      </c>
      <c r="CQ34" s="87" t="n">
        <v>0</v>
      </c>
      <c r="CR34" s="87" t="n">
        <v>0</v>
      </c>
      <c r="CS34" s="87" t="n">
        <v>0</v>
      </c>
      <c r="CT34" s="87" t="n">
        <v>0</v>
      </c>
      <c r="CU34" s="87" t="n">
        <v>0</v>
      </c>
      <c r="CV34" s="87" t="n">
        <v>0</v>
      </c>
      <c r="CW34" s="87" t="n">
        <v>0</v>
      </c>
      <c r="CX34" s="87" t="n">
        <v>0</v>
      </c>
      <c r="CY34" s="87" t="n">
        <v>0</v>
      </c>
      <c r="CZ34" s="87" t="n">
        <v>0</v>
      </c>
      <c r="DA34" s="87" t="n">
        <v>0</v>
      </c>
      <c r="DB34" s="87" t="n">
        <v>0</v>
      </c>
      <c r="DC34" s="87" t="n">
        <v>0</v>
      </c>
      <c r="DD34" s="87" t="n">
        <v>0</v>
      </c>
      <c r="DE34" s="87" t="n">
        <v>0</v>
      </c>
      <c r="DF34" s="87" t="n">
        <v>0</v>
      </c>
      <c r="DG34" s="87" t="n">
        <v>0</v>
      </c>
      <c r="DH34" s="87" t="n">
        <v>0</v>
      </c>
      <c r="DI34" s="87" t="n">
        <v>0</v>
      </c>
      <c r="DJ34" s="87" t="n">
        <v>0</v>
      </c>
      <c r="DK34" s="87" t="n">
        <v>0</v>
      </c>
      <c r="DL34" s="87" t="n">
        <v>0</v>
      </c>
      <c r="DM34" s="87" t="n">
        <v>0</v>
      </c>
      <c r="DN34" s="87" t="n">
        <v>0</v>
      </c>
      <c r="DO34" s="87" t="n">
        <v>0</v>
      </c>
      <c r="DP34" s="87" t="n">
        <v>0</v>
      </c>
      <c r="DQ34" s="87" t="n">
        <v>0</v>
      </c>
      <c r="DR34" s="87" t="n">
        <v>0</v>
      </c>
      <c r="DS34" s="87" t="n">
        <v>0</v>
      </c>
      <c r="DT34" s="87" t="n">
        <v>0</v>
      </c>
      <c r="DU34" s="87" t="n">
        <v>0</v>
      </c>
      <c r="DV34" s="87" t="n">
        <v>0</v>
      </c>
      <c r="DW34" s="87" t="n">
        <v>0</v>
      </c>
      <c r="DX34" s="87" t="n">
        <v>0</v>
      </c>
      <c r="DY34" s="87" t="n">
        <v>0</v>
      </c>
      <c r="DZ34" s="87" t="n">
        <v>0</v>
      </c>
      <c r="EA34" s="87" t="n">
        <v>0</v>
      </c>
      <c r="EB34" s="87" t="n">
        <v>0</v>
      </c>
      <c r="EC34" s="87" t="n">
        <v>0</v>
      </c>
      <c r="ED34" s="87" t="n">
        <v>0</v>
      </c>
      <c r="EE34" s="87" t="n">
        <v>0</v>
      </c>
      <c r="EF34" s="87" t="n">
        <v>0</v>
      </c>
      <c r="EG34" s="87" t="n">
        <v>0</v>
      </c>
      <c r="EH34" s="87" t="n">
        <v>0</v>
      </c>
      <c r="EI34" s="87" t="n">
        <v>0</v>
      </c>
      <c r="EJ34" s="87" t="n"/>
      <c r="EK34" s="87" t="n"/>
      <c r="EL34" s="87" t="n"/>
      <c r="EM34" s="87" t="n"/>
      <c r="EN34" s="87" t="n"/>
      <c r="EO34" s="87" t="n"/>
      <c r="EP34" s="87" t="n"/>
      <c r="EQ34" s="87" t="n"/>
      <c r="ER34" s="87" t="n"/>
      <c r="ES34" s="87" t="n"/>
      <c r="ET34" s="87" t="n"/>
      <c r="EU34" s="87" t="n"/>
      <c r="EV34" s="87" t="n"/>
      <c r="EW34" s="87" t="n"/>
      <c r="EX34" s="87" t="n"/>
      <c r="EY34" s="87" t="n"/>
      <c r="EZ34" s="87" t="n"/>
      <c r="FA34" s="87" t="n"/>
      <c r="FB34" s="87" t="n"/>
      <c r="FC34" s="87" t="n"/>
      <c r="FD34" s="87" t="n"/>
      <c r="FE34" s="87" t="n"/>
      <c r="FF34" s="87" t="n"/>
      <c r="FG34" s="87" t="n"/>
      <c r="FH34" s="87" t="n"/>
      <c r="FI34" s="87" t="n"/>
      <c r="FJ34" s="87" t="n"/>
      <c r="FK34" s="87" t="n"/>
      <c r="FL34" s="87" t="n"/>
      <c r="FM34" s="87" t="n"/>
      <c r="FN34" s="87" t="n"/>
      <c r="FO34" s="87" t="n"/>
      <c r="FP34" s="87" t="n"/>
      <c r="FQ34" s="87" t="n"/>
      <c r="FR34" s="87" t="n"/>
      <c r="FS34" s="87" t="n"/>
      <c r="FT34" s="87" t="n"/>
      <c r="FU34" s="87" t="n"/>
      <c r="FV34" s="87" t="n"/>
      <c r="FW34" s="87" t="n"/>
      <c r="FX34" s="87" t="n"/>
      <c r="FY34" s="87" t="n"/>
      <c r="FZ34" s="87" t="n"/>
      <c r="GA34" s="87" t="n"/>
      <c r="GB34" s="87" t="n"/>
      <c r="GC34" s="87" t="n"/>
      <c r="GD34" s="87" t="n"/>
      <c r="GE34" s="87" t="n"/>
      <c r="GF34" s="87" t="n"/>
      <c r="GG34" s="87" t="n"/>
      <c r="GH34" s="87" t="n"/>
      <c r="GI34" s="87" t="n"/>
      <c r="GJ34" s="87" t="n"/>
      <c r="GK34" s="87" t="n"/>
      <c r="GL34" s="87" t="n"/>
      <c r="GM34" s="87" t="n"/>
      <c r="GN34" s="87" t="n"/>
      <c r="GO34" s="87" t="n"/>
      <c r="GP34" s="87" t="n"/>
      <c r="GQ34" s="87" t="n"/>
      <c r="GR34" s="87" t="n"/>
      <c r="GS34" s="87" t="n"/>
      <c r="GT34" s="87" t="n"/>
      <c r="GU34" s="87" t="n">
        <v>0</v>
      </c>
      <c r="GV34" s="87" t="n">
        <v>0</v>
      </c>
      <c r="GW34" s="87" t="n">
        <v>0</v>
      </c>
      <c r="GX34" s="87" t="n">
        <v>0</v>
      </c>
      <c r="GY34" s="87" t="n">
        <v>0</v>
      </c>
      <c r="GZ34" s="87" t="n">
        <v>0</v>
      </c>
      <c r="HA34" s="87" t="n">
        <v>0</v>
      </c>
      <c r="HB34" s="87" t="n">
        <v>0</v>
      </c>
      <c r="HC34" s="87" t="n">
        <v>0</v>
      </c>
      <c r="HD34" s="87" t="n">
        <v>0</v>
      </c>
      <c r="HE34" s="87" t="n">
        <v>0</v>
      </c>
      <c r="HF34" s="87" t="n">
        <v>0</v>
      </c>
      <c r="HG34" s="87" t="n">
        <v>0</v>
      </c>
      <c r="HH34" s="87" t="n">
        <v>0</v>
      </c>
      <c r="HI34" s="87" t="n">
        <v>0</v>
      </c>
      <c r="HJ34" s="87" t="n">
        <v>0</v>
      </c>
      <c r="HK34" s="87" t="n">
        <v>0</v>
      </c>
      <c r="HL34" s="87" t="n">
        <v>0</v>
      </c>
      <c r="HM34" s="87" t="n">
        <v>0</v>
      </c>
      <c r="HN34" s="87" t="n">
        <v>0</v>
      </c>
      <c r="HO34" s="87" t="n">
        <v>0</v>
      </c>
      <c r="HP34" s="87" t="n">
        <v>0</v>
      </c>
      <c r="HQ34" s="87" t="n">
        <v>0</v>
      </c>
      <c r="HR34" s="87" t="n">
        <v>0</v>
      </c>
      <c r="HS34" s="87" t="n">
        <v>0</v>
      </c>
      <c r="HT34" s="87" t="n">
        <v>0</v>
      </c>
      <c r="HU34" s="87" t="n">
        <v>0</v>
      </c>
      <c r="JF34" s="87">
        <f>AP34</f>
        <v/>
      </c>
      <c r="JG34" s="87">
        <f>SUM(Z34:AK34)</f>
        <v/>
      </c>
      <c r="JH34" s="87">
        <f>SUM(AL34:AP34)</f>
        <v/>
      </c>
      <c r="JI34" s="87">
        <f>SUM(C34:AP34)</f>
        <v/>
      </c>
      <c r="JJ34" s="446" t="n"/>
      <c r="JM34" s="87" t="n">
        <v>0</v>
      </c>
      <c r="KG34" s="136">
        <f>B34</f>
        <v/>
      </c>
      <c r="KH34" s="345">
        <f>AR34</f>
        <v/>
      </c>
    </row>
    <row r="35" ht="15.75" customHeight="1" thickBot="1">
      <c r="A35" s="89" t="inlineStr">
        <is>
          <t>Subtotal</t>
        </is>
      </c>
      <c r="B35" s="137">
        <f>SUM(C35:AP35)</f>
        <v/>
      </c>
      <c r="C35" s="260">
        <f>SUM(C32:C33)</f>
        <v/>
      </c>
      <c r="D35" s="260">
        <f>SUM(D32:D33)</f>
        <v/>
      </c>
      <c r="E35" s="261">
        <f>SUM(E32:E33)</f>
        <v/>
      </c>
      <c r="F35" s="261">
        <f>SUM(F32:F33)</f>
        <v/>
      </c>
      <c r="G35" s="261">
        <f>SUM(G32:G33)</f>
        <v/>
      </c>
      <c r="H35" s="261">
        <f>SUM(H32:H33)</f>
        <v/>
      </c>
      <c r="I35" s="260">
        <f>SUM(I32:I33)</f>
        <v/>
      </c>
      <c r="J35" s="262">
        <f>SUM(J32:J33)</f>
        <v/>
      </c>
      <c r="K35" s="260">
        <f>SUM(K32:K33)</f>
        <v/>
      </c>
      <c r="L35" s="263">
        <f>SUM(L32:L33)</f>
        <v/>
      </c>
      <c r="M35" s="264">
        <f>SUM(M32:M33)</f>
        <v/>
      </c>
      <c r="N35" s="264">
        <f>SUM(N32:N33)</f>
        <v/>
      </c>
      <c r="O35" s="264">
        <f>SUM(O32:O33)</f>
        <v/>
      </c>
      <c r="P35" s="264">
        <f>SUM(P32:P33)</f>
        <v/>
      </c>
      <c r="Q35" s="264">
        <f>SUM(Q32:Q33)</f>
        <v/>
      </c>
      <c r="R35" s="264">
        <f>SUM(R32:R33)</f>
        <v/>
      </c>
      <c r="S35" s="264" t="n"/>
      <c r="T35" s="264">
        <f>SUM(T32:T33)</f>
        <v/>
      </c>
      <c r="U35" s="264">
        <f>SUM(U32:U33)</f>
        <v/>
      </c>
      <c r="V35" s="264">
        <f>SUM(V32:V33)</f>
        <v/>
      </c>
      <c r="W35" s="264">
        <f>SUM(W32:W33)</f>
        <v/>
      </c>
      <c r="X35" s="264">
        <f>SUM(X32:X33)</f>
        <v/>
      </c>
      <c r="Y35" s="264">
        <f>SUM(Y32:Y33)</f>
        <v/>
      </c>
      <c r="Z35" s="264">
        <f>SUM(Z32:Z33)</f>
        <v/>
      </c>
      <c r="AA35" s="264">
        <f>SUM(AA32:AA33)</f>
        <v/>
      </c>
      <c r="AB35" s="264">
        <f>SUM(AB32:AB33)</f>
        <v/>
      </c>
      <c r="AC35" s="264">
        <f>SUM(AC32:AC33)</f>
        <v/>
      </c>
      <c r="AD35" s="264">
        <f>SUM(AD32:AD33)</f>
        <v/>
      </c>
      <c r="AE35" s="264">
        <f>SUM(AE32:AE33)</f>
        <v/>
      </c>
      <c r="AF35" s="264">
        <f>SUM(AF32:AF33)</f>
        <v/>
      </c>
      <c r="AG35" s="264">
        <f>SUM(AG32:AG33)</f>
        <v/>
      </c>
      <c r="AH35" s="264">
        <f>SUM(AH32:AH33)</f>
        <v/>
      </c>
      <c r="AI35" s="264">
        <f>SUM(AI32:AI33)</f>
        <v/>
      </c>
      <c r="AJ35" s="264">
        <f>SUM(AJ32:AJ33)</f>
        <v/>
      </c>
      <c r="AK35" s="264">
        <f>SUM(AK32:AK33)</f>
        <v/>
      </c>
      <c r="AL35" s="264">
        <f>SUM(AL32:AL33)</f>
        <v/>
      </c>
      <c r="AM35" s="264">
        <f>SUM(AM32:AM33)</f>
        <v/>
      </c>
      <c r="AN35" s="264">
        <f>SUM(AN32:AN33)</f>
        <v/>
      </c>
      <c r="AO35" s="264">
        <f>SUM(AO32:AO33)</f>
        <v/>
      </c>
      <c r="AP35" s="264">
        <f>SUM(AP32:AP33)</f>
        <v/>
      </c>
      <c r="AQ35" s="13" t="n"/>
      <c r="AR35" s="335">
        <f>SUM(AT35:HU35)</f>
        <v/>
      </c>
      <c r="AS35" s="13" t="n"/>
      <c r="AT35" s="271">
        <f>SUM(AT32:AT34)</f>
        <v/>
      </c>
      <c r="AU35" s="271">
        <f>SUM(AU32:AU34)</f>
        <v/>
      </c>
      <c r="AV35" s="271">
        <f>SUM(AV32:AV34)</f>
        <v/>
      </c>
      <c r="AW35" s="271">
        <f>SUM(AW32:AW34)</f>
        <v/>
      </c>
      <c r="AX35" s="271">
        <f>SUM(AX32:AX34)</f>
        <v/>
      </c>
      <c r="AY35" s="271">
        <f>SUM(AY32:AY34)</f>
        <v/>
      </c>
      <c r="AZ35" s="271">
        <f>SUM(AZ32:AZ34)</f>
        <v/>
      </c>
      <c r="BA35" s="271">
        <f>SUM(BA32:BA34)</f>
        <v/>
      </c>
      <c r="BB35" s="271">
        <f>SUM(BB32:BB34)</f>
        <v/>
      </c>
      <c r="BC35" s="271">
        <f>SUM(BC32:BC34)</f>
        <v/>
      </c>
      <c r="BD35" s="271">
        <f>SUM(BD32:BD34)</f>
        <v/>
      </c>
      <c r="BE35" s="271">
        <f>SUM(BE32:BE34)</f>
        <v/>
      </c>
      <c r="BF35" s="271">
        <f>SUM(BF32:BF34)</f>
        <v/>
      </c>
      <c r="BG35" s="271">
        <f>SUM(BG32:BG34)</f>
        <v/>
      </c>
      <c r="BH35" s="271">
        <f>SUM(BH32:BH34)</f>
        <v/>
      </c>
      <c r="BI35" s="271">
        <f>SUM(BI32:BI34)</f>
        <v/>
      </c>
      <c r="BJ35" s="271">
        <f>SUM(BJ32:BJ34)</f>
        <v/>
      </c>
      <c r="BK35" s="271">
        <f>SUM(BK32:BK34)</f>
        <v/>
      </c>
      <c r="BL35" s="271">
        <f>SUM(BL32:BL34)</f>
        <v/>
      </c>
      <c r="BM35" s="271">
        <f>SUM(BM32:BM34)</f>
        <v/>
      </c>
      <c r="BN35" s="271">
        <f>SUM(BN32:BN34)</f>
        <v/>
      </c>
      <c r="BO35" s="271">
        <f>SUM(BO32:BO34)</f>
        <v/>
      </c>
      <c r="BP35" s="271">
        <f>SUM(BP32:BP34)</f>
        <v/>
      </c>
      <c r="BQ35" s="271">
        <f>SUM(BQ32:BQ34)</f>
        <v/>
      </c>
      <c r="BR35" s="271">
        <f>SUM(BR32:BR34)</f>
        <v/>
      </c>
      <c r="BS35" s="271">
        <f>SUM(BS32:BS34)</f>
        <v/>
      </c>
      <c r="BT35" s="271">
        <f>SUM(BT32:BT34)</f>
        <v/>
      </c>
      <c r="BU35" s="271">
        <f>SUM(BU32:BU34)</f>
        <v/>
      </c>
      <c r="BV35" s="271">
        <f>SUM(BV32:BV34)</f>
        <v/>
      </c>
      <c r="BW35" s="271">
        <f>SUM(BW32:BW34)</f>
        <v/>
      </c>
      <c r="BX35" s="271">
        <f>SUM(BX32:BX34)</f>
        <v/>
      </c>
      <c r="BY35" s="271">
        <f>SUM(BY32:BY34)</f>
        <v/>
      </c>
      <c r="BZ35" s="271">
        <f>SUM(BZ32:BZ34)</f>
        <v/>
      </c>
      <c r="CA35" s="271">
        <f>SUM(CA32:CA34)</f>
        <v/>
      </c>
      <c r="CB35" s="271">
        <f>SUM(CB32:CB34)</f>
        <v/>
      </c>
      <c r="CC35" s="271">
        <f>SUM(CC32:CC34)</f>
        <v/>
      </c>
      <c r="CD35" s="271">
        <f>SUM(CD32:CD34)</f>
        <v/>
      </c>
      <c r="CE35" s="271">
        <f>SUM(CE32:CE34)</f>
        <v/>
      </c>
      <c r="CF35" s="271">
        <f>SUM(CF32:CF34)</f>
        <v/>
      </c>
      <c r="CG35" s="271">
        <f>SUM(CG32:CG34)</f>
        <v/>
      </c>
      <c r="CH35" s="271">
        <f>SUM(CH32:CH34)</f>
        <v/>
      </c>
      <c r="CI35" s="271">
        <f>SUM(CI32:CI34)</f>
        <v/>
      </c>
      <c r="CJ35" s="271">
        <f>SUM(CJ32:CJ34)</f>
        <v/>
      </c>
      <c r="CK35" s="271">
        <f>SUM(CK32:CK34)</f>
        <v/>
      </c>
      <c r="CL35" s="271">
        <f>SUM(CL32:CL34)</f>
        <v/>
      </c>
      <c r="CM35" s="271">
        <f>SUM(CM32:CM34)</f>
        <v/>
      </c>
      <c r="CN35" s="271">
        <f>SUM(CN32:CN34)</f>
        <v/>
      </c>
      <c r="CO35" s="271">
        <f>SUM(CO32:CO34)</f>
        <v/>
      </c>
      <c r="CP35" s="271">
        <f>SUM(CP32:CP34)</f>
        <v/>
      </c>
      <c r="CQ35" s="271">
        <f>SUM(CQ32:CQ34)</f>
        <v/>
      </c>
      <c r="CR35" s="271">
        <f>SUM(CR32:CR34)</f>
        <v/>
      </c>
      <c r="CS35" s="271">
        <f>SUM(CS32:CS34)</f>
        <v/>
      </c>
      <c r="CT35" s="271">
        <f>SUM(CT32:CT34)</f>
        <v/>
      </c>
      <c r="CU35" s="271">
        <f>SUM(CU32:CU34)</f>
        <v/>
      </c>
      <c r="CV35" s="271">
        <f>SUM(CV32:CV34)</f>
        <v/>
      </c>
      <c r="CW35" s="271">
        <f>SUM(CW32:CW34)</f>
        <v/>
      </c>
      <c r="CX35" s="271">
        <f>SUM(CX32:CX34)</f>
        <v/>
      </c>
      <c r="CY35" s="271">
        <f>SUM(CY32:CY34)</f>
        <v/>
      </c>
      <c r="CZ35" s="271">
        <f>SUM(CZ32:CZ34)</f>
        <v/>
      </c>
      <c r="DA35" s="271">
        <f>SUM(DA32:DA34)</f>
        <v/>
      </c>
      <c r="DB35" s="271">
        <f>SUM(DB32:DB34)</f>
        <v/>
      </c>
      <c r="DC35" s="271">
        <f>SUM(DC32:DC34)</f>
        <v/>
      </c>
      <c r="DD35" s="271">
        <f>SUM(DD32:DD34)</f>
        <v/>
      </c>
      <c r="DE35" s="271">
        <f>SUM(DE32:DE34)</f>
        <v/>
      </c>
      <c r="DF35" s="271">
        <f>SUM(DF32:DF34)</f>
        <v/>
      </c>
      <c r="DG35" s="271">
        <f>SUM(DG32:DG34)</f>
        <v/>
      </c>
      <c r="DH35" s="271">
        <f>SUM(DH32:DH34)</f>
        <v/>
      </c>
      <c r="DI35" s="271">
        <f>SUM(DI32:DI34)</f>
        <v/>
      </c>
      <c r="DJ35" s="271">
        <f>SUM(DJ32:DJ34)</f>
        <v/>
      </c>
      <c r="DK35" s="271">
        <f>SUM(DK32:DK34)</f>
        <v/>
      </c>
      <c r="DL35" s="271">
        <f>SUM(DL32:DL34)</f>
        <v/>
      </c>
      <c r="DM35" s="271">
        <f>SUM(DM32:DM34)</f>
        <v/>
      </c>
      <c r="DN35" s="271">
        <f>SUM(DN32:DN34)</f>
        <v/>
      </c>
      <c r="DO35" s="271">
        <f>SUM(DO32:DO34)</f>
        <v/>
      </c>
      <c r="DP35" s="271">
        <f>SUM(DP32:DP34)</f>
        <v/>
      </c>
      <c r="DQ35" s="271">
        <f>SUM(DQ32:DQ34)</f>
        <v/>
      </c>
      <c r="DR35" s="271">
        <f>SUM(DR32:DR34)</f>
        <v/>
      </c>
      <c r="DS35" s="271">
        <f>SUM(DS32:DS34)</f>
        <v/>
      </c>
      <c r="DT35" s="271">
        <f>SUM(DT32:DT34)</f>
        <v/>
      </c>
      <c r="DU35" s="271">
        <f>SUM(DU32:DU34)</f>
        <v/>
      </c>
      <c r="DV35" s="271">
        <f>SUM(DV32:DV34)</f>
        <v/>
      </c>
      <c r="DW35" s="271">
        <f>SUM(DW32:DW34)</f>
        <v/>
      </c>
      <c r="DX35" s="271">
        <f>SUM(DX32:DX34)</f>
        <v/>
      </c>
      <c r="DY35" s="271">
        <f>SUM(DY32:DY34)</f>
        <v/>
      </c>
      <c r="DZ35" s="271">
        <f>SUM(DZ32:DZ34)</f>
        <v/>
      </c>
      <c r="EA35" s="271">
        <f>SUM(EA32:EA34)</f>
        <v/>
      </c>
      <c r="EB35" s="271">
        <f>SUM(EB32:EB34)</f>
        <v/>
      </c>
      <c r="EC35" s="271">
        <f>SUM(EC32:EC34)</f>
        <v/>
      </c>
      <c r="ED35" s="271">
        <f>SUM(ED32:ED34)</f>
        <v/>
      </c>
      <c r="EE35" s="271">
        <f>SUM(EE32:EE34)</f>
        <v/>
      </c>
      <c r="EF35" s="271">
        <f>SUM(EF32:EF34)</f>
        <v/>
      </c>
      <c r="EG35" s="271">
        <f>SUM(EG32:EG34)</f>
        <v/>
      </c>
      <c r="EH35" s="271">
        <f>SUM(EH32:EH34)</f>
        <v/>
      </c>
      <c r="EI35" s="271">
        <f>SUM(EI32:EI34)</f>
        <v/>
      </c>
      <c r="EJ35" s="271">
        <f>SUM(EJ32:EJ34)</f>
        <v/>
      </c>
      <c r="EK35" s="271">
        <f>SUM(EK32:EK34)</f>
        <v/>
      </c>
      <c r="EL35" s="271">
        <f>SUM(EL32:EL34)</f>
        <v/>
      </c>
      <c r="EM35" s="271">
        <f>SUM(EM32:EM34)</f>
        <v/>
      </c>
      <c r="EN35" s="271">
        <f>SUM(EN32:EN34)</f>
        <v/>
      </c>
      <c r="EO35" s="271">
        <f>SUM(EO32:EO34)</f>
        <v/>
      </c>
      <c r="EP35" s="271">
        <f>SUM(EP32:EP34)</f>
        <v/>
      </c>
      <c r="EQ35" s="271">
        <f>SUM(EQ32:EQ34)</f>
        <v/>
      </c>
      <c r="ER35" s="271">
        <f>SUM(ER32:ER34)</f>
        <v/>
      </c>
      <c r="ES35" s="271">
        <f>SUM(ES32:ES34)</f>
        <v/>
      </c>
      <c r="ET35" s="271">
        <f>SUM(ET32:ET34)</f>
        <v/>
      </c>
      <c r="EU35" s="271">
        <f>SUM(EU32:EU34)</f>
        <v/>
      </c>
      <c r="EV35" s="271">
        <f>SUM(EV32:EV34)</f>
        <v/>
      </c>
      <c r="EW35" s="271">
        <f>SUM(EW32:EW34)</f>
        <v/>
      </c>
      <c r="EX35" s="271">
        <f>SUM(EX32:EX34)</f>
        <v/>
      </c>
      <c r="EY35" s="271">
        <f>SUM(EY32:EY34)</f>
        <v/>
      </c>
      <c r="EZ35" s="271">
        <f>SUM(EZ32:EZ34)</f>
        <v/>
      </c>
      <c r="FA35" s="271">
        <f>SUM(FA32:FA34)</f>
        <v/>
      </c>
      <c r="FB35" s="271">
        <f>SUM(FB32:FB34)</f>
        <v/>
      </c>
      <c r="FC35" s="271">
        <f>SUM(FC32:FC34)</f>
        <v/>
      </c>
      <c r="FD35" s="271">
        <f>SUM(FD32:FD34)</f>
        <v/>
      </c>
      <c r="FE35" s="271">
        <f>SUM(FE32:FE34)</f>
        <v/>
      </c>
      <c r="FF35" s="271">
        <f>SUM(FF32:FF34)</f>
        <v/>
      </c>
      <c r="FG35" s="271">
        <f>SUM(FG32:FG34)</f>
        <v/>
      </c>
      <c r="FH35" s="271">
        <f>SUM(FH32:FH34)</f>
        <v/>
      </c>
      <c r="FI35" s="271">
        <f>SUM(FI32:FI34)</f>
        <v/>
      </c>
      <c r="FJ35" s="271">
        <f>SUM(FJ32:FJ34)</f>
        <v/>
      </c>
      <c r="FK35" s="271">
        <f>SUM(FK32:FK34)</f>
        <v/>
      </c>
      <c r="FL35" s="271">
        <f>SUM(FL32:FL34)</f>
        <v/>
      </c>
      <c r="FM35" s="271">
        <f>SUM(FM32:FM34)</f>
        <v/>
      </c>
      <c r="FN35" s="271">
        <f>SUM(FN32:FN34)</f>
        <v/>
      </c>
      <c r="FO35" s="271">
        <f>SUM(FO32:FO34)</f>
        <v/>
      </c>
      <c r="FP35" s="271">
        <f>SUM(FP32:FP34)</f>
        <v/>
      </c>
      <c r="FQ35" s="271">
        <f>SUM(FQ32:FQ34)</f>
        <v/>
      </c>
      <c r="FR35" s="271">
        <f>SUM(FR32:FR34)</f>
        <v/>
      </c>
      <c r="FS35" s="271">
        <f>SUM(FS32:FS34)</f>
        <v/>
      </c>
      <c r="FT35" s="271">
        <f>SUM(FT32:FT34)</f>
        <v/>
      </c>
      <c r="FU35" s="271">
        <f>SUM(FU32:FU34)</f>
        <v/>
      </c>
      <c r="FV35" s="271">
        <f>SUM(FV32:FV34)</f>
        <v/>
      </c>
      <c r="FW35" s="271">
        <f>SUM(FW32:FW34)</f>
        <v/>
      </c>
      <c r="FX35" s="271">
        <f>SUM(FX32:FX34)</f>
        <v/>
      </c>
      <c r="FY35" s="271">
        <f>SUM(FY32:FY34)</f>
        <v/>
      </c>
      <c r="FZ35" s="271">
        <f>SUM(FZ32:FZ34)</f>
        <v/>
      </c>
      <c r="GA35" s="271">
        <f>SUM(GA32:GA34)</f>
        <v/>
      </c>
      <c r="GB35" s="271">
        <f>SUM(GB32:GB34)</f>
        <v/>
      </c>
      <c r="GC35" s="271">
        <f>SUM(GC32:GC34)</f>
        <v/>
      </c>
      <c r="GD35" s="271">
        <f>SUM(GD32:GD34)</f>
        <v/>
      </c>
      <c r="GE35" s="271">
        <f>SUM(GE32:GE34)</f>
        <v/>
      </c>
      <c r="GF35" s="271">
        <f>SUM(GF32:GF34)</f>
        <v/>
      </c>
      <c r="GG35" s="271">
        <f>SUM(GG32:GG34)</f>
        <v/>
      </c>
      <c r="GH35" s="271">
        <f>SUM(GH32:GH34)</f>
        <v/>
      </c>
      <c r="GI35" s="271">
        <f>SUM(GI32:GI34)</f>
        <v/>
      </c>
      <c r="GJ35" s="271">
        <f>SUM(GJ32:GJ34)</f>
        <v/>
      </c>
      <c r="GK35" s="271">
        <f>SUM(GK32:GK34)</f>
        <v/>
      </c>
      <c r="GL35" s="271">
        <f>SUM(GL32:GL34)</f>
        <v/>
      </c>
      <c r="GM35" s="271">
        <f>SUM(GM32:GM34)</f>
        <v/>
      </c>
      <c r="GN35" s="271">
        <f>SUM(GN32:GN34)</f>
        <v/>
      </c>
      <c r="GO35" s="271">
        <f>SUM(GO32:GO34)</f>
        <v/>
      </c>
      <c r="GP35" s="271">
        <f>SUM(GP32:GP34)</f>
        <v/>
      </c>
      <c r="GQ35" s="271">
        <f>SUM(GQ32:GQ34)</f>
        <v/>
      </c>
      <c r="GR35" s="271">
        <f>SUM(GR32:GR34)</f>
        <v/>
      </c>
      <c r="GS35" s="271">
        <f>SUM(GS32:GS34)</f>
        <v/>
      </c>
      <c r="GT35" s="271">
        <f>SUM(GT32:GT34)</f>
        <v/>
      </c>
      <c r="GU35" s="271">
        <f>SUM(GU32:GU34)</f>
        <v/>
      </c>
      <c r="GV35" s="271">
        <f>SUM(GV32:GV34)</f>
        <v/>
      </c>
      <c r="GW35" s="271">
        <f>SUM(GW32:GW34)</f>
        <v/>
      </c>
      <c r="GX35" s="271">
        <f>SUM(GX32:GX34)</f>
        <v/>
      </c>
      <c r="GY35" s="271">
        <f>SUM(GY32:GY34)</f>
        <v/>
      </c>
      <c r="GZ35" s="271">
        <f>SUM(GZ32:GZ34)</f>
        <v/>
      </c>
      <c r="HA35" s="271">
        <f>SUM(HA32:HA34)</f>
        <v/>
      </c>
      <c r="HB35" s="271">
        <f>SUM(HB32:HB34)</f>
        <v/>
      </c>
      <c r="HC35" s="271">
        <f>SUM(HC32:HC34)</f>
        <v/>
      </c>
      <c r="HD35" s="271">
        <f>SUM(HD32:HD34)</f>
        <v/>
      </c>
      <c r="HE35" s="271">
        <f>SUM(HE32:HE34)</f>
        <v/>
      </c>
      <c r="HF35" s="271">
        <f>SUM(HF32:HF34)</f>
        <v/>
      </c>
      <c r="HG35" s="271">
        <f>SUM(HG32:HG34)</f>
        <v/>
      </c>
      <c r="HH35" s="271">
        <f>SUM(HH32:HH34)</f>
        <v/>
      </c>
      <c r="HI35" s="271">
        <f>SUM(HI32:HI34)</f>
        <v/>
      </c>
      <c r="HJ35" s="271">
        <f>SUM(HJ32:HJ34)</f>
        <v/>
      </c>
      <c r="HK35" s="271">
        <f>SUM(HK32:HK34)</f>
        <v/>
      </c>
      <c r="HL35" s="271">
        <f>SUM(HL32:HL34)</f>
        <v/>
      </c>
      <c r="HM35" s="271">
        <f>SUM(HM32:HM34)</f>
        <v/>
      </c>
      <c r="HN35" s="271">
        <f>SUM(HN32:HN34)</f>
        <v/>
      </c>
      <c r="HO35" s="271">
        <f>SUM(HO32:HO34)</f>
        <v/>
      </c>
      <c r="HP35" s="271">
        <f>SUM(HP32:HP34)</f>
        <v/>
      </c>
      <c r="HQ35" s="271">
        <f>SUM(HQ32:HQ34)</f>
        <v/>
      </c>
      <c r="HR35" s="271">
        <f>SUM(HR32:HR34)</f>
        <v/>
      </c>
      <c r="HS35" s="271">
        <f>SUM(HS32:HS34)</f>
        <v/>
      </c>
      <c r="HT35" s="271">
        <f>SUM(HT32:HT34)</f>
        <v/>
      </c>
      <c r="HU35" s="271">
        <f>SUM(HU32:HU34)</f>
        <v/>
      </c>
      <c r="JF35" s="271">
        <f>AP35</f>
        <v/>
      </c>
      <c r="JG35" s="271">
        <f>SUM(Z35:AK35)</f>
        <v/>
      </c>
      <c r="JH35" s="271">
        <f>SUM(AL35:AP35)</f>
        <v/>
      </c>
      <c r="JI35" s="271">
        <f>SUM(C35:AP35)</f>
        <v/>
      </c>
      <c r="JJ35" s="446" t="n"/>
      <c r="JM35" s="271" t="n">
        <v>-162010.7655833335</v>
      </c>
      <c r="KG35" s="137">
        <f>B35</f>
        <v/>
      </c>
      <c r="KH35" s="335">
        <f>AR35</f>
        <v/>
      </c>
    </row>
    <row r="36" ht="6" customHeight="1">
      <c r="A36" s="90" t="n"/>
      <c r="B36" s="141" t="n"/>
      <c r="C36" s="91" t="n"/>
      <c r="D36" s="91" t="n"/>
      <c r="E36" s="91" t="n"/>
      <c r="F36" s="91" t="n"/>
      <c r="G36" s="91" t="n"/>
      <c r="H36" s="91" t="n"/>
      <c r="I36" s="91" t="n"/>
      <c r="J36" s="177" t="n"/>
      <c r="K36" s="91" t="n"/>
      <c r="L36" s="91" t="n"/>
      <c r="M36" s="178" t="n"/>
      <c r="N36" s="178" t="n"/>
      <c r="O36" s="178" t="n"/>
      <c r="P36" s="178" t="n"/>
      <c r="Q36" s="178" t="n"/>
      <c r="R36" s="178" t="n"/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3" t="n"/>
      <c r="AR36" s="333" t="n"/>
      <c r="AS36" s="13" t="n"/>
      <c r="AT36" s="91" t="n"/>
      <c r="AU36" s="91" t="n"/>
      <c r="AV36" s="91" t="n"/>
      <c r="AW36" s="91" t="n"/>
      <c r="AX36" s="91" t="n"/>
      <c r="AY36" s="91" t="n"/>
      <c r="AZ36" s="91" t="n"/>
      <c r="BA36" s="91" t="n"/>
      <c r="BB36" s="91" t="n"/>
      <c r="BC36" s="91" t="n"/>
      <c r="BD36" s="302" t="n"/>
      <c r="BE36" s="91" t="n"/>
      <c r="BF36" s="91" t="n"/>
      <c r="BG36" s="91" t="n"/>
      <c r="BH36" s="91" t="n"/>
      <c r="BI36" s="91" t="n"/>
      <c r="BJ36" s="91" t="n"/>
      <c r="BK36" s="91" t="n"/>
      <c r="BL36" s="91" t="n"/>
      <c r="BM36" s="91" t="n"/>
      <c r="BN36" s="91" t="n"/>
      <c r="BO36" s="91" t="n"/>
      <c r="BP36" s="302" t="n"/>
      <c r="BQ36" s="91" t="n"/>
      <c r="BR36" s="91" t="n"/>
      <c r="BS36" s="91" t="n"/>
      <c r="BT36" s="91" t="n"/>
      <c r="BU36" s="91" t="n"/>
      <c r="BV36" s="91" t="n"/>
      <c r="BW36" s="91" t="n"/>
      <c r="BX36" s="91" t="n"/>
      <c r="BY36" s="91" t="n"/>
      <c r="BZ36" s="91" t="n"/>
      <c r="CA36" s="91" t="n"/>
      <c r="CB36" s="302" t="n"/>
      <c r="CC36" s="91" t="n"/>
      <c r="CD36" s="91" t="n"/>
      <c r="CE36" s="91" t="n"/>
      <c r="CF36" s="91" t="n"/>
      <c r="CG36" s="91" t="n"/>
      <c r="CH36" s="91" t="n"/>
      <c r="CI36" s="91" t="n"/>
      <c r="CJ36" s="91" t="n"/>
      <c r="CK36" s="91" t="n"/>
      <c r="CL36" s="91" t="n"/>
      <c r="CM36" s="91" t="n"/>
      <c r="CN36" s="302" t="n"/>
      <c r="CO36" s="91" t="n"/>
      <c r="CP36" s="91" t="n"/>
      <c r="CQ36" s="91" t="n"/>
      <c r="CR36" s="91" t="n"/>
      <c r="CS36" s="91" t="n"/>
      <c r="CT36" s="91" t="n"/>
      <c r="CU36" s="91" t="n"/>
      <c r="CV36" s="91" t="n"/>
      <c r="CW36" s="91" t="n"/>
      <c r="CX36" s="91" t="n"/>
      <c r="CY36" s="91" t="n"/>
      <c r="CZ36" s="302" t="n"/>
      <c r="DA36" s="91" t="n"/>
      <c r="DB36" s="91" t="n"/>
      <c r="DC36" s="91" t="n"/>
      <c r="DD36" s="91" t="n"/>
      <c r="DE36" s="91" t="n"/>
      <c r="DF36" s="91" t="n"/>
      <c r="DG36" s="91" t="n"/>
      <c r="DH36" s="91" t="n"/>
      <c r="DI36" s="91" t="n"/>
      <c r="DJ36" s="91" t="n"/>
      <c r="DK36" s="91" t="n"/>
      <c r="DL36" s="91" t="n"/>
      <c r="DM36" s="91" t="n"/>
      <c r="DN36" s="91" t="n"/>
      <c r="DO36" s="91" t="n"/>
      <c r="DP36" s="91" t="n"/>
      <c r="DQ36" s="91" t="n"/>
      <c r="DR36" s="91" t="n"/>
      <c r="DS36" s="91" t="n"/>
      <c r="DT36" s="91" t="n"/>
      <c r="DU36" s="91" t="n"/>
      <c r="DV36" s="91" t="n"/>
      <c r="DW36" s="91" t="n"/>
      <c r="DX36" s="91" t="n"/>
      <c r="DY36" s="91" t="n"/>
      <c r="DZ36" s="91" t="n"/>
      <c r="EA36" s="91" t="n"/>
      <c r="EB36" s="91" t="n"/>
      <c r="EC36" s="91" t="n"/>
      <c r="ED36" s="91" t="n"/>
      <c r="EE36" s="91" t="n"/>
      <c r="EF36" s="91" t="n"/>
      <c r="EG36" s="91" t="n"/>
      <c r="EH36" s="91" t="n"/>
      <c r="EI36" s="91" t="n"/>
      <c r="EJ36" s="91" t="n"/>
      <c r="EK36" s="91" t="n"/>
      <c r="EL36" s="91" t="n"/>
      <c r="EM36" s="91" t="n"/>
      <c r="EN36" s="91" t="n"/>
      <c r="EO36" s="91" t="n"/>
      <c r="EP36" s="91" t="n"/>
      <c r="EQ36" s="91" t="n"/>
      <c r="ER36" s="91" t="n"/>
      <c r="ES36" s="91" t="n"/>
      <c r="ET36" s="91" t="n"/>
      <c r="EU36" s="91" t="n"/>
      <c r="EV36" s="91" t="n"/>
      <c r="EW36" s="91" t="n"/>
      <c r="EX36" s="91" t="n"/>
      <c r="EY36" s="91" t="n"/>
      <c r="EZ36" s="91" t="n"/>
      <c r="FA36" s="91" t="n"/>
      <c r="FB36" s="91" t="n"/>
      <c r="FC36" s="91" t="n"/>
      <c r="FD36" s="91" t="n"/>
      <c r="FE36" s="91" t="n"/>
      <c r="FF36" s="91" t="n"/>
      <c r="FG36" s="91" t="n"/>
      <c r="FH36" s="91" t="n"/>
      <c r="FI36" s="91" t="n"/>
      <c r="FJ36" s="91" t="n"/>
      <c r="FK36" s="91" t="n"/>
      <c r="FL36" s="91" t="n"/>
      <c r="FM36" s="91" t="n"/>
      <c r="FN36" s="91" t="n"/>
      <c r="FO36" s="91" t="n"/>
      <c r="FP36" s="91" t="n"/>
      <c r="FQ36" s="91" t="n"/>
      <c r="FR36" s="91" t="n"/>
      <c r="FS36" s="91" t="n"/>
      <c r="FT36" s="91" t="n"/>
      <c r="FU36" s="91" t="n"/>
      <c r="FV36" s="91" t="n"/>
      <c r="FW36" s="91" t="n"/>
      <c r="FX36" s="91" t="n"/>
      <c r="FY36" s="91" t="n"/>
      <c r="FZ36" s="91" t="n"/>
      <c r="GA36" s="91" t="n"/>
      <c r="GB36" s="91" t="n"/>
      <c r="GC36" s="91" t="n"/>
      <c r="GD36" s="91" t="n"/>
      <c r="GE36" s="91" t="n"/>
      <c r="GF36" s="91" t="n"/>
      <c r="GG36" s="91" t="n"/>
      <c r="GH36" s="91" t="n"/>
      <c r="GI36" s="91" t="n"/>
      <c r="GJ36" s="91" t="n"/>
      <c r="GK36" s="91" t="n"/>
      <c r="GL36" s="91" t="n"/>
      <c r="GM36" s="91" t="n"/>
      <c r="GN36" s="91" t="n"/>
      <c r="GO36" s="91" t="n"/>
      <c r="GP36" s="91" t="n"/>
      <c r="GQ36" s="91" t="n"/>
      <c r="GR36" s="91" t="n"/>
      <c r="GS36" s="91" t="n"/>
      <c r="GT36" s="91" t="n"/>
      <c r="GU36" s="91" t="n"/>
      <c r="GV36" s="91" t="n"/>
      <c r="GW36" s="91" t="n"/>
      <c r="GX36" s="91" t="n"/>
      <c r="GY36" s="91" t="n"/>
      <c r="GZ36" s="91" t="n"/>
      <c r="HA36" s="91" t="n"/>
      <c r="HB36" s="91" t="n"/>
      <c r="HC36" s="91" t="n"/>
      <c r="HD36" s="91" t="n"/>
      <c r="HE36" s="91" t="n"/>
      <c r="HF36" s="91" t="n"/>
      <c r="HG36" s="91" t="n"/>
      <c r="HH36" s="91" t="n"/>
      <c r="HI36" s="91" t="n"/>
      <c r="HJ36" s="91" t="n"/>
      <c r="HK36" s="91" t="n"/>
      <c r="HL36" s="91" t="n"/>
      <c r="HM36" s="91" t="n"/>
      <c r="HN36" s="91" t="n"/>
      <c r="HO36" s="91" t="n"/>
      <c r="HP36" s="91" t="n"/>
      <c r="HQ36" s="91" t="n"/>
      <c r="HR36" s="91" t="n"/>
      <c r="HS36" s="91" t="n"/>
      <c r="HT36" s="91" t="n"/>
      <c r="HU36" s="91" t="n"/>
      <c r="JF36" s="91">
        <f>AP36</f>
        <v/>
      </c>
      <c r="JG36" s="91">
        <f>SUM(Z36:AK36)</f>
        <v/>
      </c>
      <c r="JH36" s="91">
        <f>SUM(AL36:AP36)</f>
        <v/>
      </c>
      <c r="JI36" s="91">
        <f>SUM(C36:AP36)</f>
        <v/>
      </c>
      <c r="JJ36" s="446" t="n"/>
      <c r="JM36" s="91" t="n"/>
      <c r="KG36" s="141">
        <f>B36</f>
        <v/>
      </c>
      <c r="KH36" s="333">
        <f>AR36</f>
        <v/>
      </c>
    </row>
    <row r="37" ht="16.2" customHeight="1">
      <c r="A37" s="81" t="inlineStr">
        <is>
          <t>DESPESAS DE OBRA (-) | Projeto (-)</t>
        </is>
      </c>
      <c r="B37" s="142" t="n"/>
      <c r="C37" s="82" t="n"/>
      <c r="D37" s="84" t="n"/>
      <c r="E37" s="82" t="n"/>
      <c r="F37" s="82" t="n"/>
      <c r="G37" s="82" t="n"/>
      <c r="H37" s="82" t="n"/>
      <c r="I37" s="83" t="n"/>
      <c r="J37" s="179" t="n"/>
      <c r="K37" s="109" t="n"/>
      <c r="L37" s="108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220" t="n"/>
      <c r="AL37" s="220" t="n"/>
      <c r="AM37" s="220" t="n"/>
      <c r="AN37" s="220" t="n"/>
      <c r="AO37" s="220" t="n"/>
      <c r="AP37" s="220" t="n"/>
      <c r="AQ37" s="200" t="n"/>
      <c r="AR37" s="241" t="n"/>
      <c r="AS37" s="200" t="n"/>
      <c r="AT37" s="92" t="n"/>
      <c r="AU37" s="92" t="n"/>
      <c r="AV37" s="92" t="n"/>
      <c r="AW37" s="92" t="n"/>
      <c r="AX37" s="92" t="n"/>
      <c r="AY37" s="92" t="n"/>
      <c r="AZ37" s="92" t="n"/>
      <c r="BA37" s="92" t="n"/>
      <c r="BB37" s="92" t="n"/>
      <c r="BC37" s="92" t="n"/>
      <c r="BD37" s="303" t="n"/>
      <c r="BE37" s="272" t="n"/>
      <c r="BF37" s="92" t="n"/>
      <c r="BG37" s="92" t="n"/>
      <c r="BH37" s="92" t="n"/>
      <c r="BI37" s="92" t="n"/>
      <c r="BJ37" s="92" t="n"/>
      <c r="BK37" s="92" t="n"/>
      <c r="BL37" s="92" t="n"/>
      <c r="BM37" s="92" t="n"/>
      <c r="BN37" s="92" t="n"/>
      <c r="BO37" s="92" t="n"/>
      <c r="BP37" s="303" t="n"/>
      <c r="BQ37" s="272" t="n"/>
      <c r="BR37" s="92" t="n"/>
      <c r="BS37" s="92" t="n"/>
      <c r="BT37" s="92" t="n"/>
      <c r="BU37" s="92" t="n"/>
      <c r="BV37" s="92" t="n"/>
      <c r="BW37" s="92" t="n"/>
      <c r="BX37" s="92" t="n"/>
      <c r="BY37" s="92" t="n"/>
      <c r="BZ37" s="92" t="n"/>
      <c r="CA37" s="92" t="n"/>
      <c r="CB37" s="303" t="n"/>
      <c r="CC37" s="272" t="n"/>
      <c r="CD37" s="92" t="n"/>
      <c r="CE37" s="92" t="n"/>
      <c r="CF37" s="92" t="n"/>
      <c r="CG37" s="92" t="n"/>
      <c r="CH37" s="92" t="n"/>
      <c r="CI37" s="92" t="n"/>
      <c r="CJ37" s="92" t="n"/>
      <c r="CK37" s="92" t="n"/>
      <c r="CL37" s="92" t="n"/>
      <c r="CM37" s="92" t="n"/>
      <c r="CN37" s="303" t="n"/>
      <c r="CO37" s="272" t="n"/>
      <c r="CP37" s="92" t="n"/>
      <c r="CQ37" s="92" t="n"/>
      <c r="CR37" s="92" t="n"/>
      <c r="CS37" s="92" t="n"/>
      <c r="CT37" s="92" t="n"/>
      <c r="CU37" s="92" t="n"/>
      <c r="CV37" s="92" t="n"/>
      <c r="CW37" s="92" t="n"/>
      <c r="CX37" s="92" t="n"/>
      <c r="CY37" s="92" t="n"/>
      <c r="CZ37" s="303" t="n"/>
      <c r="DA37" s="272" t="n"/>
      <c r="DB37" s="92" t="n"/>
      <c r="DC37" s="92" t="n"/>
      <c r="DD37" s="92" t="n"/>
      <c r="DE37" s="92" t="n"/>
      <c r="DF37" s="92" t="n"/>
      <c r="DG37" s="92" t="n"/>
      <c r="DH37" s="92" t="n"/>
      <c r="DI37" s="92" t="n"/>
      <c r="DJ37" s="109" t="n"/>
      <c r="DK37" s="92" t="n"/>
      <c r="DL37" s="109" t="n"/>
      <c r="DM37" s="92" t="n"/>
      <c r="DN37" s="109" t="n"/>
      <c r="DO37" s="109" t="n"/>
      <c r="DP37" s="109" t="n"/>
      <c r="DQ37" s="109" t="n"/>
      <c r="DR37" s="109" t="n"/>
      <c r="DS37" s="109" t="n"/>
      <c r="DT37" s="109" t="n"/>
      <c r="DU37" s="109" t="n"/>
      <c r="DV37" s="109" t="n"/>
      <c r="DW37" s="109" t="n"/>
      <c r="DX37" s="109" t="n"/>
      <c r="DY37" s="109" t="n"/>
      <c r="DZ37" s="109" t="n"/>
      <c r="EA37" s="109" t="n"/>
      <c r="EB37" s="109" t="n"/>
      <c r="EC37" s="109" t="n"/>
      <c r="ED37" s="109" t="n"/>
      <c r="EE37" s="109" t="n"/>
      <c r="EF37" s="109" t="n"/>
      <c r="EG37" s="109" t="n"/>
      <c r="EH37" s="109" t="n"/>
      <c r="EI37" s="109" t="n"/>
      <c r="EJ37" s="109" t="n"/>
      <c r="EK37" s="109" t="n"/>
      <c r="EL37" s="109" t="n"/>
      <c r="EM37" s="109" t="n"/>
      <c r="EN37" s="109" t="n"/>
      <c r="EO37" s="109" t="n"/>
      <c r="EP37" s="109" t="n"/>
      <c r="EQ37" s="109" t="n"/>
      <c r="ER37" s="109" t="n"/>
      <c r="ES37" s="109" t="n"/>
      <c r="ET37" s="109" t="n"/>
      <c r="EU37" s="109" t="n"/>
      <c r="EV37" s="109" t="n"/>
      <c r="EW37" s="109" t="n"/>
      <c r="EX37" s="109" t="n"/>
      <c r="EY37" s="109" t="n"/>
      <c r="EZ37" s="109" t="n"/>
      <c r="FA37" s="109" t="n"/>
      <c r="FB37" s="109" t="n"/>
      <c r="FC37" s="109" t="n"/>
      <c r="FD37" s="109" t="n"/>
      <c r="FE37" s="109" t="n"/>
      <c r="FF37" s="109" t="n"/>
      <c r="FG37" s="109" t="n"/>
      <c r="FH37" s="109" t="n"/>
      <c r="FI37" s="109" t="n"/>
      <c r="FJ37" s="109" t="n"/>
      <c r="FK37" s="109" t="n"/>
      <c r="FL37" s="109" t="n"/>
      <c r="FM37" s="109" t="n"/>
      <c r="FN37" s="109" t="n"/>
      <c r="FO37" s="109" t="n"/>
      <c r="FP37" s="109" t="n"/>
      <c r="FQ37" s="109" t="n"/>
      <c r="FR37" s="109" t="n"/>
      <c r="FS37" s="109" t="n"/>
      <c r="FT37" s="109" t="n"/>
      <c r="FU37" s="109" t="n"/>
      <c r="FV37" s="109" t="n"/>
      <c r="FW37" s="109" t="n"/>
      <c r="FX37" s="109" t="n"/>
      <c r="FY37" s="109" t="n"/>
      <c r="FZ37" s="109" t="n"/>
      <c r="GA37" s="109" t="n"/>
      <c r="GB37" s="109" t="n"/>
      <c r="GC37" s="109" t="n"/>
      <c r="GD37" s="109" t="n"/>
      <c r="GE37" s="109" t="n"/>
      <c r="GF37" s="109" t="n"/>
      <c r="GG37" s="109" t="n"/>
      <c r="GH37" s="109" t="n"/>
      <c r="GI37" s="109" t="n"/>
      <c r="GJ37" s="109" t="n"/>
      <c r="GK37" s="109" t="n"/>
      <c r="GL37" s="109" t="n"/>
      <c r="GM37" s="109" t="n"/>
      <c r="GN37" s="109" t="n"/>
      <c r="GO37" s="109" t="n"/>
      <c r="GP37" s="109" t="n"/>
      <c r="GQ37" s="109" t="n"/>
      <c r="GR37" s="109" t="n"/>
      <c r="GS37" s="109" t="n"/>
      <c r="GT37" s="109" t="n"/>
      <c r="GU37" s="109" t="n"/>
      <c r="GV37" s="109" t="n"/>
      <c r="GW37" s="109" t="n"/>
      <c r="GX37" s="109" t="n"/>
      <c r="GY37" s="109" t="n"/>
      <c r="GZ37" s="109" t="n"/>
      <c r="HA37" s="109" t="n"/>
      <c r="HB37" s="109" t="n"/>
      <c r="HC37" s="109" t="n"/>
      <c r="HD37" s="109" t="n"/>
      <c r="HE37" s="109" t="n"/>
      <c r="HF37" s="109" t="n"/>
      <c r="HG37" s="109" t="n"/>
      <c r="HH37" s="109" t="n"/>
      <c r="HI37" s="109" t="n"/>
      <c r="HJ37" s="109" t="n"/>
      <c r="HK37" s="109" t="n"/>
      <c r="HL37" s="109" t="n"/>
      <c r="HM37" s="109" t="n"/>
      <c r="HN37" s="109" t="n"/>
      <c r="HO37" s="109" t="n"/>
      <c r="HP37" s="109" t="n"/>
      <c r="HQ37" s="109" t="n"/>
      <c r="HR37" s="109" t="n"/>
      <c r="HS37" s="109" t="n"/>
      <c r="HT37" s="109" t="n"/>
      <c r="HU37" s="109" t="n"/>
      <c r="JF37" s="92">
        <f>AP37</f>
        <v/>
      </c>
      <c r="JG37" s="92">
        <f>SUM(Z37:AK37)</f>
        <v/>
      </c>
      <c r="JH37" s="92">
        <f>SUM(AL37:AP37)</f>
        <v/>
      </c>
      <c r="JI37" s="92">
        <f>SUM(C37:AP37)</f>
        <v/>
      </c>
      <c r="JJ37" s="446" t="n"/>
      <c r="JM37" s="109" t="n"/>
      <c r="KG37" s="142">
        <f>B37</f>
        <v/>
      </c>
      <c r="KH37" s="241">
        <f>AR37</f>
        <v/>
      </c>
    </row>
    <row r="38" ht="18" customHeight="1">
      <c r="A38" s="7" t="inlineStr">
        <is>
          <t>OBRA - (revisão ABRIL/26)</t>
        </is>
      </c>
      <c r="B38" s="136">
        <f>SUM(C38:AP38)</f>
        <v/>
      </c>
      <c r="C38" s="85" t="n"/>
      <c r="D38" s="87" t="n"/>
      <c r="E38" s="85" t="n"/>
      <c r="F38" s="85" t="n"/>
      <c r="G38" s="85" t="n"/>
      <c r="H38" s="85" t="n"/>
      <c r="I38" s="86" t="n"/>
      <c r="J38" s="526" t="n"/>
      <c r="K38" s="527" t="n"/>
      <c r="L38" s="528" t="n"/>
      <c r="M38" s="529" t="n"/>
      <c r="N38" s="529" t="n"/>
      <c r="O38" s="529" t="n"/>
      <c r="P38" s="529" t="n"/>
      <c r="Q38" s="529" t="n"/>
      <c r="R38" s="529" t="n"/>
      <c r="S38" s="529" t="n"/>
      <c r="T38" s="529" t="n"/>
      <c r="U38" s="529" t="n"/>
      <c r="V38" s="529" t="n"/>
      <c r="W38" s="529" t="n"/>
      <c r="X38" s="529" t="n"/>
      <c r="Y38" s="529" t="n"/>
      <c r="Z38" s="529" t="n"/>
      <c r="AA38" s="529" t="n"/>
      <c r="AB38" s="529" t="n"/>
      <c r="AC38" s="529">
        <f>-124003.31+107752.3</f>
        <v/>
      </c>
      <c r="AD38" s="529" t="n">
        <v>-15360</v>
      </c>
      <c r="AE38" s="529" t="n">
        <v>-494572.5</v>
      </c>
      <c r="AF38" s="529" t="n">
        <v>-570102.1799999999</v>
      </c>
      <c r="AG38" s="529" t="n">
        <v>-1543804.35</v>
      </c>
      <c r="AH38" s="529" t="n">
        <v>-1436152.9</v>
      </c>
      <c r="AI38" s="529" t="n">
        <v>-1462529.72</v>
      </c>
      <c r="AJ38" s="529">
        <f>-2392797.39-19000</f>
        <v/>
      </c>
      <c r="AK38" s="529">
        <f>-3640788.84+55000</f>
        <v/>
      </c>
      <c r="AL38" s="529">
        <f>-2865171.27+29261.06</f>
        <v/>
      </c>
      <c r="AM38" s="529" t="n">
        <v>-798176.1899999999</v>
      </c>
      <c r="AN38" s="529" t="n">
        <v>-1093169.71</v>
      </c>
      <c r="AO38" s="529" t="n">
        <v>-1980062.84</v>
      </c>
      <c r="AP38" s="529" t="n">
        <v>-3609373.31</v>
      </c>
      <c r="AQ38" s="13" t="n"/>
      <c r="AR38" s="345">
        <f>SUM(AT38:HU38)</f>
        <v/>
      </c>
      <c r="AS38" s="13" t="n"/>
      <c r="AT38" s="87" t="n">
        <v>-6186623.486159776</v>
      </c>
      <c r="AU38" s="87" t="n">
        <v>-6156623.486159776</v>
      </c>
      <c r="AV38" s="87">
        <f>-4814839.46-224972.62-137837.64</f>
        <v/>
      </c>
      <c r="AW38" s="87" t="n">
        <v>-5312619.46</v>
      </c>
      <c r="AX38" s="87" t="n">
        <v>-5169839.46</v>
      </c>
      <c r="AY38" s="87" t="n">
        <v>-4677099.7</v>
      </c>
      <c r="AZ38" s="87" t="n">
        <v>-4782099.7</v>
      </c>
      <c r="BA38" s="87" t="n">
        <v>-2312321.53</v>
      </c>
      <c r="BB38" s="87" t="n">
        <v>-2710771.53</v>
      </c>
      <c r="BC38" s="87" t="n">
        <v>-2241942.99</v>
      </c>
      <c r="BD38" s="87" t="n">
        <v>-2091426.76</v>
      </c>
      <c r="BE38" s="87" t="n">
        <v>-1213525</v>
      </c>
      <c r="BF38" s="87" t="n">
        <v>-2251060.67</v>
      </c>
      <c r="BG38" s="87" t="n">
        <v>-743916.67</v>
      </c>
      <c r="BH38" s="87" t="n">
        <v>-918916.67</v>
      </c>
      <c r="BI38" s="87" t="n">
        <v>-918916.67</v>
      </c>
      <c r="BJ38" s="87" t="n">
        <v>-918916.67</v>
      </c>
      <c r="BK38" s="87" t="n">
        <v>-918916.67</v>
      </c>
      <c r="BL38" s="87" t="n">
        <v>-1001416.67</v>
      </c>
      <c r="BM38" s="87" t="n">
        <v>-1216416.67</v>
      </c>
      <c r="BN38" s="87" t="n">
        <v>-1216416.67</v>
      </c>
      <c r="BO38" s="87" t="n">
        <v>-2983083.33</v>
      </c>
      <c r="BP38" s="87" t="n">
        <v>-2983083.33</v>
      </c>
      <c r="BQ38" s="87" t="n">
        <v>-2768083.33</v>
      </c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  <c r="FX38" s="87" t="n"/>
      <c r="FY38" s="87" t="n"/>
      <c r="FZ38" s="87" t="n"/>
      <c r="GA38" s="87" t="n"/>
      <c r="GB38" s="87" t="n"/>
      <c r="GC38" s="87" t="n"/>
      <c r="GD38" s="87" t="n"/>
      <c r="GE38" s="87" t="n"/>
      <c r="GF38" s="87" t="n"/>
      <c r="GG38" s="87" t="n"/>
      <c r="GH38" s="87" t="n"/>
      <c r="GI38" s="87" t="n"/>
      <c r="GJ38" s="87" t="n"/>
      <c r="GK38" s="87" t="n"/>
      <c r="GL38" s="87" t="n"/>
      <c r="GM38" s="87" t="n"/>
      <c r="GN38" s="87" t="n"/>
      <c r="GO38" s="87" t="n"/>
      <c r="GP38" s="87" t="n"/>
      <c r="GQ38" s="87" t="n"/>
      <c r="GR38" s="87" t="n"/>
      <c r="GS38" s="87" t="n"/>
      <c r="GT38" s="87" t="n"/>
      <c r="GU38" s="87" t="n"/>
      <c r="GV38" s="87" t="n"/>
      <c r="GW38" s="87" t="n"/>
      <c r="GX38" s="87" t="n"/>
      <c r="GY38" s="87" t="n"/>
      <c r="GZ38" s="87" t="n"/>
      <c r="HA38" s="87" t="n"/>
      <c r="HB38" s="87" t="n"/>
      <c r="HC38" s="87" t="n"/>
      <c r="HD38" s="87" t="n"/>
      <c r="HE38" s="87" t="n"/>
      <c r="HF38" s="87" t="n"/>
      <c r="HG38" s="87" t="n"/>
      <c r="HH38" s="87" t="n"/>
      <c r="HI38" s="87" t="n"/>
      <c r="HJ38" s="87" t="n"/>
      <c r="HK38" s="87" t="n"/>
      <c r="HL38" s="87" t="n"/>
      <c r="HM38" s="87" t="n"/>
      <c r="HN38" s="87" t="n"/>
      <c r="HO38" s="87" t="n"/>
      <c r="HP38" s="87" t="n"/>
      <c r="HQ38" s="87" t="n"/>
      <c r="HR38" s="87" t="n"/>
      <c r="HS38" s="87" t="n"/>
      <c r="HT38" s="87" t="n"/>
      <c r="HU38" s="87" t="n"/>
      <c r="JF38" s="87">
        <f>AP38</f>
        <v/>
      </c>
      <c r="JG38" s="87">
        <f>SUM(Z38:AK38)</f>
        <v/>
      </c>
      <c r="JH38" s="87">
        <f>SUM(AL38:AP38)</f>
        <v/>
      </c>
      <c r="JI38" s="87">
        <f>SUM(C38:AP38)</f>
        <v/>
      </c>
      <c r="JJ38" s="446" t="n"/>
      <c r="JM38" s="469" t="n">
        <v>-3747210.946159777</v>
      </c>
      <c r="KG38" s="136">
        <f>B38</f>
        <v/>
      </c>
      <c r="KH38" s="345">
        <f>AR38</f>
        <v/>
      </c>
    </row>
    <row r="39" ht="18" customHeight="1">
      <c r="A39" s="7" t="inlineStr">
        <is>
          <t>Verba de pós obra</t>
        </is>
      </c>
      <c r="B39" s="136">
        <f>SUM(C39:AP39)</f>
        <v/>
      </c>
      <c r="C39" s="85" t="n"/>
      <c r="D39" s="87" t="n"/>
      <c r="E39" s="85" t="n"/>
      <c r="F39" s="85" t="n"/>
      <c r="G39" s="85" t="n"/>
      <c r="H39" s="85" t="n"/>
      <c r="I39" s="86" t="n"/>
      <c r="J39" s="526" t="n"/>
      <c r="K39" s="527" t="n"/>
      <c r="L39" s="528" t="n"/>
      <c r="M39" s="529" t="n"/>
      <c r="N39" s="529" t="n"/>
      <c r="O39" s="529" t="n"/>
      <c r="P39" s="529" t="n"/>
      <c r="Q39" s="529" t="n"/>
      <c r="R39" s="529" t="n"/>
      <c r="S39" s="529" t="n"/>
      <c r="T39" s="529" t="n"/>
      <c r="U39" s="529" t="n"/>
      <c r="V39" s="529" t="n"/>
      <c r="W39" s="529" t="n"/>
      <c r="X39" s="529" t="n"/>
      <c r="Y39" s="529" t="n"/>
      <c r="Z39" s="529" t="n"/>
      <c r="AA39" s="529" t="n"/>
      <c r="AB39" s="529" t="n"/>
      <c r="AC39" s="529" t="n"/>
      <c r="AD39" s="529" t="n"/>
      <c r="AE39" s="529" t="n"/>
      <c r="AF39" s="529" t="n"/>
      <c r="AG39" s="529" t="n"/>
      <c r="AH39" s="529" t="n"/>
      <c r="AI39" s="529" t="n"/>
      <c r="AJ39" s="529" t="n"/>
      <c r="AK39" s="529" t="n"/>
      <c r="AL39" s="529" t="n"/>
      <c r="AM39" s="529" t="n"/>
      <c r="AN39" s="529" t="n"/>
      <c r="AO39" s="529" t="n"/>
      <c r="AP39" s="529" t="n"/>
      <c r="AQ39" s="13" t="n"/>
      <c r="AR39" s="345">
        <f>SUM(AT39:HU39)</f>
        <v/>
      </c>
      <c r="AS39" s="13" t="n"/>
      <c r="AT39" s="87" t="n">
        <v>0</v>
      </c>
      <c r="AU39" s="87" t="n">
        <v>0</v>
      </c>
      <c r="AV39" s="87" t="n">
        <v>0</v>
      </c>
      <c r="AW39" s="87" t="n">
        <v>0</v>
      </c>
      <c r="AX39" s="87" t="n">
        <v>0</v>
      </c>
      <c r="AY39" s="87" t="n">
        <v>0</v>
      </c>
      <c r="AZ39" s="87" t="n">
        <v>0</v>
      </c>
      <c r="BA39" s="87" t="n">
        <v>0</v>
      </c>
      <c r="BB39" s="87" t="n">
        <v>0</v>
      </c>
      <c r="BC39" s="87" t="n">
        <v>0</v>
      </c>
      <c r="BD39" s="87" t="n">
        <v>0</v>
      </c>
      <c r="BE39" s="87" t="n">
        <v>0</v>
      </c>
      <c r="BF39" s="87" t="n">
        <v>0</v>
      </c>
      <c r="BG39" s="87" t="n">
        <v>0</v>
      </c>
      <c r="BH39" s="87" t="n">
        <v>0</v>
      </c>
      <c r="BI39" s="87" t="n">
        <v>0</v>
      </c>
      <c r="BJ39" s="87" t="n">
        <v>0</v>
      </c>
      <c r="BK39" s="87" t="n">
        <v>0</v>
      </c>
      <c r="BL39" s="87" t="n">
        <v>0</v>
      </c>
      <c r="BM39" s="87" t="n">
        <v>0</v>
      </c>
      <c r="BN39" s="87" t="n">
        <v>0</v>
      </c>
      <c r="BO39" s="87" t="n">
        <v>0</v>
      </c>
      <c r="BP39" s="87" t="n">
        <v>-74113.02066768291</v>
      </c>
      <c r="BQ39" s="87" t="n">
        <v>-74113.02066768291</v>
      </c>
      <c r="BR39" s="87" t="n">
        <v>-74113.02066768291</v>
      </c>
      <c r="BS39" s="87" t="n">
        <v>-74113.02066768291</v>
      </c>
      <c r="BT39" s="87" t="n">
        <v>-74113.02066768291</v>
      </c>
      <c r="BU39" s="87" t="n">
        <v>-74113.02066768291</v>
      </c>
      <c r="BV39" s="87" t="n">
        <v>-74113.02066768291</v>
      </c>
      <c r="BW39" s="87" t="n">
        <v>-74113.02066768291</v>
      </c>
      <c r="BX39" s="87" t="n">
        <v>-74113.02066768291</v>
      </c>
      <c r="BY39" s="87" t="n">
        <v>-74113.02066768291</v>
      </c>
      <c r="BZ39" s="87" t="n">
        <v>-74113.02066768291</v>
      </c>
      <c r="CA39" s="87" t="n">
        <v>-74113.02066768291</v>
      </c>
      <c r="CB39" s="87" t="n">
        <v>-74113.02066768291</v>
      </c>
      <c r="CC39" s="87" t="n">
        <v>-74113.02066768291</v>
      </c>
      <c r="CD39" s="87" t="n">
        <v>-74113.02066768291</v>
      </c>
      <c r="CE39" s="87" t="n">
        <v>-74113.02066768291</v>
      </c>
      <c r="CF39" s="87" t="n">
        <v>-74113.02066768291</v>
      </c>
      <c r="CG39" s="87" t="n">
        <v>-74113.02066768291</v>
      </c>
      <c r="CH39" s="87" t="n">
        <v>-74113.02066768291</v>
      </c>
      <c r="CI39" s="87" t="n">
        <v>-74113.02066768291</v>
      </c>
      <c r="CJ39" s="87" t="n">
        <v>-74113.02066768291</v>
      </c>
      <c r="CK39" s="87" t="n">
        <v>-74113.02066768291</v>
      </c>
      <c r="CL39" s="87" t="n">
        <v>-74113.02066768291</v>
      </c>
      <c r="CM39" s="87" t="n">
        <v>-74113.02066768291</v>
      </c>
      <c r="CN39" s="87" t="n"/>
      <c r="CO39" s="87" t="n"/>
      <c r="CP39" s="87" t="n"/>
      <c r="CQ39" s="87" t="n"/>
      <c r="CR39" s="87" t="n"/>
      <c r="CS39" s="87" t="n"/>
      <c r="CT39" s="87" t="n"/>
      <c r="CU39" s="87" t="n"/>
      <c r="CV39" s="87" t="n"/>
      <c r="CW39" s="87" t="n"/>
      <c r="CX39" s="87" t="n"/>
      <c r="CY39" s="87" t="n"/>
      <c r="CZ39" s="87" t="n"/>
      <c r="DA39" s="87" t="n"/>
      <c r="DB39" s="87" t="n"/>
      <c r="DC39" s="87" t="n"/>
      <c r="DD39" s="87" t="n"/>
      <c r="DE39" s="87" t="n"/>
      <c r="DF39" s="87" t="n"/>
      <c r="DG39" s="87" t="n"/>
      <c r="DH39" s="87" t="n"/>
      <c r="DI39" s="87" t="n"/>
      <c r="DJ39" s="87" t="n"/>
      <c r="DK39" s="87" t="n"/>
      <c r="DL39" s="87" t="n"/>
      <c r="DM39" s="87" t="n"/>
      <c r="DN39" s="87" t="n"/>
      <c r="DO39" s="87" t="n"/>
      <c r="DP39" s="87" t="n"/>
      <c r="DQ39" s="87" t="n"/>
      <c r="DR39" s="87" t="n"/>
      <c r="DS39" s="87" t="n"/>
      <c r="DT39" s="87" t="n"/>
      <c r="DU39" s="87" t="n"/>
      <c r="DV39" s="87" t="n"/>
      <c r="DW39" s="87" t="n"/>
      <c r="DX39" s="87" t="n"/>
      <c r="DY39" s="87" t="n"/>
      <c r="DZ39" s="87" t="n"/>
      <c r="EA39" s="87" t="n"/>
      <c r="EB39" s="87" t="n"/>
      <c r="EC39" s="87" t="n"/>
      <c r="ED39" s="87" t="n"/>
      <c r="EE39" s="87" t="n"/>
      <c r="EF39" s="87" t="n"/>
      <c r="EG39" s="87" t="n"/>
      <c r="EH39" s="87" t="n"/>
      <c r="EI39" s="87" t="n"/>
      <c r="EJ39" s="87" t="n"/>
      <c r="EK39" s="87" t="n"/>
      <c r="EL39" s="87" t="n"/>
      <c r="EM39" s="87" t="n"/>
      <c r="EN39" s="87" t="n"/>
      <c r="EO39" s="87" t="n"/>
      <c r="EP39" s="87" t="n"/>
      <c r="EQ39" s="87" t="n"/>
      <c r="ER39" s="87" t="n"/>
      <c r="ES39" s="87" t="n"/>
      <c r="ET39" s="87" t="n"/>
      <c r="EU39" s="87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87" t="n"/>
      <c r="FM39" s="87" t="n"/>
      <c r="FN39" s="87" t="n"/>
      <c r="FO39" s="87" t="n"/>
      <c r="FP39" s="87" t="n"/>
      <c r="FQ39" s="87" t="n"/>
      <c r="FR39" s="87" t="n"/>
      <c r="FS39" s="87" t="n"/>
      <c r="FT39" s="87" t="n"/>
      <c r="FU39" s="87" t="n"/>
      <c r="FV39" s="87" t="n"/>
      <c r="FW39" s="87" t="n"/>
      <c r="FX39" s="87" t="n"/>
      <c r="FY39" s="87" t="n"/>
      <c r="FZ39" s="87" t="n"/>
      <c r="GA39" s="87" t="n"/>
      <c r="GB39" s="87" t="n"/>
      <c r="GC39" s="87" t="n"/>
      <c r="GD39" s="87" t="n"/>
      <c r="GE39" s="87" t="n"/>
      <c r="GF39" s="87" t="n"/>
      <c r="GG39" s="87" t="n"/>
      <c r="GH39" s="87" t="n"/>
      <c r="GI39" s="87" t="n"/>
      <c r="GJ39" s="87" t="n"/>
      <c r="GK39" s="87" t="n"/>
      <c r="GL39" s="87" t="n"/>
      <c r="GM39" s="87" t="n"/>
      <c r="GN39" s="87" t="n"/>
      <c r="GO39" s="87" t="n"/>
      <c r="GP39" s="87" t="n"/>
      <c r="GQ39" s="87" t="n"/>
      <c r="GR39" s="87" t="n"/>
      <c r="GS39" s="87" t="n"/>
      <c r="GT39" s="87" t="n"/>
      <c r="GU39" s="87" t="n"/>
      <c r="GV39" s="87" t="n"/>
      <c r="GW39" s="87" t="n"/>
      <c r="GX39" s="87" t="n"/>
      <c r="GY39" s="87" t="n"/>
      <c r="GZ39" s="87" t="n"/>
      <c r="HA39" s="87" t="n"/>
      <c r="HB39" s="87" t="n"/>
      <c r="HC39" s="87" t="n"/>
      <c r="HD39" s="87" t="n"/>
      <c r="HE39" s="87" t="n"/>
      <c r="HF39" s="87" t="n"/>
      <c r="HG39" s="87" t="n"/>
      <c r="HH39" s="87" t="n"/>
      <c r="HI39" s="87" t="n"/>
      <c r="HJ39" s="87" t="n"/>
      <c r="HK39" s="87" t="n"/>
      <c r="HL39" s="87" t="n"/>
      <c r="HM39" s="87" t="n"/>
      <c r="HN39" s="87" t="n"/>
      <c r="HO39" s="87" t="n"/>
      <c r="HP39" s="87" t="n"/>
      <c r="HQ39" s="87" t="n"/>
      <c r="HR39" s="87" t="n"/>
      <c r="HS39" s="87" t="n"/>
      <c r="HT39" s="87" t="n"/>
      <c r="HU39" s="87" t="n"/>
      <c r="JF39" s="87" t="n"/>
      <c r="JG39" s="87" t="n"/>
      <c r="JH39" s="87">
        <f>SUM(AL39:AP39)</f>
        <v/>
      </c>
      <c r="JI39" s="87" t="n"/>
      <c r="JJ39" s="446" t="n"/>
      <c r="JM39" s="87" t="n">
        <v>0</v>
      </c>
      <c r="KG39" s="136">
        <f>B39</f>
        <v/>
      </c>
      <c r="KH39" s="345">
        <f>AR39</f>
        <v/>
      </c>
    </row>
    <row r="40" ht="16.2" customHeight="1">
      <c r="A40" s="7" t="inlineStr">
        <is>
          <t>CONTRAPARTIDA SAAE</t>
        </is>
      </c>
      <c r="B40" s="136">
        <f>SUM(C40:AP40)</f>
        <v/>
      </c>
      <c r="C40" s="85" t="n"/>
      <c r="D40" s="87" t="n"/>
      <c r="E40" s="85" t="n"/>
      <c r="F40" s="85" t="n"/>
      <c r="G40" s="85" t="n"/>
      <c r="H40" s="85" t="n"/>
      <c r="I40" s="86" t="n"/>
      <c r="J40" s="526" t="n"/>
      <c r="K40" s="527" t="n"/>
      <c r="L40" s="528" t="n"/>
      <c r="M40" s="529" t="n"/>
      <c r="N40" s="529" t="n"/>
      <c r="O40" s="529" t="n"/>
      <c r="P40" s="529" t="n"/>
      <c r="Q40" s="529" t="n"/>
      <c r="R40" s="529" t="n"/>
      <c r="S40" s="529" t="n"/>
      <c r="T40" s="529" t="n"/>
      <c r="U40" s="529" t="n"/>
      <c r="V40" s="529" t="n"/>
      <c r="W40" s="529" t="n"/>
      <c r="X40" s="529" t="n"/>
      <c r="Y40" s="529" t="n"/>
      <c r="Z40" s="529" t="n"/>
      <c r="AA40" s="529" t="n"/>
      <c r="AB40" s="529" t="n"/>
      <c r="AC40" s="529" t="n"/>
      <c r="AD40" s="529" t="n"/>
      <c r="AE40" s="529" t="n"/>
      <c r="AF40" s="529" t="n"/>
      <c r="AG40" s="529" t="n"/>
      <c r="AH40" s="529" t="n"/>
      <c r="AI40" s="529" t="n"/>
      <c r="AJ40" s="529" t="n"/>
      <c r="AK40" s="529" t="n"/>
      <c r="AL40" s="529" t="n"/>
      <c r="AM40" s="529" t="n"/>
      <c r="AN40" s="529" t="n"/>
      <c r="AO40" s="529" t="n"/>
      <c r="AP40" s="529" t="n"/>
      <c r="AQ40" s="13" t="n"/>
      <c r="AR40" s="345">
        <f>SUM(AT40:HU40)</f>
        <v/>
      </c>
      <c r="AS40" s="13" t="n"/>
      <c r="AT40" s="87" t="n">
        <v>0</v>
      </c>
      <c r="AU40" s="87" t="n">
        <v>0</v>
      </c>
      <c r="AV40" s="87" t="n">
        <v>0</v>
      </c>
      <c r="AW40" s="87" t="n">
        <v>0</v>
      </c>
      <c r="AX40" s="87" t="n">
        <v>0</v>
      </c>
      <c r="AY40" s="87" t="n">
        <v>0</v>
      </c>
      <c r="AZ40" s="87" t="n">
        <v>0</v>
      </c>
      <c r="BA40" s="87" t="n">
        <v>0</v>
      </c>
      <c r="BB40" s="87" t="n">
        <v>0</v>
      </c>
      <c r="BC40" s="87" t="n">
        <v>0</v>
      </c>
      <c r="BD40" s="87" t="n">
        <v>0</v>
      </c>
      <c r="BE40" s="87">
        <f>-1279528.22*1.05</f>
        <v/>
      </c>
      <c r="BF40" s="87" t="n">
        <v>0</v>
      </c>
      <c r="BG40" s="87" t="n">
        <v>0</v>
      </c>
      <c r="BH40" s="87" t="n">
        <v>0</v>
      </c>
      <c r="BI40" s="87" t="n">
        <v>0</v>
      </c>
      <c r="BJ40" s="87" t="n">
        <v>0</v>
      </c>
      <c r="BK40" s="87" t="n">
        <v>0</v>
      </c>
      <c r="BL40" s="87" t="n">
        <v>0</v>
      </c>
      <c r="BM40" s="87" t="n">
        <v>0</v>
      </c>
      <c r="BN40" s="87" t="n">
        <v>0</v>
      </c>
      <c r="BO40" s="87" t="n">
        <v>0</v>
      </c>
      <c r="BP40" s="87" t="n">
        <v>0</v>
      </c>
      <c r="BQ40" s="87" t="n">
        <v>0</v>
      </c>
      <c r="BR40" s="87" t="n">
        <v>0</v>
      </c>
      <c r="BS40" s="87" t="n">
        <v>0</v>
      </c>
      <c r="BT40" s="87" t="n">
        <v>0</v>
      </c>
      <c r="BU40" s="87" t="n">
        <v>0</v>
      </c>
      <c r="BV40" s="87" t="n">
        <v>0</v>
      </c>
      <c r="BW40" s="87" t="n">
        <v>0</v>
      </c>
      <c r="BX40" s="87" t="n">
        <v>0</v>
      </c>
      <c r="BY40" s="87" t="n">
        <v>0</v>
      </c>
      <c r="BZ40" s="87" t="n">
        <v>0</v>
      </c>
      <c r="CA40" s="87" t="n">
        <v>0</v>
      </c>
      <c r="CB40" s="87" t="n">
        <v>0</v>
      </c>
      <c r="CC40" s="87" t="n">
        <v>0</v>
      </c>
      <c r="CD40" s="87" t="n">
        <v>0</v>
      </c>
      <c r="CE40" s="87" t="n">
        <v>0</v>
      </c>
      <c r="CF40" s="87" t="n">
        <v>0</v>
      </c>
      <c r="CG40" s="87" t="n">
        <v>0</v>
      </c>
      <c r="CH40" s="87" t="n">
        <v>0</v>
      </c>
      <c r="CI40" s="87" t="n">
        <v>0</v>
      </c>
      <c r="CJ40" s="87" t="n">
        <v>0</v>
      </c>
      <c r="CK40" s="87" t="n">
        <v>0</v>
      </c>
      <c r="CL40" s="87" t="n">
        <v>0</v>
      </c>
      <c r="CM40" s="87" t="n">
        <v>0</v>
      </c>
      <c r="CN40" s="87" t="n">
        <v>0</v>
      </c>
      <c r="CO40" s="87" t="n">
        <v>0</v>
      </c>
      <c r="CP40" s="87" t="n">
        <v>0</v>
      </c>
      <c r="CQ40" s="87" t="n">
        <v>0</v>
      </c>
      <c r="CR40" s="87" t="n">
        <v>0</v>
      </c>
      <c r="CS40" s="87" t="n">
        <v>0</v>
      </c>
      <c r="CT40" s="87" t="n">
        <v>0</v>
      </c>
      <c r="CU40" s="87" t="n">
        <v>0</v>
      </c>
      <c r="CV40" s="87" t="n">
        <v>0</v>
      </c>
      <c r="CW40" s="87" t="n">
        <v>0</v>
      </c>
      <c r="CX40" s="87" t="n">
        <v>0</v>
      </c>
      <c r="CY40" s="87" t="n">
        <v>0</v>
      </c>
      <c r="CZ40" s="87" t="n">
        <v>0</v>
      </c>
      <c r="DA40" s="87" t="n">
        <v>0</v>
      </c>
      <c r="DB40" s="87" t="n">
        <v>0</v>
      </c>
      <c r="DC40" s="87" t="n">
        <v>0</v>
      </c>
      <c r="DD40" s="87" t="n">
        <v>0</v>
      </c>
      <c r="DE40" s="87" t="n">
        <v>0</v>
      </c>
      <c r="DF40" s="87" t="n">
        <v>0</v>
      </c>
      <c r="DG40" s="87" t="n">
        <v>0</v>
      </c>
      <c r="DH40" s="87" t="n">
        <v>0</v>
      </c>
      <c r="DI40" s="87" t="n">
        <v>0</v>
      </c>
      <c r="DJ40" s="87" t="n">
        <v>0</v>
      </c>
      <c r="DK40" s="87" t="n">
        <v>0</v>
      </c>
      <c r="DL40" s="87" t="n">
        <v>0</v>
      </c>
      <c r="DM40" s="87" t="n">
        <v>0</v>
      </c>
      <c r="DN40" s="87" t="n">
        <v>0</v>
      </c>
      <c r="DO40" s="87" t="n">
        <v>0</v>
      </c>
      <c r="DP40" s="87" t="n">
        <v>0</v>
      </c>
      <c r="DQ40" s="87" t="n">
        <v>0</v>
      </c>
      <c r="DR40" s="87" t="n">
        <v>0</v>
      </c>
      <c r="DS40" s="87" t="n">
        <v>0</v>
      </c>
      <c r="DT40" s="87" t="n">
        <v>0</v>
      </c>
      <c r="DU40" s="87" t="n">
        <v>0</v>
      </c>
      <c r="DV40" s="87" t="n">
        <v>0</v>
      </c>
      <c r="DW40" s="87" t="n">
        <v>0</v>
      </c>
      <c r="DX40" s="87" t="n">
        <v>0</v>
      </c>
      <c r="DY40" s="87" t="n">
        <v>0</v>
      </c>
      <c r="DZ40" s="87" t="n">
        <v>0</v>
      </c>
      <c r="EA40" s="87" t="n">
        <v>0</v>
      </c>
      <c r="EB40" s="87" t="n">
        <v>0</v>
      </c>
      <c r="EC40" s="87" t="n">
        <v>0</v>
      </c>
      <c r="ED40" s="87" t="n">
        <v>0</v>
      </c>
      <c r="EE40" s="87" t="n">
        <v>0</v>
      </c>
      <c r="EF40" s="87" t="n">
        <v>0</v>
      </c>
      <c r="EG40" s="87" t="n">
        <v>0</v>
      </c>
      <c r="EH40" s="87" t="n">
        <v>0</v>
      </c>
      <c r="EI40" s="87" t="n">
        <v>0</v>
      </c>
      <c r="EJ40" s="87" t="n">
        <v>0</v>
      </c>
      <c r="EK40" s="87" t="n">
        <v>0</v>
      </c>
      <c r="EL40" s="87" t="n">
        <v>0</v>
      </c>
      <c r="EM40" s="87" t="n">
        <v>0</v>
      </c>
      <c r="EN40" s="87" t="n">
        <v>0</v>
      </c>
      <c r="EO40" s="87" t="n">
        <v>0</v>
      </c>
      <c r="EP40" s="87" t="n">
        <v>0</v>
      </c>
      <c r="EQ40" s="87" t="n">
        <v>0</v>
      </c>
      <c r="ER40" s="87" t="n">
        <v>0</v>
      </c>
      <c r="ES40" s="87" t="n">
        <v>0</v>
      </c>
      <c r="ET40" s="87" t="n">
        <v>0</v>
      </c>
      <c r="EU40" s="87" t="n">
        <v>0</v>
      </c>
      <c r="EV40" s="87" t="n">
        <v>0</v>
      </c>
      <c r="EW40" s="87" t="n">
        <v>0</v>
      </c>
      <c r="EX40" s="87" t="n">
        <v>0</v>
      </c>
      <c r="EY40" s="87" t="n">
        <v>0</v>
      </c>
      <c r="EZ40" s="87" t="n">
        <v>0</v>
      </c>
      <c r="FA40" s="87" t="n">
        <v>0</v>
      </c>
      <c r="FB40" s="87" t="n">
        <v>0</v>
      </c>
      <c r="FC40" s="87" t="n">
        <v>0</v>
      </c>
      <c r="FD40" s="87" t="n">
        <v>0</v>
      </c>
      <c r="FE40" s="87" t="n">
        <v>0</v>
      </c>
      <c r="FF40" s="87" t="n">
        <v>0</v>
      </c>
      <c r="FG40" s="87" t="n">
        <v>0</v>
      </c>
      <c r="FH40" s="87" t="n">
        <v>0</v>
      </c>
      <c r="FI40" s="87" t="n">
        <v>0</v>
      </c>
      <c r="FJ40" s="87" t="n">
        <v>0</v>
      </c>
      <c r="FK40" s="87" t="n">
        <v>0</v>
      </c>
      <c r="FL40" s="87" t="n">
        <v>0</v>
      </c>
      <c r="FM40" s="87" t="n">
        <v>0</v>
      </c>
      <c r="FN40" s="87" t="n">
        <v>0</v>
      </c>
      <c r="FO40" s="87" t="n">
        <v>0</v>
      </c>
      <c r="FP40" s="87" t="n">
        <v>0</v>
      </c>
      <c r="FQ40" s="87" t="n">
        <v>0</v>
      </c>
      <c r="FR40" s="87" t="n">
        <v>0</v>
      </c>
      <c r="FS40" s="87" t="n">
        <v>0</v>
      </c>
      <c r="FT40" s="87" t="n">
        <v>0</v>
      </c>
      <c r="FU40" s="87" t="n">
        <v>0</v>
      </c>
      <c r="FV40" s="87" t="n">
        <v>0</v>
      </c>
      <c r="FW40" s="87" t="n">
        <v>0</v>
      </c>
      <c r="FX40" s="87" t="n">
        <v>0</v>
      </c>
      <c r="FY40" s="87" t="n">
        <v>0</v>
      </c>
      <c r="FZ40" s="87" t="n">
        <v>0</v>
      </c>
      <c r="GA40" s="87" t="n">
        <v>0</v>
      </c>
      <c r="GB40" s="87" t="n">
        <v>0</v>
      </c>
      <c r="GC40" s="87" t="n">
        <v>0</v>
      </c>
      <c r="GD40" s="87" t="n">
        <v>0</v>
      </c>
      <c r="GE40" s="87" t="n">
        <v>0</v>
      </c>
      <c r="GF40" s="87" t="n">
        <v>0</v>
      </c>
      <c r="GG40" s="87" t="n">
        <v>0</v>
      </c>
      <c r="GH40" s="87" t="n">
        <v>0</v>
      </c>
      <c r="GI40" s="87" t="n">
        <v>0</v>
      </c>
      <c r="GJ40" s="87" t="n">
        <v>0</v>
      </c>
      <c r="GK40" s="87" t="n">
        <v>0</v>
      </c>
      <c r="GL40" s="87" t="n">
        <v>0</v>
      </c>
      <c r="GM40" s="87" t="n">
        <v>0</v>
      </c>
      <c r="GN40" s="87" t="n">
        <v>0</v>
      </c>
      <c r="GO40" s="87" t="n">
        <v>0</v>
      </c>
      <c r="GP40" s="87" t="n">
        <v>0</v>
      </c>
      <c r="GQ40" s="87" t="n">
        <v>0</v>
      </c>
      <c r="GR40" s="87" t="n">
        <v>0</v>
      </c>
      <c r="GS40" s="87" t="n">
        <v>0</v>
      </c>
      <c r="GT40" s="87" t="n">
        <v>0</v>
      </c>
      <c r="GU40" s="87" t="n">
        <v>0</v>
      </c>
      <c r="GV40" s="87" t="n">
        <v>0</v>
      </c>
      <c r="GW40" s="87" t="n">
        <v>0</v>
      </c>
      <c r="GX40" s="87" t="n">
        <v>0</v>
      </c>
      <c r="GY40" s="87" t="n">
        <v>0</v>
      </c>
      <c r="GZ40" s="87" t="n">
        <v>0</v>
      </c>
      <c r="HA40" s="87" t="n">
        <v>0</v>
      </c>
      <c r="HB40" s="87" t="n">
        <v>0</v>
      </c>
      <c r="HC40" s="87" t="n">
        <v>0</v>
      </c>
      <c r="HD40" s="87" t="n">
        <v>0</v>
      </c>
      <c r="HE40" s="87" t="n">
        <v>0</v>
      </c>
      <c r="HF40" s="87" t="n">
        <v>0</v>
      </c>
      <c r="HG40" s="87" t="n">
        <v>0</v>
      </c>
      <c r="HH40" s="87" t="n">
        <v>0</v>
      </c>
      <c r="HI40" s="87" t="n">
        <v>0</v>
      </c>
      <c r="HJ40" s="87" t="n">
        <v>0</v>
      </c>
      <c r="HK40" s="87" t="n">
        <v>0</v>
      </c>
      <c r="HL40" s="87" t="n">
        <v>0</v>
      </c>
      <c r="HM40" s="87" t="n">
        <v>0</v>
      </c>
      <c r="HN40" s="87" t="n">
        <v>0</v>
      </c>
      <c r="HO40" s="87" t="n">
        <v>0</v>
      </c>
      <c r="HP40" s="87" t="n">
        <v>0</v>
      </c>
      <c r="HQ40" s="87" t="n">
        <v>0</v>
      </c>
      <c r="HR40" s="87" t="n">
        <v>0</v>
      </c>
      <c r="HS40" s="87" t="n">
        <v>0</v>
      </c>
      <c r="HT40" s="87" t="n">
        <v>0</v>
      </c>
      <c r="HU40" s="87" t="n">
        <v>0</v>
      </c>
      <c r="JF40" s="87">
        <f>AP40</f>
        <v/>
      </c>
      <c r="JG40" s="87">
        <f>SUM(Z40:AK40)</f>
        <v/>
      </c>
      <c r="JH40" s="87">
        <f>SUM(AL40:AP40)</f>
        <v/>
      </c>
      <c r="JI40" s="87">
        <f>SUM(C40:AP40)</f>
        <v/>
      </c>
      <c r="JJ40" s="446" t="n"/>
      <c r="JM40" s="87" t="n">
        <v>0</v>
      </c>
      <c r="KG40" s="136">
        <f>B40</f>
        <v/>
      </c>
      <c r="KH40" s="345">
        <f>AR40</f>
        <v/>
      </c>
    </row>
    <row r="41" ht="6.75" customHeight="1">
      <c r="A41" s="1" t="n"/>
      <c r="B41" s="128" t="n"/>
      <c r="C41" s="512" t="n"/>
      <c r="D41" s="512" t="n"/>
      <c r="E41" s="512" t="n"/>
      <c r="F41" s="512" t="n"/>
      <c r="G41" s="512" t="n"/>
      <c r="H41" s="512" t="n"/>
      <c r="I41" s="512" t="n"/>
      <c r="J41" s="513" t="n"/>
      <c r="K41" s="512" t="n"/>
      <c r="L41" s="512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514" t="n"/>
      <c r="AA41" s="514" t="n"/>
      <c r="AB41" s="514" t="n"/>
      <c r="AC41" s="514" t="n"/>
      <c r="AD41" s="514" t="n"/>
      <c r="AE41" s="514" t="n"/>
      <c r="AF41" s="514" t="n"/>
      <c r="AG41" s="514" t="n"/>
      <c r="AH41" s="514" t="n"/>
      <c r="AI41" s="514" t="n"/>
      <c r="AJ41" s="514" t="n"/>
      <c r="AK41" s="514" t="n"/>
      <c r="AL41" s="514" t="n"/>
      <c r="AM41" s="514" t="n"/>
      <c r="AN41" s="514" t="n"/>
      <c r="AO41" s="514" t="n"/>
      <c r="AP41" s="514" t="n"/>
      <c r="AQ41" s="512" t="n"/>
      <c r="AR41" s="533" t="n"/>
      <c r="AS41" s="512" t="n"/>
      <c r="AT41" s="512" t="n"/>
      <c r="AU41" s="512" t="n"/>
      <c r="AV41" s="512" t="n"/>
      <c r="AW41" s="512" t="n"/>
      <c r="AX41" s="512" t="n"/>
      <c r="AY41" s="512" t="n"/>
      <c r="AZ41" s="512" t="n"/>
      <c r="BA41" s="512" t="n"/>
      <c r="BB41" s="512" t="n"/>
      <c r="BC41" s="512" t="n"/>
      <c r="BD41" s="515" t="n"/>
      <c r="BE41" s="512" t="n"/>
      <c r="BF41" s="512" t="n"/>
      <c r="BG41" s="512" t="n"/>
      <c r="BH41" s="512" t="n"/>
      <c r="BI41" s="512" t="n"/>
      <c r="BJ41" s="512" t="n"/>
      <c r="BK41" s="512" t="n"/>
      <c r="BL41" s="512" t="n"/>
      <c r="BM41" s="512" t="n"/>
      <c r="BN41" s="512" t="n"/>
      <c r="BO41" s="512" t="n"/>
      <c r="BP41" s="515" t="n"/>
      <c r="BQ41" s="512" t="n"/>
      <c r="BR41" s="512" t="n"/>
      <c r="BS41" s="512" t="n"/>
      <c r="BT41" s="512" t="n"/>
      <c r="BU41" s="512" t="n"/>
      <c r="BV41" s="512" t="n"/>
      <c r="BW41" s="512" t="n"/>
      <c r="BX41" s="512" t="n"/>
      <c r="BY41" s="512" t="n"/>
      <c r="BZ41" s="512" t="n"/>
      <c r="CA41" s="512" t="n"/>
      <c r="CB41" s="515" t="n"/>
      <c r="CC41" s="512" t="n"/>
      <c r="CD41" s="512" t="n"/>
      <c r="CE41" s="512" t="n"/>
      <c r="CF41" s="512" t="n"/>
      <c r="CG41" s="512" t="n"/>
      <c r="CH41" s="512" t="n"/>
      <c r="CI41" s="512" t="n"/>
      <c r="CJ41" s="512" t="n"/>
      <c r="CK41" s="512" t="n"/>
      <c r="CL41" s="512" t="n"/>
      <c r="CM41" s="512" t="n"/>
      <c r="CN41" s="515" t="n"/>
      <c r="CO41" s="512" t="n"/>
      <c r="CP41" s="512" t="n"/>
      <c r="CQ41" s="512" t="n"/>
      <c r="CR41" s="512" t="n"/>
      <c r="CS41" s="512" t="n"/>
      <c r="CT41" s="512" t="n"/>
      <c r="CU41" s="512" t="n"/>
      <c r="CV41" s="512" t="n"/>
      <c r="CW41" s="512" t="n"/>
      <c r="CX41" s="512" t="n"/>
      <c r="CY41" s="512" t="n"/>
      <c r="CZ41" s="515" t="n"/>
      <c r="DA41" s="512" t="n"/>
      <c r="DB41" s="512" t="n"/>
      <c r="DC41" s="512" t="n"/>
      <c r="DD41" s="512" t="n"/>
      <c r="DE41" s="512" t="n"/>
      <c r="DF41" s="512" t="n"/>
      <c r="DG41" s="512" t="n"/>
      <c r="DH41" s="512" t="n"/>
      <c r="DI41" s="512" t="n"/>
      <c r="DJ41" s="512" t="n"/>
      <c r="DK41" s="512" t="n"/>
      <c r="DL41" s="512" t="n"/>
      <c r="DM41" s="512" t="n"/>
      <c r="DN41" s="512" t="n"/>
      <c r="DO41" s="512" t="n"/>
      <c r="DP41" s="512" t="n"/>
      <c r="DQ41" s="512" t="n"/>
      <c r="DR41" s="512" t="n"/>
      <c r="DS41" s="512" t="n"/>
      <c r="DT41" s="512" t="n"/>
      <c r="DU41" s="512" t="n"/>
      <c r="DV41" s="512" t="n"/>
      <c r="DW41" s="512" t="n"/>
      <c r="DX41" s="512" t="n"/>
      <c r="DY41" s="512" t="n"/>
      <c r="DZ41" s="512" t="n"/>
      <c r="EA41" s="512" t="n"/>
      <c r="EB41" s="512" t="n"/>
      <c r="EC41" s="512" t="n"/>
      <c r="ED41" s="512" t="n"/>
      <c r="EE41" s="512" t="n"/>
      <c r="EF41" s="512" t="n"/>
      <c r="EG41" s="512" t="n"/>
      <c r="EH41" s="512" t="n"/>
      <c r="EI41" s="512" t="n"/>
      <c r="EJ41" s="512" t="n"/>
      <c r="EK41" s="512" t="n"/>
      <c r="EL41" s="512" t="n"/>
      <c r="EM41" s="512" t="n"/>
      <c r="EN41" s="512" t="n"/>
      <c r="EO41" s="512" t="n"/>
      <c r="EP41" s="512" t="n"/>
      <c r="EQ41" s="512" t="n"/>
      <c r="ER41" s="512" t="n"/>
      <c r="ES41" s="512" t="n"/>
      <c r="ET41" s="512" t="n"/>
      <c r="EU41" s="512" t="n"/>
      <c r="EV41" s="512" t="n"/>
      <c r="EW41" s="512" t="n"/>
      <c r="EX41" s="512" t="n"/>
      <c r="EY41" s="512" t="n"/>
      <c r="EZ41" s="512" t="n"/>
      <c r="FA41" s="512" t="n"/>
      <c r="FB41" s="512" t="n"/>
      <c r="FC41" s="512" t="n"/>
      <c r="FD41" s="512" t="n"/>
      <c r="FE41" s="512" t="n"/>
      <c r="FF41" s="512" t="n"/>
      <c r="FG41" s="512" t="n"/>
      <c r="FH41" s="512" t="n"/>
      <c r="FI41" s="512" t="n"/>
      <c r="FJ41" s="512" t="n"/>
      <c r="FK41" s="512" t="n"/>
      <c r="FL41" s="512" t="n"/>
      <c r="FM41" s="512" t="n"/>
      <c r="FN41" s="512" t="n"/>
      <c r="FO41" s="512" t="n"/>
      <c r="FP41" s="512" t="n"/>
      <c r="FQ41" s="512" t="n"/>
      <c r="FR41" s="512" t="n"/>
      <c r="FS41" s="512" t="n"/>
      <c r="FT41" s="512" t="n"/>
      <c r="FU41" s="512" t="n"/>
      <c r="FV41" s="512" t="n"/>
      <c r="FW41" s="512" t="n"/>
      <c r="FX41" s="512" t="n"/>
      <c r="FY41" s="512" t="n"/>
      <c r="FZ41" s="512" t="n"/>
      <c r="GA41" s="512" t="n"/>
      <c r="GB41" s="512" t="n"/>
      <c r="GC41" s="512" t="n"/>
      <c r="GD41" s="512" t="n"/>
      <c r="GE41" s="512" t="n"/>
      <c r="GF41" s="512" t="n"/>
      <c r="GG41" s="512" t="n"/>
      <c r="GH41" s="512" t="n"/>
      <c r="GI41" s="512" t="n"/>
      <c r="GJ41" s="512" t="n"/>
      <c r="GK41" s="512" t="n"/>
      <c r="GL41" s="512" t="n"/>
      <c r="GM41" s="512" t="n"/>
      <c r="GN41" s="512" t="n"/>
      <c r="GO41" s="512" t="n"/>
      <c r="GP41" s="512" t="n"/>
      <c r="GQ41" s="512" t="n"/>
      <c r="GR41" s="512" t="n"/>
      <c r="GS41" s="512" t="n"/>
      <c r="GT41" s="512" t="n"/>
      <c r="GU41" s="512" t="n"/>
      <c r="GV41" s="512" t="n"/>
      <c r="GW41" s="512" t="n"/>
      <c r="GX41" s="512" t="n"/>
      <c r="GY41" s="512" t="n"/>
      <c r="GZ41" s="512" t="n"/>
      <c r="HA41" s="512" t="n"/>
      <c r="HB41" s="512" t="n"/>
      <c r="HC41" s="512" t="n"/>
      <c r="HD41" s="512" t="n"/>
      <c r="HE41" s="512" t="n"/>
      <c r="HF41" s="512" t="n"/>
      <c r="HG41" s="512" t="n"/>
      <c r="HH41" s="512" t="n"/>
      <c r="HI41" s="512" t="n"/>
      <c r="HJ41" s="512" t="n"/>
      <c r="HK41" s="512" t="n"/>
      <c r="HL41" s="512" t="n"/>
      <c r="HM41" s="512" t="n"/>
      <c r="HN41" s="512" t="n"/>
      <c r="HO41" s="512" t="n"/>
      <c r="HP41" s="512" t="n"/>
      <c r="HQ41" s="512" t="n"/>
      <c r="HR41" s="512" t="n"/>
      <c r="HS41" s="512" t="n"/>
      <c r="HT41" s="512" t="n"/>
      <c r="HU41" s="512" t="n"/>
      <c r="JF41" s="512">
        <f>AP41</f>
        <v/>
      </c>
      <c r="JG41" s="512">
        <f>SUM(Z41:AK41)</f>
        <v/>
      </c>
      <c r="JH41" s="512">
        <f>SUM(AL41:AP41)</f>
        <v/>
      </c>
      <c r="JI41" s="512">
        <f>SUM(C41:AP41)</f>
        <v/>
      </c>
      <c r="JJ41" s="446" t="n"/>
      <c r="JM41" s="512" t="n"/>
      <c r="KG41" s="128">
        <f>B41</f>
        <v/>
      </c>
      <c r="KH41" s="533">
        <f>AR41</f>
        <v/>
      </c>
    </row>
    <row r="42" ht="16.2" customHeight="1">
      <c r="A42" s="19" t="inlineStr">
        <is>
          <t>INCORPORAÇÃO (-)</t>
        </is>
      </c>
      <c r="B42" s="139" t="n"/>
      <c r="C42" s="20" t="n"/>
      <c r="D42" s="22" t="n"/>
      <c r="E42" s="20" t="n"/>
      <c r="F42" s="20" t="n"/>
      <c r="G42" s="20" t="n"/>
      <c r="H42" s="20" t="n"/>
      <c r="I42" s="21" t="n"/>
      <c r="J42" s="175" t="n"/>
      <c r="K42" s="21" t="n"/>
      <c r="L42" s="108" t="n"/>
      <c r="M42" s="220" t="n"/>
      <c r="N42" s="220" t="n"/>
      <c r="O42" s="220" t="n"/>
      <c r="P42" s="220" t="n"/>
      <c r="Q42" s="220" t="n"/>
      <c r="R42" s="220" t="n"/>
      <c r="S42" s="220" t="n"/>
      <c r="T42" s="220" t="n"/>
      <c r="U42" s="220" t="n"/>
      <c r="V42" s="220" t="n"/>
      <c r="W42" s="220" t="n"/>
      <c r="X42" s="220" t="n"/>
      <c r="Y42" s="220" t="n"/>
      <c r="Z42" s="220" t="n"/>
      <c r="AA42" s="220" t="n"/>
      <c r="AB42" s="220" t="n"/>
      <c r="AC42" s="220" t="n"/>
      <c r="AD42" s="220" t="n"/>
      <c r="AE42" s="220" t="n"/>
      <c r="AF42" s="220" t="n"/>
      <c r="AG42" s="220" t="n"/>
      <c r="AH42" s="220" t="n"/>
      <c r="AI42" s="220" t="n"/>
      <c r="AJ42" s="220" t="n"/>
      <c r="AK42" s="220" t="n"/>
      <c r="AL42" s="220" t="n"/>
      <c r="AM42" s="220" t="n"/>
      <c r="AN42" s="220" t="n"/>
      <c r="AO42" s="220" t="n"/>
      <c r="AP42" s="220" t="n"/>
      <c r="AQ42" s="200" t="n"/>
      <c r="AR42" s="241" t="n"/>
      <c r="AS42" s="20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99" t="n"/>
      <c r="BE42" s="22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99" t="n"/>
      <c r="BQ42" s="22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99" t="n"/>
      <c r="CC42" s="22" t="n"/>
      <c r="CD42" s="20" t="n"/>
      <c r="CE42" s="20" t="n"/>
      <c r="CF42" s="20" t="n"/>
      <c r="CG42" s="20" t="n"/>
      <c r="CH42" s="20" t="n"/>
      <c r="CI42" s="20" t="n"/>
      <c r="CJ42" s="20" t="n"/>
      <c r="CK42" s="20" t="n"/>
      <c r="CL42" s="20" t="n"/>
      <c r="CM42" s="20" t="n"/>
      <c r="CN42" s="299" t="n"/>
      <c r="CO42" s="22" t="n"/>
      <c r="CP42" s="20" t="n"/>
      <c r="CQ42" s="20" t="n"/>
      <c r="CR42" s="20" t="n"/>
      <c r="CS42" s="20" t="n"/>
      <c r="CT42" s="20" t="n"/>
      <c r="CU42" s="20" t="n"/>
      <c r="CV42" s="20" t="n"/>
      <c r="CW42" s="20" t="n"/>
      <c r="CX42" s="20" t="n"/>
      <c r="CY42" s="20" t="n"/>
      <c r="CZ42" s="299" t="n"/>
      <c r="DA42" s="22" t="n"/>
      <c r="DB42" s="20" t="n"/>
      <c r="DC42" s="20" t="n"/>
      <c r="DD42" s="20" t="n"/>
      <c r="DE42" s="20" t="n"/>
      <c r="DF42" s="20" t="n"/>
      <c r="DG42" s="20" t="n"/>
      <c r="DH42" s="20" t="n"/>
      <c r="DI42" s="20" t="n"/>
      <c r="DJ42" s="21" t="n"/>
      <c r="DK42" s="20" t="n"/>
      <c r="DL42" s="21" t="n"/>
      <c r="DM42" s="20" t="n"/>
      <c r="DN42" s="21" t="n"/>
      <c r="DO42" s="21" t="n"/>
      <c r="DP42" s="21" t="n"/>
      <c r="DQ42" s="21" t="n"/>
      <c r="DR42" s="21" t="n"/>
      <c r="DS42" s="21" t="n"/>
      <c r="DT42" s="21" t="n"/>
      <c r="DU42" s="21" t="n"/>
      <c r="DV42" s="21" t="n"/>
      <c r="DW42" s="21" t="n"/>
      <c r="DX42" s="21" t="n"/>
      <c r="DY42" s="21" t="n"/>
      <c r="DZ42" s="21" t="n"/>
      <c r="EA42" s="21" t="n"/>
      <c r="EB42" s="21" t="n"/>
      <c r="EC42" s="21" t="n"/>
      <c r="ED42" s="21" t="n"/>
      <c r="EE42" s="21" t="n"/>
      <c r="EF42" s="21" t="n"/>
      <c r="EG42" s="21" t="n"/>
      <c r="EH42" s="21" t="n"/>
      <c r="EI42" s="21" t="n"/>
      <c r="EJ42" s="21" t="n"/>
      <c r="EK42" s="21" t="n"/>
      <c r="EL42" s="21" t="n"/>
      <c r="EM42" s="21" t="n"/>
      <c r="EN42" s="21" t="n"/>
      <c r="EO42" s="21" t="n"/>
      <c r="EP42" s="21" t="n"/>
      <c r="EQ42" s="21" t="n"/>
      <c r="ER42" s="21" t="n"/>
      <c r="ES42" s="21" t="n"/>
      <c r="ET42" s="21" t="n"/>
      <c r="EU42" s="21" t="n"/>
      <c r="EV42" s="21" t="n"/>
      <c r="EW42" s="21" t="n"/>
      <c r="EX42" s="21" t="n"/>
      <c r="EY42" s="21" t="n"/>
      <c r="EZ42" s="21" t="n"/>
      <c r="FA42" s="21" t="n"/>
      <c r="FB42" s="21" t="n"/>
      <c r="FC42" s="21" t="n"/>
      <c r="FD42" s="21" t="n"/>
      <c r="FE42" s="21" t="n"/>
      <c r="FF42" s="21" t="n"/>
      <c r="FG42" s="21" t="n"/>
      <c r="FH42" s="21" t="n"/>
      <c r="FI42" s="21" t="n"/>
      <c r="FJ42" s="21" t="n"/>
      <c r="FK42" s="21" t="n"/>
      <c r="FL42" s="21" t="n"/>
      <c r="FM42" s="21" t="n"/>
      <c r="FN42" s="21" t="n"/>
      <c r="FO42" s="21" t="n"/>
      <c r="FP42" s="21" t="n"/>
      <c r="FQ42" s="21" t="n"/>
      <c r="FR42" s="21" t="n"/>
      <c r="FS42" s="21" t="n"/>
      <c r="FT42" s="21" t="n"/>
      <c r="FU42" s="21" t="n"/>
      <c r="FV42" s="21" t="n"/>
      <c r="FW42" s="21" t="n"/>
      <c r="FX42" s="21" t="n"/>
      <c r="FY42" s="21" t="n"/>
      <c r="FZ42" s="21" t="n"/>
      <c r="GA42" s="21" t="n"/>
      <c r="GB42" s="21" t="n"/>
      <c r="GC42" s="21" t="n"/>
      <c r="GD42" s="21" t="n"/>
      <c r="GE42" s="21" t="n"/>
      <c r="GF42" s="21" t="n"/>
      <c r="GG42" s="21" t="n"/>
      <c r="GH42" s="21" t="n"/>
      <c r="GI42" s="21" t="n"/>
      <c r="GJ42" s="21" t="n"/>
      <c r="GK42" s="21" t="n"/>
      <c r="GL42" s="21" t="n"/>
      <c r="GM42" s="21" t="n"/>
      <c r="GN42" s="21" t="n"/>
      <c r="GO42" s="21" t="n"/>
      <c r="GP42" s="21" t="n"/>
      <c r="GQ42" s="21" t="n"/>
      <c r="GR42" s="21" t="n"/>
      <c r="GS42" s="21" t="n"/>
      <c r="GT42" s="21" t="n"/>
      <c r="GU42" s="21" t="n"/>
      <c r="GV42" s="21" t="n"/>
      <c r="GW42" s="21" t="n"/>
      <c r="GX42" s="21" t="n"/>
      <c r="GY42" s="21" t="n"/>
      <c r="GZ42" s="21" t="n"/>
      <c r="HA42" s="21" t="n"/>
      <c r="HB42" s="21" t="n"/>
      <c r="HC42" s="21" t="n"/>
      <c r="HD42" s="21" t="n"/>
      <c r="HE42" s="21" t="n"/>
      <c r="HF42" s="21" t="n"/>
      <c r="HG42" s="21" t="n"/>
      <c r="HH42" s="21" t="n"/>
      <c r="HI42" s="21" t="n"/>
      <c r="HJ42" s="21" t="n"/>
      <c r="HK42" s="21" t="n"/>
      <c r="HL42" s="21" t="n"/>
      <c r="HM42" s="21" t="n"/>
      <c r="HN42" s="21" t="n"/>
      <c r="HO42" s="21" t="n"/>
      <c r="HP42" s="21" t="n"/>
      <c r="HQ42" s="21" t="n"/>
      <c r="HR42" s="21" t="n"/>
      <c r="HS42" s="21" t="n"/>
      <c r="HT42" s="21" t="n"/>
      <c r="HU42" s="21" t="n"/>
      <c r="JF42" s="20">
        <f>AP42</f>
        <v/>
      </c>
      <c r="JG42" s="20">
        <f>SUM(Z42:AK42)</f>
        <v/>
      </c>
      <c r="JH42" s="20">
        <f>SUM(AL42:AP42)</f>
        <v/>
      </c>
      <c r="JI42" s="20">
        <f>SUM(C42:AP42)</f>
        <v/>
      </c>
      <c r="JJ42" s="446" t="n"/>
      <c r="JM42" s="21" t="n"/>
      <c r="KG42" s="139">
        <f>B42</f>
        <v/>
      </c>
      <c r="KH42" s="241">
        <f>AR42</f>
        <v/>
      </c>
    </row>
    <row r="43" ht="16.2" customHeight="1">
      <c r="A43" s="7" t="inlineStr">
        <is>
          <t>Incorporação</t>
        </is>
      </c>
      <c r="B43" s="136">
        <f>SUM(C43:AP43)</f>
        <v/>
      </c>
      <c r="C43" s="85" t="n">
        <v>-22569.84</v>
      </c>
      <c r="D43" s="87" t="n">
        <v>-66761.36</v>
      </c>
      <c r="E43" s="85" t="n">
        <v>-22685</v>
      </c>
      <c r="F43" s="85" t="n">
        <v>-22753.06</v>
      </c>
      <c r="G43" s="85" t="n">
        <v>-22784.91</v>
      </c>
      <c r="H43" s="85" t="n">
        <v>-25995.64</v>
      </c>
      <c r="I43" s="86" t="n">
        <v>-23082.07</v>
      </c>
      <c r="J43" s="170" t="n">
        <v>-23105.15</v>
      </c>
      <c r="K43" s="86" t="n">
        <v>-28144.43</v>
      </c>
      <c r="L43" s="34" t="n">
        <v>-28223.13</v>
      </c>
      <c r="M43" s="159" t="n">
        <v>-28269.57</v>
      </c>
      <c r="N43" s="219" t="n">
        <v>-28285.85</v>
      </c>
      <c r="O43" s="219" t="n">
        <v>-30358.04</v>
      </c>
      <c r="P43" s="219" t="n">
        <v>-28421.11</v>
      </c>
      <c r="Q43" s="219" t="n">
        <v>-51733.24000000001</v>
      </c>
      <c r="R43" s="219" t="n">
        <v>-57539.95</v>
      </c>
      <c r="S43" s="219" t="n">
        <v>-30362.5</v>
      </c>
      <c r="T43" s="219" t="n">
        <v>-56077.16</v>
      </c>
      <c r="U43" s="219" t="n">
        <v>-30362.5</v>
      </c>
      <c r="V43" s="219" t="n">
        <v>-98850</v>
      </c>
      <c r="W43" s="219" t="n">
        <v>-36362.5</v>
      </c>
      <c r="X43" s="219" t="n">
        <v>-645250.9399999999</v>
      </c>
      <c r="Y43" s="219" t="n">
        <v>-280557.39</v>
      </c>
      <c r="Z43" s="219" t="n">
        <v>-29760.76</v>
      </c>
      <c r="AA43" s="219">
        <f>(-184611.43)+-24760.76</f>
        <v/>
      </c>
      <c r="AB43" s="219" t="n">
        <v>-90439.16</v>
      </c>
      <c r="AC43" s="219">
        <f>-49101.24-49521.52</f>
        <v/>
      </c>
      <c r="AD43" s="219" t="n">
        <v>-49311.19</v>
      </c>
      <c r="AE43" s="219" t="n">
        <v>-34527.34</v>
      </c>
      <c r="AF43" s="219" t="n">
        <v>-72132.67999999999</v>
      </c>
      <c r="AG43" s="219" t="n">
        <v>-18449.64</v>
      </c>
      <c r="AH43" s="219">
        <f>-19109.04+9315.02</f>
        <v/>
      </c>
      <c r="AI43" s="219" t="n">
        <v>-16205.14</v>
      </c>
      <c r="AJ43" s="219">
        <f>-54116.08+19000</f>
        <v/>
      </c>
      <c r="AK43" s="219" t="n">
        <v>-8356.98</v>
      </c>
      <c r="AL43" s="219" t="n">
        <v>-7658.2</v>
      </c>
      <c r="AM43" s="219" t="n">
        <v>-10641.73</v>
      </c>
      <c r="AN43" s="219">
        <f>-40182.18+30654.55</f>
        <v/>
      </c>
      <c r="AO43" s="219" t="n">
        <v>-7417.4</v>
      </c>
      <c r="AP43" s="219" t="n">
        <v>-11728.44</v>
      </c>
      <c r="AQ43" s="13" t="n"/>
      <c r="AR43" s="345">
        <f>SUM(AT43:HU43)</f>
        <v/>
      </c>
      <c r="AS43" s="13" t="n"/>
      <c r="AT43" s="87" t="n">
        <v>-8000</v>
      </c>
      <c r="AU43" s="87" t="n">
        <v>-8000</v>
      </c>
      <c r="AV43" s="87" t="n">
        <v>-8000</v>
      </c>
      <c r="AW43" s="87" t="n">
        <v>-8000</v>
      </c>
      <c r="AX43" s="87" t="n">
        <v>-8000</v>
      </c>
      <c r="AY43" s="87" t="n">
        <v>-8000</v>
      </c>
      <c r="AZ43" s="87" t="n">
        <v>-8000</v>
      </c>
      <c r="BA43" s="87" t="n">
        <v>-8000</v>
      </c>
      <c r="BB43" s="87" t="n">
        <v>-8000</v>
      </c>
      <c r="BC43" s="87" t="n">
        <v>-8000</v>
      </c>
      <c r="BD43" s="87" t="n">
        <v>-8000</v>
      </c>
      <c r="BE43" s="87" t="n">
        <v>-8000</v>
      </c>
      <c r="BF43" s="87" t="n">
        <v>-8000</v>
      </c>
      <c r="BG43" s="87" t="n">
        <v>-8000</v>
      </c>
      <c r="BH43" s="87" t="n">
        <v>-8000</v>
      </c>
      <c r="BI43" s="87" t="n">
        <v>-8000</v>
      </c>
      <c r="BJ43" s="87" t="n">
        <v>-8000</v>
      </c>
      <c r="BK43" s="87" t="n">
        <v>-8000</v>
      </c>
      <c r="BL43" s="87" t="n">
        <v>-8000</v>
      </c>
      <c r="BM43" s="87" t="n">
        <v>-8000</v>
      </c>
      <c r="BN43" s="87" t="n">
        <v>-8000</v>
      </c>
      <c r="BO43" s="87" t="n">
        <v>-8000</v>
      </c>
      <c r="BP43" s="87" t="n">
        <v>-8000</v>
      </c>
      <c r="BQ43" s="87" t="n">
        <v>-8000</v>
      </c>
      <c r="BR43" s="87" t="n">
        <v>-8000</v>
      </c>
      <c r="BS43" s="87" t="n"/>
      <c r="BT43" s="87" t="n"/>
      <c r="BU43" s="87" t="n"/>
      <c r="BV43" s="87" t="n"/>
      <c r="BW43" s="87" t="n"/>
      <c r="BX43" s="87" t="n"/>
      <c r="BY43" s="87" t="n"/>
      <c r="BZ43" s="87" t="n"/>
      <c r="CA43" s="87" t="n"/>
      <c r="CB43" s="87" t="n"/>
      <c r="CC43" s="87" t="n"/>
      <c r="CD43" s="87" t="n"/>
      <c r="CE43" s="87" t="n"/>
      <c r="CF43" s="87" t="n"/>
      <c r="CG43" s="87" t="n"/>
      <c r="CH43" s="87" t="n"/>
      <c r="CI43" s="87" t="n"/>
      <c r="CJ43" s="87" t="n"/>
      <c r="CK43" s="87" t="n"/>
      <c r="CL43" s="87" t="n"/>
      <c r="CM43" s="87" t="n"/>
      <c r="CN43" s="87" t="n"/>
      <c r="CO43" s="87" t="n"/>
      <c r="CP43" s="87" t="n"/>
      <c r="CQ43" s="87" t="n"/>
      <c r="CR43" s="87" t="n"/>
      <c r="CS43" s="87" t="n"/>
      <c r="CT43" s="87" t="n"/>
      <c r="CU43" s="87" t="n"/>
      <c r="CV43" s="87" t="n"/>
      <c r="CW43" s="87" t="n"/>
      <c r="CX43" s="87" t="n"/>
      <c r="CY43" s="87" t="n"/>
      <c r="CZ43" s="87" t="n"/>
      <c r="DA43" s="87" t="n"/>
      <c r="DB43" s="87" t="n"/>
      <c r="DC43" s="87" t="n"/>
      <c r="DD43" s="87" t="n"/>
      <c r="DE43" s="87" t="n"/>
      <c r="DF43" s="87" t="n"/>
      <c r="DG43" s="87" t="n"/>
      <c r="DH43" s="87" t="n"/>
      <c r="DI43" s="87" t="n"/>
      <c r="DJ43" s="87" t="n"/>
      <c r="DK43" s="87" t="n"/>
      <c r="DL43" s="87" t="n"/>
      <c r="DM43" s="87" t="n"/>
      <c r="DN43" s="87" t="n"/>
      <c r="DO43" s="87" t="n"/>
      <c r="DP43" s="87" t="n"/>
      <c r="DQ43" s="87" t="n"/>
      <c r="DR43" s="87" t="n"/>
      <c r="DS43" s="87" t="n"/>
      <c r="DT43" s="87" t="n"/>
      <c r="DU43" s="87" t="n"/>
      <c r="DV43" s="87" t="n"/>
      <c r="DW43" s="87" t="n"/>
      <c r="DX43" s="87" t="n"/>
      <c r="DY43" s="87" t="n">
        <v>0</v>
      </c>
      <c r="DZ43" s="87" t="n">
        <v>0</v>
      </c>
      <c r="EA43" s="87" t="n">
        <v>0</v>
      </c>
      <c r="EB43" s="87" t="n">
        <v>0</v>
      </c>
      <c r="EC43" s="87" t="n">
        <v>0</v>
      </c>
      <c r="ED43" s="87" t="n">
        <v>0</v>
      </c>
      <c r="EE43" s="87" t="n">
        <v>0</v>
      </c>
      <c r="EF43" s="87" t="n">
        <v>0</v>
      </c>
      <c r="EG43" s="87" t="n">
        <v>0</v>
      </c>
      <c r="EH43" s="87" t="n">
        <v>0</v>
      </c>
      <c r="EI43" s="87" t="n">
        <v>0</v>
      </c>
      <c r="EJ43" s="87" t="n">
        <v>0</v>
      </c>
      <c r="EK43" s="87" t="n">
        <v>0</v>
      </c>
      <c r="EL43" s="87" t="n">
        <v>0</v>
      </c>
      <c r="EM43" s="87" t="n">
        <v>0</v>
      </c>
      <c r="EN43" s="87" t="n">
        <v>0</v>
      </c>
      <c r="EO43" s="87" t="n">
        <v>0</v>
      </c>
      <c r="EP43" s="87" t="n">
        <v>0</v>
      </c>
      <c r="EQ43" s="87" t="n">
        <v>0</v>
      </c>
      <c r="ER43" s="87" t="n">
        <v>0</v>
      </c>
      <c r="ES43" s="87" t="n">
        <v>0</v>
      </c>
      <c r="ET43" s="87" t="n">
        <v>0</v>
      </c>
      <c r="EU43" s="87" t="n">
        <v>0</v>
      </c>
      <c r="EV43" s="87" t="n">
        <v>0</v>
      </c>
      <c r="EW43" s="87" t="n">
        <v>0</v>
      </c>
      <c r="EX43" s="87" t="n">
        <v>0</v>
      </c>
      <c r="EY43" s="87" t="n">
        <v>0</v>
      </c>
      <c r="EZ43" s="87" t="n">
        <v>0</v>
      </c>
      <c r="FA43" s="87" t="n">
        <v>0</v>
      </c>
      <c r="FB43" s="87" t="n">
        <v>0</v>
      </c>
      <c r="FC43" s="87" t="n">
        <v>0</v>
      </c>
      <c r="FD43" s="87" t="n">
        <v>0</v>
      </c>
      <c r="FE43" s="87" t="n">
        <v>0</v>
      </c>
      <c r="FF43" s="87" t="n">
        <v>0</v>
      </c>
      <c r="FG43" s="87" t="n">
        <v>0</v>
      </c>
      <c r="FH43" s="87" t="n">
        <v>0</v>
      </c>
      <c r="FI43" s="87" t="n">
        <v>0</v>
      </c>
      <c r="FJ43" s="87" t="n">
        <v>0</v>
      </c>
      <c r="FK43" s="87" t="n">
        <v>0</v>
      </c>
      <c r="FL43" s="87" t="n">
        <v>0</v>
      </c>
      <c r="FM43" s="87" t="n">
        <v>0</v>
      </c>
      <c r="FN43" s="87" t="n">
        <v>0</v>
      </c>
      <c r="FO43" s="87" t="n">
        <v>0</v>
      </c>
      <c r="FP43" s="87" t="n">
        <v>0</v>
      </c>
      <c r="FQ43" s="87" t="n">
        <v>0</v>
      </c>
      <c r="FR43" s="87" t="n">
        <v>0</v>
      </c>
      <c r="FS43" s="87" t="n">
        <v>0</v>
      </c>
      <c r="FT43" s="87" t="n">
        <v>0</v>
      </c>
      <c r="FU43" s="87" t="n">
        <v>0</v>
      </c>
      <c r="FV43" s="87" t="n">
        <v>0</v>
      </c>
      <c r="FW43" s="87" t="n">
        <v>0</v>
      </c>
      <c r="FX43" s="87" t="n">
        <v>0</v>
      </c>
      <c r="FY43" s="87" t="n">
        <v>0</v>
      </c>
      <c r="FZ43" s="87" t="n">
        <v>0</v>
      </c>
      <c r="GA43" s="87" t="n">
        <v>0</v>
      </c>
      <c r="GB43" s="87" t="n">
        <v>0</v>
      </c>
      <c r="GC43" s="87" t="n">
        <v>0</v>
      </c>
      <c r="GD43" s="87" t="n">
        <v>0</v>
      </c>
      <c r="GE43" s="87" t="n">
        <v>0</v>
      </c>
      <c r="GF43" s="87" t="n">
        <v>0</v>
      </c>
      <c r="GG43" s="87" t="n">
        <v>0</v>
      </c>
      <c r="GH43" s="87" t="n">
        <v>0</v>
      </c>
      <c r="GI43" s="87" t="n">
        <v>0</v>
      </c>
      <c r="GJ43" s="87" t="n">
        <v>0</v>
      </c>
      <c r="GK43" s="87" t="n">
        <v>0</v>
      </c>
      <c r="GL43" s="87" t="n">
        <v>0</v>
      </c>
      <c r="GM43" s="87" t="n">
        <v>0</v>
      </c>
      <c r="GN43" s="87" t="n">
        <v>0</v>
      </c>
      <c r="GO43" s="87" t="n">
        <v>0</v>
      </c>
      <c r="GP43" s="87" t="n">
        <v>0</v>
      </c>
      <c r="GQ43" s="87" t="n">
        <v>0</v>
      </c>
      <c r="GR43" s="87" t="n">
        <v>0</v>
      </c>
      <c r="GS43" s="87" t="n">
        <v>0</v>
      </c>
      <c r="GT43" s="87" t="n">
        <v>0</v>
      </c>
      <c r="GU43" s="87" t="n">
        <v>0</v>
      </c>
      <c r="GV43" s="87" t="n">
        <v>0</v>
      </c>
      <c r="GW43" s="87" t="n">
        <v>0</v>
      </c>
      <c r="GX43" s="87" t="n">
        <v>0</v>
      </c>
      <c r="GY43" s="87" t="n">
        <v>0</v>
      </c>
      <c r="GZ43" s="87" t="n">
        <v>0</v>
      </c>
      <c r="HA43" s="87" t="n">
        <v>0</v>
      </c>
      <c r="HB43" s="87" t="n">
        <v>0</v>
      </c>
      <c r="HC43" s="87" t="n">
        <v>0</v>
      </c>
      <c r="HD43" s="87" t="n">
        <v>0</v>
      </c>
      <c r="HE43" s="87" t="n">
        <v>0</v>
      </c>
      <c r="HF43" s="87" t="n">
        <v>0</v>
      </c>
      <c r="HG43" s="87" t="n">
        <v>0</v>
      </c>
      <c r="HH43" s="87" t="n">
        <v>0</v>
      </c>
      <c r="HI43" s="87" t="n">
        <v>0</v>
      </c>
      <c r="HJ43" s="87" t="n">
        <v>0</v>
      </c>
      <c r="HK43" s="87" t="n">
        <v>0</v>
      </c>
      <c r="HL43" s="87" t="n">
        <v>0</v>
      </c>
      <c r="HM43" s="87" t="n">
        <v>0</v>
      </c>
      <c r="HN43" s="87" t="n">
        <v>0</v>
      </c>
      <c r="HO43" s="87" t="n">
        <v>0</v>
      </c>
      <c r="HP43" s="87" t="n">
        <v>0</v>
      </c>
      <c r="HQ43" s="87" t="n">
        <v>0</v>
      </c>
      <c r="HR43" s="87" t="n">
        <v>0</v>
      </c>
      <c r="HS43" s="87" t="n">
        <v>0</v>
      </c>
      <c r="HT43" s="87" t="n">
        <v>0</v>
      </c>
      <c r="HU43" s="87" t="n">
        <v>0</v>
      </c>
      <c r="JF43" s="87">
        <f>AP43</f>
        <v/>
      </c>
      <c r="JG43" s="87">
        <f>SUM(Z43:AK43)</f>
        <v/>
      </c>
      <c r="JH43" s="87">
        <f>SUM(AL43:AP43)</f>
        <v/>
      </c>
      <c r="JI43" s="87">
        <f>SUM(C43:AP43)</f>
        <v/>
      </c>
      <c r="JJ43" s="446" t="n"/>
      <c r="JM43" s="87" t="n">
        <v>-8000</v>
      </c>
      <c r="KG43" s="136">
        <f>B43</f>
        <v/>
      </c>
      <c r="KH43" s="345">
        <f>AR43</f>
        <v/>
      </c>
    </row>
    <row r="44" ht="16.2" customHeight="1">
      <c r="A44" s="1" t="inlineStr">
        <is>
          <t>Gerenciamento</t>
        </is>
      </c>
      <c r="B44" s="136">
        <f>SUM(C44:AP44)</f>
        <v/>
      </c>
      <c r="C44" s="53" t="n"/>
      <c r="D44" s="53" t="n"/>
      <c r="E44" s="53" t="n"/>
      <c r="F44" s="53" t="n"/>
      <c r="G44" s="53" t="n"/>
      <c r="H44" s="53" t="n"/>
      <c r="I44" s="53" t="n"/>
      <c r="J44" s="185" t="n"/>
      <c r="K44" s="53" t="n"/>
      <c r="L44" s="53" t="n"/>
      <c r="M44" s="186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  <c r="AD44" s="337" t="n">
        <v>-8000</v>
      </c>
      <c r="AE44" s="337" t="n">
        <v>-8000</v>
      </c>
      <c r="AF44" s="337" t="n">
        <v>-8000</v>
      </c>
      <c r="AG44" s="337" t="n">
        <v>-8000</v>
      </c>
      <c r="AH44" s="337" t="n">
        <v>-8000</v>
      </c>
      <c r="AI44" s="337" t="n">
        <v>-8840.610000000001</v>
      </c>
      <c r="AJ44" s="337" t="n">
        <v>-8840.610000000001</v>
      </c>
      <c r="AK44" s="337" t="n">
        <v>-8840.610000000001</v>
      </c>
      <c r="AL44" s="337" t="n">
        <v>-8840.610000000001</v>
      </c>
      <c r="AM44" s="337" t="n">
        <v>-8840.610000000001</v>
      </c>
      <c r="AN44" s="337" t="n">
        <v>-8840.610000000001</v>
      </c>
      <c r="AO44" s="337" t="n">
        <v>-8840.610000000001</v>
      </c>
      <c r="AP44" s="337" t="n">
        <v>-8840.610000000001</v>
      </c>
      <c r="AQ44" s="13" t="n"/>
      <c r="AR44" s="345">
        <f>SUM(AT44:HU44)</f>
        <v/>
      </c>
      <c r="AS44" s="13" t="n"/>
      <c r="AT44" s="26" t="n">
        <v>-8840.610000000001</v>
      </c>
      <c r="AU44" s="26" t="n">
        <v>-8840.610000000001</v>
      </c>
      <c r="AV44" s="26" t="n">
        <v>-8840.610000000001</v>
      </c>
      <c r="AW44" s="26" t="n">
        <v>-8840.610000000001</v>
      </c>
      <c r="AX44" s="26" t="n">
        <v>-8840.610000000001</v>
      </c>
      <c r="AY44" s="26" t="n">
        <v>-8840.610000000001</v>
      </c>
      <c r="AZ44" s="26" t="n">
        <v>-8840.610000000001</v>
      </c>
      <c r="BA44" s="26" t="n">
        <v>-8840.610000000001</v>
      </c>
      <c r="BB44" s="26" t="n">
        <v>-8840.610000000001</v>
      </c>
      <c r="BC44" s="26" t="n">
        <v>-8840.610000000001</v>
      </c>
      <c r="BD44" s="26" t="n">
        <v>-8840.610000000001</v>
      </c>
      <c r="BE44" s="26" t="n">
        <v>-8840.610000000001</v>
      </c>
      <c r="BF44" s="26" t="n">
        <v>-8840.610000000001</v>
      </c>
      <c r="BG44" s="26" t="n">
        <v>-8840.610000000001</v>
      </c>
      <c r="BH44" s="26" t="n">
        <v>-8840.610000000001</v>
      </c>
      <c r="BI44" s="26" t="n">
        <v>-8840.610000000001</v>
      </c>
      <c r="BJ44" s="26" t="n">
        <v>-8840.610000000001</v>
      </c>
      <c r="BK44" s="26" t="n">
        <v>-8840.610000000001</v>
      </c>
      <c r="BL44" s="26" t="n">
        <v>-8840.610000000001</v>
      </c>
      <c r="BM44" s="26" t="n">
        <v>-8840.610000000001</v>
      </c>
      <c r="BN44" s="26" t="n">
        <v>-8840.610000000001</v>
      </c>
      <c r="BO44" s="26" t="n">
        <v>-8840.610000000001</v>
      </c>
      <c r="BP44" s="26" t="n">
        <v>-8840.610000000001</v>
      </c>
      <c r="BQ44" s="26" t="n">
        <v>-8840.610000000001</v>
      </c>
      <c r="BR44" s="26" t="n">
        <v>-8840.610000000001</v>
      </c>
      <c r="BS44" s="26" t="n">
        <v>-8840.610000000001</v>
      </c>
      <c r="BT44" s="26" t="n">
        <v>-8840.610000000001</v>
      </c>
      <c r="BU44" s="26" t="n">
        <v>-8840.610000000001</v>
      </c>
      <c r="BV44" s="26" t="n">
        <v>-8840.610000000001</v>
      </c>
      <c r="BW44" s="26" t="n">
        <v>-8840.610000000001</v>
      </c>
      <c r="BX44" s="26" t="n">
        <v>-8840.610000000001</v>
      </c>
      <c r="BY44" s="26" t="n">
        <v>-8840.610000000001</v>
      </c>
      <c r="BZ44" s="26" t="n">
        <v>-8840.610000000001</v>
      </c>
      <c r="CA44" s="26" t="n">
        <v>-8840.610000000001</v>
      </c>
      <c r="CB44" s="26" t="n">
        <v>-8840.610000000001</v>
      </c>
      <c r="CC44" s="26" t="n">
        <v>-8840.610000000001</v>
      </c>
      <c r="CD44" s="26" t="n">
        <v>-8840.610000000001</v>
      </c>
      <c r="CE44" s="26" t="n">
        <v>-8840.610000000001</v>
      </c>
      <c r="CF44" s="26" t="n">
        <v>-8840.610000000001</v>
      </c>
      <c r="CG44" s="26" t="n">
        <v>-8840.610000000001</v>
      </c>
      <c r="CH44" s="26" t="n">
        <v>-8840.610000000001</v>
      </c>
      <c r="CI44" s="26" t="n">
        <v>-8840.610000000001</v>
      </c>
      <c r="CJ44" s="26" t="n">
        <v>-8840.610000000001</v>
      </c>
      <c r="CK44" s="26" t="n">
        <v>-8840.610000000001</v>
      </c>
      <c r="CL44" s="26" t="n">
        <v>-8840.610000000001</v>
      </c>
      <c r="CM44" s="26" t="n">
        <v>-8840.610000000001</v>
      </c>
      <c r="CN44" s="26" t="n">
        <v>-8840.610000000001</v>
      </c>
      <c r="CO44" s="26" t="n"/>
      <c r="CP44" s="26" t="n"/>
      <c r="CQ44" s="26" t="n"/>
      <c r="CR44" s="26" t="n"/>
      <c r="CS44" s="26" t="n"/>
      <c r="CT44" s="26" t="n"/>
      <c r="CU44" s="26" t="n"/>
      <c r="CV44" s="26" t="n"/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  <c r="DG44" s="26" t="n"/>
      <c r="DH44" s="26" t="n"/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  <c r="DS44" s="26" t="n"/>
      <c r="DT44" s="26" t="n"/>
      <c r="DU44" s="26" t="n"/>
      <c r="DV44" s="26" t="n"/>
      <c r="DW44" s="26" t="n"/>
      <c r="DX44" s="26" t="n"/>
      <c r="DY44" s="26" t="n">
        <v>0</v>
      </c>
      <c r="DZ44" s="26" t="n">
        <v>0</v>
      </c>
      <c r="EA44" s="26" t="n">
        <v>0</v>
      </c>
      <c r="EB44" s="26" t="n">
        <v>0</v>
      </c>
      <c r="EC44" s="26" t="n">
        <v>0</v>
      </c>
      <c r="ED44" s="26" t="n">
        <v>0</v>
      </c>
      <c r="EE44" s="26" t="n">
        <v>0</v>
      </c>
      <c r="EF44" s="26" t="n">
        <v>0</v>
      </c>
      <c r="EG44" s="26" t="n">
        <v>0</v>
      </c>
      <c r="EH44" s="26" t="n">
        <v>0</v>
      </c>
      <c r="EI44" s="26" t="n">
        <v>0</v>
      </c>
      <c r="EJ44" s="26" t="n">
        <v>0</v>
      </c>
      <c r="EK44" s="26" t="n">
        <v>0</v>
      </c>
      <c r="EL44" s="26" t="n">
        <v>0</v>
      </c>
      <c r="EM44" s="26" t="n">
        <v>0</v>
      </c>
      <c r="EN44" s="26" t="n">
        <v>0</v>
      </c>
      <c r="EO44" s="26" t="n">
        <v>0</v>
      </c>
      <c r="EP44" s="26" t="n">
        <v>0</v>
      </c>
      <c r="EQ44" s="26" t="n">
        <v>0</v>
      </c>
      <c r="ER44" s="26" t="n">
        <v>0</v>
      </c>
      <c r="ES44" s="26" t="n">
        <v>0</v>
      </c>
      <c r="ET44" s="26" t="n">
        <v>0</v>
      </c>
      <c r="EU44" s="26" t="n">
        <v>0</v>
      </c>
      <c r="EV44" s="26" t="n">
        <v>0</v>
      </c>
      <c r="EW44" s="26" t="n">
        <v>0</v>
      </c>
      <c r="EX44" s="26" t="n">
        <v>0</v>
      </c>
      <c r="EY44" s="26" t="n">
        <v>0</v>
      </c>
      <c r="EZ44" s="26" t="n">
        <v>0</v>
      </c>
      <c r="FA44" s="26" t="n">
        <v>0</v>
      </c>
      <c r="FB44" s="26" t="n">
        <v>0</v>
      </c>
      <c r="FC44" s="26" t="n">
        <v>0</v>
      </c>
      <c r="FD44" s="26" t="n">
        <v>0</v>
      </c>
      <c r="FE44" s="26" t="n">
        <v>0</v>
      </c>
      <c r="FF44" s="26" t="n">
        <v>0</v>
      </c>
      <c r="FG44" s="26" t="n">
        <v>0</v>
      </c>
      <c r="FH44" s="26" t="n">
        <v>0</v>
      </c>
      <c r="FI44" s="26" t="n">
        <v>0</v>
      </c>
      <c r="FJ44" s="26" t="n">
        <v>0</v>
      </c>
      <c r="FK44" s="26" t="n">
        <v>0</v>
      </c>
      <c r="FL44" s="26" t="n">
        <v>0</v>
      </c>
      <c r="FM44" s="26" t="n">
        <v>0</v>
      </c>
      <c r="FN44" s="26" t="n">
        <v>0</v>
      </c>
      <c r="FO44" s="26" t="n">
        <v>0</v>
      </c>
      <c r="FP44" s="26" t="n">
        <v>0</v>
      </c>
      <c r="FQ44" s="26" t="n">
        <v>0</v>
      </c>
      <c r="FR44" s="26" t="n">
        <v>0</v>
      </c>
      <c r="FS44" s="26" t="n">
        <v>0</v>
      </c>
      <c r="FT44" s="26" t="n">
        <v>0</v>
      </c>
      <c r="FU44" s="26" t="n">
        <v>0</v>
      </c>
      <c r="FV44" s="26" t="n">
        <v>0</v>
      </c>
      <c r="FW44" s="26" t="n">
        <v>0</v>
      </c>
      <c r="FX44" s="26" t="n">
        <v>0</v>
      </c>
      <c r="FY44" s="26" t="n">
        <v>0</v>
      </c>
      <c r="FZ44" s="26" t="n">
        <v>0</v>
      </c>
      <c r="GA44" s="26" t="n">
        <v>0</v>
      </c>
      <c r="GB44" s="26" t="n">
        <v>0</v>
      </c>
      <c r="GC44" s="26" t="n">
        <v>0</v>
      </c>
      <c r="GD44" s="26" t="n">
        <v>0</v>
      </c>
      <c r="GE44" s="26" t="n">
        <v>0</v>
      </c>
      <c r="GF44" s="26" t="n">
        <v>0</v>
      </c>
      <c r="GG44" s="26" t="n">
        <v>0</v>
      </c>
      <c r="GH44" s="26" t="n">
        <v>0</v>
      </c>
      <c r="GI44" s="26" t="n">
        <v>0</v>
      </c>
      <c r="GJ44" s="26" t="n">
        <v>0</v>
      </c>
      <c r="GK44" s="26" t="n">
        <v>0</v>
      </c>
      <c r="GL44" s="26" t="n">
        <v>0</v>
      </c>
      <c r="GM44" s="26" t="n">
        <v>0</v>
      </c>
      <c r="GN44" s="26" t="n">
        <v>0</v>
      </c>
      <c r="GO44" s="26" t="n">
        <v>0</v>
      </c>
      <c r="GP44" s="26" t="n">
        <v>0</v>
      </c>
      <c r="GQ44" s="26" t="n">
        <v>0</v>
      </c>
      <c r="GR44" s="26" t="n">
        <v>0</v>
      </c>
      <c r="GS44" s="26" t="n">
        <v>0</v>
      </c>
      <c r="GT44" s="26" t="n">
        <v>0</v>
      </c>
      <c r="GU44" s="26" t="n">
        <v>0</v>
      </c>
      <c r="GV44" s="26" t="n">
        <v>0</v>
      </c>
      <c r="GW44" s="26" t="n">
        <v>0</v>
      </c>
      <c r="GX44" s="26" t="n">
        <v>0</v>
      </c>
      <c r="GY44" s="26" t="n">
        <v>0</v>
      </c>
      <c r="GZ44" s="26" t="n">
        <v>0</v>
      </c>
      <c r="HA44" s="26" t="n">
        <v>0</v>
      </c>
      <c r="HB44" s="26" t="n">
        <v>0</v>
      </c>
      <c r="HC44" s="26" t="n">
        <v>0</v>
      </c>
      <c r="HD44" s="26" t="n">
        <v>0</v>
      </c>
      <c r="HE44" s="26" t="n">
        <v>0</v>
      </c>
      <c r="HF44" s="26" t="n">
        <v>0</v>
      </c>
      <c r="HG44" s="26" t="n">
        <v>0</v>
      </c>
      <c r="HH44" s="26" t="n">
        <v>0</v>
      </c>
      <c r="HI44" s="26" t="n">
        <v>0</v>
      </c>
      <c r="HJ44" s="26" t="n">
        <v>0</v>
      </c>
      <c r="HK44" s="26" t="n">
        <v>0</v>
      </c>
      <c r="HL44" s="26" t="n">
        <v>0</v>
      </c>
      <c r="HM44" s="26" t="n">
        <v>0</v>
      </c>
      <c r="HN44" s="26" t="n">
        <v>0</v>
      </c>
      <c r="HO44" s="26" t="n">
        <v>0</v>
      </c>
      <c r="HP44" s="26" t="n">
        <v>0</v>
      </c>
      <c r="HQ44" s="26" t="n">
        <v>0</v>
      </c>
      <c r="HR44" s="26" t="n">
        <v>0</v>
      </c>
      <c r="HS44" s="26" t="n">
        <v>0</v>
      </c>
      <c r="HT44" s="26" t="n">
        <v>0</v>
      </c>
      <c r="HU44" s="26" t="n">
        <v>0</v>
      </c>
      <c r="JF44" s="26">
        <f>AP44</f>
        <v/>
      </c>
      <c r="JG44" s="26">
        <f>SUM(Z44:AK44)</f>
        <v/>
      </c>
      <c r="JH44" s="26">
        <f>SUM(AL44:AP44)</f>
        <v/>
      </c>
      <c r="JI44" s="26">
        <f>SUM(C44:AP44)</f>
        <v/>
      </c>
      <c r="JJ44" s="446" t="n"/>
      <c r="JM44" s="26" t="n">
        <v>-8840.610000000001</v>
      </c>
      <c r="KG44" s="136">
        <f>B44</f>
        <v/>
      </c>
      <c r="KH44" s="345">
        <f>AR44</f>
        <v/>
      </c>
    </row>
    <row r="45" ht="6.6" customHeight="1">
      <c r="A45" s="1" t="n"/>
      <c r="B45" s="128" t="n"/>
      <c r="C45" s="512" t="n"/>
      <c r="D45" s="512" t="n"/>
      <c r="E45" s="512" t="n"/>
      <c r="F45" s="512" t="n"/>
      <c r="G45" s="512" t="n"/>
      <c r="H45" s="512" t="n"/>
      <c r="I45" s="512" t="n"/>
      <c r="J45" s="513" t="n"/>
      <c r="K45" s="512" t="n"/>
      <c r="L45" s="512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514" t="n"/>
      <c r="AA45" s="514" t="n"/>
      <c r="AB45" s="514" t="n"/>
      <c r="AC45" s="514" t="n"/>
      <c r="AD45" s="514" t="n"/>
      <c r="AE45" s="514" t="n"/>
      <c r="AF45" s="514" t="n"/>
      <c r="AG45" s="514" t="n"/>
      <c r="AH45" s="514" t="n"/>
      <c r="AI45" s="514" t="n"/>
      <c r="AJ45" s="514" t="n"/>
      <c r="AK45" s="514" t="n"/>
      <c r="AL45" s="514" t="n"/>
      <c r="AM45" s="514" t="n"/>
      <c r="AN45" s="514" t="n"/>
      <c r="AO45" s="514" t="n"/>
      <c r="AP45" s="514" t="n"/>
      <c r="AQ45" s="512" t="n"/>
      <c r="AR45" s="533" t="n"/>
      <c r="AS45" s="512" t="n"/>
      <c r="AT45" s="512" t="n"/>
      <c r="AU45" s="512" t="n"/>
      <c r="AV45" s="512" t="n"/>
      <c r="AW45" s="512" t="n"/>
      <c r="AX45" s="512" t="n"/>
      <c r="AY45" s="512" t="n"/>
      <c r="AZ45" s="512" t="n"/>
      <c r="BA45" s="512" t="n"/>
      <c r="BB45" s="512" t="n"/>
      <c r="BC45" s="512" t="n"/>
      <c r="BD45" s="515" t="n"/>
      <c r="BE45" s="512" t="n"/>
      <c r="BF45" s="512" t="n"/>
      <c r="BG45" s="512" t="n"/>
      <c r="BH45" s="512" t="n"/>
      <c r="BI45" s="512" t="n"/>
      <c r="BJ45" s="512" t="n"/>
      <c r="BK45" s="512" t="n"/>
      <c r="BL45" s="512" t="n"/>
      <c r="BM45" s="512" t="n"/>
      <c r="BN45" s="512" t="n"/>
      <c r="BO45" s="512" t="n"/>
      <c r="BP45" s="515" t="n"/>
      <c r="BQ45" s="512" t="n"/>
      <c r="BR45" s="512" t="n"/>
      <c r="BS45" s="512" t="n"/>
      <c r="BT45" s="512" t="n"/>
      <c r="BU45" s="512" t="n"/>
      <c r="BV45" s="512" t="n"/>
      <c r="BW45" s="512" t="n"/>
      <c r="BX45" s="512" t="n"/>
      <c r="BY45" s="512" t="n"/>
      <c r="BZ45" s="512" t="n"/>
      <c r="CA45" s="512" t="n"/>
      <c r="CB45" s="515" t="n"/>
      <c r="CC45" s="512" t="n"/>
      <c r="CD45" s="512" t="n"/>
      <c r="CE45" s="512" t="n"/>
      <c r="CF45" s="512" t="n"/>
      <c r="CG45" s="512" t="n"/>
      <c r="CH45" s="512" t="n"/>
      <c r="CI45" s="512" t="n"/>
      <c r="CJ45" s="512" t="n"/>
      <c r="CK45" s="512" t="n"/>
      <c r="CL45" s="512" t="n"/>
      <c r="CM45" s="512" t="n"/>
      <c r="CN45" s="515" t="n"/>
      <c r="CO45" s="512" t="n"/>
      <c r="CP45" s="512" t="n"/>
      <c r="CQ45" s="512" t="n"/>
      <c r="CR45" s="512" t="n"/>
      <c r="CS45" s="512" t="n"/>
      <c r="CT45" s="512" t="n"/>
      <c r="CU45" s="512" t="n"/>
      <c r="CV45" s="512" t="n"/>
      <c r="CW45" s="512" t="n"/>
      <c r="CX45" s="512" t="n"/>
      <c r="CY45" s="512" t="n"/>
      <c r="CZ45" s="515" t="n"/>
      <c r="DA45" s="512" t="n"/>
      <c r="DB45" s="512" t="n"/>
      <c r="DC45" s="512" t="n"/>
      <c r="DD45" s="512" t="n"/>
      <c r="DE45" s="512" t="n"/>
      <c r="DF45" s="512" t="n"/>
      <c r="DG45" s="512" t="n"/>
      <c r="DH45" s="512" t="n"/>
      <c r="DI45" s="512" t="n"/>
      <c r="DJ45" s="512" t="n"/>
      <c r="DK45" s="512" t="n"/>
      <c r="DL45" s="512" t="n"/>
      <c r="DM45" s="512" t="n"/>
      <c r="DN45" s="512" t="n"/>
      <c r="DO45" s="512" t="n"/>
      <c r="DP45" s="512" t="n"/>
      <c r="DQ45" s="512" t="n"/>
      <c r="DR45" s="512" t="n"/>
      <c r="DS45" s="512" t="n"/>
      <c r="DT45" s="512" t="n"/>
      <c r="DU45" s="512" t="n"/>
      <c r="DV45" s="512" t="n"/>
      <c r="DW45" s="512" t="n"/>
      <c r="DX45" s="512" t="n"/>
      <c r="DY45" s="512" t="n"/>
      <c r="DZ45" s="512" t="n"/>
      <c r="EA45" s="512" t="n"/>
      <c r="EB45" s="512" t="n"/>
      <c r="EC45" s="512" t="n"/>
      <c r="ED45" s="512" t="n"/>
      <c r="EE45" s="512" t="n"/>
      <c r="EF45" s="512" t="n"/>
      <c r="EG45" s="512" t="n"/>
      <c r="EH45" s="512" t="n"/>
      <c r="EI45" s="512" t="n"/>
      <c r="EJ45" s="512" t="n"/>
      <c r="EK45" s="512" t="n"/>
      <c r="EL45" s="512" t="n"/>
      <c r="EM45" s="512" t="n"/>
      <c r="EN45" s="512" t="n"/>
      <c r="EO45" s="512" t="n"/>
      <c r="EP45" s="512" t="n"/>
      <c r="EQ45" s="512" t="n"/>
      <c r="ER45" s="512" t="n"/>
      <c r="ES45" s="512" t="n"/>
      <c r="ET45" s="512" t="n"/>
      <c r="EU45" s="512" t="n"/>
      <c r="EV45" s="512" t="n"/>
      <c r="EW45" s="512" t="n"/>
      <c r="EX45" s="512" t="n"/>
      <c r="EY45" s="512" t="n"/>
      <c r="EZ45" s="512" t="n"/>
      <c r="FA45" s="512" t="n"/>
      <c r="FB45" s="512" t="n"/>
      <c r="FC45" s="512" t="n"/>
      <c r="FD45" s="512" t="n"/>
      <c r="FE45" s="512" t="n"/>
      <c r="FF45" s="512" t="n"/>
      <c r="FG45" s="512" t="n"/>
      <c r="FH45" s="512" t="n"/>
      <c r="FI45" s="512" t="n"/>
      <c r="FJ45" s="512" t="n"/>
      <c r="FK45" s="512" t="n"/>
      <c r="FL45" s="512" t="n"/>
      <c r="FM45" s="512" t="n"/>
      <c r="FN45" s="512" t="n"/>
      <c r="FO45" s="512" t="n"/>
      <c r="FP45" s="512" t="n"/>
      <c r="FQ45" s="512" t="n"/>
      <c r="FR45" s="512" t="n"/>
      <c r="FS45" s="512" t="n"/>
      <c r="FT45" s="512" t="n"/>
      <c r="FU45" s="512" t="n"/>
      <c r="FV45" s="512" t="n"/>
      <c r="FW45" s="512" t="n"/>
      <c r="FX45" s="512" t="n"/>
      <c r="FY45" s="512" t="n"/>
      <c r="FZ45" s="512" t="n"/>
      <c r="GA45" s="512" t="n"/>
      <c r="GB45" s="512" t="n"/>
      <c r="GC45" s="512" t="n"/>
      <c r="GD45" s="512" t="n"/>
      <c r="GE45" s="512" t="n"/>
      <c r="GF45" s="512" t="n"/>
      <c r="GG45" s="512" t="n"/>
      <c r="GH45" s="512" t="n"/>
      <c r="GI45" s="512" t="n"/>
      <c r="GJ45" s="512" t="n"/>
      <c r="GK45" s="512" t="n"/>
      <c r="GL45" s="512" t="n"/>
      <c r="GM45" s="512" t="n"/>
      <c r="GN45" s="512" t="n"/>
      <c r="GO45" s="512" t="n"/>
      <c r="GP45" s="512" t="n"/>
      <c r="GQ45" s="512" t="n"/>
      <c r="GR45" s="512" t="n"/>
      <c r="GS45" s="512" t="n"/>
      <c r="GT45" s="512" t="n"/>
      <c r="GU45" s="512" t="n"/>
      <c r="GV45" s="512" t="n"/>
      <c r="GW45" s="512" t="n"/>
      <c r="GX45" s="512" t="n"/>
      <c r="GY45" s="512" t="n"/>
      <c r="GZ45" s="512" t="n"/>
      <c r="HA45" s="512" t="n"/>
      <c r="HB45" s="512" t="n"/>
      <c r="HC45" s="512" t="n"/>
      <c r="HD45" s="512" t="n"/>
      <c r="HE45" s="512" t="n"/>
      <c r="HF45" s="512" t="n"/>
      <c r="HG45" s="512" t="n"/>
      <c r="HH45" s="512" t="n"/>
      <c r="HI45" s="512" t="n"/>
      <c r="HJ45" s="512" t="n"/>
      <c r="HK45" s="512" t="n"/>
      <c r="HL45" s="512" t="n"/>
      <c r="HM45" s="512" t="n"/>
      <c r="HN45" s="512" t="n"/>
      <c r="HO45" s="512" t="n"/>
      <c r="HP45" s="512" t="n"/>
      <c r="HQ45" s="512" t="n"/>
      <c r="HR45" s="512" t="n"/>
      <c r="HS45" s="512" t="n"/>
      <c r="HT45" s="512" t="n"/>
      <c r="HU45" s="512" t="n"/>
      <c r="JF45" s="512">
        <f>AP45</f>
        <v/>
      </c>
      <c r="JG45" s="512">
        <f>SUM(Z45:AK45)</f>
        <v/>
      </c>
      <c r="JH45" s="512">
        <f>SUM(AL45:AP45)</f>
        <v/>
      </c>
      <c r="JI45" s="512">
        <f>SUM(C45:AP45)</f>
        <v/>
      </c>
      <c r="JJ45" s="446" t="n"/>
      <c r="JM45" s="512" t="n"/>
      <c r="KG45" s="128">
        <f>B45</f>
        <v/>
      </c>
      <c r="KH45" s="533">
        <f>AR45</f>
        <v/>
      </c>
    </row>
    <row r="46" ht="16.2" customHeight="1">
      <c r="A46" s="19" t="inlineStr">
        <is>
          <t>DESPESAS JÚRIDICAS (-)</t>
        </is>
      </c>
      <c r="B46" s="139" t="n"/>
      <c r="C46" s="20" t="n"/>
      <c r="D46" s="22" t="n"/>
      <c r="E46" s="20" t="n"/>
      <c r="F46" s="20" t="n"/>
      <c r="G46" s="20" t="n"/>
      <c r="H46" s="20" t="n"/>
      <c r="I46" s="21" t="n"/>
      <c r="J46" s="175" t="n"/>
      <c r="K46" s="21" t="n"/>
      <c r="L46" s="108" t="n"/>
      <c r="M46" s="220" t="n"/>
      <c r="N46" s="220" t="n"/>
      <c r="O46" s="220" t="n"/>
      <c r="P46" s="220" t="n"/>
      <c r="Q46" s="220" t="n"/>
      <c r="R46" s="220" t="n"/>
      <c r="S46" s="220" t="n"/>
      <c r="T46" s="220" t="n"/>
      <c r="U46" s="220" t="n"/>
      <c r="V46" s="220" t="n"/>
      <c r="W46" s="220" t="n"/>
      <c r="X46" s="220" t="n"/>
      <c r="Y46" s="220" t="n"/>
      <c r="Z46" s="220" t="n"/>
      <c r="AA46" s="220" t="n"/>
      <c r="AB46" s="220" t="n"/>
      <c r="AC46" s="220" t="n"/>
      <c r="AD46" s="220" t="n"/>
      <c r="AE46" s="220" t="n"/>
      <c r="AF46" s="220" t="n"/>
      <c r="AG46" s="220" t="n"/>
      <c r="AH46" s="220" t="n"/>
      <c r="AI46" s="220" t="n"/>
      <c r="AJ46" s="220" t="n"/>
      <c r="AK46" s="220" t="n"/>
      <c r="AL46" s="220" t="n"/>
      <c r="AM46" s="220" t="n"/>
      <c r="AN46" s="220" t="n"/>
      <c r="AO46" s="220" t="n"/>
      <c r="AP46" s="220" t="n"/>
      <c r="AQ46" s="200" t="n"/>
      <c r="AR46" s="241" t="n"/>
      <c r="AS46" s="20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299" t="n"/>
      <c r="BE46" s="22" t="n"/>
      <c r="BF46" s="20" t="n"/>
      <c r="BG46" s="20" t="n"/>
      <c r="BH46" s="20" t="n"/>
      <c r="BI46" s="20" t="n"/>
      <c r="BJ46" s="20" t="n"/>
      <c r="BK46" s="20" t="n"/>
      <c r="BL46" s="20" t="n"/>
      <c r="BM46" s="20" t="n"/>
      <c r="BN46" s="20" t="n"/>
      <c r="BO46" s="20" t="n"/>
      <c r="BP46" s="299" t="n"/>
      <c r="BQ46" s="22" t="n"/>
      <c r="BR46" s="20" t="n"/>
      <c r="BS46" s="20" t="n"/>
      <c r="BT46" s="20" t="n"/>
      <c r="BU46" s="20" t="n"/>
      <c r="BV46" s="20" t="n"/>
      <c r="BW46" s="20" t="n"/>
      <c r="BX46" s="20" t="n"/>
      <c r="BY46" s="20" t="n"/>
      <c r="BZ46" s="20" t="n"/>
      <c r="CA46" s="20" t="n"/>
      <c r="CB46" s="299" t="n"/>
      <c r="CC46" s="22" t="n"/>
      <c r="CD46" s="20" t="n"/>
      <c r="CE46" s="20" t="n"/>
      <c r="CF46" s="20" t="n"/>
      <c r="CG46" s="20" t="n"/>
      <c r="CH46" s="20" t="n"/>
      <c r="CI46" s="20" t="n"/>
      <c r="CJ46" s="20" t="n"/>
      <c r="CK46" s="20" t="n"/>
      <c r="CL46" s="20" t="n"/>
      <c r="CM46" s="20" t="n"/>
      <c r="CN46" s="299" t="n"/>
      <c r="CO46" s="22" t="n"/>
      <c r="CP46" s="20" t="n"/>
      <c r="CQ46" s="20" t="n"/>
      <c r="CR46" s="20" t="n"/>
      <c r="CS46" s="20" t="n"/>
      <c r="CT46" s="20" t="n"/>
      <c r="CU46" s="20" t="n"/>
      <c r="CV46" s="20" t="n"/>
      <c r="CW46" s="20" t="n"/>
      <c r="CX46" s="20" t="n"/>
      <c r="CY46" s="20" t="n"/>
      <c r="CZ46" s="299" t="n"/>
      <c r="DA46" s="22" t="n"/>
      <c r="DB46" s="20" t="n"/>
      <c r="DC46" s="20" t="n"/>
      <c r="DD46" s="20" t="n"/>
      <c r="DE46" s="20" t="n"/>
      <c r="DF46" s="20" t="n"/>
      <c r="DG46" s="20" t="n"/>
      <c r="DH46" s="20" t="n"/>
      <c r="DI46" s="20" t="n"/>
      <c r="DJ46" s="21" t="n"/>
      <c r="DK46" s="20" t="n"/>
      <c r="DL46" s="21" t="n"/>
      <c r="DM46" s="20" t="n"/>
      <c r="DN46" s="21" t="n"/>
      <c r="DO46" s="21" t="n"/>
      <c r="DP46" s="21" t="n"/>
      <c r="DQ46" s="21" t="n"/>
      <c r="DR46" s="21" t="n"/>
      <c r="DS46" s="21" t="n"/>
      <c r="DT46" s="21" t="n"/>
      <c r="DU46" s="21" t="n"/>
      <c r="DV46" s="21" t="n"/>
      <c r="DW46" s="21" t="n"/>
      <c r="DX46" s="21" t="n"/>
      <c r="DY46" s="21" t="n"/>
      <c r="DZ46" s="21" t="n"/>
      <c r="EA46" s="21" t="n"/>
      <c r="EB46" s="21" t="n"/>
      <c r="EC46" s="21" t="n"/>
      <c r="ED46" s="21" t="n"/>
      <c r="EE46" s="21" t="n"/>
      <c r="EF46" s="21" t="n"/>
      <c r="EG46" s="21" t="n"/>
      <c r="EH46" s="21" t="n"/>
      <c r="EI46" s="21" t="n"/>
      <c r="EJ46" s="21" t="n"/>
      <c r="EK46" s="21" t="n"/>
      <c r="EL46" s="21" t="n"/>
      <c r="EM46" s="21" t="n"/>
      <c r="EN46" s="21" t="n"/>
      <c r="EO46" s="21" t="n"/>
      <c r="EP46" s="21" t="n"/>
      <c r="EQ46" s="21" t="n"/>
      <c r="ER46" s="21" t="n"/>
      <c r="ES46" s="21" t="n"/>
      <c r="ET46" s="21" t="n"/>
      <c r="EU46" s="21" t="n"/>
      <c r="EV46" s="21" t="n"/>
      <c r="EW46" s="21" t="n"/>
      <c r="EX46" s="21" t="n"/>
      <c r="EY46" s="21" t="n"/>
      <c r="EZ46" s="21" t="n"/>
      <c r="FA46" s="21" t="n"/>
      <c r="FB46" s="21" t="n"/>
      <c r="FC46" s="21" t="n"/>
      <c r="FD46" s="21" t="n"/>
      <c r="FE46" s="21" t="n"/>
      <c r="FF46" s="21" t="n"/>
      <c r="FG46" s="21" t="n"/>
      <c r="FH46" s="21" t="n"/>
      <c r="FI46" s="21" t="n"/>
      <c r="FJ46" s="21" t="n"/>
      <c r="FK46" s="21" t="n"/>
      <c r="FL46" s="21" t="n"/>
      <c r="FM46" s="21" t="n"/>
      <c r="FN46" s="21" t="n"/>
      <c r="FO46" s="21" t="n"/>
      <c r="FP46" s="21" t="n"/>
      <c r="FQ46" s="21" t="n"/>
      <c r="FR46" s="21" t="n"/>
      <c r="FS46" s="21" t="n"/>
      <c r="FT46" s="21" t="n"/>
      <c r="FU46" s="21" t="n"/>
      <c r="FV46" s="21" t="n"/>
      <c r="FW46" s="21" t="n"/>
      <c r="FX46" s="21" t="n"/>
      <c r="FY46" s="21" t="n"/>
      <c r="FZ46" s="21" t="n"/>
      <c r="GA46" s="21" t="n"/>
      <c r="GB46" s="21" t="n"/>
      <c r="GC46" s="21" t="n"/>
      <c r="GD46" s="21" t="n"/>
      <c r="GE46" s="21" t="n"/>
      <c r="GF46" s="21" t="n"/>
      <c r="GG46" s="21" t="n"/>
      <c r="GH46" s="21" t="n"/>
      <c r="GI46" s="21" t="n"/>
      <c r="GJ46" s="21" t="n"/>
      <c r="GK46" s="21" t="n"/>
      <c r="GL46" s="21" t="n"/>
      <c r="GM46" s="21" t="n"/>
      <c r="GN46" s="21" t="n"/>
      <c r="GO46" s="21" t="n"/>
      <c r="GP46" s="21" t="n"/>
      <c r="GQ46" s="21" t="n"/>
      <c r="GR46" s="21" t="n"/>
      <c r="GS46" s="21" t="n"/>
      <c r="GT46" s="21" t="n"/>
      <c r="GU46" s="21" t="n"/>
      <c r="GV46" s="21" t="n"/>
      <c r="GW46" s="21" t="n"/>
      <c r="GX46" s="21" t="n"/>
      <c r="GY46" s="21" t="n"/>
      <c r="GZ46" s="21" t="n"/>
      <c r="HA46" s="21" t="n"/>
      <c r="HB46" s="21" t="n"/>
      <c r="HC46" s="21" t="n"/>
      <c r="HD46" s="21" t="n"/>
      <c r="HE46" s="21" t="n"/>
      <c r="HF46" s="21" t="n"/>
      <c r="HG46" s="21" t="n"/>
      <c r="HH46" s="21" t="n"/>
      <c r="HI46" s="21" t="n"/>
      <c r="HJ46" s="21" t="n"/>
      <c r="HK46" s="21" t="n"/>
      <c r="HL46" s="21" t="n"/>
      <c r="HM46" s="21" t="n"/>
      <c r="HN46" s="21" t="n"/>
      <c r="HO46" s="21" t="n"/>
      <c r="HP46" s="21" t="n"/>
      <c r="HQ46" s="21" t="n"/>
      <c r="HR46" s="21" t="n"/>
      <c r="HS46" s="21" t="n"/>
      <c r="HT46" s="21" t="n"/>
      <c r="HU46" s="21" t="n"/>
      <c r="JF46" s="20">
        <f>AP46</f>
        <v/>
      </c>
      <c r="JG46" s="20">
        <f>SUM(Z46:AK46)</f>
        <v/>
      </c>
      <c r="JH46" s="20">
        <f>SUM(AL46:AP46)</f>
        <v/>
      </c>
      <c r="JI46" s="20">
        <f>SUM(C46:AP46)</f>
        <v/>
      </c>
      <c r="JJ46" s="446" t="n"/>
      <c r="JM46" s="21" t="n"/>
      <c r="KG46" s="139">
        <f>B46</f>
        <v/>
      </c>
      <c r="KH46" s="241">
        <f>AR46</f>
        <v/>
      </c>
    </row>
    <row r="47" ht="18.75" customHeight="1">
      <c r="A47" s="7" t="inlineStr">
        <is>
          <t>Despesas juridicas</t>
        </is>
      </c>
      <c r="B47" s="136">
        <f>SUM(C47:AP47)</f>
        <v/>
      </c>
      <c r="C47" s="85" t="n"/>
      <c r="D47" s="87" t="n"/>
      <c r="E47" s="85" t="n"/>
      <c r="F47" s="85" t="n"/>
      <c r="G47" s="85" t="n"/>
      <c r="H47" s="85" t="n"/>
      <c r="I47" s="86" t="n"/>
      <c r="J47" s="218" t="n"/>
      <c r="K47" s="113" t="n"/>
      <c r="L47" s="122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>
        <f>50092.5732500069-959.8</f>
        <v/>
      </c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13" t="n"/>
      <c r="AR47" s="342">
        <f>SUM(AT47:HU47)</f>
        <v/>
      </c>
      <c r="AS47" s="13" t="n"/>
      <c r="AT47" s="26" t="n">
        <v>0</v>
      </c>
      <c r="AU47" s="26" t="n">
        <v>0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0</v>
      </c>
      <c r="BQ47" s="26" t="n">
        <v>0</v>
      </c>
      <c r="BR47" s="26" t="n">
        <v>0</v>
      </c>
      <c r="BS47" s="26" t="n">
        <v>0</v>
      </c>
      <c r="BT47" s="26" t="n">
        <v>0</v>
      </c>
      <c r="BU47" s="26" t="n">
        <v>0</v>
      </c>
      <c r="BV47" s="26" t="n">
        <v>0</v>
      </c>
      <c r="BW47" s="26" t="n">
        <v>0</v>
      </c>
      <c r="BX47" s="26" t="n">
        <v>0</v>
      </c>
      <c r="BY47" s="26" t="n">
        <v>0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0</v>
      </c>
      <c r="CN47" s="26" t="n">
        <v>0</v>
      </c>
      <c r="CO47" s="26" t="n">
        <v>0</v>
      </c>
      <c r="CP47" s="26" t="n">
        <v>0</v>
      </c>
      <c r="CQ47" s="26" t="n">
        <v>0</v>
      </c>
      <c r="CR47" s="26" t="n">
        <v>0</v>
      </c>
      <c r="CS47" s="26" t="n">
        <v>0</v>
      </c>
      <c r="CT47" s="26" t="n">
        <v>0</v>
      </c>
      <c r="CU47" s="26" t="n">
        <v>0</v>
      </c>
      <c r="CV47" s="26" t="n">
        <v>0</v>
      </c>
      <c r="CW47" s="26" t="n">
        <v>0</v>
      </c>
      <c r="CX47" s="26" t="n">
        <v>0</v>
      </c>
      <c r="CY47" s="26" t="n">
        <v>0</v>
      </c>
      <c r="CZ47" s="26" t="n">
        <v>0</v>
      </c>
      <c r="DA47" s="26" t="n">
        <v>0</v>
      </c>
      <c r="DB47" s="26" t="n">
        <v>0</v>
      </c>
      <c r="DC47" s="26" t="n">
        <v>0</v>
      </c>
      <c r="DD47" s="26" t="n">
        <v>0</v>
      </c>
      <c r="DE47" s="26" t="n">
        <v>0</v>
      </c>
      <c r="DF47" s="26" t="n">
        <v>0</v>
      </c>
      <c r="DG47" s="26" t="n">
        <v>0</v>
      </c>
      <c r="DH47" s="26" t="n">
        <v>0</v>
      </c>
      <c r="DI47" s="26" t="n">
        <v>0</v>
      </c>
      <c r="DJ47" s="26" t="n">
        <v>0</v>
      </c>
      <c r="DK47" s="26" t="n">
        <v>0</v>
      </c>
      <c r="DL47" s="26" t="n">
        <v>0</v>
      </c>
      <c r="DM47" s="26" t="n">
        <v>0</v>
      </c>
      <c r="DN47" s="26" t="n">
        <v>0</v>
      </c>
      <c r="DO47" s="26" t="n">
        <v>0</v>
      </c>
      <c r="DP47" s="26" t="n">
        <v>0</v>
      </c>
      <c r="DQ47" s="26" t="n">
        <v>0</v>
      </c>
      <c r="DR47" s="26" t="n">
        <v>0</v>
      </c>
      <c r="DS47" s="26" t="n">
        <v>0</v>
      </c>
      <c r="DT47" s="26" t="n">
        <v>0</v>
      </c>
      <c r="DU47" s="26" t="n">
        <v>0</v>
      </c>
      <c r="DV47" s="26" t="n">
        <v>0</v>
      </c>
      <c r="DW47" s="26" t="n">
        <v>0</v>
      </c>
      <c r="DX47" s="26" t="n">
        <v>0</v>
      </c>
      <c r="DY47" s="26" t="n">
        <v>0</v>
      </c>
      <c r="DZ47" s="26" t="n">
        <v>0</v>
      </c>
      <c r="EA47" s="26" t="n">
        <v>0</v>
      </c>
      <c r="EB47" s="26" t="n">
        <v>0</v>
      </c>
      <c r="EC47" s="26" t="n">
        <v>0</v>
      </c>
      <c r="ED47" s="26" t="n">
        <v>0</v>
      </c>
      <c r="EE47" s="26" t="n">
        <v>0</v>
      </c>
      <c r="EF47" s="26" t="n">
        <v>0</v>
      </c>
      <c r="EG47" s="26" t="n">
        <v>0</v>
      </c>
      <c r="EH47" s="26" t="n">
        <v>0</v>
      </c>
      <c r="EI47" s="26" t="n">
        <v>0</v>
      </c>
      <c r="EJ47" s="26" t="n">
        <v>0</v>
      </c>
      <c r="EK47" s="26" t="n">
        <v>0</v>
      </c>
      <c r="EL47" s="26" t="n">
        <v>0</v>
      </c>
      <c r="EM47" s="26" t="n">
        <v>0</v>
      </c>
      <c r="EN47" s="26" t="n">
        <v>0</v>
      </c>
      <c r="EO47" s="26" t="n">
        <v>0</v>
      </c>
      <c r="EP47" s="26" t="n">
        <v>0</v>
      </c>
      <c r="EQ47" s="26" t="n">
        <v>0</v>
      </c>
      <c r="ER47" s="26" t="n">
        <v>0</v>
      </c>
      <c r="ES47" s="26" t="n">
        <v>0</v>
      </c>
      <c r="ET47" s="26" t="n">
        <v>0</v>
      </c>
      <c r="EU47" s="26" t="n">
        <v>0</v>
      </c>
      <c r="EV47" s="26" t="n">
        <v>0</v>
      </c>
      <c r="EW47" s="26" t="n">
        <v>0</v>
      </c>
      <c r="EX47" s="26" t="n">
        <v>0</v>
      </c>
      <c r="EY47" s="26" t="n">
        <v>0</v>
      </c>
      <c r="EZ47" s="26" t="n">
        <v>0</v>
      </c>
      <c r="FA47" s="26" t="n">
        <v>0</v>
      </c>
      <c r="FB47" s="26" t="n">
        <v>0</v>
      </c>
      <c r="FC47" s="26" t="n">
        <v>0</v>
      </c>
      <c r="FD47" s="26" t="n">
        <v>0</v>
      </c>
      <c r="FE47" s="26" t="n">
        <v>0</v>
      </c>
      <c r="FF47" s="26" t="n">
        <v>0</v>
      </c>
      <c r="FG47" s="26" t="n">
        <v>0</v>
      </c>
      <c r="FH47" s="26" t="n">
        <v>0</v>
      </c>
      <c r="FI47" s="26" t="n">
        <v>0</v>
      </c>
      <c r="FJ47" s="26" t="n">
        <v>0</v>
      </c>
      <c r="FK47" s="26" t="n">
        <v>0</v>
      </c>
      <c r="FL47" s="26" t="n">
        <v>0</v>
      </c>
      <c r="FM47" s="26" t="n">
        <v>0</v>
      </c>
      <c r="FN47" s="26" t="n">
        <v>0</v>
      </c>
      <c r="FO47" s="26" t="n">
        <v>0</v>
      </c>
      <c r="FP47" s="26" t="n">
        <v>0</v>
      </c>
      <c r="FQ47" s="26" t="n">
        <v>0</v>
      </c>
      <c r="FR47" s="26" t="n">
        <v>0</v>
      </c>
      <c r="FS47" s="26" t="n">
        <v>0</v>
      </c>
      <c r="FT47" s="26" t="n">
        <v>0</v>
      </c>
      <c r="FU47" s="26" t="n">
        <v>0</v>
      </c>
      <c r="FV47" s="26" t="n">
        <v>0</v>
      </c>
      <c r="FW47" s="26" t="n">
        <v>0</v>
      </c>
      <c r="FX47" s="26" t="n">
        <v>0</v>
      </c>
      <c r="FY47" s="26" t="n">
        <v>0</v>
      </c>
      <c r="FZ47" s="26" t="n">
        <v>0</v>
      </c>
      <c r="GA47" s="26" t="n">
        <v>0</v>
      </c>
      <c r="GB47" s="26" t="n">
        <v>0</v>
      </c>
      <c r="GC47" s="26" t="n">
        <v>0</v>
      </c>
      <c r="GD47" s="26" t="n">
        <v>0</v>
      </c>
      <c r="GE47" s="26" t="n">
        <v>0</v>
      </c>
      <c r="GF47" s="26" t="n">
        <v>0</v>
      </c>
      <c r="GG47" s="26" t="n">
        <v>0</v>
      </c>
      <c r="GH47" s="26" t="n">
        <v>0</v>
      </c>
      <c r="GI47" s="26" t="n">
        <v>0</v>
      </c>
      <c r="GJ47" s="26" t="n">
        <v>0</v>
      </c>
      <c r="GK47" s="26" t="n">
        <v>0</v>
      </c>
      <c r="GL47" s="26" t="n">
        <v>0</v>
      </c>
      <c r="GM47" s="26" t="n">
        <v>0</v>
      </c>
      <c r="GN47" s="26" t="n">
        <v>0</v>
      </c>
      <c r="GO47" s="26" t="n">
        <v>0</v>
      </c>
      <c r="GP47" s="26" t="n">
        <v>0</v>
      </c>
      <c r="GQ47" s="26" t="n">
        <v>0</v>
      </c>
      <c r="GR47" s="26" t="n">
        <v>0</v>
      </c>
      <c r="GS47" s="26" t="n">
        <v>0</v>
      </c>
      <c r="GT47" s="26" t="n">
        <v>0</v>
      </c>
      <c r="GU47" s="26" t="n">
        <v>0</v>
      </c>
      <c r="GV47" s="26" t="n">
        <v>0</v>
      </c>
      <c r="GW47" s="26" t="n">
        <v>0</v>
      </c>
      <c r="GX47" s="26" t="n">
        <v>0</v>
      </c>
      <c r="GY47" s="26" t="n">
        <v>0</v>
      </c>
      <c r="GZ47" s="26" t="n">
        <v>0</v>
      </c>
      <c r="HA47" s="26" t="n">
        <v>0</v>
      </c>
      <c r="HB47" s="26" t="n">
        <v>0</v>
      </c>
      <c r="HC47" s="26" t="n">
        <v>0</v>
      </c>
      <c r="HD47" s="26" t="n">
        <v>0</v>
      </c>
      <c r="HE47" s="26" t="n">
        <v>0</v>
      </c>
      <c r="HF47" s="26" t="n">
        <v>0</v>
      </c>
      <c r="HG47" s="26" t="n">
        <v>0</v>
      </c>
      <c r="HH47" s="26" t="n">
        <v>0</v>
      </c>
      <c r="HI47" s="26" t="n">
        <v>0</v>
      </c>
      <c r="HJ47" s="26" t="n">
        <v>0</v>
      </c>
      <c r="HK47" s="26" t="n">
        <v>0</v>
      </c>
      <c r="HL47" s="26" t="n">
        <v>0</v>
      </c>
      <c r="HM47" s="26" t="n">
        <v>0</v>
      </c>
      <c r="HN47" s="26" t="n">
        <v>0</v>
      </c>
      <c r="HO47" s="26" t="n">
        <v>0</v>
      </c>
      <c r="HP47" s="26" t="n">
        <v>0</v>
      </c>
      <c r="HQ47" s="26" t="n">
        <v>0</v>
      </c>
      <c r="HR47" s="26" t="n">
        <v>0</v>
      </c>
      <c r="HS47" s="26" t="n">
        <v>0</v>
      </c>
      <c r="HT47" s="26" t="n">
        <v>0</v>
      </c>
      <c r="HU47" s="26" t="n">
        <v>0</v>
      </c>
      <c r="JF47" s="26">
        <f>AP47</f>
        <v/>
      </c>
      <c r="JG47" s="26">
        <f>SUM(Z47:AK47)</f>
        <v/>
      </c>
      <c r="JH47" s="26">
        <f>SUM(AL47:AP47)</f>
        <v/>
      </c>
      <c r="JI47" s="26">
        <f>SUM(C47:AP47)</f>
        <v/>
      </c>
      <c r="JJ47" s="446" t="n"/>
      <c r="JM47" s="26" t="n">
        <v>0</v>
      </c>
      <c r="KG47" s="136">
        <f>B47</f>
        <v/>
      </c>
      <c r="KH47" s="342">
        <f>AR47</f>
        <v/>
      </c>
    </row>
    <row r="48" ht="6" customHeight="1">
      <c r="A48" s="1" t="n"/>
      <c r="B48" s="128" t="n"/>
      <c r="C48" s="512" t="n"/>
      <c r="D48" s="512" t="n"/>
      <c r="E48" s="512" t="n"/>
      <c r="F48" s="512" t="n"/>
      <c r="G48" s="512" t="n"/>
      <c r="H48" s="512" t="n"/>
      <c r="I48" s="512" t="n"/>
      <c r="J48" s="513" t="n"/>
      <c r="K48" s="512" t="n"/>
      <c r="L48" s="512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2" t="n"/>
      <c r="AR48" s="533" t="n"/>
      <c r="AS48" s="512" t="n"/>
      <c r="AT48" s="512" t="n"/>
      <c r="AU48" s="512" t="n"/>
      <c r="AV48" s="512" t="n"/>
      <c r="AW48" s="512" t="n"/>
      <c r="AX48" s="512" t="n"/>
      <c r="AY48" s="512" t="n"/>
      <c r="AZ48" s="512" t="n"/>
      <c r="BA48" s="512" t="n"/>
      <c r="BB48" s="512" t="n"/>
      <c r="BC48" s="512" t="n"/>
      <c r="BD48" s="515" t="n"/>
      <c r="BE48" s="512" t="n"/>
      <c r="BF48" s="512" t="n"/>
      <c r="BG48" s="512" t="n"/>
      <c r="BH48" s="512" t="n"/>
      <c r="BI48" s="512" t="n"/>
      <c r="BJ48" s="512" t="n"/>
      <c r="BK48" s="512" t="n"/>
      <c r="BL48" s="512" t="n"/>
      <c r="BM48" s="512" t="n"/>
      <c r="BN48" s="512" t="n"/>
      <c r="BO48" s="512" t="n"/>
      <c r="BP48" s="515" t="n"/>
      <c r="BQ48" s="512" t="n"/>
      <c r="BR48" s="512" t="n"/>
      <c r="BS48" s="512" t="n"/>
      <c r="BT48" s="512" t="n"/>
      <c r="BU48" s="512" t="n"/>
      <c r="BV48" s="512" t="n"/>
      <c r="BW48" s="512" t="n"/>
      <c r="BX48" s="512" t="n"/>
      <c r="BY48" s="512" t="n"/>
      <c r="BZ48" s="512" t="n"/>
      <c r="CA48" s="512" t="n"/>
      <c r="CB48" s="515" t="n"/>
      <c r="CC48" s="512" t="n"/>
      <c r="CD48" s="512" t="n"/>
      <c r="CE48" s="512" t="n"/>
      <c r="CF48" s="512" t="n"/>
      <c r="CG48" s="512" t="n"/>
      <c r="CH48" s="512" t="n"/>
      <c r="CI48" s="512" t="n"/>
      <c r="CJ48" s="512" t="n"/>
      <c r="CK48" s="512" t="n"/>
      <c r="CL48" s="512" t="n"/>
      <c r="CM48" s="512" t="n"/>
      <c r="CN48" s="515" t="n"/>
      <c r="CO48" s="512" t="n"/>
      <c r="CP48" s="512" t="n"/>
      <c r="CQ48" s="512" t="n"/>
      <c r="CR48" s="512" t="n"/>
      <c r="CS48" s="512" t="n"/>
      <c r="CT48" s="512" t="n"/>
      <c r="CU48" s="512" t="n"/>
      <c r="CV48" s="512" t="n"/>
      <c r="CW48" s="512" t="n"/>
      <c r="CX48" s="512" t="n"/>
      <c r="CY48" s="512" t="n"/>
      <c r="CZ48" s="515" t="n"/>
      <c r="DA48" s="512" t="n"/>
      <c r="DB48" s="512" t="n"/>
      <c r="DC48" s="512" t="n"/>
      <c r="DD48" s="512" t="n"/>
      <c r="DE48" s="512" t="n"/>
      <c r="DF48" s="512" t="n"/>
      <c r="DG48" s="512" t="n"/>
      <c r="DH48" s="512" t="n"/>
      <c r="DI48" s="512" t="n"/>
      <c r="DJ48" s="512" t="n"/>
      <c r="DK48" s="512" t="n"/>
      <c r="DL48" s="512" t="n"/>
      <c r="DM48" s="512" t="n"/>
      <c r="DN48" s="512" t="n"/>
      <c r="DO48" s="512" t="n"/>
      <c r="DP48" s="512" t="n"/>
      <c r="DQ48" s="512" t="n"/>
      <c r="DR48" s="512" t="n"/>
      <c r="DS48" s="512" t="n"/>
      <c r="DT48" s="512" t="n"/>
      <c r="DU48" s="512" t="n"/>
      <c r="DV48" s="512" t="n"/>
      <c r="DW48" s="512" t="n"/>
      <c r="DX48" s="512" t="n"/>
      <c r="DY48" s="512" t="n"/>
      <c r="DZ48" s="512" t="n"/>
      <c r="EA48" s="512" t="n"/>
      <c r="EB48" s="512" t="n"/>
      <c r="EC48" s="512" t="n"/>
      <c r="ED48" s="512" t="n"/>
      <c r="EE48" s="512" t="n"/>
      <c r="EF48" s="512" t="n"/>
      <c r="EG48" s="512" t="n"/>
      <c r="EH48" s="512" t="n"/>
      <c r="EI48" s="512" t="n"/>
      <c r="EJ48" s="512" t="n"/>
      <c r="EK48" s="512" t="n"/>
      <c r="EL48" s="512" t="n"/>
      <c r="EM48" s="512" t="n"/>
      <c r="EN48" s="512" t="n"/>
      <c r="EO48" s="512" t="n"/>
      <c r="EP48" s="512" t="n"/>
      <c r="EQ48" s="512" t="n"/>
      <c r="ER48" s="512" t="n"/>
      <c r="ES48" s="512" t="n"/>
      <c r="ET48" s="512" t="n"/>
      <c r="EU48" s="512" t="n"/>
      <c r="EV48" s="512" t="n"/>
      <c r="EW48" s="512" t="n"/>
      <c r="EX48" s="512" t="n"/>
      <c r="EY48" s="512" t="n"/>
      <c r="EZ48" s="512" t="n"/>
      <c r="FA48" s="512" t="n"/>
      <c r="FB48" s="512" t="n"/>
      <c r="FC48" s="512" t="n"/>
      <c r="FD48" s="512" t="n"/>
      <c r="FE48" s="512" t="n"/>
      <c r="FF48" s="512" t="n"/>
      <c r="FG48" s="512" t="n"/>
      <c r="FH48" s="512" t="n"/>
      <c r="FI48" s="512" t="n"/>
      <c r="FJ48" s="512" t="n"/>
      <c r="FK48" s="512" t="n"/>
      <c r="FL48" s="512" t="n"/>
      <c r="FM48" s="512" t="n"/>
      <c r="FN48" s="512" t="n"/>
      <c r="FO48" s="512" t="n"/>
      <c r="FP48" s="512" t="n"/>
      <c r="FQ48" s="512" t="n"/>
      <c r="FR48" s="512" t="n"/>
      <c r="FS48" s="512" t="n"/>
      <c r="FT48" s="512" t="n"/>
      <c r="FU48" s="512" t="n"/>
      <c r="FV48" s="512" t="n"/>
      <c r="FW48" s="512" t="n"/>
      <c r="FX48" s="512" t="n"/>
      <c r="FY48" s="512" t="n"/>
      <c r="FZ48" s="512" t="n"/>
      <c r="GA48" s="512" t="n"/>
      <c r="GB48" s="512" t="n"/>
      <c r="GC48" s="512" t="n"/>
      <c r="GD48" s="512" t="n"/>
      <c r="GE48" s="512" t="n"/>
      <c r="GF48" s="512" t="n"/>
      <c r="GG48" s="512" t="n"/>
      <c r="GH48" s="512" t="n"/>
      <c r="GI48" s="512" t="n"/>
      <c r="GJ48" s="512" t="n"/>
      <c r="GK48" s="512" t="n"/>
      <c r="GL48" s="512" t="n"/>
      <c r="GM48" s="512" t="n"/>
      <c r="GN48" s="512" t="n"/>
      <c r="GO48" s="512" t="n"/>
      <c r="GP48" s="512" t="n"/>
      <c r="GQ48" s="512" t="n"/>
      <c r="GR48" s="512" t="n"/>
      <c r="GS48" s="512" t="n"/>
      <c r="GT48" s="512" t="n"/>
      <c r="GU48" s="512" t="n"/>
      <c r="GV48" s="512" t="n"/>
      <c r="GW48" s="512" t="n"/>
      <c r="GX48" s="512" t="n"/>
      <c r="GY48" s="512" t="n"/>
      <c r="GZ48" s="512" t="n"/>
      <c r="HA48" s="512" t="n"/>
      <c r="HB48" s="512" t="n"/>
      <c r="HC48" s="512" t="n"/>
      <c r="HD48" s="512" t="n"/>
      <c r="HE48" s="512" t="n"/>
      <c r="HF48" s="512" t="n"/>
      <c r="HG48" s="512" t="n"/>
      <c r="HH48" s="512" t="n"/>
      <c r="HI48" s="512" t="n"/>
      <c r="HJ48" s="512" t="n"/>
      <c r="HK48" s="512" t="n"/>
      <c r="HL48" s="512" t="n"/>
      <c r="HM48" s="512" t="n"/>
      <c r="HN48" s="512" t="n"/>
      <c r="HO48" s="512" t="n"/>
      <c r="HP48" s="512" t="n"/>
      <c r="HQ48" s="512" t="n"/>
      <c r="HR48" s="512" t="n"/>
      <c r="HS48" s="512" t="n"/>
      <c r="HT48" s="512" t="n"/>
      <c r="HU48" s="512" t="n"/>
      <c r="JF48" s="512">
        <f>AP48</f>
        <v/>
      </c>
      <c r="JG48" s="512">
        <f>SUM(Z48:AK48)</f>
        <v/>
      </c>
      <c r="JH48" s="512">
        <f>SUM(AL48:AP48)</f>
        <v/>
      </c>
      <c r="JI48" s="512">
        <f>SUM(C48:AP48)</f>
        <v/>
      </c>
      <c r="JJ48" s="446" t="n"/>
      <c r="JM48" s="512" t="n"/>
      <c r="KG48" s="128">
        <f>B48</f>
        <v/>
      </c>
      <c r="KH48" s="533">
        <f>AR48</f>
        <v/>
      </c>
    </row>
    <row r="49" ht="16.2" customHeight="1">
      <c r="A49" s="19" t="inlineStr">
        <is>
          <t>OUTRAS DESPESAS (-)</t>
        </is>
      </c>
      <c r="B49" s="139" t="n"/>
      <c r="C49" s="20" t="n"/>
      <c r="D49" s="22" t="n"/>
      <c r="E49" s="20" t="n"/>
      <c r="F49" s="20" t="n"/>
      <c r="G49" s="20" t="n"/>
      <c r="H49" s="20" t="n"/>
      <c r="I49" s="21" t="n"/>
      <c r="J49" s="175" t="n"/>
      <c r="K49" s="21" t="n"/>
      <c r="L49" s="108" t="n"/>
      <c r="M49" s="220" t="n"/>
      <c r="N49" s="220" t="n"/>
      <c r="O49" s="220" t="n"/>
      <c r="P49" s="220" t="n"/>
      <c r="Q49" s="220" t="n"/>
      <c r="R49" s="220" t="n"/>
      <c r="S49" s="220" t="n"/>
      <c r="T49" s="220" t="n"/>
      <c r="U49" s="220" t="n"/>
      <c r="V49" s="220" t="n"/>
      <c r="W49" s="220" t="n"/>
      <c r="X49" s="220" t="n"/>
      <c r="Y49" s="220" t="n"/>
      <c r="Z49" s="220" t="n"/>
      <c r="AA49" s="220" t="n"/>
      <c r="AB49" s="220" t="n"/>
      <c r="AC49" s="220" t="n"/>
      <c r="AD49" s="220" t="n"/>
      <c r="AE49" s="220" t="n"/>
      <c r="AF49" s="220" t="n"/>
      <c r="AG49" s="220" t="n"/>
      <c r="AH49" s="220" t="n"/>
      <c r="AI49" s="220" t="n"/>
      <c r="AJ49" s="220" t="n"/>
      <c r="AK49" s="220" t="n"/>
      <c r="AL49" s="220" t="n"/>
      <c r="AM49" s="220" t="n"/>
      <c r="AN49" s="220" t="n"/>
      <c r="AO49" s="220" t="n"/>
      <c r="AP49" s="220" t="n"/>
      <c r="AQ49" s="200" t="n"/>
      <c r="AR49" s="241" t="n"/>
      <c r="AS49" s="20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99" t="n"/>
      <c r="BE49" s="22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99" t="n"/>
      <c r="BQ49" s="22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99" t="n"/>
      <c r="CC49" s="22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99" t="n"/>
      <c r="CO49" s="22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99" t="n"/>
      <c r="DA49" s="22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1" t="n"/>
      <c r="DK49" s="20" t="n"/>
      <c r="DL49" s="21" t="n"/>
      <c r="DM49" s="20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n"/>
      <c r="DZ49" s="21" t="n"/>
      <c r="EA49" s="21" t="n"/>
      <c r="EB49" s="21" t="n"/>
      <c r="EC49" s="21" t="n"/>
      <c r="ED49" s="21" t="n"/>
      <c r="EE49" s="21" t="n"/>
      <c r="EF49" s="21" t="n"/>
      <c r="EG49" s="21" t="n"/>
      <c r="EH49" s="21" t="n"/>
      <c r="EI49" s="21" t="n"/>
      <c r="EJ49" s="21" t="n"/>
      <c r="EK49" s="21" t="n"/>
      <c r="EL49" s="21" t="n"/>
      <c r="EM49" s="21" t="n"/>
      <c r="EN49" s="21" t="n"/>
      <c r="EO49" s="21" t="n"/>
      <c r="EP49" s="21" t="n"/>
      <c r="EQ49" s="21" t="n"/>
      <c r="ER49" s="21" t="n"/>
      <c r="ES49" s="21" t="n"/>
      <c r="ET49" s="21" t="n"/>
      <c r="EU49" s="21" t="n"/>
      <c r="EV49" s="21" t="n"/>
      <c r="EW49" s="21" t="n"/>
      <c r="EX49" s="21" t="n"/>
      <c r="EY49" s="21" t="n"/>
      <c r="EZ49" s="21" t="n"/>
      <c r="FA49" s="21" t="n"/>
      <c r="FB49" s="21" t="n"/>
      <c r="FC49" s="21" t="n"/>
      <c r="FD49" s="21" t="n"/>
      <c r="FE49" s="21" t="n"/>
      <c r="FF49" s="21" t="n"/>
      <c r="FG49" s="21" t="n"/>
      <c r="FH49" s="21" t="n"/>
      <c r="FI49" s="21" t="n"/>
      <c r="FJ49" s="21" t="n"/>
      <c r="FK49" s="21" t="n"/>
      <c r="FL49" s="21" t="n"/>
      <c r="FM49" s="21" t="n"/>
      <c r="FN49" s="21" t="n"/>
      <c r="FO49" s="21" t="n"/>
      <c r="FP49" s="21" t="n"/>
      <c r="FQ49" s="21" t="n"/>
      <c r="FR49" s="21" t="n"/>
      <c r="FS49" s="21" t="n"/>
      <c r="FT49" s="21" t="n"/>
      <c r="FU49" s="21" t="n"/>
      <c r="FV49" s="21" t="n"/>
      <c r="FW49" s="21" t="n"/>
      <c r="FX49" s="21" t="n"/>
      <c r="FY49" s="21" t="n"/>
      <c r="FZ49" s="21" t="n"/>
      <c r="GA49" s="21" t="n"/>
      <c r="GB49" s="21" t="n"/>
      <c r="GC49" s="21" t="n"/>
      <c r="GD49" s="21" t="n"/>
      <c r="GE49" s="21" t="n"/>
      <c r="GF49" s="21" t="n"/>
      <c r="GG49" s="21" t="n"/>
      <c r="GH49" s="21" t="n"/>
      <c r="GI49" s="21" t="n"/>
      <c r="GJ49" s="21" t="n"/>
      <c r="GK49" s="21" t="n"/>
      <c r="GL49" s="21" t="n"/>
      <c r="GM49" s="21" t="n"/>
      <c r="GN49" s="21" t="n"/>
      <c r="GO49" s="21" t="n"/>
      <c r="GP49" s="21" t="n"/>
      <c r="GQ49" s="21" t="n"/>
      <c r="GR49" s="21" t="n"/>
      <c r="GS49" s="21" t="n"/>
      <c r="GT49" s="21" t="n"/>
      <c r="GU49" s="21" t="n"/>
      <c r="GV49" s="21" t="n"/>
      <c r="GW49" s="21" t="n"/>
      <c r="GX49" s="21" t="n"/>
      <c r="GY49" s="21" t="n"/>
      <c r="GZ49" s="21" t="n"/>
      <c r="HA49" s="21" t="n"/>
      <c r="HB49" s="21" t="n"/>
      <c r="HC49" s="21" t="n"/>
      <c r="HD49" s="21" t="n"/>
      <c r="HE49" s="21" t="n"/>
      <c r="HF49" s="21" t="n"/>
      <c r="HG49" s="21" t="n"/>
      <c r="HH49" s="21" t="n"/>
      <c r="HI49" s="21" t="n"/>
      <c r="HJ49" s="21" t="n"/>
      <c r="HK49" s="21" t="n"/>
      <c r="HL49" s="21" t="n"/>
      <c r="HM49" s="21" t="n"/>
      <c r="HN49" s="21" t="n"/>
      <c r="HO49" s="21" t="n"/>
      <c r="HP49" s="21" t="n"/>
      <c r="HQ49" s="21" t="n"/>
      <c r="HR49" s="21" t="n"/>
      <c r="HS49" s="21" t="n"/>
      <c r="HT49" s="21" t="n"/>
      <c r="HU49" s="21" t="n"/>
      <c r="JF49" s="20">
        <f>AP49</f>
        <v/>
      </c>
      <c r="JG49" s="20">
        <f>SUM(Z49:AK49)</f>
        <v/>
      </c>
      <c r="JH49" s="20">
        <f>SUM(AL49:AP49)</f>
        <v/>
      </c>
      <c r="JI49" s="20">
        <f>SUM(C49:AP49)</f>
        <v/>
      </c>
      <c r="JJ49" s="446" t="n"/>
      <c r="JM49" s="21" t="n"/>
      <c r="KG49" s="139">
        <f>B49</f>
        <v/>
      </c>
      <c r="KH49" s="241">
        <f>AR49</f>
        <v/>
      </c>
    </row>
    <row r="50" ht="16.2" customHeight="1">
      <c r="A50" s="58" t="inlineStr">
        <is>
          <t>Outras Despesas (adm)</t>
        </is>
      </c>
      <c r="B50" s="136">
        <f>SUM(C50:AP50)</f>
        <v/>
      </c>
      <c r="C50" s="33" t="n"/>
      <c r="D50" s="76" t="n"/>
      <c r="E50" s="33" t="n"/>
      <c r="F50" s="33" t="n"/>
      <c r="G50" s="33" t="n"/>
      <c r="H50" s="33" t="n"/>
      <c r="I50" s="75" t="n"/>
      <c r="J50" s="223" t="n"/>
      <c r="K50" s="119" t="n"/>
      <c r="L50" s="122" t="n">
        <v>-1243.93</v>
      </c>
      <c r="M50" s="219" t="n"/>
      <c r="N50" s="219" t="n"/>
      <c r="O50" s="219" t="n">
        <v>-339</v>
      </c>
      <c r="P50" s="219" t="n"/>
      <c r="Q50" s="219" t="n"/>
      <c r="R50" s="219" t="n"/>
      <c r="S50" s="219" t="n"/>
      <c r="T50" s="219" t="n"/>
      <c r="U50" s="219" t="n"/>
      <c r="V50" s="219" t="n">
        <v>-389</v>
      </c>
      <c r="W50" s="219" t="n">
        <v>0</v>
      </c>
      <c r="X50" s="219" t="n">
        <v>-4</v>
      </c>
      <c r="Y50" s="219" t="n">
        <v>-1155.21</v>
      </c>
      <c r="Z50" s="219" t="n">
        <v>-148.25</v>
      </c>
      <c r="AA50" s="219" t="n">
        <v>-344.9</v>
      </c>
      <c r="AB50" s="219" t="n">
        <v>-459.58</v>
      </c>
      <c r="AC50" s="219">
        <f>-26826.58-250</f>
        <v/>
      </c>
      <c r="AD50" s="219" t="n">
        <v>-6297.44</v>
      </c>
      <c r="AE50" s="219" t="n">
        <v>-4312.64</v>
      </c>
      <c r="AF50" s="219" t="n">
        <v>-4226.87</v>
      </c>
      <c r="AG50" s="219" t="n">
        <v>-4662.58</v>
      </c>
      <c r="AH50" s="219" t="n">
        <v>-4676.65</v>
      </c>
      <c r="AI50" s="219" t="n">
        <v>-5244.59</v>
      </c>
      <c r="AJ50" s="219" t="n">
        <v>-5086.32</v>
      </c>
      <c r="AK50" s="219" t="n">
        <v>-4749.4</v>
      </c>
      <c r="AL50" s="219" t="n">
        <v>-4366.28</v>
      </c>
      <c r="AM50" s="219" t="n">
        <v>-4868.24</v>
      </c>
      <c r="AN50" s="219" t="n">
        <v>-4811.9</v>
      </c>
      <c r="AO50" s="219" t="n">
        <v>-567905.9300000001</v>
      </c>
      <c r="AP50" s="219" t="n">
        <v>-4927.16</v>
      </c>
      <c r="AQ50" s="13" t="n"/>
      <c r="AR50" s="345">
        <f>SUM(AT50:HU50)</f>
        <v/>
      </c>
      <c r="AS50" s="13" t="n"/>
      <c r="AT50" s="76" t="n">
        <v>-8000</v>
      </c>
      <c r="AU50" s="76" t="n">
        <v>-8000</v>
      </c>
      <c r="AV50" s="76" t="n">
        <v>-8000</v>
      </c>
      <c r="AW50" s="76" t="n">
        <v>-8000</v>
      </c>
      <c r="AX50" s="76" t="n">
        <v>-8000</v>
      </c>
      <c r="AY50" s="76" t="n">
        <v>-8000</v>
      </c>
      <c r="AZ50" s="76" t="n">
        <v>-8000</v>
      </c>
      <c r="BA50" s="76" t="n">
        <v>-8000</v>
      </c>
      <c r="BB50" s="76" t="n">
        <v>-8000</v>
      </c>
      <c r="BC50" s="76" t="n">
        <v>-8000</v>
      </c>
      <c r="BD50" s="76" t="n">
        <v>-8000</v>
      </c>
      <c r="BE50" s="76" t="n">
        <v>-8000</v>
      </c>
      <c r="BF50" s="76" t="n">
        <v>-8000</v>
      </c>
      <c r="BG50" s="76" t="n">
        <v>-8000</v>
      </c>
      <c r="BH50" s="76" t="n">
        <v>-8000</v>
      </c>
      <c r="BI50" s="76" t="n">
        <v>-8000</v>
      </c>
      <c r="BJ50" s="76" t="n">
        <v>-8000</v>
      </c>
      <c r="BK50" s="76" t="n">
        <v>-8000</v>
      </c>
      <c r="BL50" s="76" t="n">
        <v>-8000</v>
      </c>
      <c r="BM50" s="76" t="n">
        <v>-8000</v>
      </c>
      <c r="BN50" s="76" t="n">
        <v>-8000</v>
      </c>
      <c r="BO50" s="76" t="n">
        <v>-8000</v>
      </c>
      <c r="BP50" s="76" t="n">
        <v>-8000</v>
      </c>
      <c r="BQ50" s="76" t="n">
        <v>-8000</v>
      </c>
      <c r="BR50" s="76" t="n">
        <v>-8000</v>
      </c>
      <c r="BS50" s="76" t="n">
        <v>-8000</v>
      </c>
      <c r="BT50" s="76" t="n">
        <v>-8000</v>
      </c>
      <c r="BU50" s="76" t="n">
        <v>-8000</v>
      </c>
      <c r="BV50" s="76" t="n">
        <v>-8000</v>
      </c>
      <c r="BW50" s="76" t="n">
        <v>-8000</v>
      </c>
      <c r="BX50" s="76" t="n">
        <v>-8000</v>
      </c>
      <c r="BY50" s="76" t="n">
        <v>-8000</v>
      </c>
      <c r="BZ50" s="76" t="n">
        <v>-8000</v>
      </c>
      <c r="CA50" s="76" t="n">
        <v>-8000</v>
      </c>
      <c r="CB50" s="76" t="n">
        <v>-8000</v>
      </c>
      <c r="CC50" s="76" t="n">
        <v>-8000</v>
      </c>
      <c r="CD50" s="76" t="n">
        <v>-8000</v>
      </c>
      <c r="CE50" s="76" t="n">
        <v>-8000</v>
      </c>
      <c r="CF50" s="76" t="n">
        <v>-8000</v>
      </c>
      <c r="CG50" s="76" t="n">
        <v>-8000</v>
      </c>
      <c r="CH50" s="76" t="n">
        <v>-8000</v>
      </c>
      <c r="CI50" s="76" t="n">
        <v>-8000</v>
      </c>
      <c r="CJ50" s="76" t="n">
        <v>-8000</v>
      </c>
      <c r="CK50" s="76" t="n">
        <v>-8000</v>
      </c>
      <c r="CL50" s="76" t="n">
        <v>-8000</v>
      </c>
      <c r="CM50" s="76" t="n">
        <v>-8000</v>
      </c>
      <c r="CN50" s="76" t="n">
        <v>-8000</v>
      </c>
      <c r="CO50" s="76" t="n">
        <v>-8000</v>
      </c>
      <c r="CP50" s="76" t="n">
        <v>-8000</v>
      </c>
      <c r="CQ50" s="76" t="n">
        <v>-8000</v>
      </c>
      <c r="CR50" s="76" t="n">
        <v>-8000</v>
      </c>
      <c r="CS50" s="76" t="n">
        <v>-8000</v>
      </c>
      <c r="CT50" s="76" t="n">
        <v>-8000</v>
      </c>
      <c r="CU50" s="76" t="n">
        <v>-8000</v>
      </c>
      <c r="CV50" s="76" t="n">
        <v>-8000</v>
      </c>
      <c r="CW50" s="76" t="n">
        <v>-8000</v>
      </c>
      <c r="CX50" s="76" t="n">
        <v>-8000</v>
      </c>
      <c r="CY50" s="76" t="n">
        <v>-8000</v>
      </c>
      <c r="CZ50" s="76" t="n">
        <v>-8000</v>
      </c>
      <c r="DA50" s="76" t="n">
        <v>-8000</v>
      </c>
      <c r="DB50" s="76" t="n">
        <v>-8000</v>
      </c>
      <c r="DC50" s="76" t="n">
        <v>-8000</v>
      </c>
      <c r="DD50" s="76" t="n">
        <v>-8000</v>
      </c>
      <c r="DE50" s="76" t="n">
        <v>-8000</v>
      </c>
      <c r="DF50" s="76" t="n">
        <v>-8000</v>
      </c>
      <c r="DG50" s="76" t="n">
        <v>-8000</v>
      </c>
      <c r="DH50" s="76" t="n">
        <v>-8000</v>
      </c>
      <c r="DI50" s="76" t="n">
        <v>-8000</v>
      </c>
      <c r="DJ50" s="76" t="n">
        <v>-8000</v>
      </c>
      <c r="DK50" s="76" t="n">
        <v>-8000</v>
      </c>
      <c r="DL50" s="76" t="n">
        <v>-8000</v>
      </c>
      <c r="DM50" s="76" t="n">
        <v>-8000</v>
      </c>
      <c r="DN50" s="76" t="n">
        <v>-8000</v>
      </c>
      <c r="DO50" s="76" t="n">
        <v>-8000</v>
      </c>
      <c r="DP50" s="76" t="n">
        <v>-8000</v>
      </c>
      <c r="DQ50" s="76" t="n">
        <v>-8000</v>
      </c>
      <c r="DR50" s="76" t="n"/>
      <c r="DS50" s="76" t="n"/>
      <c r="DT50" s="76" t="n"/>
      <c r="DU50" s="76" t="n"/>
      <c r="DV50" s="76" t="n"/>
      <c r="DW50" s="76" t="n"/>
      <c r="DX50" s="76" t="n"/>
      <c r="DY50" s="76" t="n"/>
      <c r="DZ50" s="76" t="n"/>
      <c r="EA50" s="76" t="n"/>
      <c r="EB50" s="76" t="n"/>
      <c r="EC50" s="76" t="n"/>
      <c r="ED50" s="76" t="n"/>
      <c r="EE50" s="76" t="n"/>
      <c r="EF50" s="76" t="n"/>
      <c r="EG50" s="76" t="n"/>
      <c r="EH50" s="76" t="n"/>
      <c r="EI50" s="76" t="n"/>
      <c r="EJ50" s="76" t="n"/>
      <c r="EK50" s="76" t="n"/>
      <c r="EL50" s="76" t="n"/>
      <c r="EM50" s="76" t="n"/>
      <c r="EN50" s="76" t="n"/>
      <c r="EO50" s="76" t="n"/>
      <c r="EP50" s="76" t="n"/>
      <c r="EQ50" s="76" t="n"/>
      <c r="ER50" s="76" t="n"/>
      <c r="ES50" s="76" t="n"/>
      <c r="ET50" s="76" t="n"/>
      <c r="EU50" s="76" t="n"/>
      <c r="EV50" s="76" t="n"/>
      <c r="EW50" s="76" t="n"/>
      <c r="EX50" s="76" t="n"/>
      <c r="EY50" s="76" t="n"/>
      <c r="EZ50" s="76" t="n"/>
      <c r="FA50" s="76" t="n"/>
      <c r="FB50" s="76" t="n"/>
      <c r="FC50" s="76" t="n"/>
      <c r="FD50" s="76" t="n"/>
      <c r="FE50" s="76" t="n"/>
      <c r="FF50" s="76" t="n"/>
      <c r="FG50" s="76" t="n"/>
      <c r="FH50" s="76" t="n"/>
      <c r="FI50" s="76" t="n"/>
      <c r="FJ50" s="76" t="n"/>
      <c r="FK50" s="76" t="n"/>
      <c r="FL50" s="76" t="n"/>
      <c r="FM50" s="76" t="n"/>
      <c r="FN50" s="76" t="n"/>
      <c r="FO50" s="76" t="n"/>
      <c r="FP50" s="76" t="n"/>
      <c r="FQ50" s="76" t="n"/>
      <c r="FR50" s="76" t="n"/>
      <c r="FS50" s="76" t="n"/>
      <c r="FT50" s="76" t="n"/>
      <c r="FU50" s="76" t="n"/>
      <c r="FV50" s="76" t="n"/>
      <c r="FW50" s="76" t="n"/>
      <c r="FX50" s="76" t="n"/>
      <c r="FY50" s="76" t="n"/>
      <c r="FZ50" s="76" t="n"/>
      <c r="GA50" s="76" t="n"/>
      <c r="GB50" s="76" t="n"/>
      <c r="GC50" s="76" t="n"/>
      <c r="GD50" s="76" t="n"/>
      <c r="GE50" s="76" t="n"/>
      <c r="GF50" s="76" t="n"/>
      <c r="GG50" s="76" t="n"/>
      <c r="GH50" s="76" t="n"/>
      <c r="GI50" s="76" t="n"/>
      <c r="GJ50" s="76" t="n"/>
      <c r="GK50" s="76" t="n"/>
      <c r="GL50" s="76" t="n"/>
      <c r="GM50" s="76" t="n"/>
      <c r="GN50" s="76" t="n"/>
      <c r="GO50" s="76" t="n"/>
      <c r="GP50" s="76" t="n"/>
      <c r="GQ50" s="76" t="n"/>
      <c r="GR50" s="76" t="n"/>
      <c r="GS50" s="76" t="n"/>
      <c r="GT50" s="76" t="n"/>
      <c r="GU50" s="76" t="n"/>
      <c r="GV50" s="76" t="n"/>
      <c r="GW50" s="76" t="n"/>
      <c r="GX50" s="76" t="n"/>
      <c r="GY50" s="76" t="n"/>
      <c r="GZ50" s="76" t="n"/>
      <c r="HA50" s="76" t="n"/>
      <c r="HB50" s="76" t="n"/>
      <c r="HC50" s="76" t="n"/>
      <c r="HD50" s="76" t="n"/>
      <c r="HE50" s="76" t="n"/>
      <c r="HF50" s="76" t="n"/>
      <c r="HG50" s="76" t="n"/>
      <c r="HH50" s="76" t="n"/>
      <c r="HI50" s="76" t="n"/>
      <c r="HJ50" s="76" t="n"/>
      <c r="HK50" s="76" t="n"/>
      <c r="HL50" s="76" t="n"/>
      <c r="HM50" s="76" t="n"/>
      <c r="HN50" s="76" t="n"/>
      <c r="HO50" s="76" t="n"/>
      <c r="HP50" s="76" t="n"/>
      <c r="HQ50" s="76" t="n"/>
      <c r="HR50" s="76" t="n"/>
      <c r="HS50" s="76" t="n"/>
      <c r="HT50" s="76" t="n"/>
      <c r="HU50" s="76" t="n"/>
      <c r="JF50" s="76">
        <f>AP50</f>
        <v/>
      </c>
      <c r="JG50" s="76">
        <f>SUM(Z50:AK50)</f>
        <v/>
      </c>
      <c r="JH50" s="76">
        <f>SUM(AL50:AP50)</f>
        <v/>
      </c>
      <c r="JI50" s="76">
        <f>SUM(C50:AP50)</f>
        <v/>
      </c>
      <c r="JJ50" s="446" t="n"/>
      <c r="JM50" s="76" t="n">
        <v>-8000</v>
      </c>
      <c r="KG50" s="136">
        <f>B50</f>
        <v/>
      </c>
      <c r="KH50" s="345">
        <f>AR50</f>
        <v/>
      </c>
    </row>
    <row r="51" ht="6" customHeight="1">
      <c r="A51" s="23" t="n"/>
      <c r="B51" s="265" t="n"/>
      <c r="C51" s="105" t="n"/>
      <c r="D51" s="104" t="n"/>
      <c r="E51" s="105" t="n"/>
      <c r="F51" s="105" t="n"/>
      <c r="G51" s="105" t="n"/>
      <c r="H51" s="105" t="n"/>
      <c r="I51" s="106" t="n"/>
      <c r="J51" s="180" t="n"/>
      <c r="K51" s="105" t="n"/>
      <c r="L51" s="105" t="n"/>
      <c r="M51" s="181" t="n"/>
      <c r="N51" s="181" t="n"/>
      <c r="O51" s="181" t="n"/>
      <c r="P51" s="181" t="n"/>
      <c r="Q51" s="181" t="n"/>
      <c r="R51" s="181" t="n"/>
      <c r="S51" s="181" t="n"/>
      <c r="T51" s="181" t="n"/>
      <c r="U51" s="181" t="n"/>
      <c r="V51" s="181" t="n"/>
      <c r="W51" s="181" t="n"/>
      <c r="X51" s="181" t="n"/>
      <c r="Y51" s="181" t="n"/>
      <c r="Z51" s="181" t="n"/>
      <c r="AA51" s="181" t="n"/>
      <c r="AB51" s="181" t="n"/>
      <c r="AC51" s="181" t="n"/>
      <c r="AD51" s="181" t="n"/>
      <c r="AE51" s="181" t="n"/>
      <c r="AF51" s="181" t="n"/>
      <c r="AG51" s="181" t="n"/>
      <c r="AH51" s="181" t="n"/>
      <c r="AI51" s="181" t="n"/>
      <c r="AJ51" s="181" t="n"/>
      <c r="AK51" s="181" t="n"/>
      <c r="AL51" s="181" t="n"/>
      <c r="AM51" s="181" t="n"/>
      <c r="AN51" s="181" t="n"/>
      <c r="AO51" s="181" t="n"/>
      <c r="AP51" s="181" t="n"/>
      <c r="AQ51" s="13" t="n"/>
      <c r="AR51" s="345" t="n"/>
      <c r="AS51" s="13" t="n"/>
      <c r="AT51" s="105" t="n"/>
      <c r="AU51" s="105" t="n"/>
      <c r="AV51" s="105" t="n"/>
      <c r="AW51" s="105" t="n"/>
      <c r="AX51" s="105" t="n"/>
      <c r="AY51" s="105" t="n"/>
      <c r="AZ51" s="105" t="n"/>
      <c r="BA51" s="105" t="n"/>
      <c r="BB51" s="105" t="n"/>
      <c r="BC51" s="105" t="n"/>
      <c r="BD51" s="304" t="n"/>
      <c r="BE51" s="104" t="n"/>
      <c r="BF51" s="105" t="n"/>
      <c r="BG51" s="105" t="n"/>
      <c r="BH51" s="105" t="n"/>
      <c r="BI51" s="105" t="n"/>
      <c r="BJ51" s="105" t="n"/>
      <c r="BK51" s="105" t="n"/>
      <c r="BL51" s="105" t="n"/>
      <c r="BM51" s="105" t="n"/>
      <c r="BN51" s="105" t="n"/>
      <c r="BO51" s="105" t="n"/>
      <c r="BP51" s="304" t="n"/>
      <c r="BQ51" s="104" t="n"/>
      <c r="BR51" s="105" t="n"/>
      <c r="BS51" s="105" t="n"/>
      <c r="BT51" s="105" t="n"/>
      <c r="BU51" s="105" t="n"/>
      <c r="BV51" s="105" t="n"/>
      <c r="BW51" s="105" t="n"/>
      <c r="BX51" s="105" t="n"/>
      <c r="BY51" s="105" t="n"/>
      <c r="BZ51" s="105" t="n"/>
      <c r="CA51" s="105" t="n"/>
      <c r="CB51" s="304" t="n"/>
      <c r="CC51" s="104" t="n"/>
      <c r="CD51" s="105" t="n"/>
      <c r="CE51" s="105" t="n"/>
      <c r="CF51" s="105" t="n"/>
      <c r="CG51" s="105" t="n"/>
      <c r="CH51" s="105" t="n"/>
      <c r="CI51" s="105" t="n"/>
      <c r="CJ51" s="105" t="n"/>
      <c r="CK51" s="105" t="n"/>
      <c r="CL51" s="105" t="n"/>
      <c r="CM51" s="105" t="n"/>
      <c r="CN51" s="304" t="n"/>
      <c r="CO51" s="104" t="n"/>
      <c r="CP51" s="105" t="n"/>
      <c r="CQ51" s="105" t="n"/>
      <c r="CR51" s="105" t="n"/>
      <c r="CS51" s="105" t="n"/>
      <c r="CT51" s="105" t="n"/>
      <c r="CU51" s="105" t="n"/>
      <c r="CV51" s="105" t="n"/>
      <c r="CW51" s="105" t="n"/>
      <c r="CX51" s="105" t="n"/>
      <c r="CY51" s="105" t="n"/>
      <c r="CZ51" s="304" t="n"/>
      <c r="DA51" s="104" t="n"/>
      <c r="DB51" s="105" t="n"/>
      <c r="DC51" s="105" t="n"/>
      <c r="DD51" s="105" t="n"/>
      <c r="DE51" s="105" t="n"/>
      <c r="DF51" s="105" t="n"/>
      <c r="DG51" s="105" t="n"/>
      <c r="DH51" s="105" t="n"/>
      <c r="DI51" s="105" t="n"/>
      <c r="DJ51" s="106" t="n"/>
      <c r="DK51" s="105" t="n"/>
      <c r="DL51" s="106" t="n"/>
      <c r="DM51" s="105" t="n"/>
      <c r="DN51" s="106" t="n"/>
      <c r="DO51" s="106" t="n"/>
      <c r="DP51" s="106" t="n"/>
      <c r="DQ51" s="106" t="n"/>
      <c r="DR51" s="106" t="n"/>
      <c r="DS51" s="106" t="n"/>
      <c r="DT51" s="106" t="n"/>
      <c r="DU51" s="106" t="n"/>
      <c r="DV51" s="106" t="n"/>
      <c r="DW51" s="106" t="n"/>
      <c r="DX51" s="106" t="n"/>
      <c r="DY51" s="106" t="n"/>
      <c r="DZ51" s="106" t="n"/>
      <c r="EA51" s="106" t="n"/>
      <c r="EB51" s="106" t="n"/>
      <c r="EC51" s="106" t="n"/>
      <c r="ED51" s="106" t="n"/>
      <c r="EE51" s="106" t="n"/>
      <c r="EF51" s="106" t="n"/>
      <c r="EG51" s="106" t="n"/>
      <c r="EH51" s="106" t="n"/>
      <c r="EI51" s="106" t="n"/>
      <c r="EJ51" s="106" t="n"/>
      <c r="EK51" s="106" t="n"/>
      <c r="EL51" s="106" t="n"/>
      <c r="EM51" s="106" t="n"/>
      <c r="EN51" s="106" t="n"/>
      <c r="EO51" s="106" t="n"/>
      <c r="EP51" s="106" t="n"/>
      <c r="EQ51" s="106" t="n"/>
      <c r="ER51" s="106" t="n"/>
      <c r="ES51" s="106" t="n"/>
      <c r="ET51" s="106" t="n"/>
      <c r="EU51" s="106" t="n"/>
      <c r="EV51" s="106" t="n"/>
      <c r="EW51" s="106" t="n"/>
      <c r="EX51" s="106" t="n"/>
      <c r="EY51" s="106" t="n"/>
      <c r="EZ51" s="106" t="n"/>
      <c r="FA51" s="106" t="n"/>
      <c r="FB51" s="106" t="n"/>
      <c r="FC51" s="106" t="n"/>
      <c r="FD51" s="106" t="n"/>
      <c r="FE51" s="106" t="n"/>
      <c r="FF51" s="106" t="n"/>
      <c r="FG51" s="106" t="n"/>
      <c r="FH51" s="106" t="n"/>
      <c r="FI51" s="106" t="n"/>
      <c r="FJ51" s="106" t="n"/>
      <c r="FK51" s="106" t="n"/>
      <c r="FL51" s="106" t="n"/>
      <c r="FM51" s="106" t="n"/>
      <c r="FN51" s="106" t="n"/>
      <c r="FO51" s="106" t="n"/>
      <c r="FP51" s="106" t="n"/>
      <c r="FQ51" s="106" t="n"/>
      <c r="FR51" s="106" t="n"/>
      <c r="FS51" s="106" t="n"/>
      <c r="FT51" s="106" t="n"/>
      <c r="FU51" s="106" t="n"/>
      <c r="FV51" s="106" t="n"/>
      <c r="FW51" s="106" t="n"/>
      <c r="FX51" s="106" t="n"/>
      <c r="FY51" s="106" t="n"/>
      <c r="FZ51" s="106" t="n"/>
      <c r="GA51" s="106" t="n"/>
      <c r="GB51" s="106" t="n"/>
      <c r="GC51" s="106" t="n"/>
      <c r="GD51" s="106" t="n"/>
      <c r="GE51" s="106" t="n"/>
      <c r="GF51" s="106" t="n"/>
      <c r="GG51" s="106" t="n"/>
      <c r="GH51" s="106" t="n"/>
      <c r="GI51" s="106" t="n"/>
      <c r="GJ51" s="106" t="n"/>
      <c r="GK51" s="106" t="n"/>
      <c r="GL51" s="106" t="n"/>
      <c r="GM51" s="106" t="n"/>
      <c r="GN51" s="106" t="n"/>
      <c r="GO51" s="106" t="n"/>
      <c r="GP51" s="106" t="n"/>
      <c r="GQ51" s="106" t="n"/>
      <c r="GR51" s="106" t="n"/>
      <c r="GS51" s="106" t="n"/>
      <c r="GT51" s="106" t="n"/>
      <c r="GU51" s="106" t="n"/>
      <c r="GV51" s="106" t="n"/>
      <c r="GW51" s="106" t="n"/>
      <c r="GX51" s="106" t="n"/>
      <c r="GY51" s="106" t="n"/>
      <c r="GZ51" s="106" t="n"/>
      <c r="HA51" s="106" t="n"/>
      <c r="HB51" s="106" t="n"/>
      <c r="HC51" s="106" t="n"/>
      <c r="HD51" s="106" t="n"/>
      <c r="HE51" s="106" t="n"/>
      <c r="HF51" s="106" t="n"/>
      <c r="HG51" s="106" t="n"/>
      <c r="HH51" s="106" t="n"/>
      <c r="HI51" s="106" t="n"/>
      <c r="HJ51" s="106" t="n"/>
      <c r="HK51" s="106" t="n"/>
      <c r="HL51" s="106" t="n"/>
      <c r="HM51" s="106" t="n"/>
      <c r="HN51" s="106" t="n"/>
      <c r="HO51" s="106" t="n"/>
      <c r="HP51" s="106" t="n"/>
      <c r="HQ51" s="106" t="n"/>
      <c r="HR51" s="106" t="n"/>
      <c r="HS51" s="106" t="n"/>
      <c r="HT51" s="106" t="n"/>
      <c r="HU51" s="106" t="n"/>
      <c r="JF51" s="105">
        <f>AP51</f>
        <v/>
      </c>
      <c r="JG51" s="105">
        <f>SUM(Z51:AK51)</f>
        <v/>
      </c>
      <c r="JH51" s="105">
        <f>SUM(AL51:AP51)</f>
        <v/>
      </c>
      <c r="JI51" s="105">
        <f>SUM(C51:AP51)</f>
        <v/>
      </c>
      <c r="JJ51" s="446" t="n"/>
      <c r="JM51" s="106" t="n"/>
      <c r="KG51" s="265">
        <f>B51</f>
        <v/>
      </c>
      <c r="KH51" s="345">
        <f>AR51</f>
        <v/>
      </c>
    </row>
    <row r="52" ht="16.2" customFormat="1" customHeight="1" s="267">
      <c r="A52" s="73" t="inlineStr">
        <is>
          <t>TOTAL DE DESPESAS OPERACIONAIS (-)</t>
        </is>
      </c>
      <c r="B52" s="268">
        <f>SUM(C52:AP52)</f>
        <v/>
      </c>
      <c r="C52" s="255">
        <f>C50+C47+C43+C38+C35+C29</f>
        <v/>
      </c>
      <c r="D52" s="255">
        <f>D50+D47+D43+D38+D35+D29</f>
        <v/>
      </c>
      <c r="E52" s="255">
        <f>E50+E47+E43+E38+E35+E29</f>
        <v/>
      </c>
      <c r="F52" s="255">
        <f>F50+F47+F43+F38+F35+F29</f>
        <v/>
      </c>
      <c r="G52" s="255">
        <f>G50+G47+G43+G38+G35+G29</f>
        <v/>
      </c>
      <c r="H52" s="255">
        <f>H50+H47+H43+H38+H35+H29</f>
        <v/>
      </c>
      <c r="I52" s="255">
        <f>I50+I47+I43+I38+I35+I29</f>
        <v/>
      </c>
      <c r="J52" s="255">
        <f>J50+J47+J43+J38+J35+J29</f>
        <v/>
      </c>
      <c r="K52" s="255">
        <f>K50+K47+K43+K38+K35+K29</f>
        <v/>
      </c>
      <c r="L52" s="255">
        <f>L50+L47+L43+L38+L35+L29</f>
        <v/>
      </c>
      <c r="M52" s="255">
        <f>M50+M47+M43+M38+M35+M29</f>
        <v/>
      </c>
      <c r="N52" s="255">
        <f>N50+N47+N43+N38+N35+N29</f>
        <v/>
      </c>
      <c r="O52" s="255">
        <f>O50+O47+O43+O38+O35+O29</f>
        <v/>
      </c>
      <c r="P52" s="255">
        <f>P50+P47+P43+P38+P35+P29</f>
        <v/>
      </c>
      <c r="Q52" s="255">
        <f>Q50+Q47+Q43+Q38+Q35+Q29</f>
        <v/>
      </c>
      <c r="R52" s="255">
        <f>R50+R47+R43+R38+R35+R29</f>
        <v/>
      </c>
      <c r="S52" s="255">
        <f>S50+S47+S43+S38+S35+S29</f>
        <v/>
      </c>
      <c r="T52" s="255">
        <f>T50+T47+T43+T38+T35+T29</f>
        <v/>
      </c>
      <c r="U52" s="255">
        <f>U50+U47+U43+U38+U35+U29</f>
        <v/>
      </c>
      <c r="V52" s="255">
        <f>V50+V47+V43+V38+V35+V29</f>
        <v/>
      </c>
      <c r="W52" s="255">
        <f>W50+W47+W43+W38+W35+W29</f>
        <v/>
      </c>
      <c r="X52" s="255">
        <f>X50+X47+X43+X38+X35+X29</f>
        <v/>
      </c>
      <c r="Y52" s="255">
        <f>Y50+Y47+Y43+Y38+Y35+Y29</f>
        <v/>
      </c>
      <c r="Z52" s="255">
        <f>Z50+Z47+Z43+Z38+Z35+Z29</f>
        <v/>
      </c>
      <c r="AA52" s="255">
        <f>AA50+AA47+AA43+AA38+AA35+AA29</f>
        <v/>
      </c>
      <c r="AB52" s="255">
        <f>AB50+AB47+AB43+AB38+AB35+AB29</f>
        <v/>
      </c>
      <c r="AC52" s="255">
        <f>AC50+AC47+AC43+AC38+AC35+AC29+AC44</f>
        <v/>
      </c>
      <c r="AD52" s="255">
        <f>AD50+AD47+AD43+AD38+AD35+AD29+AD44</f>
        <v/>
      </c>
      <c r="AE52" s="255">
        <f>AE50+AE47+AE43+AE38+AE35+AE29+AE44</f>
        <v/>
      </c>
      <c r="AF52" s="255">
        <f>AF50+AF47+AF43+AF38+AF35+AF29+AF44</f>
        <v/>
      </c>
      <c r="AG52" s="255">
        <f>AG50+AG47+AG43+AG38+AG35+AG29+AG44</f>
        <v/>
      </c>
      <c r="AH52" s="255">
        <f>AH50+AH47+AH43+AH38+AH35+AH29+AH44</f>
        <v/>
      </c>
      <c r="AI52" s="255">
        <f>AI50+AI47+AI43+AI38+AI35+AI29+AI44</f>
        <v/>
      </c>
      <c r="AJ52" s="255">
        <f>AJ50+AJ47+AJ43+AJ38+AJ35+AJ29+AJ44</f>
        <v/>
      </c>
      <c r="AK52" s="255">
        <f>AK50+AK47+AK43+AK38+AK35+AK29+AK44</f>
        <v/>
      </c>
      <c r="AL52" s="255">
        <f>AL50+AL47+AL43+AL38+AL35+AL29+AL44</f>
        <v/>
      </c>
      <c r="AM52" s="255">
        <f>AM50+AM47+AM43+AM38+AM35+AM29+AM44</f>
        <v/>
      </c>
      <c r="AN52" s="255">
        <f>AN50+AN47+AN43+AN38+AN35+AN29+AN44</f>
        <v/>
      </c>
      <c r="AO52" s="255">
        <f>AO50+AO47+AO43+AO38+AO35+AO29+AO44</f>
        <v/>
      </c>
      <c r="AP52" s="255">
        <f>AP50+AP47+AP43+AP38+AP35+AP29+AP44</f>
        <v/>
      </c>
      <c r="AQ52" s="13" t="n"/>
      <c r="AR52" s="245">
        <f>SUM(AT52:HU52)</f>
        <v/>
      </c>
      <c r="AS52" s="13" t="n"/>
      <c r="AT52" s="255">
        <f>AT50+AT47+AT43+AT38+AT35+AT29+AT44+AT40+AT39</f>
        <v/>
      </c>
      <c r="AU52" s="255">
        <f>AU50+AU47+AU43+AU38+AU35+AU29+AU44+AU40+AU39</f>
        <v/>
      </c>
      <c r="AV52" s="255">
        <f>AV50+AV47+AV43+AV38+AV35+AV29+AV44+AV40+AV39</f>
        <v/>
      </c>
      <c r="AW52" s="255">
        <f>AW50+AW47+AW43+AW38+AW35+AW29+AW44+AW40+AW39</f>
        <v/>
      </c>
      <c r="AX52" s="255">
        <f>AX50+AX47+AX43+AX38+AX35+AX29+AX44+AX40+AX39</f>
        <v/>
      </c>
      <c r="AY52" s="255">
        <f>AY50+AY47+AY43+AY38+AY35+AY29+AY44+AY40+AY39</f>
        <v/>
      </c>
      <c r="AZ52" s="255">
        <f>AZ50+AZ47+AZ43+AZ38+AZ35+AZ29+AZ44+AZ40+AZ39</f>
        <v/>
      </c>
      <c r="BA52" s="255">
        <f>BA50+BA47+BA43+BA38+BA35+BA29+BA44+BA40+BA39</f>
        <v/>
      </c>
      <c r="BB52" s="255">
        <f>BB50+BB47+BB43+BB38+BB35+BB29+BB44+BB40+BB39</f>
        <v/>
      </c>
      <c r="BC52" s="255">
        <f>BC50+BC47+BC43+BC38+BC35+BC29+BC44+BC40+BC39</f>
        <v/>
      </c>
      <c r="BD52" s="255">
        <f>BD50+BD47+BD43+BD38+BD35+BD29+BD44+BD40+BD39</f>
        <v/>
      </c>
      <c r="BE52" s="255">
        <f>BE50+BE47+BE43+BE38+BE35+BE29+BE44+BE40+BE39</f>
        <v/>
      </c>
      <c r="BF52" s="255">
        <f>BF50+BF47+BF43+BF38+BF35+BF29+BF44+BF40+BF39</f>
        <v/>
      </c>
      <c r="BG52" s="255">
        <f>BG50+BG47+BG43+BG38+BG35+BG29+BG44+BG40+BG39</f>
        <v/>
      </c>
      <c r="BH52" s="255">
        <f>BH50+BH47+BH43+BH38+BH35+BH29+BH44+BH40+BH39</f>
        <v/>
      </c>
      <c r="BI52" s="255">
        <f>BI50+BI47+BI43+BI38+BI35+BI29+BI44+BI40+BI39</f>
        <v/>
      </c>
      <c r="BJ52" s="255">
        <f>BJ50+BJ47+BJ43+BJ38+BJ35+BJ29+BJ44+BJ40+BJ39</f>
        <v/>
      </c>
      <c r="BK52" s="255">
        <f>BK50+BK47+BK43+BK38+BK35+BK29+BK44+BK40+BK39</f>
        <v/>
      </c>
      <c r="BL52" s="255">
        <f>BL50+BL47+BL43+BL38+BL35+BL29+BL44+BL40+BL39</f>
        <v/>
      </c>
      <c r="BM52" s="255">
        <f>BM50+BM47+BM43+BM38+BM35+BM29+BM44+BM40+BM39</f>
        <v/>
      </c>
      <c r="BN52" s="255">
        <f>BN50+BN47+BN43+BN38+BN35+BN29+BN44+BN40+BN39</f>
        <v/>
      </c>
      <c r="BO52" s="255">
        <f>BO50+BO47+BO43+BO38+BO35+BO29+BO44+BO40+BO39</f>
        <v/>
      </c>
      <c r="BP52" s="255">
        <f>BP50+BP47+BP43+BP38+BP35+BP29+BP44+BP40+BP39</f>
        <v/>
      </c>
      <c r="BQ52" s="255">
        <f>BQ50+BQ47+BQ43+BQ38+BQ35+BQ29+BQ44+BQ40+BQ39</f>
        <v/>
      </c>
      <c r="BR52" s="255">
        <f>BR50+BR47+BR43+BR38+BR35+BR29+BR44+BR40+BR39</f>
        <v/>
      </c>
      <c r="BS52" s="255">
        <f>BS50+BS47+BS43+BS38+BS35+BS29+BS44+BS40+BS39</f>
        <v/>
      </c>
      <c r="BT52" s="255">
        <f>BT50+BT47+BT43+BT38+BT35+BT29+BT44+BT40+BT39</f>
        <v/>
      </c>
      <c r="BU52" s="255">
        <f>BU50+BU47+BU43+BU38+BU35+BU29+BU44+BU40+BU39</f>
        <v/>
      </c>
      <c r="BV52" s="255">
        <f>BV50+BV47+BV43+BV38+BV35+BV29+BV44+BV40+BV39</f>
        <v/>
      </c>
      <c r="BW52" s="255">
        <f>BW50+BW47+BW43+BW38+BW35+BW29+BW44+BW40+BW39</f>
        <v/>
      </c>
      <c r="BX52" s="255">
        <f>BX50+BX47+BX43+BX38+BX35+BX29+BX44+BX40+BX39</f>
        <v/>
      </c>
      <c r="BY52" s="255">
        <f>BY50+BY47+BY43+BY38+BY35+BY29+BY44+BY40+BY39</f>
        <v/>
      </c>
      <c r="BZ52" s="255">
        <f>BZ50+BZ47+BZ43+BZ38+BZ35+BZ29+BZ44+BZ40+BZ39</f>
        <v/>
      </c>
      <c r="CA52" s="255">
        <f>CA50+CA47+CA43+CA38+CA35+CA29+CA44+CA40+CA39</f>
        <v/>
      </c>
      <c r="CB52" s="255">
        <f>CB50+CB47+CB43+CB38+CB35+CB29+CB44+CB40+CB39</f>
        <v/>
      </c>
      <c r="CC52" s="255">
        <f>CC50+CC47+CC43+CC38+CC35+CC29+CC44+CC40+CC39</f>
        <v/>
      </c>
      <c r="CD52" s="255">
        <f>CD50+CD47+CD43+CD38+CD35+CD29+CD44+CD40+CD39</f>
        <v/>
      </c>
      <c r="CE52" s="255">
        <f>CE50+CE47+CE43+CE38+CE35+CE29+CE44+CE40+CE39</f>
        <v/>
      </c>
      <c r="CF52" s="255">
        <f>CF50+CF47+CF43+CF38+CF35+CF29+CF44+CF40+CF39</f>
        <v/>
      </c>
      <c r="CG52" s="255">
        <f>CG50+CG47+CG43+CG38+CG35+CG29+CG44+CG40+CG39</f>
        <v/>
      </c>
      <c r="CH52" s="255">
        <f>CH50+CH47+CH43+CH38+CH35+CH29+CH44+CH40+CH39</f>
        <v/>
      </c>
      <c r="CI52" s="255">
        <f>CI50+CI47+CI43+CI38+CI35+CI29+CI44+CI40+CI39</f>
        <v/>
      </c>
      <c r="CJ52" s="255">
        <f>CJ50+CJ47+CJ43+CJ38+CJ35+CJ29+CJ44+CJ40+CJ39</f>
        <v/>
      </c>
      <c r="CK52" s="255">
        <f>CK50+CK47+CK43+CK38+CK35+CK29+CK44+CK40+CK39</f>
        <v/>
      </c>
      <c r="CL52" s="255">
        <f>CL50+CL47+CL43+CL38+CL35+CL29+CL44+CL40+CL39</f>
        <v/>
      </c>
      <c r="CM52" s="255">
        <f>CM50+CM47+CM43+CM38+CM35+CM29+CM44+CM40+CM39</f>
        <v/>
      </c>
      <c r="CN52" s="255">
        <f>CN50+CN47+CN43+CN38+CN35+CN29+CN44+CN40+CN39</f>
        <v/>
      </c>
      <c r="CO52" s="255">
        <f>CO50+CO47+CO43+CO38+CO35+CO29+CO44+CO40+CO39</f>
        <v/>
      </c>
      <c r="CP52" s="255">
        <f>CP50+CP47+CP43+CP38+CP35+CP29+CP44+CP40+CP39</f>
        <v/>
      </c>
      <c r="CQ52" s="255">
        <f>CQ50+CQ47+CQ43+CQ38+CQ35+CQ29+CQ44+CQ40+CQ39</f>
        <v/>
      </c>
      <c r="CR52" s="255">
        <f>CR50+CR47+CR43+CR38+CR35+CR29+CR44+CR40+CR39</f>
        <v/>
      </c>
      <c r="CS52" s="255">
        <f>CS50+CS47+CS43+CS38+CS35+CS29+CS44+CS40+CS39</f>
        <v/>
      </c>
      <c r="CT52" s="255">
        <f>CT50+CT47+CT43+CT38+CT35+CT29+CT44+CT40+CT39</f>
        <v/>
      </c>
      <c r="CU52" s="255">
        <f>CU50+CU47+CU43+CU38+CU35+CU29+CU44+CU40+CU39</f>
        <v/>
      </c>
      <c r="CV52" s="255">
        <f>CV50+CV47+CV43+CV38+CV35+CV29+CV44+CV40+CV39</f>
        <v/>
      </c>
      <c r="CW52" s="255">
        <f>CW50+CW47+CW43+CW38+CW35+CW29+CW44+CW40+CW39</f>
        <v/>
      </c>
      <c r="CX52" s="255">
        <f>CX50+CX47+CX43+CX38+CX35+CX29+CX44+CX40+CX39</f>
        <v/>
      </c>
      <c r="CY52" s="255">
        <f>CY50+CY47+CY43+CY38+CY35+CY29+CY44+CY40+CY39</f>
        <v/>
      </c>
      <c r="CZ52" s="255">
        <f>CZ50+CZ47+CZ43+CZ38+CZ35+CZ29+CZ44+CZ40+CZ39</f>
        <v/>
      </c>
      <c r="DA52" s="255">
        <f>DA50+DA47+DA43+DA38+DA35+DA29+DA44+DA40+DA39</f>
        <v/>
      </c>
      <c r="DB52" s="255">
        <f>DB50+DB47+DB43+DB38+DB35+DB29+DB44+DB40+DB39</f>
        <v/>
      </c>
      <c r="DC52" s="255">
        <f>DC50+DC47+DC43+DC38+DC35+DC29+DC44+DC40+DC39</f>
        <v/>
      </c>
      <c r="DD52" s="255">
        <f>DD50+DD47+DD43+DD38+DD35+DD29+DD44+DD40+DD39</f>
        <v/>
      </c>
      <c r="DE52" s="255">
        <f>DE50+DE47+DE43+DE38+DE35+DE29+DE44+DE40+DE39</f>
        <v/>
      </c>
      <c r="DF52" s="255">
        <f>DF50+DF47+DF43+DF38+DF35+DF29+DF44+DF40+DF39</f>
        <v/>
      </c>
      <c r="DG52" s="255">
        <f>DG50+DG47+DG43+DG38+DG35+DG29+DG44+DG40+DG39</f>
        <v/>
      </c>
      <c r="DH52" s="255">
        <f>DH50+DH47+DH43+DH38+DH35+DH29+DH44+DH40+DH39</f>
        <v/>
      </c>
      <c r="DI52" s="255">
        <f>DI50+DI47+DI43+DI38+DI35+DI29+DI44+DI40+DI39</f>
        <v/>
      </c>
      <c r="DJ52" s="255">
        <f>DJ50+DJ47+DJ43+DJ38+DJ35+DJ29+DJ44+DJ40+DJ39</f>
        <v/>
      </c>
      <c r="DK52" s="255">
        <f>DK50+DK47+DK43+DK38+DK35+DK29+DK44+DK40+DK39</f>
        <v/>
      </c>
      <c r="DL52" s="255">
        <f>DL50+DL47+DL43+DL38+DL35+DL29+DL44+DL40+DL39</f>
        <v/>
      </c>
      <c r="DM52" s="255">
        <f>DM50+DM47+DM43+DM38+DM35+DM29+DM44+DM40+DM39</f>
        <v/>
      </c>
      <c r="DN52" s="255">
        <f>DN50+DN47+DN43+DN38+DN35+DN29+DN44+DN40+DN39</f>
        <v/>
      </c>
      <c r="DO52" s="255">
        <f>DO50+DO47+DO43+DO38+DO35+DO29+DO44+DO40+DO39</f>
        <v/>
      </c>
      <c r="DP52" s="255">
        <f>DP50+DP47+DP43+DP38+DP35+DP29+DP44+DP40+DP39</f>
        <v/>
      </c>
      <c r="DQ52" s="255">
        <f>DQ50+DQ47+DQ43+DQ38+DQ35+DQ29+DQ44+DQ40+DQ39</f>
        <v/>
      </c>
      <c r="DR52" s="255">
        <f>DR50+DR47+DR43+DR38+DR35+DR29+DR44+DR40+DR39</f>
        <v/>
      </c>
      <c r="DS52" s="255">
        <f>DS50+DS47+DS43+DS38+DS35+DS29+DS44+DS40+DS39</f>
        <v/>
      </c>
      <c r="DT52" s="255">
        <f>DT50+DT47+DT43+DT38+DT35+DT29+DT44+DT40+DT39</f>
        <v/>
      </c>
      <c r="DU52" s="255">
        <f>DU50+DU47+DU43+DU38+DU35+DU29+DU44+DU40+DU39</f>
        <v/>
      </c>
      <c r="DV52" s="255">
        <f>DV50+DV47+DV43+DV38+DV35+DV29+DV44+DV40+DV39</f>
        <v/>
      </c>
      <c r="DW52" s="255">
        <f>DW50+DW47+DW43+DW38+DW35+DW29+DW44+DW40+DW39</f>
        <v/>
      </c>
      <c r="DX52" s="255">
        <f>DX50+DX47+DX43+DX38+DX35+DX29+DX44+DX40+DX39</f>
        <v/>
      </c>
      <c r="DY52" s="255">
        <f>DY50+DY47+DY43+DY38+DY35+DY29+DY44+DY40+DY39</f>
        <v/>
      </c>
      <c r="DZ52" s="255">
        <f>DZ50+DZ47+DZ43+DZ38+DZ35+DZ29+DZ44+DZ40+DZ39</f>
        <v/>
      </c>
      <c r="EA52" s="255">
        <f>EA50+EA47+EA43+EA38+EA35+EA29+EA44+EA40+EA39</f>
        <v/>
      </c>
      <c r="EB52" s="255">
        <f>EB50+EB47+EB43+EB38+EB35+EB29+EB44+EB40+EB39</f>
        <v/>
      </c>
      <c r="EC52" s="255">
        <f>EC50+EC47+EC43+EC38+EC35+EC29+EC44+EC40+EC39</f>
        <v/>
      </c>
      <c r="ED52" s="255">
        <f>ED50+ED47+ED43+ED38+ED35+ED29+ED44+ED40+ED39</f>
        <v/>
      </c>
      <c r="EE52" s="255">
        <f>EE50+EE47+EE43+EE38+EE35+EE29+EE44+EE40+EE39</f>
        <v/>
      </c>
      <c r="EF52" s="255">
        <f>EF50+EF47+EF43+EF38+EF35+EF29+EF44+EF40+EF39</f>
        <v/>
      </c>
      <c r="EG52" s="255">
        <f>EG50+EG47+EG43+EG38+EG35+EG29+EG44+EG40+EG39</f>
        <v/>
      </c>
      <c r="EH52" s="255">
        <f>EH50+EH47+EH43+EH38+EH35+EH29+EH44+EH40+EH39</f>
        <v/>
      </c>
      <c r="EI52" s="255">
        <f>EI50+EI47+EI43+EI38+EI35+EI29+EI44+EI40+EI39</f>
        <v/>
      </c>
      <c r="EJ52" s="255">
        <f>EJ50+EJ47+EJ43+EJ38+EJ35+EJ29+EJ44+EJ40+EJ39</f>
        <v/>
      </c>
      <c r="EK52" s="255">
        <f>EK50+EK47+EK43+EK38+EK35+EK29+EK44+EK40+EK39</f>
        <v/>
      </c>
      <c r="EL52" s="255">
        <f>EL50+EL47+EL43+EL38+EL35+EL29+EL44+EL40+EL39</f>
        <v/>
      </c>
      <c r="EM52" s="255">
        <f>EM50+EM47+EM43+EM38+EM35+EM29+EM44+EM40+EM39</f>
        <v/>
      </c>
      <c r="EN52" s="255">
        <f>EN50+EN47+EN43+EN38+EN35+EN29+EN44+EN40+EN39</f>
        <v/>
      </c>
      <c r="EO52" s="255">
        <f>EO50+EO47+EO43+EO38+EO35+EO29+EO44+EO40+EO39</f>
        <v/>
      </c>
      <c r="EP52" s="255">
        <f>EP50+EP47+EP43+EP38+EP35+EP29+EP44+EP40+EP39</f>
        <v/>
      </c>
      <c r="EQ52" s="255">
        <f>EQ50+EQ47+EQ43+EQ38+EQ35+EQ29+EQ44+EQ40+EQ39</f>
        <v/>
      </c>
      <c r="ER52" s="255">
        <f>ER50+ER47+ER43+ER38+ER35+ER29+ER44+ER40+ER39</f>
        <v/>
      </c>
      <c r="ES52" s="255">
        <f>ES50+ES47+ES43+ES38+ES35+ES29+ES44+ES40+ES39</f>
        <v/>
      </c>
      <c r="ET52" s="255">
        <f>ET50+ET47+ET43+ET38+ET35+ET29+ET44+ET40+ET39</f>
        <v/>
      </c>
      <c r="EU52" s="255">
        <f>EU50+EU47+EU43+EU38+EU35+EU29+EU44+EU40+EU39</f>
        <v/>
      </c>
      <c r="EV52" s="255">
        <f>EV50+EV47+EV43+EV38+EV35+EV29+EV44+EV40+EV39</f>
        <v/>
      </c>
      <c r="EW52" s="255">
        <f>EW50+EW47+EW43+EW38+EW35+EW29+EW44+EW40+EW39</f>
        <v/>
      </c>
      <c r="EX52" s="255">
        <f>EX50+EX47+EX43+EX38+EX35+EX29+EX44+EX40+EX39</f>
        <v/>
      </c>
      <c r="EY52" s="255">
        <f>EY50+EY47+EY43+EY38+EY35+EY29+EY44+EY40+EY39</f>
        <v/>
      </c>
      <c r="EZ52" s="255">
        <f>EZ50+EZ47+EZ43+EZ38+EZ35+EZ29+EZ44+EZ40+EZ39</f>
        <v/>
      </c>
      <c r="FA52" s="255">
        <f>FA50+FA47+FA43+FA38+FA35+FA29+FA44+FA40+FA39</f>
        <v/>
      </c>
      <c r="FB52" s="255">
        <f>FB50+FB47+FB43+FB38+FB35+FB29+FB44+FB40+FB39</f>
        <v/>
      </c>
      <c r="FC52" s="255">
        <f>FC50+FC47+FC43+FC38+FC35+FC29+FC44+FC40+FC39</f>
        <v/>
      </c>
      <c r="FD52" s="255">
        <f>FD50+FD47+FD43+FD38+FD35+FD29+FD44+FD40+FD39</f>
        <v/>
      </c>
      <c r="FE52" s="255">
        <f>FE50+FE47+FE43+FE38+FE35+FE29+FE44+FE40+FE39</f>
        <v/>
      </c>
      <c r="FF52" s="255">
        <f>FF50+FF47+FF43+FF38+FF35+FF29+FF44+FF40+FF39</f>
        <v/>
      </c>
      <c r="FG52" s="255">
        <f>FG50+FG47+FG43+FG38+FG35+FG29+FG44+FG40+FG39</f>
        <v/>
      </c>
      <c r="FH52" s="255">
        <f>FH50+FH47+FH43+FH38+FH35+FH29+FH44+FH40+FH39</f>
        <v/>
      </c>
      <c r="FI52" s="255">
        <f>FI50+FI47+FI43+FI38+FI35+FI29+FI44+FI40+FI39</f>
        <v/>
      </c>
      <c r="FJ52" s="255">
        <f>FJ50+FJ47+FJ43+FJ38+FJ35+FJ29+FJ44+FJ40+FJ39</f>
        <v/>
      </c>
      <c r="FK52" s="255">
        <f>FK50+FK47+FK43+FK38+FK35+FK29+FK44+FK40+FK39</f>
        <v/>
      </c>
      <c r="FL52" s="255">
        <f>FL50+FL47+FL43+FL38+FL35+FL29+FL44+FL40+FL39</f>
        <v/>
      </c>
      <c r="FM52" s="255">
        <f>FM50+FM47+FM43+FM38+FM35+FM29+FM44+FM40+FM39</f>
        <v/>
      </c>
      <c r="FN52" s="255">
        <f>FN50+FN47+FN43+FN38+FN35+FN29+FN44+FN40+FN39</f>
        <v/>
      </c>
      <c r="FO52" s="255">
        <f>FO50+FO47+FO43+FO38+FO35+FO29+FO44+FO40+FO39</f>
        <v/>
      </c>
      <c r="FP52" s="255">
        <f>FP50+FP47+FP43+FP38+FP35+FP29+FP44+FP40+FP39</f>
        <v/>
      </c>
      <c r="FQ52" s="255">
        <f>FQ50+FQ47+FQ43+FQ38+FQ35+FQ29+FQ44+FQ40+FQ39</f>
        <v/>
      </c>
      <c r="FR52" s="255">
        <f>FR50+FR47+FR43+FR38+FR35+FR29+FR44+FR40+FR39</f>
        <v/>
      </c>
      <c r="FS52" s="255">
        <f>FS50+FS47+FS43+FS38+FS35+FS29+FS44+FS40+FS39</f>
        <v/>
      </c>
      <c r="FT52" s="255">
        <f>FT50+FT47+FT43+FT38+FT35+FT29+FT44+FT40+FT39</f>
        <v/>
      </c>
      <c r="FU52" s="255">
        <f>FU50+FU47+FU43+FU38+FU35+FU29+FU44+FU40+FU39</f>
        <v/>
      </c>
      <c r="FV52" s="255">
        <f>FV50+FV47+FV43+FV38+FV35+FV29+FV44+FV40+FV39</f>
        <v/>
      </c>
      <c r="FW52" s="255">
        <f>FW50+FW47+FW43+FW38+FW35+FW29+FW44+FW40+FW39</f>
        <v/>
      </c>
      <c r="FX52" s="255">
        <f>FX50+FX47+FX43+FX38+FX35+FX29+FX44+FX40+FX39</f>
        <v/>
      </c>
      <c r="FY52" s="255">
        <f>FY50+FY47+FY43+FY38+FY35+FY29+FY44+FY40+FY39</f>
        <v/>
      </c>
      <c r="FZ52" s="255">
        <f>FZ50+FZ47+FZ43+FZ38+FZ35+FZ29+FZ44+FZ40+FZ39</f>
        <v/>
      </c>
      <c r="GA52" s="255">
        <f>GA50+GA47+GA43+GA38+GA35+GA29+GA44+GA40+GA39</f>
        <v/>
      </c>
      <c r="GB52" s="255">
        <f>GB50+GB47+GB43+GB38+GB35+GB29+GB44+GB40+GB39</f>
        <v/>
      </c>
      <c r="GC52" s="255">
        <f>GC50+GC47+GC43+GC38+GC35+GC29+GC44+GC40+GC39</f>
        <v/>
      </c>
      <c r="GD52" s="255">
        <f>GD50+GD47+GD43+GD38+GD35+GD29+GD44+GD40+GD39</f>
        <v/>
      </c>
      <c r="GE52" s="255">
        <f>GE50+GE47+GE43+GE38+GE35+GE29+GE44+GE40+GE39</f>
        <v/>
      </c>
      <c r="GF52" s="255">
        <f>GF50+GF47+GF43+GF38+GF35+GF29+GF44+GF40+GF39</f>
        <v/>
      </c>
      <c r="GG52" s="255">
        <f>GG50+GG47+GG43+GG38+GG35+GG29+GG44+GG40+GG39</f>
        <v/>
      </c>
      <c r="GH52" s="255">
        <f>GH50+GH47+GH43+GH38+GH35+GH29+GH44+GH40+GH39</f>
        <v/>
      </c>
      <c r="GI52" s="255">
        <f>GI50+GI47+GI43+GI38+GI35+GI29+GI44+GI40+GI39</f>
        <v/>
      </c>
      <c r="GJ52" s="255">
        <f>GJ50+GJ47+GJ43+GJ38+GJ35+GJ29+GJ44+GJ40+GJ39</f>
        <v/>
      </c>
      <c r="GK52" s="255">
        <f>GK50+GK47+GK43+GK38+GK35+GK29+GK44+GK40+GK39</f>
        <v/>
      </c>
      <c r="GL52" s="255">
        <f>GL50+GL47+GL43+GL38+GL35+GL29+GL44+GL40+GL39</f>
        <v/>
      </c>
      <c r="GM52" s="255">
        <f>GM50+GM47+GM43+GM38+GM35+GM29+GM44+GM40+GM39</f>
        <v/>
      </c>
      <c r="GN52" s="255">
        <f>GN50+GN47+GN43+GN38+GN35+GN29+GN44+GN40+GN39</f>
        <v/>
      </c>
      <c r="GO52" s="255">
        <f>GO50+GO47+GO43+GO38+GO35+GO29+GO44+GO40+GO39</f>
        <v/>
      </c>
      <c r="GP52" s="255">
        <f>GP50+GP47+GP43+GP38+GP35+GP29+GP44+GP40+GP39</f>
        <v/>
      </c>
      <c r="GQ52" s="255">
        <f>GQ50+GQ47+GQ43+GQ38+GQ35+GQ29+GQ44+GQ40+GQ39</f>
        <v/>
      </c>
      <c r="GR52" s="255">
        <f>GR50+GR47+GR43+GR38+GR35+GR29+GR44+GR40+GR39</f>
        <v/>
      </c>
      <c r="GS52" s="255">
        <f>GS50+GS47+GS43+GS38+GS35+GS29+GS44+GS40+GS39</f>
        <v/>
      </c>
      <c r="GT52" s="255">
        <f>GT50+GT47+GT43+GT38+GT35+GT29+GT44+GT40+GT39</f>
        <v/>
      </c>
      <c r="GU52" s="255">
        <f>GU50+GU47+GU43+GU38+GU35+GU29+GU44+GU40+GU39</f>
        <v/>
      </c>
      <c r="GV52" s="255">
        <f>GV50+GV47+GV43+GV38+GV35+GV29+GV44+GV40+GV39</f>
        <v/>
      </c>
      <c r="GW52" s="255">
        <f>GW50+GW47+GW43+GW38+GW35+GW29+GW44+GW40+GW39</f>
        <v/>
      </c>
      <c r="GX52" s="255">
        <f>GX50+GX47+GX43+GX38+GX35+GX29+GX44+GX40+GX39</f>
        <v/>
      </c>
      <c r="GY52" s="255">
        <f>GY50+GY47+GY43+GY38+GY35+GY29+GY44+GY40+GY39</f>
        <v/>
      </c>
      <c r="GZ52" s="255">
        <f>GZ50+GZ47+GZ43+GZ38+GZ35+GZ29+GZ44+GZ40+GZ39</f>
        <v/>
      </c>
      <c r="HA52" s="255">
        <f>HA50+HA47+HA43+HA38+HA35+HA29+HA44+HA40+HA39</f>
        <v/>
      </c>
      <c r="HB52" s="255">
        <f>HB50+HB47+HB43+HB38+HB35+HB29+HB44+HB40+HB39</f>
        <v/>
      </c>
      <c r="HC52" s="255">
        <f>HC50+HC47+HC43+HC38+HC35+HC29+HC44+HC40+HC39</f>
        <v/>
      </c>
      <c r="HD52" s="255">
        <f>HD50+HD47+HD43+HD38+HD35+HD29+HD44+HD40+HD39</f>
        <v/>
      </c>
      <c r="HE52" s="255">
        <f>HE50+HE47+HE43+HE38+HE35+HE29+HE44+HE40+HE39</f>
        <v/>
      </c>
      <c r="HF52" s="255">
        <f>HF50+HF47+HF43+HF38+HF35+HF29+HF44+HF40+HF39</f>
        <v/>
      </c>
      <c r="HG52" s="255">
        <f>HG50+HG47+HG43+HG38+HG35+HG29+HG44+HG40+HG39</f>
        <v/>
      </c>
      <c r="HH52" s="255">
        <f>HH50+HH47+HH43+HH38+HH35+HH29+HH44+HH40+HH39</f>
        <v/>
      </c>
      <c r="HI52" s="255">
        <f>HI50+HI47+HI43+HI38+HI35+HI29+HI44+HI40+HI39</f>
        <v/>
      </c>
      <c r="HJ52" s="255">
        <f>HJ50+HJ47+HJ43+HJ38+HJ35+HJ29+HJ44+HJ40+HJ39</f>
        <v/>
      </c>
      <c r="HK52" s="255">
        <f>HK50+HK47+HK43+HK38+HK35+HK29+HK44+HK40+HK39</f>
        <v/>
      </c>
      <c r="HL52" s="255">
        <f>HL50+HL47+HL43+HL38+HL35+HL29+HL44+HL40+HL39</f>
        <v/>
      </c>
      <c r="HM52" s="255">
        <f>HM50+HM47+HM43+HM38+HM35+HM29+HM44+HM40+HM39</f>
        <v/>
      </c>
      <c r="HN52" s="255">
        <f>HN50+HN47+HN43+HN38+HN35+HN29+HN44+HN40+HN39</f>
        <v/>
      </c>
      <c r="HO52" s="255">
        <f>HO50+HO47+HO43+HO38+HO35+HO29+HO44+HO40+HO39</f>
        <v/>
      </c>
      <c r="HP52" s="255">
        <f>HP50+HP47+HP43+HP38+HP35+HP29+HP44+HP40+HP39</f>
        <v/>
      </c>
      <c r="HQ52" s="255">
        <f>HQ50+HQ47+HQ43+HQ38+HQ35+HQ29+HQ44+HQ40+HQ39</f>
        <v/>
      </c>
      <c r="HR52" s="255">
        <f>HR50+HR47+HR43+HR38+HR35+HR29+HR44+HR40+HR39</f>
        <v/>
      </c>
      <c r="HS52" s="255">
        <f>HS50+HS47+HS43+HS38+HS35+HS29+HS44+HS40+HS39</f>
        <v/>
      </c>
      <c r="HT52" s="255">
        <f>HT50+HT47+HT43+HT38+HT35+HT29+HT44+HT40+HT39</f>
        <v/>
      </c>
      <c r="HU52" s="255">
        <f>HU50+HU47+HU43+HU38+HU35+HU29+HU44+HU40+HU39</f>
        <v/>
      </c>
      <c r="JF52" s="255">
        <f>AP52</f>
        <v/>
      </c>
      <c r="JG52" s="255">
        <f>SUM(Z52:AK52)</f>
        <v/>
      </c>
      <c r="JH52" s="255">
        <f>SUM(AL52:AP52)</f>
        <v/>
      </c>
      <c r="JI52" s="255">
        <f>SUM(C52:AP52)</f>
        <v/>
      </c>
      <c r="JJ52" s="446" t="n"/>
      <c r="JM52" s="255" t="n">
        <v>-4184406.671260871</v>
      </c>
      <c r="KG52" s="268">
        <f>B52</f>
        <v/>
      </c>
      <c r="KH52" s="245">
        <f>AR52</f>
        <v/>
      </c>
    </row>
    <row r="53" ht="15.75" customHeight="1">
      <c r="A53" s="74" t="inlineStr">
        <is>
          <t>TOTAL ACUMULADO DE DESPESAS OP.(-)</t>
        </is>
      </c>
      <c r="B53" s="269">
        <f>SUM(C53:AP53)</f>
        <v/>
      </c>
      <c r="C53" s="59" t="n"/>
      <c r="D53" s="59">
        <f>C53+D52</f>
        <v/>
      </c>
      <c r="E53" s="59">
        <f>D53+E52</f>
        <v/>
      </c>
      <c r="F53" s="59">
        <f>D53+F52</f>
        <v/>
      </c>
      <c r="G53" s="59">
        <f>E53+G52</f>
        <v/>
      </c>
      <c r="H53" s="59">
        <f>F53+H52</f>
        <v/>
      </c>
      <c r="I53" s="103">
        <f>G53+I52</f>
        <v/>
      </c>
      <c r="J53" s="182">
        <f>I53+J52</f>
        <v/>
      </c>
      <c r="K53" s="103">
        <f>J53+K52</f>
        <v/>
      </c>
      <c r="L53" s="59">
        <f>K53+L52</f>
        <v/>
      </c>
      <c r="M53" s="59">
        <f>L53+M52</f>
        <v/>
      </c>
      <c r="N53" s="59">
        <f>M53+N52</f>
        <v/>
      </c>
      <c r="O53" s="59">
        <f>N53+O52</f>
        <v/>
      </c>
      <c r="P53" s="59">
        <f>O53+P52</f>
        <v/>
      </c>
      <c r="Q53" s="59">
        <f>P53+Q52</f>
        <v/>
      </c>
      <c r="R53" s="59">
        <f>Q53+R52</f>
        <v/>
      </c>
      <c r="S53" s="59">
        <f>R53+S52</f>
        <v/>
      </c>
      <c r="T53" s="59">
        <f>S53+T52</f>
        <v/>
      </c>
      <c r="U53" s="59">
        <f>T53+U52</f>
        <v/>
      </c>
      <c r="V53" s="59">
        <f>U53+V52</f>
        <v/>
      </c>
      <c r="W53" s="59">
        <f>V53+W52</f>
        <v/>
      </c>
      <c r="X53" s="59">
        <f>W53+X52</f>
        <v/>
      </c>
      <c r="Y53" s="59">
        <f>X53+Y52</f>
        <v/>
      </c>
      <c r="Z53" s="59">
        <f>Y53+Z52</f>
        <v/>
      </c>
      <c r="AA53" s="59">
        <f>Z53+AA52</f>
        <v/>
      </c>
      <c r="AB53" s="59">
        <f>AA53+AB52</f>
        <v/>
      </c>
      <c r="AC53" s="59">
        <f>AB53+AC52</f>
        <v/>
      </c>
      <c r="AD53" s="59">
        <f>AC53+AD52</f>
        <v/>
      </c>
      <c r="AE53" s="59">
        <f>AD53+AE52</f>
        <v/>
      </c>
      <c r="AF53" s="59">
        <f>AE53+AF52</f>
        <v/>
      </c>
      <c r="AG53" s="59">
        <f>AF53+AG52</f>
        <v/>
      </c>
      <c r="AH53" s="59">
        <f>AG53+AH52</f>
        <v/>
      </c>
      <c r="AI53" s="59">
        <f>AH53+AI52</f>
        <v/>
      </c>
      <c r="AJ53" s="59">
        <f>AI53+AJ52</f>
        <v/>
      </c>
      <c r="AK53" s="59">
        <f>AJ53+AK52</f>
        <v/>
      </c>
      <c r="AL53" s="59">
        <f>AK53+AL52</f>
        <v/>
      </c>
      <c r="AM53" s="59">
        <f>AL53+AM52</f>
        <v/>
      </c>
      <c r="AN53" s="59">
        <f>AM53+AN52</f>
        <v/>
      </c>
      <c r="AO53" s="59">
        <f>AN53+AO52</f>
        <v/>
      </c>
      <c r="AP53" s="59">
        <f>AO53+AP52</f>
        <v/>
      </c>
      <c r="AQ53" s="13" t="n"/>
      <c r="AR53" s="183">
        <f>W53+AR52</f>
        <v/>
      </c>
      <c r="AS53" s="13" t="n"/>
      <c r="AT53" s="59">
        <f>AP53+AT52</f>
        <v/>
      </c>
      <c r="AU53" s="59">
        <f>AT53+AU52</f>
        <v/>
      </c>
      <c r="AV53" s="59">
        <f>AU53+AV52</f>
        <v/>
      </c>
      <c r="AW53" s="59">
        <f>AV53+AW52</f>
        <v/>
      </c>
      <c r="AX53" s="59">
        <f>AW53+AX52</f>
        <v/>
      </c>
      <c r="AY53" s="59">
        <f>AX53+AY52</f>
        <v/>
      </c>
      <c r="AZ53" s="59">
        <f>AY53+AZ52</f>
        <v/>
      </c>
      <c r="BA53" s="59">
        <f>AZ53+BA52</f>
        <v/>
      </c>
      <c r="BB53" s="59">
        <f>BA53+BB52</f>
        <v/>
      </c>
      <c r="BC53" s="59">
        <f>BB53+BC52</f>
        <v/>
      </c>
      <c r="BD53" s="305">
        <f>BC53+BD52</f>
        <v/>
      </c>
      <c r="BE53" s="100">
        <f>BD53+BE52</f>
        <v/>
      </c>
      <c r="BF53" s="59">
        <f>BE53+BF52</f>
        <v/>
      </c>
      <c r="BG53" s="59">
        <f>BF53+BG52</f>
        <v/>
      </c>
      <c r="BH53" s="59">
        <f>BG53+BH52</f>
        <v/>
      </c>
      <c r="BI53" s="59">
        <f>BH53+BI52</f>
        <v/>
      </c>
      <c r="BJ53" s="59">
        <f>BI53+BJ52</f>
        <v/>
      </c>
      <c r="BK53" s="59">
        <f>BJ53+BK52</f>
        <v/>
      </c>
      <c r="BL53" s="59">
        <f>BK53+BL52</f>
        <v/>
      </c>
      <c r="BM53" s="59">
        <f>BL53+BM52</f>
        <v/>
      </c>
      <c r="BN53" s="59">
        <f>BM53+BN52</f>
        <v/>
      </c>
      <c r="BO53" s="59">
        <f>BN53+BO52</f>
        <v/>
      </c>
      <c r="BP53" s="305">
        <f>BO53+BP52</f>
        <v/>
      </c>
      <c r="BQ53" s="100">
        <f>BP53+BQ52</f>
        <v/>
      </c>
      <c r="BR53" s="59">
        <f>BQ53+BR52</f>
        <v/>
      </c>
      <c r="BS53" s="59">
        <f>BR53+BS52</f>
        <v/>
      </c>
      <c r="BT53" s="59">
        <f>BS53+BT52</f>
        <v/>
      </c>
      <c r="BU53" s="59">
        <f>BT53+BU52</f>
        <v/>
      </c>
      <c r="BV53" s="59">
        <f>BU53+BV52</f>
        <v/>
      </c>
      <c r="BW53" s="59">
        <f>BV53+BW52</f>
        <v/>
      </c>
      <c r="BX53" s="59">
        <f>BW53+BX52</f>
        <v/>
      </c>
      <c r="BY53" s="59">
        <f>BX53+BY52</f>
        <v/>
      </c>
      <c r="BZ53" s="59">
        <f>BY53+BZ52</f>
        <v/>
      </c>
      <c r="CA53" s="59">
        <f>BZ53+CA52</f>
        <v/>
      </c>
      <c r="CB53" s="305">
        <f>CA53+CB52</f>
        <v/>
      </c>
      <c r="CC53" s="100">
        <f>CB53+CC52</f>
        <v/>
      </c>
      <c r="CD53" s="59">
        <f>CC53+CD52</f>
        <v/>
      </c>
      <c r="CE53" s="59">
        <f>CD53+CE52</f>
        <v/>
      </c>
      <c r="CF53" s="59">
        <f>CE53+CF52</f>
        <v/>
      </c>
      <c r="CG53" s="59">
        <f>CF53+CG52</f>
        <v/>
      </c>
      <c r="CH53" s="59">
        <f>CG53+CH52</f>
        <v/>
      </c>
      <c r="CI53" s="59">
        <f>CH53+CI52</f>
        <v/>
      </c>
      <c r="CJ53" s="59">
        <f>CI53+CJ52</f>
        <v/>
      </c>
      <c r="CK53" s="59">
        <f>CJ53+CK52</f>
        <v/>
      </c>
      <c r="CL53" s="59">
        <f>CK53+CL52</f>
        <v/>
      </c>
      <c r="CM53" s="59">
        <f>CL53+CM52</f>
        <v/>
      </c>
      <c r="CN53" s="305">
        <f>CM53+CN52</f>
        <v/>
      </c>
      <c r="CO53" s="100">
        <f>CN53+CO52</f>
        <v/>
      </c>
      <c r="CP53" s="59">
        <f>CO53+CP52</f>
        <v/>
      </c>
      <c r="CQ53" s="59">
        <f>CP53+CQ52</f>
        <v/>
      </c>
      <c r="CR53" s="59">
        <f>CQ53+CR52</f>
        <v/>
      </c>
      <c r="CS53" s="59">
        <f>CR53+CS52</f>
        <v/>
      </c>
      <c r="CT53" s="59">
        <f>CS53+CT52</f>
        <v/>
      </c>
      <c r="CU53" s="59">
        <f>CT53+CU52</f>
        <v/>
      </c>
      <c r="CV53" s="59">
        <f>CU53+CV52</f>
        <v/>
      </c>
      <c r="CW53" s="59">
        <f>CV53+CW52</f>
        <v/>
      </c>
      <c r="CX53" s="59">
        <f>CW53+CX52</f>
        <v/>
      </c>
      <c r="CY53" s="59">
        <f>CX53+CY52</f>
        <v/>
      </c>
      <c r="CZ53" s="305">
        <f>CY53+CZ52</f>
        <v/>
      </c>
      <c r="DA53" s="100">
        <f>CZ53+DA52</f>
        <v/>
      </c>
      <c r="DB53" s="59">
        <f>DA53+DB52</f>
        <v/>
      </c>
      <c r="DC53" s="59">
        <f>DB53+DC52</f>
        <v/>
      </c>
      <c r="DD53" s="59">
        <f>DC53+DD52</f>
        <v/>
      </c>
      <c r="DE53" s="59">
        <f>DD53+DE52</f>
        <v/>
      </c>
      <c r="DF53" s="59">
        <f>DE53+DF52</f>
        <v/>
      </c>
      <c r="DG53" s="59">
        <f>DF53+DG52</f>
        <v/>
      </c>
      <c r="DH53" s="59">
        <f>DG53+DH52</f>
        <v/>
      </c>
      <c r="DI53" s="59">
        <f>DH53+DI52</f>
        <v/>
      </c>
      <c r="DJ53" s="103">
        <f>DI53+DJ52</f>
        <v/>
      </c>
      <c r="DK53" s="59">
        <f>DJ53+DK52</f>
        <v/>
      </c>
      <c r="DL53" s="103">
        <f>DK53+DL52</f>
        <v/>
      </c>
      <c r="DM53" s="59">
        <f>DL53+DM52</f>
        <v/>
      </c>
      <c r="DN53" s="103">
        <f>DM53+DN52</f>
        <v/>
      </c>
      <c r="DO53" s="103">
        <f>DN53+DO52</f>
        <v/>
      </c>
      <c r="DP53" s="103">
        <f>DO53+DP52</f>
        <v/>
      </c>
      <c r="DQ53" s="103">
        <f>DP53+DQ52</f>
        <v/>
      </c>
      <c r="DR53" s="103">
        <f>DQ53+DR52</f>
        <v/>
      </c>
      <c r="DS53" s="103">
        <f>DR53+DS52</f>
        <v/>
      </c>
      <c r="DT53" s="103">
        <f>DS53+DT52</f>
        <v/>
      </c>
      <c r="DU53" s="103">
        <f>DT53+DU52</f>
        <v/>
      </c>
      <c r="DV53" s="103">
        <f>DU53+DV52</f>
        <v/>
      </c>
      <c r="DW53" s="103">
        <f>DV53+DW52</f>
        <v/>
      </c>
      <c r="DX53" s="103">
        <f>DW53+DX52</f>
        <v/>
      </c>
      <c r="DY53" s="103">
        <f>DX53+DY52</f>
        <v/>
      </c>
      <c r="DZ53" s="103">
        <f>DY53+DZ52</f>
        <v/>
      </c>
      <c r="EA53" s="103">
        <f>DZ53+EA52</f>
        <v/>
      </c>
      <c r="EB53" s="103">
        <f>EA53+EB52</f>
        <v/>
      </c>
      <c r="EC53" s="103">
        <f>EB53+EC52</f>
        <v/>
      </c>
      <c r="ED53" s="103">
        <f>EC53+ED52</f>
        <v/>
      </c>
      <c r="EE53" s="103">
        <f>ED53+EE52</f>
        <v/>
      </c>
      <c r="EF53" s="103">
        <f>EE53+EF52</f>
        <v/>
      </c>
      <c r="EG53" s="103">
        <f>EF53+EG52</f>
        <v/>
      </c>
      <c r="EH53" s="103">
        <f>EG53+EH52</f>
        <v/>
      </c>
      <c r="EI53" s="103">
        <f>EH53+EI52</f>
        <v/>
      </c>
      <c r="EJ53" s="103">
        <f>EI53+EJ52</f>
        <v/>
      </c>
      <c r="EK53" s="103">
        <f>EJ53+EK52</f>
        <v/>
      </c>
      <c r="EL53" s="103">
        <f>EK53+EL52</f>
        <v/>
      </c>
      <c r="EM53" s="103">
        <f>EL53+EM52</f>
        <v/>
      </c>
      <c r="EN53" s="103">
        <f>EM53+EN52</f>
        <v/>
      </c>
      <c r="EO53" s="103">
        <f>EN53+EO52</f>
        <v/>
      </c>
      <c r="EP53" s="103">
        <f>EO53+EP52</f>
        <v/>
      </c>
      <c r="EQ53" s="103">
        <f>EP53+EQ52</f>
        <v/>
      </c>
      <c r="ER53" s="103">
        <f>EQ53+ER52</f>
        <v/>
      </c>
      <c r="ES53" s="103">
        <f>ER53+ES52</f>
        <v/>
      </c>
      <c r="ET53" s="103">
        <f>ES53+ET52</f>
        <v/>
      </c>
      <c r="EU53" s="103">
        <f>ET53+EU52</f>
        <v/>
      </c>
      <c r="EV53" s="103">
        <f>EU53+EV52</f>
        <v/>
      </c>
      <c r="EW53" s="103">
        <f>EV53+EW52</f>
        <v/>
      </c>
      <c r="EX53" s="103">
        <f>EW53+EX52</f>
        <v/>
      </c>
      <c r="EY53" s="103">
        <f>EX53+EY52</f>
        <v/>
      </c>
      <c r="EZ53" s="103">
        <f>EY53+EZ52</f>
        <v/>
      </c>
      <c r="FA53" s="103">
        <f>EZ53+FA52</f>
        <v/>
      </c>
      <c r="FB53" s="103">
        <f>FA53+FB52</f>
        <v/>
      </c>
      <c r="FC53" s="103">
        <f>FB53+FC52</f>
        <v/>
      </c>
      <c r="FD53" s="103">
        <f>FC53+FD52</f>
        <v/>
      </c>
      <c r="FE53" s="103">
        <f>FD53+FE52</f>
        <v/>
      </c>
      <c r="FF53" s="103">
        <f>FE53+FF52</f>
        <v/>
      </c>
      <c r="FG53" s="103">
        <f>FF53+FG52</f>
        <v/>
      </c>
      <c r="FH53" s="103">
        <f>FG53+FH52</f>
        <v/>
      </c>
      <c r="FI53" s="103">
        <f>FH53+FI52</f>
        <v/>
      </c>
      <c r="FJ53" s="103">
        <f>FI53+FJ52</f>
        <v/>
      </c>
      <c r="FK53" s="103">
        <f>FJ53+FK52</f>
        <v/>
      </c>
      <c r="FL53" s="103">
        <f>FK53+FL52</f>
        <v/>
      </c>
      <c r="FM53" s="103">
        <f>FL53+FM52</f>
        <v/>
      </c>
      <c r="FN53" s="103">
        <f>FM53+FN52</f>
        <v/>
      </c>
      <c r="FO53" s="103">
        <f>FN53+FO52</f>
        <v/>
      </c>
      <c r="FP53" s="103">
        <f>FO53+FP52</f>
        <v/>
      </c>
      <c r="FQ53" s="103">
        <f>FP53+FQ52</f>
        <v/>
      </c>
      <c r="FR53" s="103">
        <f>FQ53+FR52</f>
        <v/>
      </c>
      <c r="FS53" s="103">
        <f>FR53+FS52</f>
        <v/>
      </c>
      <c r="FT53" s="103">
        <f>FS53+FT52</f>
        <v/>
      </c>
      <c r="FU53" s="103">
        <f>FT53+FU52</f>
        <v/>
      </c>
      <c r="FV53" s="103">
        <f>FU53+FV52</f>
        <v/>
      </c>
      <c r="FW53" s="103">
        <f>FV53+FW52</f>
        <v/>
      </c>
      <c r="FX53" s="103">
        <f>FW53+FX52</f>
        <v/>
      </c>
      <c r="FY53" s="103">
        <f>FX53+FY52</f>
        <v/>
      </c>
      <c r="FZ53" s="103">
        <f>FY53+FZ52</f>
        <v/>
      </c>
      <c r="GA53" s="103">
        <f>FZ53+GA52</f>
        <v/>
      </c>
      <c r="GB53" s="103">
        <f>GA53+GB52</f>
        <v/>
      </c>
      <c r="GC53" s="103">
        <f>GB53+GC52</f>
        <v/>
      </c>
      <c r="GD53" s="103">
        <f>GC53+GD52</f>
        <v/>
      </c>
      <c r="GE53" s="103">
        <f>GD53+GE52</f>
        <v/>
      </c>
      <c r="GF53" s="103">
        <f>GE53+GF52</f>
        <v/>
      </c>
      <c r="GG53" s="103">
        <f>GF53+GG52</f>
        <v/>
      </c>
      <c r="GH53" s="103">
        <f>GG53+GH52</f>
        <v/>
      </c>
      <c r="GI53" s="103">
        <f>GH53+GI52</f>
        <v/>
      </c>
      <c r="GJ53" s="103">
        <f>GI53+GJ52</f>
        <v/>
      </c>
      <c r="GK53" s="103">
        <f>GJ53+GK52</f>
        <v/>
      </c>
      <c r="GL53" s="103">
        <f>GK53+GL52</f>
        <v/>
      </c>
      <c r="GM53" s="103">
        <f>GL53+GM52</f>
        <v/>
      </c>
      <c r="GN53" s="103">
        <f>GM53+GN52</f>
        <v/>
      </c>
      <c r="GO53" s="103">
        <f>GN53+GO52</f>
        <v/>
      </c>
      <c r="GP53" s="103">
        <f>GO53+GP52</f>
        <v/>
      </c>
      <c r="GQ53" s="103">
        <f>GP53+GQ52</f>
        <v/>
      </c>
      <c r="GR53" s="103">
        <f>GQ53+GR52</f>
        <v/>
      </c>
      <c r="GS53" s="103">
        <f>GR53+GS52</f>
        <v/>
      </c>
      <c r="GT53" s="103">
        <f>GS53+GT52</f>
        <v/>
      </c>
      <c r="GU53" s="103">
        <f>GT53+GU52</f>
        <v/>
      </c>
      <c r="GV53" s="103">
        <f>GU53+GV52</f>
        <v/>
      </c>
      <c r="GW53" s="103">
        <f>GV53+GW52</f>
        <v/>
      </c>
      <c r="GX53" s="103">
        <f>GW53+GX52</f>
        <v/>
      </c>
      <c r="GY53" s="103">
        <f>GX53+GY52</f>
        <v/>
      </c>
      <c r="GZ53" s="103">
        <f>GY53+GZ52</f>
        <v/>
      </c>
      <c r="HA53" s="103">
        <f>GZ53+HA52</f>
        <v/>
      </c>
      <c r="HB53" s="103">
        <f>HA53+HB52</f>
        <v/>
      </c>
      <c r="HC53" s="103">
        <f>HB53+HC52</f>
        <v/>
      </c>
      <c r="HD53" s="103">
        <f>HC53+HD52</f>
        <v/>
      </c>
      <c r="HE53" s="103">
        <f>HD53+HE52</f>
        <v/>
      </c>
      <c r="HF53" s="103">
        <f>HE53+HF52</f>
        <v/>
      </c>
      <c r="HG53" s="103">
        <f>HF53+HG52</f>
        <v/>
      </c>
      <c r="HH53" s="103">
        <f>HG53+HH52</f>
        <v/>
      </c>
      <c r="HI53" s="103">
        <f>HH53+HI52</f>
        <v/>
      </c>
      <c r="HJ53" s="103">
        <f>HI53+HJ52</f>
        <v/>
      </c>
      <c r="HK53" s="103">
        <f>HJ53+HK52</f>
        <v/>
      </c>
      <c r="HL53" s="103">
        <f>HK53+HL52</f>
        <v/>
      </c>
      <c r="HM53" s="103">
        <f>HL53+HM52</f>
        <v/>
      </c>
      <c r="HN53" s="103">
        <f>HM53+HN52</f>
        <v/>
      </c>
      <c r="HO53" s="103">
        <f>HN53+HO52</f>
        <v/>
      </c>
      <c r="HP53" s="103">
        <f>HO53+HP52</f>
        <v/>
      </c>
      <c r="HQ53" s="103">
        <f>HP53+HQ52</f>
        <v/>
      </c>
      <c r="HR53" s="103">
        <f>HQ53+HR52</f>
        <v/>
      </c>
      <c r="HS53" s="103">
        <f>HR53+HS52</f>
        <v/>
      </c>
      <c r="HT53" s="103">
        <f>HS53+HT52</f>
        <v/>
      </c>
      <c r="HU53" s="103">
        <f>HT53+HU52</f>
        <v/>
      </c>
      <c r="JF53" s="100">
        <f>AP53</f>
        <v/>
      </c>
      <c r="JG53" s="100">
        <f>SUM(Z53:AK53)</f>
        <v/>
      </c>
      <c r="JH53" s="100">
        <f>SUM(AL53:AP53)</f>
        <v/>
      </c>
      <c r="JI53" s="100">
        <f>SUM(C53:AP53)</f>
        <v/>
      </c>
      <c r="JJ53" s="446" t="n"/>
      <c r="JM53" s="59" t="n">
        <v>-34156967.47126087</v>
      </c>
      <c r="KG53" s="269">
        <f>B53</f>
        <v/>
      </c>
      <c r="KH53" s="183">
        <f>AR53</f>
        <v/>
      </c>
    </row>
    <row r="54" ht="15.75" customHeight="1">
      <c r="A54" s="54" t="n"/>
      <c r="B54" s="144" t="n"/>
      <c r="C54" s="69" t="n"/>
      <c r="D54" s="69" t="n"/>
      <c r="E54" s="69" t="n"/>
      <c r="F54" s="69" t="n"/>
      <c r="G54" s="69" t="n"/>
      <c r="H54" s="69" t="n"/>
      <c r="I54" s="203" t="n"/>
      <c r="J54" s="184" t="n"/>
      <c r="K54" s="95" t="n"/>
      <c r="L54" s="95" t="n"/>
      <c r="M54" s="225" t="n"/>
      <c r="N54" s="225" t="n"/>
      <c r="O54" s="225" t="n"/>
      <c r="P54" s="225" t="n"/>
      <c r="Q54" s="225" t="n"/>
      <c r="R54" s="225" t="n"/>
      <c r="S54" s="225" t="n"/>
      <c r="T54" s="225" t="n"/>
      <c r="U54" s="225" t="n"/>
      <c r="V54" s="225" t="n"/>
      <c r="W54" s="225" t="n"/>
      <c r="X54" s="225" t="n"/>
      <c r="Y54" s="225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53" t="n"/>
      <c r="AN54" s="53" t="n"/>
      <c r="AO54" s="53" t="n"/>
      <c r="AP54" s="53" t="n"/>
      <c r="AQ54" s="13" t="n"/>
      <c r="AR54" s="242" t="n"/>
      <c r="AS54" s="13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306" t="n"/>
      <c r="BE54" s="95" t="n"/>
      <c r="BF54" s="95" t="n"/>
      <c r="BG54" s="95" t="n"/>
      <c r="BH54" s="95" t="n"/>
      <c r="BI54" s="95" t="n"/>
      <c r="BJ54" s="95" t="n"/>
      <c r="BK54" s="95" t="n"/>
      <c r="BL54" s="95" t="n"/>
      <c r="BM54" s="95" t="n"/>
      <c r="BN54" s="95" t="n"/>
      <c r="BO54" s="95" t="n"/>
      <c r="BP54" s="306" t="n"/>
      <c r="BQ54" s="95" t="n"/>
      <c r="BR54" s="95" t="n"/>
      <c r="BS54" s="95" t="n"/>
      <c r="BT54" s="95" t="n"/>
      <c r="BU54" s="95" t="n"/>
      <c r="BV54" s="95" t="n"/>
      <c r="BW54" s="95" t="n"/>
      <c r="BX54" s="95" t="n"/>
      <c r="BY54" s="95" t="n"/>
      <c r="BZ54" s="95" t="n"/>
      <c r="CA54" s="95" t="n"/>
      <c r="CB54" s="306" t="n"/>
      <c r="CC54" s="95" t="n"/>
      <c r="CD54" s="95" t="n"/>
      <c r="CE54" s="95" t="n"/>
      <c r="CF54" s="95" t="n"/>
      <c r="CG54" s="95" t="n"/>
      <c r="CH54" s="95" t="n"/>
      <c r="CI54" s="95" t="n"/>
      <c r="CJ54" s="95" t="n"/>
      <c r="CK54" s="95" t="n"/>
      <c r="CL54" s="95" t="n"/>
      <c r="CM54" s="95" t="n"/>
      <c r="CN54" s="306" t="n"/>
      <c r="CO54" s="95" t="n"/>
      <c r="CP54" s="95" t="n"/>
      <c r="CQ54" s="95" t="n"/>
      <c r="CR54" s="95" t="n"/>
      <c r="CS54" s="95" t="n"/>
      <c r="CT54" s="95" t="n"/>
      <c r="CU54" s="95" t="n"/>
      <c r="CV54" s="95" t="n"/>
      <c r="CW54" s="95" t="n"/>
      <c r="CX54" s="95" t="n"/>
      <c r="CY54" s="95" t="n"/>
      <c r="CZ54" s="306" t="n"/>
      <c r="DA54" s="95" t="n"/>
      <c r="DB54" s="95" t="n"/>
      <c r="DC54" s="95" t="n"/>
      <c r="DD54" s="95" t="n"/>
      <c r="DE54" s="95" t="n"/>
      <c r="DF54" s="95" t="n"/>
      <c r="DG54" s="95" t="n"/>
      <c r="DH54" s="95" t="n"/>
      <c r="DI54" s="95" t="n"/>
      <c r="DJ54" s="95" t="n"/>
      <c r="DK54" s="95" t="n"/>
      <c r="DL54" s="95" t="n"/>
      <c r="DM54" s="95" t="n"/>
      <c r="DN54" s="95" t="n"/>
      <c r="DO54" s="95" t="n"/>
      <c r="DP54" s="95" t="n"/>
      <c r="DQ54" s="95" t="n"/>
      <c r="DR54" s="95" t="n"/>
      <c r="DS54" s="95" t="n"/>
      <c r="DT54" s="95" t="n"/>
      <c r="DU54" s="95" t="n"/>
      <c r="DV54" s="95" t="n"/>
      <c r="DW54" s="95" t="n"/>
      <c r="DX54" s="95" t="n"/>
      <c r="DY54" s="95" t="n"/>
      <c r="DZ54" s="95" t="n"/>
      <c r="EA54" s="95" t="n"/>
      <c r="EB54" s="95" t="n"/>
      <c r="EC54" s="95" t="n"/>
      <c r="ED54" s="95" t="n"/>
      <c r="EE54" s="95" t="n"/>
      <c r="EF54" s="95" t="n"/>
      <c r="EG54" s="95" t="n"/>
      <c r="EH54" s="95" t="n"/>
      <c r="EI54" s="95" t="n"/>
      <c r="EJ54" s="95" t="n"/>
      <c r="EK54" s="95" t="n"/>
      <c r="EL54" s="95" t="n"/>
      <c r="EM54" s="95" t="n"/>
      <c r="EN54" s="95" t="n"/>
      <c r="EO54" s="95" t="n"/>
      <c r="EP54" s="95" t="n"/>
      <c r="EQ54" s="95" t="n"/>
      <c r="ER54" s="95" t="n"/>
      <c r="ES54" s="95" t="n"/>
      <c r="ET54" s="95" t="n"/>
      <c r="EU54" s="95" t="n"/>
      <c r="EV54" s="95" t="n"/>
      <c r="EW54" s="95" t="n"/>
      <c r="EX54" s="95" t="n"/>
      <c r="EY54" s="95" t="n"/>
      <c r="EZ54" s="95" t="n"/>
      <c r="FA54" s="95" t="n"/>
      <c r="FB54" s="95" t="n"/>
      <c r="FC54" s="95" t="n"/>
      <c r="FD54" s="95" t="n"/>
      <c r="FE54" s="95" t="n"/>
      <c r="FF54" s="95" t="n"/>
      <c r="FG54" s="95" t="n"/>
      <c r="FH54" s="95" t="n"/>
      <c r="FI54" s="95" t="n"/>
      <c r="FJ54" s="95" t="n"/>
      <c r="FK54" s="95" t="n"/>
      <c r="FL54" s="95" t="n"/>
      <c r="FM54" s="95" t="n"/>
      <c r="FN54" s="95" t="n"/>
      <c r="FO54" s="95" t="n"/>
      <c r="FP54" s="95" t="n"/>
      <c r="FQ54" s="95" t="n"/>
      <c r="FR54" s="95" t="n"/>
      <c r="FS54" s="95" t="n"/>
      <c r="FT54" s="95" t="n"/>
      <c r="FU54" s="95" t="n"/>
      <c r="FV54" s="95" t="n"/>
      <c r="FW54" s="95" t="n"/>
      <c r="FX54" s="95" t="n"/>
      <c r="FY54" s="95" t="n"/>
      <c r="FZ54" s="95" t="n"/>
      <c r="GA54" s="95" t="n"/>
      <c r="GB54" s="95" t="n"/>
      <c r="GC54" s="95" t="n"/>
      <c r="GD54" s="95" t="n"/>
      <c r="GE54" s="95" t="n"/>
      <c r="GF54" s="95" t="n"/>
      <c r="GG54" s="95" t="n"/>
      <c r="GH54" s="95" t="n"/>
      <c r="GI54" s="95" t="n"/>
      <c r="GJ54" s="95" t="n"/>
      <c r="GK54" s="95" t="n"/>
      <c r="GL54" s="95" t="n"/>
      <c r="GM54" s="95" t="n"/>
      <c r="GN54" s="95" t="n"/>
      <c r="GO54" s="95" t="n"/>
      <c r="GP54" s="95" t="n"/>
      <c r="GQ54" s="95" t="n"/>
      <c r="GR54" s="95" t="n"/>
      <c r="GS54" s="95" t="n"/>
      <c r="GT54" s="95" t="n"/>
      <c r="GU54" s="95" t="n"/>
      <c r="GV54" s="95" t="n"/>
      <c r="GW54" s="95" t="n"/>
      <c r="GX54" s="95" t="n"/>
      <c r="GY54" s="95" t="n"/>
      <c r="GZ54" s="95" t="n"/>
      <c r="HA54" s="95" t="n"/>
      <c r="HB54" s="95" t="n"/>
      <c r="HC54" s="95" t="n"/>
      <c r="HD54" s="95" t="n"/>
      <c r="HE54" s="95" t="n"/>
      <c r="HF54" s="95" t="n"/>
      <c r="HG54" s="95" t="n"/>
      <c r="HH54" s="95" t="n"/>
      <c r="HI54" s="95" t="n"/>
      <c r="HJ54" s="95" t="n"/>
      <c r="HK54" s="95" t="n"/>
      <c r="HL54" s="95" t="n"/>
      <c r="HM54" s="95" t="n"/>
      <c r="HN54" s="95" t="n"/>
      <c r="HO54" s="95" t="n"/>
      <c r="HP54" s="95" t="n"/>
      <c r="HQ54" s="95" t="n"/>
      <c r="HR54" s="95" t="n"/>
      <c r="HS54" s="95" t="n"/>
      <c r="HT54" s="95" t="n"/>
      <c r="HU54" s="95" t="n"/>
      <c r="JF54" s="95">
        <f>AP54</f>
        <v/>
      </c>
      <c r="JG54" s="95">
        <f>SUM(Z54:AK54)</f>
        <v/>
      </c>
      <c r="JH54" s="95">
        <f>SUM(AL54:AP54)</f>
        <v/>
      </c>
      <c r="JI54" s="95">
        <f>SUM(C54:AP54)</f>
        <v/>
      </c>
      <c r="JJ54" s="446" t="n"/>
      <c r="JM54" s="95" t="n"/>
      <c r="KG54" s="144">
        <f>B54</f>
        <v/>
      </c>
      <c r="KH54" s="242">
        <f>AR54</f>
        <v/>
      </c>
    </row>
    <row r="55" ht="18" customHeight="1">
      <c r="A55" s="19" t="inlineStr">
        <is>
          <t>IMPOSTOS (-)</t>
        </is>
      </c>
      <c r="B55" s="139" t="n"/>
      <c r="C55" s="20" t="n"/>
      <c r="D55" s="22" t="n"/>
      <c r="E55" s="20" t="n"/>
      <c r="F55" s="20" t="n"/>
      <c r="G55" s="20" t="n"/>
      <c r="H55" s="20" t="n"/>
      <c r="I55" s="21" t="n"/>
      <c r="J55" s="175" t="n"/>
      <c r="K55" s="21" t="n"/>
      <c r="L55" s="108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  <c r="AK55" s="220" t="n"/>
      <c r="AL55" s="220" t="n"/>
      <c r="AM55" s="220" t="n"/>
      <c r="AN55" s="220" t="n"/>
      <c r="AO55" s="220" t="n"/>
      <c r="AP55" s="220" t="n"/>
      <c r="AQ55" s="200" t="n"/>
      <c r="AR55" s="241" t="n"/>
      <c r="AS55" s="20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20" t="n"/>
      <c r="BC55" s="20" t="n"/>
      <c r="BD55" s="299" t="n"/>
      <c r="BE55" s="22" t="n"/>
      <c r="BF55" s="20" t="n"/>
      <c r="BG55" s="20" t="n"/>
      <c r="BH55" s="20" t="n"/>
      <c r="BI55" s="20" t="n"/>
      <c r="BJ55" s="20" t="n"/>
      <c r="BK55" s="20" t="n"/>
      <c r="BL55" s="20" t="n"/>
      <c r="BM55" s="20" t="n"/>
      <c r="BN55" s="20" t="n"/>
      <c r="BO55" s="20" t="n"/>
      <c r="BP55" s="299" t="n"/>
      <c r="BQ55" s="22" t="n"/>
      <c r="BR55" s="20" t="n"/>
      <c r="BS55" s="20" t="n"/>
      <c r="BT55" s="20" t="n"/>
      <c r="BU55" s="20" t="n"/>
      <c r="BV55" s="20" t="n"/>
      <c r="BW55" s="20" t="n"/>
      <c r="BX55" s="20" t="n"/>
      <c r="BY55" s="20" t="n"/>
      <c r="BZ55" s="20" t="n"/>
      <c r="CA55" s="20" t="n"/>
      <c r="CB55" s="299" t="n"/>
      <c r="CC55" s="22" t="n"/>
      <c r="CD55" s="20" t="n"/>
      <c r="CE55" s="20" t="n"/>
      <c r="CF55" s="20" t="n"/>
      <c r="CG55" s="20" t="n"/>
      <c r="CH55" s="20" t="n"/>
      <c r="CI55" s="20" t="n"/>
      <c r="CJ55" s="20" t="n"/>
      <c r="CK55" s="20" t="n"/>
      <c r="CL55" s="20" t="n"/>
      <c r="CM55" s="20" t="n"/>
      <c r="CN55" s="299" t="n"/>
      <c r="CO55" s="22" t="n"/>
      <c r="CP55" s="20" t="n"/>
      <c r="CQ55" s="20" t="n"/>
      <c r="CR55" s="20" t="n"/>
      <c r="CS55" s="20" t="n"/>
      <c r="CT55" s="20" t="n"/>
      <c r="CU55" s="20" t="n"/>
      <c r="CV55" s="20" t="n"/>
      <c r="CW55" s="20" t="n"/>
      <c r="CX55" s="20" t="n"/>
      <c r="CY55" s="20" t="n"/>
      <c r="CZ55" s="299" t="n"/>
      <c r="DA55" s="22" t="n"/>
      <c r="DB55" s="20" t="n"/>
      <c r="DC55" s="20" t="n"/>
      <c r="DD55" s="20" t="n"/>
      <c r="DE55" s="20" t="n"/>
      <c r="DF55" s="20" t="n"/>
      <c r="DG55" s="20" t="n"/>
      <c r="DH55" s="20" t="n"/>
      <c r="DI55" s="20" t="n"/>
      <c r="DJ55" s="21" t="n"/>
      <c r="DK55" s="20" t="n"/>
      <c r="DL55" s="21" t="n"/>
      <c r="DM55" s="20" t="n"/>
      <c r="DN55" s="21" t="n"/>
      <c r="DO55" s="21" t="n"/>
      <c r="DP55" s="21" t="n"/>
      <c r="DQ55" s="21" t="n"/>
      <c r="DR55" s="21" t="n"/>
      <c r="DS55" s="21" t="n"/>
      <c r="DT55" s="21" t="n"/>
      <c r="DU55" s="21" t="n"/>
      <c r="DV55" s="21" t="n"/>
      <c r="DW55" s="21" t="n"/>
      <c r="DX55" s="21" t="n"/>
      <c r="DY55" s="21" t="n"/>
      <c r="DZ55" s="21" t="n"/>
      <c r="EA55" s="21" t="n"/>
      <c r="EB55" s="21" t="n"/>
      <c r="EC55" s="21" t="n"/>
      <c r="ED55" s="21" t="n"/>
      <c r="EE55" s="21" t="n"/>
      <c r="EF55" s="21" t="n"/>
      <c r="EG55" s="21" t="n"/>
      <c r="EH55" s="21" t="n"/>
      <c r="EI55" s="21" t="n"/>
      <c r="EJ55" s="21" t="n"/>
      <c r="EK55" s="21" t="n"/>
      <c r="EL55" s="21" t="n"/>
      <c r="EM55" s="21" t="n"/>
      <c r="EN55" s="21" t="n"/>
      <c r="EO55" s="21" t="n"/>
      <c r="EP55" s="21" t="n"/>
      <c r="EQ55" s="21" t="n"/>
      <c r="ER55" s="21" t="n"/>
      <c r="ES55" s="21" t="n"/>
      <c r="ET55" s="21" t="n"/>
      <c r="EU55" s="21" t="n"/>
      <c r="EV55" s="21" t="n"/>
      <c r="EW55" s="21" t="n"/>
      <c r="EX55" s="21" t="n"/>
      <c r="EY55" s="21" t="n"/>
      <c r="EZ55" s="21" t="n"/>
      <c r="FA55" s="21" t="n"/>
      <c r="FB55" s="21" t="n"/>
      <c r="FC55" s="21" t="n"/>
      <c r="FD55" s="21" t="n"/>
      <c r="FE55" s="21" t="n"/>
      <c r="FF55" s="21" t="n"/>
      <c r="FG55" s="21" t="n"/>
      <c r="FH55" s="21" t="n"/>
      <c r="FI55" s="21" t="n"/>
      <c r="FJ55" s="21" t="n"/>
      <c r="FK55" s="21" t="n"/>
      <c r="FL55" s="21" t="n"/>
      <c r="FM55" s="21" t="n"/>
      <c r="FN55" s="21" t="n"/>
      <c r="FO55" s="21" t="n"/>
      <c r="FP55" s="21" t="n"/>
      <c r="FQ55" s="21" t="n"/>
      <c r="FR55" s="21" t="n"/>
      <c r="FS55" s="21" t="n"/>
      <c r="FT55" s="21" t="n"/>
      <c r="FU55" s="21" t="n"/>
      <c r="FV55" s="21" t="n"/>
      <c r="FW55" s="21" t="n"/>
      <c r="FX55" s="21" t="n"/>
      <c r="FY55" s="21" t="n"/>
      <c r="FZ55" s="21" t="n"/>
      <c r="GA55" s="21" t="n"/>
      <c r="GB55" s="21" t="n"/>
      <c r="GC55" s="21" t="n"/>
      <c r="GD55" s="21" t="n"/>
      <c r="GE55" s="21" t="n"/>
      <c r="GF55" s="21" t="n"/>
      <c r="GG55" s="21" t="n"/>
      <c r="GH55" s="21" t="n"/>
      <c r="GI55" s="21" t="n"/>
      <c r="GJ55" s="21" t="n"/>
      <c r="GK55" s="21" t="n"/>
      <c r="GL55" s="21" t="n"/>
      <c r="GM55" s="21" t="n"/>
      <c r="GN55" s="21" t="n"/>
      <c r="GO55" s="21" t="n"/>
      <c r="GP55" s="21" t="n"/>
      <c r="GQ55" s="21" t="n"/>
      <c r="GR55" s="21" t="n"/>
      <c r="GS55" s="21" t="n"/>
      <c r="GT55" s="21" t="n"/>
      <c r="GU55" s="21" t="n"/>
      <c r="GV55" s="21" t="n"/>
      <c r="GW55" s="21" t="n"/>
      <c r="GX55" s="21" t="n"/>
      <c r="GY55" s="21" t="n"/>
      <c r="GZ55" s="21" t="n"/>
      <c r="HA55" s="21" t="n"/>
      <c r="HB55" s="21" t="n"/>
      <c r="HC55" s="21" t="n"/>
      <c r="HD55" s="21" t="n"/>
      <c r="HE55" s="21" t="n"/>
      <c r="HF55" s="21" t="n"/>
      <c r="HG55" s="21" t="n"/>
      <c r="HH55" s="21" t="n"/>
      <c r="HI55" s="21" t="n"/>
      <c r="HJ55" s="21" t="n"/>
      <c r="HK55" s="21" t="n"/>
      <c r="HL55" s="21" t="n"/>
      <c r="HM55" s="21" t="n"/>
      <c r="HN55" s="21" t="n"/>
      <c r="HO55" s="21" t="n"/>
      <c r="HP55" s="21" t="n"/>
      <c r="HQ55" s="21" t="n"/>
      <c r="HR55" s="21" t="n"/>
      <c r="HS55" s="21" t="n"/>
      <c r="HT55" s="21" t="n"/>
      <c r="HU55" s="21" t="n"/>
      <c r="JF55" s="20">
        <f>AP55</f>
        <v/>
      </c>
      <c r="JG55" s="20">
        <f>SUM(Z55:AK55)</f>
        <v/>
      </c>
      <c r="JH55" s="20">
        <f>SUM(AL55:AP55)</f>
        <v/>
      </c>
      <c r="JI55" s="20">
        <f>SUM(C55:AP55)</f>
        <v/>
      </c>
      <c r="JJ55" s="446" t="n"/>
      <c r="JM55" s="21" t="n"/>
      <c r="KG55" s="139">
        <f>B55</f>
        <v/>
      </c>
      <c r="KH55" s="241">
        <f>AR55</f>
        <v/>
      </c>
    </row>
    <row r="56" ht="16.2" customHeight="1">
      <c r="A56" s="7" t="inlineStr">
        <is>
          <t>Impostos</t>
        </is>
      </c>
      <c r="B56" s="136">
        <f>SUM(C56:AP56)</f>
        <v/>
      </c>
      <c r="C56" s="85" t="n"/>
      <c r="D56" s="87" t="n"/>
      <c r="E56" s="85" t="n"/>
      <c r="F56" s="85" t="n"/>
      <c r="G56" s="85" t="n"/>
      <c r="H56" s="85" t="n"/>
      <c r="I56" s="86" t="n"/>
      <c r="J56" s="218" t="n"/>
      <c r="K56" s="113" t="n"/>
      <c r="L56" s="122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>
        <f>-210474.96-5661</f>
        <v/>
      </c>
      <c r="AD56" s="219">
        <f>-120603.87-111025.76</f>
        <v/>
      </c>
      <c r="AE56" s="219" t="n">
        <v>-112006.6</v>
      </c>
      <c r="AF56" s="219" t="n">
        <v>-432705.99</v>
      </c>
      <c r="AG56" s="219" t="n">
        <v>-118838.98</v>
      </c>
      <c r="AH56" s="219" t="n">
        <v>-116123.91</v>
      </c>
      <c r="AI56" s="219" t="n">
        <v>-354372.51</v>
      </c>
      <c r="AJ56" s="219" t="n">
        <v>-173967.62</v>
      </c>
      <c r="AK56" s="219" t="n">
        <v>-179418.92</v>
      </c>
      <c r="AL56" s="219" t="n">
        <v>-488063.29</v>
      </c>
      <c r="AM56" s="219" t="n">
        <v>-163274.46</v>
      </c>
      <c r="AN56" s="219" t="n">
        <v>-135237.18</v>
      </c>
      <c r="AO56" s="219" t="n">
        <v>-277617.7</v>
      </c>
      <c r="AP56" s="219" t="n">
        <v>-284941.98</v>
      </c>
      <c r="AQ56" s="13" t="n"/>
      <c r="AR56" s="345">
        <f>SUM(AT56:HU56)</f>
        <v/>
      </c>
      <c r="AS56" s="87" t="n"/>
      <c r="AT56" s="85">
        <f>(AP8+AP9+AP12)*6.75%*-1</f>
        <v/>
      </c>
      <c r="AU56" s="85">
        <f>(AT8+AT9+AT12)*6.75%*-1</f>
        <v/>
      </c>
      <c r="AV56" s="85">
        <f>(AU8+AU9+AU12)*6.75%*-1</f>
        <v/>
      </c>
      <c r="AW56" s="85">
        <f>(AV8+AV9+AV12)*6.75%*-1</f>
        <v/>
      </c>
      <c r="AX56" s="85">
        <f>(AW8+AW9+AW12)*6.75%*-1</f>
        <v/>
      </c>
      <c r="AY56" s="85">
        <f>(AX8+AX9+AX12)*6.75%*-1</f>
        <v/>
      </c>
      <c r="AZ56" s="85">
        <f>(AY8+AY9+AY12)*6.75%*-1</f>
        <v/>
      </c>
      <c r="BA56" s="85">
        <f>(AZ8+AZ9+AZ12)*6.75%*-1</f>
        <v/>
      </c>
      <c r="BB56" s="85">
        <f>(BA8+BA9+BA12)*6.75%*-1</f>
        <v/>
      </c>
      <c r="BC56" s="85">
        <f>(BB8+BB9+BB12)*6.75%*-1</f>
        <v/>
      </c>
      <c r="BD56" s="85">
        <f>(BC8+BC9+BC12)*6.75%*-1</f>
        <v/>
      </c>
      <c r="BE56" s="85">
        <f>(BD8+BD9+BD12)*6.75%*-1</f>
        <v/>
      </c>
      <c r="BF56" s="85">
        <f>(BE8+BE9+BE12)*6.75%*-1</f>
        <v/>
      </c>
      <c r="BG56" s="85">
        <f>(BF8+BF9+BF12)*6.75%*-1</f>
        <v/>
      </c>
      <c r="BH56" s="85">
        <f>(BG8+BG9+BG12)*6.75%*-1</f>
        <v/>
      </c>
      <c r="BI56" s="85">
        <f>(BH8+BH9+BH12)*6.75%*-1</f>
        <v/>
      </c>
      <c r="BJ56" s="85">
        <f>(BI8+BI9+BI12)*6.75%*-1</f>
        <v/>
      </c>
      <c r="BK56" s="85">
        <f>(BJ8+BJ9+BJ12)*6.75%*-1</f>
        <v/>
      </c>
      <c r="BL56" s="85">
        <f>(BK8+BK9+BK12)*6.75%*-1</f>
        <v/>
      </c>
      <c r="BM56" s="85">
        <f>(BL8+BL9+BL12)*6.75%*-1</f>
        <v/>
      </c>
      <c r="BN56" s="85">
        <f>(BM8+BM9+BM12)*6.75%*-1</f>
        <v/>
      </c>
      <c r="BO56" s="85">
        <f>(BN8+BN9+BN12)*6.75%*-1</f>
        <v/>
      </c>
      <c r="BP56" s="296">
        <f>(BO8+BO9+BO12)*6.75%*-1</f>
        <v/>
      </c>
      <c r="BQ56" s="87">
        <f>(BP8+BP9+BP12)*6.75%*-1</f>
        <v/>
      </c>
      <c r="BR56" s="85">
        <f>(BQ8+BQ9+BQ12)*6.75%*-1</f>
        <v/>
      </c>
      <c r="BS56" s="85">
        <f>(BR8+BR9+BR12)*6.75%*-1</f>
        <v/>
      </c>
      <c r="BT56" s="85">
        <f>(BS8+BS9+BS12)*6.75%*-1</f>
        <v/>
      </c>
      <c r="BU56" s="85">
        <f>(BT8+BT9+BT12)*6.75%*-1</f>
        <v/>
      </c>
      <c r="BV56" s="85">
        <f>(BU8+BU9+BU12)*6.75%*-1</f>
        <v/>
      </c>
      <c r="BW56" s="85">
        <f>(BV8+BV9+BV12)*6.75%*-1</f>
        <v/>
      </c>
      <c r="BX56" s="85">
        <f>(BW8+BW9+BW12)*6.75%*-1</f>
        <v/>
      </c>
      <c r="BY56" s="85">
        <f>(BX8+BX9+BX12)*6.75%*-1</f>
        <v/>
      </c>
      <c r="BZ56" s="85">
        <f>(BY8+BY9+BY12)*6.75%*-1</f>
        <v/>
      </c>
      <c r="CA56" s="85">
        <f>(BZ8+BZ9+BZ12)*6.75%*-1</f>
        <v/>
      </c>
      <c r="CB56" s="296">
        <f>(CA8+CA9+CA12)*6.75%*-1</f>
        <v/>
      </c>
      <c r="CC56" s="87">
        <f>(CB8+CB9+CB12)*6.75%*-1</f>
        <v/>
      </c>
      <c r="CD56" s="85">
        <f>(CC8+CC9+CC12)*6.75%*-1</f>
        <v/>
      </c>
      <c r="CE56" s="85">
        <f>(CD8+CD9+CD12)*6.75%*-1</f>
        <v/>
      </c>
      <c r="CF56" s="85">
        <f>(CE8+CE9+CE12)*6.75%*-1</f>
        <v/>
      </c>
      <c r="CG56" s="85">
        <f>(CF8+CF9+CF12)*6.75%*-1</f>
        <v/>
      </c>
      <c r="CH56" s="85">
        <f>(CG8+CG9+CG12)*6.75%*-1</f>
        <v/>
      </c>
      <c r="CI56" s="85">
        <f>(CH8+CH9+CH12)*6.75%*-1</f>
        <v/>
      </c>
      <c r="CJ56" s="85">
        <f>(CI8+CI9+CI12)*6.75%*-1</f>
        <v/>
      </c>
      <c r="CK56" s="85">
        <f>(CJ8+CJ9+CJ12)*6.75%*-1</f>
        <v/>
      </c>
      <c r="CL56" s="85">
        <f>(CK8+CK9+CK12)*6.75%*-1</f>
        <v/>
      </c>
      <c r="CM56" s="85">
        <f>(CL8+CL9+CL12)*6.75%*-1</f>
        <v/>
      </c>
      <c r="CN56" s="296">
        <f>(CM8+CM9+CM12)*6.75%*-1</f>
        <v/>
      </c>
      <c r="CO56" s="87">
        <f>(CN8+CN9+CN12)*6.75%*-1</f>
        <v/>
      </c>
      <c r="CP56" s="85">
        <f>(CO8+CO9+CO12)*6.75%*-1</f>
        <v/>
      </c>
      <c r="CQ56" s="85">
        <f>(CP8+CP9+CP12)*6.75%*-1</f>
        <v/>
      </c>
      <c r="CR56" s="85">
        <f>(CQ8+CQ9+CQ12)*6.75%*-1</f>
        <v/>
      </c>
      <c r="CS56" s="85">
        <f>(CR8+CR9+CR12)*6.75%*-1</f>
        <v/>
      </c>
      <c r="CT56" s="85">
        <f>(CS8+CS9+CS12)*6.75%*-1</f>
        <v/>
      </c>
      <c r="CU56" s="85">
        <f>(CT8+CT9+CT12)*6.75%*-1</f>
        <v/>
      </c>
      <c r="CV56" s="85">
        <f>(CU8+CU9+CU12)*6.75%*-1</f>
        <v/>
      </c>
      <c r="CW56" s="85">
        <f>(CV8+CV9+CV12)*6.75%*-1</f>
        <v/>
      </c>
      <c r="CX56" s="85">
        <f>(CW8+CW9+CW12)*6.75%*-1</f>
        <v/>
      </c>
      <c r="CY56" s="85">
        <f>(CX8+CX9+CX12)*6.75%*-1</f>
        <v/>
      </c>
      <c r="CZ56" s="296">
        <f>(CY8+CY9+CY12)*6.75%*-1</f>
        <v/>
      </c>
      <c r="DA56" s="87">
        <f>(CZ8+CZ9+CZ12)*6.75%*-1</f>
        <v/>
      </c>
      <c r="DB56" s="85">
        <f>(DA8+DA9+DA12)*6.75%*-1</f>
        <v/>
      </c>
      <c r="DC56" s="85">
        <f>(DB8+DB9+DB12)*6.75%*-1</f>
        <v/>
      </c>
      <c r="DD56" s="85">
        <f>(DC8+DC9+DC12)*6.75%*-1</f>
        <v/>
      </c>
      <c r="DE56" s="85">
        <f>(DD8+DD9+DD12)*6.75%*-1</f>
        <v/>
      </c>
      <c r="DF56" s="85">
        <f>(DE8+DE9+DE12)*6.75%*-1</f>
        <v/>
      </c>
      <c r="DG56" s="85">
        <f>(DF8+DF9+DF12)*6.75%*-1</f>
        <v/>
      </c>
      <c r="DH56" s="85">
        <f>(DG8+DG9+DG12)*6.75%*-1</f>
        <v/>
      </c>
      <c r="DI56" s="85">
        <f>(DH8+DH9+DH12)*6.75%*-1</f>
        <v/>
      </c>
      <c r="DJ56" s="85">
        <f>(DI8+DI9+DI12)*6.75%*-1</f>
        <v/>
      </c>
      <c r="DK56" s="85">
        <f>(DJ8+DJ9+DJ12)*6.75%*-1</f>
        <v/>
      </c>
      <c r="DL56" s="85">
        <f>(DK8+DK9+DK12)*6.75%*-1</f>
        <v/>
      </c>
      <c r="DM56" s="85">
        <f>(DL8+DL9+DL12)*6.75%*-1</f>
        <v/>
      </c>
      <c r="DN56" s="85">
        <f>(DM8+DM9+DM12)*6.75%*-1</f>
        <v/>
      </c>
      <c r="DO56" s="85">
        <f>(DN8+DN9+DN12)*6.75%*-1</f>
        <v/>
      </c>
      <c r="DP56" s="85">
        <f>(DO8+DO9+DO12)*6.75%*-1</f>
        <v/>
      </c>
      <c r="DQ56" s="85">
        <f>(DP8+DP9+DP12)*6.75%*-1</f>
        <v/>
      </c>
      <c r="DR56" s="85">
        <f>(DQ8+DQ9+DQ12)*6.75%*-1</f>
        <v/>
      </c>
      <c r="DS56" s="85">
        <f>(DR8+DR9+DR12)*6.75%*-1</f>
        <v/>
      </c>
      <c r="DT56" s="85">
        <f>(DS8+DS9+DS12)*6.75%*-1</f>
        <v/>
      </c>
      <c r="DU56" s="85">
        <f>(DT8+DT9+DT12)*6.75%*-1</f>
        <v/>
      </c>
      <c r="DV56" s="85">
        <f>(DU8+DU9+DU12)*6.75%*-1</f>
        <v/>
      </c>
      <c r="DW56" s="85">
        <f>(DV8+DV9+DV12)*6.75%*-1</f>
        <v/>
      </c>
      <c r="DX56" s="85">
        <f>(DW8+DW9+DW12)*6.75%*-1</f>
        <v/>
      </c>
      <c r="DY56" s="87">
        <f>(DU8+DU9+DU12)*6.75%*-1</f>
        <v/>
      </c>
      <c r="DZ56" s="87">
        <f>(DY8+DY9+DY12)*6.75%*-1</f>
        <v/>
      </c>
      <c r="EA56" s="85">
        <f>(DZ8+DZ9+DZ12)*6.75%*-1</f>
        <v/>
      </c>
      <c r="EB56" s="85">
        <f>(EA8+EA9+EA12)*6.75%*-1</f>
        <v/>
      </c>
      <c r="EC56" s="85">
        <f>(EB8+EB9+EB12)*6.75%*-1</f>
        <v/>
      </c>
      <c r="ED56" s="85">
        <f>(EC8+EC9+EC12)*6.75%*-1</f>
        <v/>
      </c>
      <c r="EE56" s="85">
        <f>(ED8+ED9+ED12)*6.75%*-1</f>
        <v/>
      </c>
      <c r="EF56" s="85">
        <f>(EE8+EE9+EE12)*6.75%*-1</f>
        <v/>
      </c>
      <c r="EG56" s="85">
        <f>(EF8+EF9+EF12)*6.75%*-1</f>
        <v/>
      </c>
      <c r="EH56" s="85">
        <f>(EG8+EG9+EG12)*6.75%*-1</f>
        <v/>
      </c>
      <c r="EI56" s="86">
        <f>(EH8+EH9+EH12)*6.75%*-1</f>
        <v/>
      </c>
      <c r="EJ56" s="86">
        <f>(EI8+EI9+EI12)*6.75%*-1</f>
        <v/>
      </c>
      <c r="EK56" s="85">
        <f>(EJ8+EJ9+EJ12)*6.75%*-1</f>
        <v/>
      </c>
      <c r="EL56" s="85">
        <f>(EK8+EK9+EK12)*6.75%*-1</f>
        <v/>
      </c>
      <c r="EM56" s="85">
        <f>(EL8+EL9+EL12)*6.75%*-1</f>
        <v/>
      </c>
      <c r="EN56" s="85">
        <f>(EM8+EM9+EM12)*6.75%*-1</f>
        <v/>
      </c>
      <c r="EO56" s="85">
        <f>(EN8+EN9+EN12)*6.75%*-1</f>
        <v/>
      </c>
      <c r="EP56" s="85">
        <f>(EO8+EO9+EO12)*6.75%*-1</f>
        <v/>
      </c>
      <c r="EQ56" s="85">
        <f>(EP8+EP9+EP12)*6.75%*-1</f>
        <v/>
      </c>
      <c r="ER56" s="85">
        <f>(EQ8+EQ9+EQ12)*6.75%*-1</f>
        <v/>
      </c>
      <c r="ES56" s="85">
        <f>(ER8+ER9+ER12)*6.75%*-1</f>
        <v/>
      </c>
      <c r="ET56" s="85">
        <f>(ES8+ES9+ES12)*6.75%*-1</f>
        <v/>
      </c>
      <c r="EU56" s="85">
        <f>(ET8+ET9+ET12)*6.75%*-1</f>
        <v/>
      </c>
      <c r="EV56" s="296">
        <f>(EU8+EU9+EU12)*6.75%*-1</f>
        <v/>
      </c>
      <c r="EW56" s="87">
        <f>(EV8+EV9+EV12)*6.75%*-1</f>
        <v/>
      </c>
      <c r="EX56" s="85">
        <f>(EW8+EW9+EW12)*6.75%*-1</f>
        <v/>
      </c>
      <c r="EY56" s="85">
        <f>(EX8+EX9+EX12)*6.75%*-1</f>
        <v/>
      </c>
      <c r="EZ56" s="85">
        <f>(EY8+EY9+EY12)*6.75%*-1</f>
        <v/>
      </c>
      <c r="FA56" s="85">
        <f>(EZ8+EZ9+EZ12)*6.75%*-1</f>
        <v/>
      </c>
      <c r="FB56" s="85">
        <f>(FA8+FA9+FA12)*6.75%*-1</f>
        <v/>
      </c>
      <c r="FC56" s="85">
        <f>(FB8+FB9+FB12)*6.75%*-1</f>
        <v/>
      </c>
      <c r="FD56" s="85">
        <f>(FC8+FC9+FC12)*6.75%*-1</f>
        <v/>
      </c>
      <c r="FE56" s="85">
        <f>(FD8+FD9+FD12)*6.75%*-1</f>
        <v/>
      </c>
      <c r="FF56" s="85">
        <f>(FE8+FE9+FE12)*6.75%*-1</f>
        <v/>
      </c>
      <c r="FG56" s="85">
        <f>(FF8+FF9+FF12)*6.75%*-1</f>
        <v/>
      </c>
      <c r="FH56" s="296">
        <f>(FG8+FG9+FG12)*6.75%*-1</f>
        <v/>
      </c>
      <c r="FI56" s="87">
        <f>(FH8+FH9+FH12)*6.75%*-1</f>
        <v/>
      </c>
      <c r="FJ56" s="85">
        <f>(FI8+FI9+FI12)*6.75%*-1</f>
        <v/>
      </c>
      <c r="FK56" s="85">
        <f>(FJ8+FJ9+FJ12)*6.75%*-1</f>
        <v/>
      </c>
      <c r="FL56" s="85">
        <f>(FK8+FK9+FK12)*6.75%*-1</f>
        <v/>
      </c>
      <c r="FM56" s="85">
        <f>(FL8+FL9+FL12)*6.75%*-1</f>
        <v/>
      </c>
      <c r="FN56" s="85">
        <f>(FM8+FM9+FM12)*6.75%*-1</f>
        <v/>
      </c>
      <c r="FO56" s="85">
        <f>(FN8+FN9+FN12)*6.75%*-1</f>
        <v/>
      </c>
      <c r="FP56" s="85">
        <f>(FO8+FO9+FO12)*6.75%*-1</f>
        <v/>
      </c>
      <c r="FQ56" s="85">
        <f>(FP8+FP9+FP12)*6.75%*-1</f>
        <v/>
      </c>
      <c r="FR56" s="85">
        <f>(FQ8+FQ9+FQ12)*6.75%*-1</f>
        <v/>
      </c>
      <c r="FS56" s="85">
        <f>(FR8+FR9+FR12)*6.75%*-1</f>
        <v/>
      </c>
      <c r="FT56" s="85">
        <f>(FS8+FS9+FS12)*6.75%*-1</f>
        <v/>
      </c>
      <c r="FU56" s="85">
        <f>(FT8+FT9+FT12)*6.75%*-1</f>
        <v/>
      </c>
      <c r="FV56" s="85">
        <f>(FU8+FU9+FU12)*6.75%*-1</f>
        <v/>
      </c>
      <c r="FW56" s="85">
        <f>(FV8+FV9+FV12)*6.75%*-1</f>
        <v/>
      </c>
      <c r="FX56" s="85">
        <f>(FW8+FW9+FW12)*6.75%*-1</f>
        <v/>
      </c>
      <c r="FY56" s="85">
        <f>(FX8+FX9+FX12)*6.75%*-1</f>
        <v/>
      </c>
      <c r="FZ56" s="85">
        <f>(FY8+FY9+FY12)*6.75%*-1</f>
        <v/>
      </c>
      <c r="GA56" s="85">
        <f>(FZ8+FZ9+FZ12)*6.75%*-1</f>
        <v/>
      </c>
      <c r="GB56" s="85">
        <f>(GA8+GA9+GA12)*6.75%*-1</f>
        <v/>
      </c>
      <c r="GC56" s="85">
        <f>(GB8+GB9+GB12)*6.75%*-1</f>
        <v/>
      </c>
      <c r="GD56" s="85">
        <f>(GC8+GC9+GC12)*6.75%*-1</f>
        <v/>
      </c>
      <c r="GE56" s="85">
        <f>(GD8+GD9+GD12)*6.75%*-1</f>
        <v/>
      </c>
      <c r="GF56" s="85">
        <f>(GE8+GE9+GE12)*6.75%*-1</f>
        <v/>
      </c>
      <c r="GG56" s="85">
        <f>(GF8+GF9+GF12)*6.75%*-1</f>
        <v/>
      </c>
      <c r="GH56" s="85">
        <f>(GG8+GG9+GG12)*6.75%*-1</f>
        <v/>
      </c>
      <c r="GI56" s="85">
        <f>(GH8+GH9+GH12)*6.75%*-1</f>
        <v/>
      </c>
      <c r="GJ56" s="85">
        <f>(GI8+GI9+GI12)*6.75%*-1</f>
        <v/>
      </c>
      <c r="GK56" s="85">
        <f>(GJ8+GJ9+GJ12)*6.75%*-1</f>
        <v/>
      </c>
      <c r="GL56" s="85">
        <f>(GK8+GK9+GK12)*6.75%*-1</f>
        <v/>
      </c>
      <c r="GM56" s="85">
        <f>(GL8+GL9+GL12)*6.75%*-1</f>
        <v/>
      </c>
      <c r="GN56" s="85">
        <f>(GM8+GM9+GM12)*6.75%*-1</f>
        <v/>
      </c>
      <c r="GO56" s="85">
        <f>(GN8+GN9+GN12)*6.75%*-1</f>
        <v/>
      </c>
      <c r="GP56" s="85">
        <f>(GO8+GO9+GO12)*6.75%*-1</f>
        <v/>
      </c>
      <c r="GQ56" s="85">
        <f>(GP8+GP9+GP12)*6.75%*-1</f>
        <v/>
      </c>
      <c r="GR56" s="85">
        <f>(GQ8+GQ9+GQ12)*6.75%*-1</f>
        <v/>
      </c>
      <c r="GS56" s="85">
        <f>(GR8+GR9+GR12)*6.75%*-1</f>
        <v/>
      </c>
      <c r="GT56" s="85">
        <f>(GS8+GS9+GS12)*6.75%*-1</f>
        <v/>
      </c>
      <c r="GU56" s="85">
        <f>(GT8+GT9+GT12)*6.75%*-1</f>
        <v/>
      </c>
      <c r="GV56" s="85">
        <f>(GU8+GU9+GU12)*6.75%*-1</f>
        <v/>
      </c>
      <c r="GW56" s="85">
        <f>(GV8+GV9+GV12)*6.75%*-1</f>
        <v/>
      </c>
      <c r="GX56" s="85">
        <f>(GW8+GW9+GW12)*6.75%*-1</f>
        <v/>
      </c>
      <c r="GY56" s="85">
        <f>(GX8+GX9+GX12)*6.75%*-1</f>
        <v/>
      </c>
      <c r="GZ56" s="85">
        <f>(GY8+GY9+GY12)*6.75%*-1</f>
        <v/>
      </c>
      <c r="HA56" s="85">
        <f>(GZ8+GZ9+GZ12)*6.75%*-1</f>
        <v/>
      </c>
      <c r="HB56" s="85">
        <f>(HA8+HA9+HA12)*6.75%*-1</f>
        <v/>
      </c>
      <c r="HC56" s="85">
        <f>(HB8+HB9+HB12)*6.75%*-1</f>
        <v/>
      </c>
      <c r="HD56" s="85">
        <f>(HC8+HC9+HC12)*6.75%*-1</f>
        <v/>
      </c>
      <c r="HE56" s="85">
        <f>(HD8+HD9+HD12)*6.75%*-1</f>
        <v/>
      </c>
      <c r="HF56" s="85">
        <f>(HE8+HE9+HE12)*6.75%*-1</f>
        <v/>
      </c>
      <c r="HG56" s="85">
        <f>(HF8+HF9+HF12)*6.75%*-1</f>
        <v/>
      </c>
      <c r="HH56" s="85">
        <f>(HG8+HG9+HG12)*6.75%*-1</f>
        <v/>
      </c>
      <c r="HI56" s="85">
        <f>(HH8+HH9+HH12)*6.75%*-1</f>
        <v/>
      </c>
      <c r="HJ56" s="85">
        <f>(HI8+HI9+HI12)*6.75%*-1</f>
        <v/>
      </c>
      <c r="HK56" s="85">
        <f>(HJ8+HJ9+HJ12)*6.75%*-1</f>
        <v/>
      </c>
      <c r="HL56" s="85">
        <f>(HK8+HK9+HK12)*6.75%*-1</f>
        <v/>
      </c>
      <c r="HM56" s="85">
        <f>(HL8+HL9+HL12)*6.75%*-1</f>
        <v/>
      </c>
      <c r="HN56" s="85">
        <f>(HM8+HM9+HM12)*6.75%*-1</f>
        <v/>
      </c>
      <c r="HO56" s="85">
        <f>(HN8+HN9+HN12)*6.75%*-1</f>
        <v/>
      </c>
      <c r="HP56" s="85">
        <f>(HO8+HO9+HO12)*6.75%*-1</f>
        <v/>
      </c>
      <c r="HQ56" s="85">
        <f>(HP8+HP9+HP12)*6.75%*-1</f>
        <v/>
      </c>
      <c r="HR56" s="85">
        <f>(HQ8+HQ9+HQ12)*6.75%*-1</f>
        <v/>
      </c>
      <c r="HS56" s="85">
        <f>(HR8+HR9+HR12)*6.75%*-1</f>
        <v/>
      </c>
      <c r="HT56" s="85">
        <f>(HS8+HS9+HS12)*6.75%*-1</f>
        <v/>
      </c>
      <c r="HU56" s="85">
        <f>(HT8+HT9+HT12)*6.75%*-1</f>
        <v/>
      </c>
      <c r="JF56" s="87">
        <f>AP56</f>
        <v/>
      </c>
      <c r="JG56" s="87">
        <f>SUM(Z56:AK56)</f>
        <v/>
      </c>
      <c r="JH56" s="87">
        <f>SUM(AL56:AP56)</f>
        <v/>
      </c>
      <c r="JI56" s="87">
        <f>SUM(C56:AP56)</f>
        <v/>
      </c>
      <c r="JJ56" s="446" t="n"/>
      <c r="JM56" s="85" t="n">
        <v>-253307.5942500001</v>
      </c>
      <c r="KG56" s="136">
        <f>B56</f>
        <v/>
      </c>
      <c r="KH56" s="345">
        <f>AR56</f>
        <v/>
      </c>
    </row>
    <row r="57" ht="16.2" customHeight="1">
      <c r="A57" s="1" t="n"/>
      <c r="B57" s="145" t="n"/>
      <c r="C57" s="53" t="n"/>
      <c r="D57" s="53" t="n"/>
      <c r="E57" s="53" t="n"/>
      <c r="F57" s="53" t="n"/>
      <c r="G57" s="53" t="n"/>
      <c r="H57" s="53" t="n"/>
      <c r="I57" s="53" t="n"/>
      <c r="J57" s="185" t="n"/>
      <c r="K57" s="53" t="n"/>
      <c r="L57" s="53" t="n"/>
      <c r="M57" s="186" t="n"/>
      <c r="N57" s="186" t="n"/>
      <c r="O57" s="186" t="n"/>
      <c r="P57" s="186" t="n"/>
      <c r="Q57" s="186" t="n"/>
      <c r="R57" s="186" t="n"/>
      <c r="S57" s="186" t="n"/>
      <c r="T57" s="186" t="n"/>
      <c r="U57" s="186" t="n"/>
      <c r="V57" s="186" t="n"/>
      <c r="W57" s="186" t="n"/>
      <c r="X57" s="186" t="n"/>
      <c r="Y57" s="186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13" t="n"/>
      <c r="AR57" s="240" t="n"/>
      <c r="AS57" s="1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307" t="n"/>
      <c r="BE57" s="53" t="n"/>
      <c r="BF57" s="53" t="n"/>
      <c r="BG57" s="53" t="n"/>
      <c r="BH57" s="53" t="n"/>
      <c r="BI57" s="53" t="n"/>
      <c r="BJ57" s="53" t="n"/>
      <c r="BK57" s="53" t="n"/>
      <c r="BL57" s="53" t="n"/>
      <c r="BM57" s="53" t="n"/>
      <c r="BN57" s="53" t="n"/>
      <c r="BO57" s="53" t="n"/>
      <c r="BP57" s="307" t="n"/>
      <c r="BQ57" s="53" t="n"/>
      <c r="BR57" s="53" t="n"/>
      <c r="BS57" s="53" t="n"/>
      <c r="BT57" s="53" t="n"/>
      <c r="BU57" s="53" t="n"/>
      <c r="BV57" s="53" t="n"/>
      <c r="BW57" s="53" t="n"/>
      <c r="BX57" s="53" t="n"/>
      <c r="BY57" s="53" t="n"/>
      <c r="BZ57" s="53" t="n"/>
      <c r="CA57" s="53" t="n"/>
      <c r="CB57" s="307" t="n"/>
      <c r="CC57" s="53" t="n"/>
      <c r="CD57" s="53" t="n"/>
      <c r="CE57" s="53" t="n"/>
      <c r="CF57" s="53" t="n"/>
      <c r="CG57" s="53" t="n"/>
      <c r="CH57" s="53" t="n"/>
      <c r="CI57" s="53" t="n"/>
      <c r="CJ57" s="53" t="n"/>
      <c r="CK57" s="53" t="n"/>
      <c r="CL57" s="53" t="n"/>
      <c r="CM57" s="53" t="n"/>
      <c r="CN57" s="307" t="n"/>
      <c r="CO57" s="53" t="n"/>
      <c r="CP57" s="53" t="n"/>
      <c r="CQ57" s="53" t="n"/>
      <c r="CR57" s="53" t="n"/>
      <c r="CS57" s="53" t="n"/>
      <c r="CT57" s="53" t="n"/>
      <c r="CU57" s="53" t="n"/>
      <c r="CV57" s="53" t="n"/>
      <c r="CW57" s="53" t="n"/>
      <c r="CX57" s="53" t="n"/>
      <c r="CY57" s="53" t="n"/>
      <c r="CZ57" s="307" t="n"/>
      <c r="DA57" s="53" t="n"/>
      <c r="DB57" s="53" t="n"/>
      <c r="DC57" s="53" t="n"/>
      <c r="DD57" s="53" t="n"/>
      <c r="DE57" s="53" t="n"/>
      <c r="DF57" s="53" t="n"/>
      <c r="DG57" s="53" t="n"/>
      <c r="DH57" s="53" t="n"/>
      <c r="DI57" s="53" t="n"/>
      <c r="DJ57" s="53" t="n"/>
      <c r="DK57" s="53" t="n"/>
      <c r="DL57" s="53" t="n"/>
      <c r="DM57" s="53" t="n"/>
      <c r="DN57" s="53" t="n"/>
      <c r="DO57" s="53" t="n"/>
      <c r="DP57" s="53" t="n"/>
      <c r="DQ57" s="53" t="n"/>
      <c r="DR57" s="53" t="n"/>
      <c r="DS57" s="53" t="n"/>
      <c r="DT57" s="53" t="n"/>
      <c r="DU57" s="53" t="n"/>
      <c r="DV57" s="53" t="n"/>
      <c r="DW57" s="53" t="n"/>
      <c r="DX57" s="53" t="n"/>
      <c r="DY57" s="53" t="n"/>
      <c r="DZ57" s="53" t="n"/>
      <c r="EA57" s="53" t="n"/>
      <c r="EB57" s="53" t="n"/>
      <c r="EC57" s="53" t="n"/>
      <c r="ED57" s="53" t="n"/>
      <c r="EE57" s="53" t="n"/>
      <c r="EF57" s="53" t="n"/>
      <c r="EG57" s="53" t="n"/>
      <c r="EH57" s="53" t="n"/>
      <c r="EI57" s="53" t="n"/>
      <c r="EJ57" s="53" t="n"/>
      <c r="EK57" s="53" t="n"/>
      <c r="EL57" s="53" t="n"/>
      <c r="EM57" s="53" t="n"/>
      <c r="EN57" s="53" t="n"/>
      <c r="EO57" s="53" t="n"/>
      <c r="EP57" s="53" t="n"/>
      <c r="EQ57" s="53" t="n"/>
      <c r="ER57" s="53" t="n"/>
      <c r="ES57" s="53" t="n"/>
      <c r="ET57" s="53" t="n"/>
      <c r="EU57" s="53" t="n"/>
      <c r="EV57" s="53" t="n"/>
      <c r="EW57" s="53" t="n"/>
      <c r="EX57" s="53" t="n"/>
      <c r="EY57" s="53" t="n"/>
      <c r="EZ57" s="53" t="n"/>
      <c r="FA57" s="53" t="n"/>
      <c r="FB57" s="53" t="n"/>
      <c r="FC57" s="53" t="n"/>
      <c r="FD57" s="53" t="n"/>
      <c r="FE57" s="53" t="n"/>
      <c r="FF57" s="53" t="n"/>
      <c r="FG57" s="53" t="n"/>
      <c r="FH57" s="53" t="n"/>
      <c r="FI57" s="53" t="n"/>
      <c r="FJ57" s="53" t="n"/>
      <c r="FK57" s="53" t="n"/>
      <c r="FL57" s="53" t="n"/>
      <c r="FM57" s="53" t="n"/>
      <c r="FN57" s="53" t="n"/>
      <c r="FO57" s="53" t="n"/>
      <c r="FP57" s="53" t="n"/>
      <c r="FQ57" s="53" t="n"/>
      <c r="FR57" s="53" t="n"/>
      <c r="FS57" s="53" t="n"/>
      <c r="FT57" s="53" t="n"/>
      <c r="FU57" s="53" t="n"/>
      <c r="FV57" s="53" t="n"/>
      <c r="FW57" s="53" t="n"/>
      <c r="FX57" s="53" t="n"/>
      <c r="FY57" s="53" t="n"/>
      <c r="FZ57" s="53" t="n"/>
      <c r="GA57" s="53" t="n"/>
      <c r="GB57" s="53" t="n"/>
      <c r="GC57" s="53" t="n"/>
      <c r="GD57" s="53" t="n"/>
      <c r="GE57" s="53" t="n"/>
      <c r="GF57" s="53" t="n"/>
      <c r="GG57" s="53" t="n"/>
      <c r="GH57" s="53" t="n"/>
      <c r="GI57" s="53" t="n"/>
      <c r="GJ57" s="53" t="n"/>
      <c r="GK57" s="53" t="n"/>
      <c r="GL57" s="53" t="n"/>
      <c r="GM57" s="53" t="n"/>
      <c r="GN57" s="53" t="n"/>
      <c r="GO57" s="53" t="n"/>
      <c r="GP57" s="53" t="n"/>
      <c r="GQ57" s="53" t="n"/>
      <c r="GR57" s="53" t="n"/>
      <c r="GS57" s="53" t="n"/>
      <c r="GT57" s="53" t="n"/>
      <c r="GU57" s="53" t="n"/>
      <c r="GV57" s="53" t="n"/>
      <c r="GW57" s="53" t="n"/>
      <c r="GX57" s="53" t="n"/>
      <c r="GY57" s="53" t="n"/>
      <c r="GZ57" s="53" t="n"/>
      <c r="HA57" s="53" t="n"/>
      <c r="HB57" s="53" t="n"/>
      <c r="HC57" s="53" t="n"/>
      <c r="HD57" s="53" t="n"/>
      <c r="HE57" s="53" t="n"/>
      <c r="HF57" s="53" t="n"/>
      <c r="HG57" s="53" t="n"/>
      <c r="HH57" s="53" t="n"/>
      <c r="HI57" s="53" t="n"/>
      <c r="HJ57" s="53" t="n"/>
      <c r="HK57" s="53" t="n"/>
      <c r="HL57" s="53" t="n"/>
      <c r="HM57" s="53" t="n"/>
      <c r="HN57" s="53" t="n"/>
      <c r="HO57" s="53" t="n"/>
      <c r="HP57" s="53" t="n"/>
      <c r="HQ57" s="53" t="n"/>
      <c r="HR57" s="53" t="n"/>
      <c r="HS57" s="53" t="n"/>
      <c r="HT57" s="53" t="n"/>
      <c r="HU57" s="53" t="n"/>
      <c r="JF57" s="53">
        <f>AP57</f>
        <v/>
      </c>
      <c r="JG57" s="53">
        <f>SUM(Z57:AK57)</f>
        <v/>
      </c>
      <c r="JH57" s="53">
        <f>SUM(AL57:AP57)</f>
        <v/>
      </c>
      <c r="JI57" s="53">
        <f>SUM(C57:AP57)</f>
        <v/>
      </c>
      <c r="JJ57" s="446" t="n"/>
      <c r="JM57" s="53" t="n"/>
      <c r="KG57" s="145">
        <f>B57</f>
        <v/>
      </c>
      <c r="KH57" s="240">
        <f>AR57</f>
        <v/>
      </c>
    </row>
    <row r="58" ht="16.2" customHeight="1">
      <c r="A58" s="19" t="inlineStr">
        <is>
          <t>DESAPROPRIAÇÃO (-)</t>
        </is>
      </c>
      <c r="B58" s="139" t="n"/>
      <c r="C58" s="20" t="n"/>
      <c r="D58" s="22" t="n"/>
      <c r="E58" s="20" t="n"/>
      <c r="F58" s="20" t="n"/>
      <c r="G58" s="20" t="n"/>
      <c r="H58" s="20" t="n"/>
      <c r="I58" s="21" t="n"/>
      <c r="J58" s="175" t="n"/>
      <c r="K58" s="21" t="n"/>
      <c r="L58" s="108" t="n"/>
      <c r="M58" s="220" t="n"/>
      <c r="N58" s="220" t="n"/>
      <c r="O58" s="220" t="n"/>
      <c r="P58" s="220" t="n"/>
      <c r="Q58" s="220" t="n"/>
      <c r="R58" s="220" t="n"/>
      <c r="S58" s="220" t="n"/>
      <c r="T58" s="220" t="n"/>
      <c r="U58" s="220" t="n"/>
      <c r="V58" s="220" t="n"/>
      <c r="W58" s="220" t="n"/>
      <c r="X58" s="220" t="n"/>
      <c r="Y58" s="220" t="n"/>
      <c r="Z58" s="220" t="n"/>
      <c r="AA58" s="220" t="n"/>
      <c r="AB58" s="220" t="n"/>
      <c r="AC58" s="220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  <c r="AL58" s="220" t="n"/>
      <c r="AM58" s="220" t="n"/>
      <c r="AN58" s="220" t="n"/>
      <c r="AO58" s="220" t="n"/>
      <c r="AP58" s="220" t="n"/>
      <c r="AQ58" s="200" t="n"/>
      <c r="AR58" s="241" t="n"/>
      <c r="AS58" s="20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99" t="n"/>
      <c r="BE58" s="22" t="n"/>
      <c r="BF58" s="20" t="n"/>
      <c r="BG58" s="20" t="n"/>
      <c r="BH58" s="20" t="n"/>
      <c r="BI58" s="20" t="n"/>
      <c r="BJ58" s="20" t="n"/>
      <c r="BK58" s="20" t="n"/>
      <c r="BL58" s="20" t="n"/>
      <c r="BM58" s="20" t="n"/>
      <c r="BN58" s="20" t="n"/>
      <c r="BO58" s="20" t="n"/>
      <c r="BP58" s="299" t="n"/>
      <c r="BQ58" s="22" t="n"/>
      <c r="BR58" s="20" t="n"/>
      <c r="BS58" s="20" t="n"/>
      <c r="BT58" s="20" t="n"/>
      <c r="BU58" s="20" t="n"/>
      <c r="BV58" s="20" t="n"/>
      <c r="BW58" s="20" t="n"/>
      <c r="BX58" s="20" t="n"/>
      <c r="BY58" s="20" t="n"/>
      <c r="BZ58" s="20" t="n"/>
      <c r="CA58" s="20" t="n"/>
      <c r="CB58" s="299" t="n"/>
      <c r="CC58" s="22" t="n"/>
      <c r="CD58" s="20" t="n"/>
      <c r="CE58" s="20" t="n"/>
      <c r="CF58" s="20" t="n"/>
      <c r="CG58" s="20" t="n"/>
      <c r="CH58" s="20" t="n"/>
      <c r="CI58" s="20" t="n"/>
      <c r="CJ58" s="20" t="n"/>
      <c r="CK58" s="20" t="n"/>
      <c r="CL58" s="20" t="n"/>
      <c r="CM58" s="20" t="n"/>
      <c r="CN58" s="299" t="n"/>
      <c r="CO58" s="22" t="n"/>
      <c r="CP58" s="20" t="n"/>
      <c r="CQ58" s="20" t="n"/>
      <c r="CR58" s="20" t="n"/>
      <c r="CS58" s="20" t="n"/>
      <c r="CT58" s="20" t="n"/>
      <c r="CU58" s="20" t="n"/>
      <c r="CV58" s="20" t="n"/>
      <c r="CW58" s="20" t="n"/>
      <c r="CX58" s="20" t="n"/>
      <c r="CY58" s="20" t="n"/>
      <c r="CZ58" s="299" t="n"/>
      <c r="DA58" s="22" t="n"/>
      <c r="DB58" s="20" t="n"/>
      <c r="DC58" s="20" t="n"/>
      <c r="DD58" s="20" t="n"/>
      <c r="DE58" s="20" t="n"/>
      <c r="DF58" s="20" t="n"/>
      <c r="DG58" s="20" t="n"/>
      <c r="DH58" s="20" t="n"/>
      <c r="DI58" s="20" t="n"/>
      <c r="DJ58" s="21" t="n"/>
      <c r="DK58" s="20" t="n"/>
      <c r="DL58" s="21" t="n"/>
      <c r="DM58" s="20" t="n"/>
      <c r="DN58" s="21" t="n"/>
      <c r="DO58" s="21" t="n"/>
      <c r="DP58" s="21" t="n"/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n"/>
      <c r="DZ58" s="21" t="n"/>
      <c r="EA58" s="21" t="n"/>
      <c r="EB58" s="21" t="n"/>
      <c r="EC58" s="21" t="n"/>
      <c r="ED58" s="21" t="n"/>
      <c r="EE58" s="21" t="n"/>
      <c r="EF58" s="21" t="n"/>
      <c r="EG58" s="21" t="n"/>
      <c r="EH58" s="21" t="n"/>
      <c r="EI58" s="21" t="n"/>
      <c r="EJ58" s="21" t="n"/>
      <c r="EK58" s="21" t="n"/>
      <c r="EL58" s="21" t="n"/>
      <c r="EM58" s="21" t="n"/>
      <c r="EN58" s="21" t="n"/>
      <c r="EO58" s="21" t="n"/>
      <c r="EP58" s="21" t="n"/>
      <c r="EQ58" s="21" t="n"/>
      <c r="ER58" s="21" t="n"/>
      <c r="ES58" s="21" t="n"/>
      <c r="ET58" s="21" t="n"/>
      <c r="EU58" s="21" t="n"/>
      <c r="EV58" s="21" t="n"/>
      <c r="EW58" s="21" t="n"/>
      <c r="EX58" s="21" t="n"/>
      <c r="EY58" s="21" t="n"/>
      <c r="EZ58" s="21" t="n"/>
      <c r="FA58" s="21" t="n"/>
      <c r="FB58" s="21" t="n"/>
      <c r="FC58" s="21" t="n"/>
      <c r="FD58" s="21" t="n"/>
      <c r="FE58" s="21" t="n"/>
      <c r="FF58" s="21" t="n"/>
      <c r="FG58" s="21" t="n"/>
      <c r="FH58" s="21" t="n"/>
      <c r="FI58" s="21" t="n"/>
      <c r="FJ58" s="21" t="n"/>
      <c r="FK58" s="21" t="n"/>
      <c r="FL58" s="21" t="n"/>
      <c r="FM58" s="21" t="n"/>
      <c r="FN58" s="21" t="n"/>
      <c r="FO58" s="21" t="n"/>
      <c r="FP58" s="21" t="n"/>
      <c r="FQ58" s="21" t="n"/>
      <c r="FR58" s="21" t="n"/>
      <c r="FS58" s="21" t="n"/>
      <c r="FT58" s="21" t="n"/>
      <c r="FU58" s="21" t="n"/>
      <c r="FV58" s="21" t="n"/>
      <c r="FW58" s="21" t="n"/>
      <c r="FX58" s="21" t="n"/>
      <c r="FY58" s="21" t="n"/>
      <c r="FZ58" s="21" t="n"/>
      <c r="GA58" s="21" t="n"/>
      <c r="GB58" s="21" t="n"/>
      <c r="GC58" s="21" t="n"/>
      <c r="GD58" s="21" t="n"/>
      <c r="GE58" s="21" t="n"/>
      <c r="GF58" s="21" t="n"/>
      <c r="GG58" s="21" t="n"/>
      <c r="GH58" s="21" t="n"/>
      <c r="GI58" s="21" t="n"/>
      <c r="GJ58" s="21" t="n"/>
      <c r="GK58" s="21" t="n"/>
      <c r="GL58" s="21" t="n"/>
      <c r="GM58" s="21" t="n"/>
      <c r="GN58" s="21" t="n"/>
      <c r="GO58" s="21" t="n"/>
      <c r="GP58" s="21" t="n"/>
      <c r="GQ58" s="21" t="n"/>
      <c r="GR58" s="21" t="n"/>
      <c r="GS58" s="21" t="n"/>
      <c r="GT58" s="21" t="n"/>
      <c r="GU58" s="21" t="n"/>
      <c r="GV58" s="21" t="n"/>
      <c r="GW58" s="21" t="n"/>
      <c r="GX58" s="21" t="n"/>
      <c r="GY58" s="21" t="n"/>
      <c r="GZ58" s="21" t="n"/>
      <c r="HA58" s="21" t="n"/>
      <c r="HB58" s="21" t="n"/>
      <c r="HC58" s="21" t="n"/>
      <c r="HD58" s="21" t="n"/>
      <c r="HE58" s="21" t="n"/>
      <c r="HF58" s="21" t="n"/>
      <c r="HG58" s="21" t="n"/>
      <c r="HH58" s="21" t="n"/>
      <c r="HI58" s="21" t="n"/>
      <c r="HJ58" s="21" t="n"/>
      <c r="HK58" s="21" t="n"/>
      <c r="HL58" s="21" t="n"/>
      <c r="HM58" s="21" t="n"/>
      <c r="HN58" s="21" t="n"/>
      <c r="HO58" s="21" t="n"/>
      <c r="HP58" s="21" t="n"/>
      <c r="HQ58" s="21" t="n"/>
      <c r="HR58" s="21" t="n"/>
      <c r="HS58" s="21" t="n"/>
      <c r="HT58" s="21" t="n"/>
      <c r="HU58" s="21" t="n"/>
      <c r="JF58" s="20">
        <f>AP58</f>
        <v/>
      </c>
      <c r="JG58" s="20">
        <f>SUM(Z58:AK58)</f>
        <v/>
      </c>
      <c r="JH58" s="20">
        <f>SUM(AL58:AP58)</f>
        <v/>
      </c>
      <c r="JI58" s="20">
        <f>SUM(C58:AP58)</f>
        <v/>
      </c>
      <c r="JJ58" s="446" t="n"/>
      <c r="JM58" s="21" t="n"/>
      <c r="KG58" s="139">
        <f>B58</f>
        <v/>
      </c>
      <c r="KH58" s="241">
        <f>AR58</f>
        <v/>
      </c>
    </row>
    <row r="59" ht="16.2" customHeight="1">
      <c r="A59" s="7" t="inlineStr">
        <is>
          <t>Desapropriação</t>
        </is>
      </c>
      <c r="B59" s="136">
        <f>SUM(C59:AP59)</f>
        <v/>
      </c>
      <c r="C59" s="85" t="n">
        <v>0</v>
      </c>
      <c r="D59" s="87" t="n">
        <v>0</v>
      </c>
      <c r="E59" s="85" t="n">
        <v>0</v>
      </c>
      <c r="F59" s="85" t="n">
        <v>0</v>
      </c>
      <c r="G59" s="85" t="n">
        <v>0</v>
      </c>
      <c r="H59" s="85" t="n"/>
      <c r="I59" s="86" t="n">
        <v>0</v>
      </c>
      <c r="J59" s="170" t="n">
        <v>0</v>
      </c>
      <c r="K59" s="86" t="n">
        <v>0</v>
      </c>
      <c r="L59" s="34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  <c r="AG59" s="159" t="n">
        <v>-2778000</v>
      </c>
      <c r="AH59" s="159" t="n">
        <v>0</v>
      </c>
      <c r="AI59" s="159" t="n">
        <v>0</v>
      </c>
      <c r="AJ59" s="159" t="n">
        <v>0</v>
      </c>
      <c r="AK59" s="159" t="n">
        <v>0</v>
      </c>
      <c r="AL59" s="159" t="n">
        <v>0</v>
      </c>
      <c r="AM59" s="159" t="n">
        <v>0</v>
      </c>
      <c r="AN59" s="159" t="n">
        <v>0</v>
      </c>
      <c r="AO59" s="159" t="n">
        <v>0</v>
      </c>
      <c r="AP59" s="159" t="n">
        <v>0</v>
      </c>
      <c r="AQ59" s="13" t="n"/>
      <c r="AR59" s="345">
        <f>SUM(AT59:HU59)</f>
        <v/>
      </c>
      <c r="AS59" s="13" t="n"/>
      <c r="AT59" s="85" t="n">
        <v>0</v>
      </c>
      <c r="AU59" s="85" t="n">
        <v>0</v>
      </c>
      <c r="AV59" s="85" t="n">
        <v>0</v>
      </c>
      <c r="AW59" s="85" t="n">
        <v>0</v>
      </c>
      <c r="AX59" s="85" t="n">
        <v>0</v>
      </c>
      <c r="AY59" s="85" t="n">
        <v>0</v>
      </c>
      <c r="AZ59" s="85" t="n">
        <v>0</v>
      </c>
      <c r="BA59" s="85" t="n">
        <v>0</v>
      </c>
      <c r="BB59" s="85" t="n">
        <v>0</v>
      </c>
      <c r="BC59" s="85" t="n">
        <v>0</v>
      </c>
      <c r="BD59" s="85" t="n">
        <v>0</v>
      </c>
      <c r="BE59" s="85" t="n">
        <v>0</v>
      </c>
      <c r="BF59" s="85" t="n">
        <v>0</v>
      </c>
      <c r="BG59" s="85" t="n">
        <v>0</v>
      </c>
      <c r="BH59" s="85" t="n">
        <v>0</v>
      </c>
      <c r="BI59" s="85" t="n">
        <v>0</v>
      </c>
      <c r="BJ59" s="85" t="n">
        <v>0</v>
      </c>
      <c r="BK59" s="85" t="n">
        <v>0</v>
      </c>
      <c r="BL59" s="85" t="n">
        <v>0</v>
      </c>
      <c r="BM59" s="85" t="n">
        <v>0</v>
      </c>
      <c r="BN59" s="85" t="n">
        <v>0</v>
      </c>
      <c r="BO59" s="85" t="n">
        <v>0</v>
      </c>
      <c r="BP59" s="85" t="n">
        <v>0</v>
      </c>
      <c r="BQ59" s="85" t="n">
        <v>0</v>
      </c>
      <c r="BR59" s="85" t="n">
        <v>0</v>
      </c>
      <c r="BS59" s="85" t="n">
        <v>0</v>
      </c>
      <c r="BT59" s="85" t="n">
        <v>0</v>
      </c>
      <c r="BU59" s="85" t="n">
        <v>0</v>
      </c>
      <c r="BV59" s="85" t="n">
        <v>0</v>
      </c>
      <c r="BW59" s="85" t="n">
        <v>0</v>
      </c>
      <c r="BX59" s="85" t="n">
        <v>0</v>
      </c>
      <c r="BY59" s="85" t="n">
        <v>0</v>
      </c>
      <c r="BZ59" s="85" t="n">
        <v>0</v>
      </c>
      <c r="CA59" s="85" t="n">
        <v>0</v>
      </c>
      <c r="CB59" s="85" t="n">
        <v>0</v>
      </c>
      <c r="CC59" s="85" t="n">
        <v>0</v>
      </c>
      <c r="CD59" s="85" t="n">
        <v>0</v>
      </c>
      <c r="CE59" s="85" t="n">
        <v>0</v>
      </c>
      <c r="CF59" s="85" t="n">
        <v>0</v>
      </c>
      <c r="CG59" s="85" t="n">
        <v>0</v>
      </c>
      <c r="CH59" s="85" t="n">
        <v>0</v>
      </c>
      <c r="CI59" s="85" t="n">
        <v>0</v>
      </c>
      <c r="CJ59" s="85" t="n">
        <v>0</v>
      </c>
      <c r="CK59" s="85" t="n">
        <v>0</v>
      </c>
      <c r="CL59" s="85" t="n">
        <v>0</v>
      </c>
      <c r="CM59" s="85" t="n">
        <v>0</v>
      </c>
      <c r="CN59" s="85" t="n">
        <v>0</v>
      </c>
      <c r="CO59" s="85" t="n">
        <v>0</v>
      </c>
      <c r="CP59" s="85" t="n">
        <v>0</v>
      </c>
      <c r="CQ59" s="85" t="n">
        <v>0</v>
      </c>
      <c r="CR59" s="85" t="n">
        <v>0</v>
      </c>
      <c r="CS59" s="85" t="n">
        <v>0</v>
      </c>
      <c r="CT59" s="85" t="n">
        <v>0</v>
      </c>
      <c r="CU59" s="85" t="n">
        <v>0</v>
      </c>
      <c r="CV59" s="85" t="n">
        <v>0</v>
      </c>
      <c r="CW59" s="85" t="n">
        <v>0</v>
      </c>
      <c r="CX59" s="85" t="n">
        <v>0</v>
      </c>
      <c r="CY59" s="85" t="n">
        <v>0</v>
      </c>
      <c r="CZ59" s="85" t="n">
        <v>0</v>
      </c>
      <c r="DA59" s="85" t="n">
        <v>0</v>
      </c>
      <c r="DB59" s="85" t="n">
        <v>0</v>
      </c>
      <c r="DC59" s="85" t="n">
        <v>0</v>
      </c>
      <c r="DD59" s="85" t="n">
        <v>0</v>
      </c>
      <c r="DE59" s="85" t="n">
        <v>0</v>
      </c>
      <c r="DF59" s="85" t="n">
        <v>0</v>
      </c>
      <c r="DG59" s="85" t="n">
        <v>0</v>
      </c>
      <c r="DH59" s="85" t="n">
        <v>0</v>
      </c>
      <c r="DI59" s="85" t="n">
        <v>0</v>
      </c>
      <c r="DJ59" s="85" t="n">
        <v>0</v>
      </c>
      <c r="DK59" s="85" t="n">
        <v>0</v>
      </c>
      <c r="DL59" s="85" t="n">
        <v>0</v>
      </c>
      <c r="DM59" s="85" t="n">
        <v>0</v>
      </c>
      <c r="DN59" s="85" t="n">
        <v>0</v>
      </c>
      <c r="DO59" s="85" t="n">
        <v>0</v>
      </c>
      <c r="DP59" s="85" t="n">
        <v>0</v>
      </c>
      <c r="DQ59" s="85" t="n">
        <v>0</v>
      </c>
      <c r="DR59" s="85" t="n">
        <v>0</v>
      </c>
      <c r="DS59" s="85" t="n">
        <v>0</v>
      </c>
      <c r="DT59" s="85" t="n">
        <v>0</v>
      </c>
      <c r="DU59" s="85" t="n">
        <v>0</v>
      </c>
      <c r="DV59" s="85" t="n">
        <v>0</v>
      </c>
      <c r="DW59" s="85" t="n">
        <v>0</v>
      </c>
      <c r="DX59" s="85" t="n">
        <v>0</v>
      </c>
      <c r="DY59" s="85" t="n">
        <v>0</v>
      </c>
      <c r="DZ59" s="85" t="n">
        <v>0</v>
      </c>
      <c r="EA59" s="85" t="n">
        <v>0</v>
      </c>
      <c r="EB59" s="85" t="n">
        <v>0</v>
      </c>
      <c r="EC59" s="85" t="n">
        <v>0</v>
      </c>
      <c r="ED59" s="85" t="n">
        <v>0</v>
      </c>
      <c r="EE59" s="85" t="n">
        <v>0</v>
      </c>
      <c r="EF59" s="85" t="n">
        <v>0</v>
      </c>
      <c r="EG59" s="85" t="n">
        <v>0</v>
      </c>
      <c r="EH59" s="85" t="n">
        <v>0</v>
      </c>
      <c r="EI59" s="85" t="n">
        <v>0</v>
      </c>
      <c r="EJ59" s="85" t="n">
        <v>0</v>
      </c>
      <c r="EK59" s="85" t="n">
        <v>0</v>
      </c>
      <c r="EL59" s="85" t="n">
        <v>0</v>
      </c>
      <c r="EM59" s="85" t="n">
        <v>0</v>
      </c>
      <c r="EN59" s="85" t="n">
        <v>0</v>
      </c>
      <c r="EO59" s="85" t="n">
        <v>0</v>
      </c>
      <c r="EP59" s="85" t="n">
        <v>0</v>
      </c>
      <c r="EQ59" s="85" t="n">
        <v>0</v>
      </c>
      <c r="ER59" s="85" t="n">
        <v>0</v>
      </c>
      <c r="ES59" s="85" t="n">
        <v>0</v>
      </c>
      <c r="ET59" s="85" t="n">
        <v>0</v>
      </c>
      <c r="EU59" s="85" t="n">
        <v>0</v>
      </c>
      <c r="EV59" s="85" t="n">
        <v>0</v>
      </c>
      <c r="EW59" s="85" t="n">
        <v>0</v>
      </c>
      <c r="EX59" s="85" t="n">
        <v>0</v>
      </c>
      <c r="EY59" s="85" t="n">
        <v>0</v>
      </c>
      <c r="EZ59" s="85" t="n">
        <v>0</v>
      </c>
      <c r="FA59" s="85" t="n">
        <v>0</v>
      </c>
      <c r="FB59" s="85" t="n">
        <v>0</v>
      </c>
      <c r="FC59" s="85" t="n">
        <v>0</v>
      </c>
      <c r="FD59" s="85" t="n">
        <v>0</v>
      </c>
      <c r="FE59" s="85" t="n">
        <v>0</v>
      </c>
      <c r="FF59" s="85" t="n">
        <v>0</v>
      </c>
      <c r="FG59" s="85" t="n">
        <v>0</v>
      </c>
      <c r="FH59" s="85" t="n">
        <v>0</v>
      </c>
      <c r="FI59" s="85" t="n">
        <v>0</v>
      </c>
      <c r="FJ59" s="85" t="n">
        <v>0</v>
      </c>
      <c r="FK59" s="85" t="n">
        <v>0</v>
      </c>
      <c r="FL59" s="85" t="n">
        <v>0</v>
      </c>
      <c r="FM59" s="85" t="n">
        <v>0</v>
      </c>
      <c r="FN59" s="85" t="n">
        <v>0</v>
      </c>
      <c r="FO59" s="85" t="n">
        <v>0</v>
      </c>
      <c r="FP59" s="85" t="n">
        <v>0</v>
      </c>
      <c r="FQ59" s="85" t="n">
        <v>0</v>
      </c>
      <c r="FR59" s="85" t="n">
        <v>0</v>
      </c>
      <c r="FS59" s="85" t="n">
        <v>0</v>
      </c>
      <c r="FT59" s="85" t="n">
        <v>0</v>
      </c>
      <c r="FU59" s="85" t="n">
        <v>0</v>
      </c>
      <c r="FV59" s="85" t="n">
        <v>0</v>
      </c>
      <c r="FW59" s="85" t="n">
        <v>0</v>
      </c>
      <c r="FX59" s="85" t="n">
        <v>0</v>
      </c>
      <c r="FY59" s="85" t="n">
        <v>0</v>
      </c>
      <c r="FZ59" s="85" t="n">
        <v>0</v>
      </c>
      <c r="GA59" s="85" t="n">
        <v>0</v>
      </c>
      <c r="GB59" s="85" t="n">
        <v>0</v>
      </c>
      <c r="GC59" s="85" t="n">
        <v>0</v>
      </c>
      <c r="GD59" s="85" t="n">
        <v>0</v>
      </c>
      <c r="GE59" s="85" t="n">
        <v>0</v>
      </c>
      <c r="GF59" s="85" t="n">
        <v>0</v>
      </c>
      <c r="GG59" s="85" t="n">
        <v>0</v>
      </c>
      <c r="GH59" s="85" t="n">
        <v>0</v>
      </c>
      <c r="GI59" s="85" t="n">
        <v>0</v>
      </c>
      <c r="GJ59" s="85" t="n">
        <v>0</v>
      </c>
      <c r="GK59" s="85" t="n">
        <v>0</v>
      </c>
      <c r="GL59" s="85" t="n">
        <v>0</v>
      </c>
      <c r="GM59" s="85" t="n">
        <v>0</v>
      </c>
      <c r="GN59" s="85" t="n">
        <v>0</v>
      </c>
      <c r="GO59" s="85" t="n">
        <v>0</v>
      </c>
      <c r="GP59" s="85" t="n">
        <v>0</v>
      </c>
      <c r="GQ59" s="85" t="n">
        <v>0</v>
      </c>
      <c r="GR59" s="85" t="n">
        <v>0</v>
      </c>
      <c r="GS59" s="85" t="n">
        <v>0</v>
      </c>
      <c r="GT59" s="85" t="n">
        <v>0</v>
      </c>
      <c r="GU59" s="85" t="n">
        <v>0</v>
      </c>
      <c r="GV59" s="85" t="n">
        <v>0</v>
      </c>
      <c r="GW59" s="85" t="n">
        <v>0</v>
      </c>
      <c r="GX59" s="85" t="n">
        <v>0</v>
      </c>
      <c r="GY59" s="85" t="n">
        <v>0</v>
      </c>
      <c r="GZ59" s="85" t="n">
        <v>0</v>
      </c>
      <c r="HA59" s="85" t="n">
        <v>0</v>
      </c>
      <c r="HB59" s="85" t="n">
        <v>0</v>
      </c>
      <c r="HC59" s="85" t="n">
        <v>0</v>
      </c>
      <c r="HD59" s="85" t="n">
        <v>0</v>
      </c>
      <c r="HE59" s="85" t="n">
        <v>0</v>
      </c>
      <c r="HF59" s="85" t="n">
        <v>0</v>
      </c>
      <c r="HG59" s="85" t="n">
        <v>0</v>
      </c>
      <c r="HH59" s="85" t="n">
        <v>0</v>
      </c>
      <c r="HI59" s="85" t="n">
        <v>0</v>
      </c>
      <c r="HJ59" s="85" t="n">
        <v>0</v>
      </c>
      <c r="HK59" s="85" t="n">
        <v>0</v>
      </c>
      <c r="HL59" s="85" t="n">
        <v>0</v>
      </c>
      <c r="HM59" s="85" t="n">
        <v>0</v>
      </c>
      <c r="HN59" s="85" t="n">
        <v>0</v>
      </c>
      <c r="HO59" s="85" t="n">
        <v>0</v>
      </c>
      <c r="HP59" s="85" t="n">
        <v>0</v>
      </c>
      <c r="HQ59" s="85" t="n">
        <v>0</v>
      </c>
      <c r="HR59" s="85" t="n">
        <v>0</v>
      </c>
      <c r="HS59" s="85" t="n">
        <v>0</v>
      </c>
      <c r="HT59" s="85" t="n">
        <v>0</v>
      </c>
      <c r="HU59" s="85" t="n">
        <v>0</v>
      </c>
      <c r="JF59" s="87">
        <f>AP59</f>
        <v/>
      </c>
      <c r="JG59" s="87">
        <f>SUM(Z59:AK59)</f>
        <v/>
      </c>
      <c r="JH59" s="87">
        <f>SUM(AL59:AP59)</f>
        <v/>
      </c>
      <c r="JI59" s="87">
        <f>SUM(C59:AP59)</f>
        <v/>
      </c>
      <c r="JJ59" s="446" t="n"/>
      <c r="JM59" s="85" t="n">
        <v>0</v>
      </c>
      <c r="KG59" s="136">
        <f>B59</f>
        <v/>
      </c>
      <c r="KH59" s="345">
        <f>AR59</f>
        <v/>
      </c>
    </row>
    <row r="60" ht="7.2" customHeight="1">
      <c r="A60" s="1" t="n"/>
      <c r="B60" s="143" t="n"/>
      <c r="C60" s="53" t="n"/>
      <c r="D60" s="53" t="n"/>
      <c r="E60" s="53" t="n"/>
      <c r="F60" s="53" t="n"/>
      <c r="G60" s="53" t="n"/>
      <c r="H60" s="53" t="n"/>
      <c r="I60" s="53" t="n"/>
      <c r="J60" s="185" t="n"/>
      <c r="K60" s="53" t="n"/>
      <c r="L60" s="53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3" t="n"/>
      <c r="AR60" s="240" t="n"/>
      <c r="AS60" s="13" t="n"/>
      <c r="AT60" s="53" t="n"/>
      <c r="AU60" s="53" t="n"/>
      <c r="AV60" s="53" t="n"/>
      <c r="AW60" s="53" t="n"/>
      <c r="AX60" s="53" t="n"/>
      <c r="AY60" s="53" t="n"/>
      <c r="AZ60" s="53" t="n"/>
      <c r="BA60" s="53" t="n"/>
      <c r="BB60" s="53" t="n"/>
      <c r="BC60" s="53" t="n"/>
      <c r="BD60" s="307" t="n"/>
      <c r="BE60" s="53" t="n"/>
      <c r="BF60" s="53" t="n"/>
      <c r="BG60" s="53" t="n"/>
      <c r="BH60" s="53" t="n"/>
      <c r="BI60" s="53" t="n"/>
      <c r="BJ60" s="53" t="n"/>
      <c r="BK60" s="53" t="n"/>
      <c r="BL60" s="53" t="n"/>
      <c r="BM60" s="53" t="n"/>
      <c r="BN60" s="53" t="n"/>
      <c r="BO60" s="53" t="n"/>
      <c r="BP60" s="307" t="n"/>
      <c r="BQ60" s="53" t="n"/>
      <c r="BR60" s="53" t="n"/>
      <c r="BS60" s="53" t="n"/>
      <c r="BT60" s="53" t="n"/>
      <c r="BU60" s="53" t="n"/>
      <c r="BV60" s="53" t="n"/>
      <c r="BW60" s="53" t="n"/>
      <c r="BX60" s="53" t="n"/>
      <c r="BY60" s="53" t="n"/>
      <c r="BZ60" s="53" t="n"/>
      <c r="CA60" s="53" t="n"/>
      <c r="CB60" s="307" t="n"/>
      <c r="CC60" s="53" t="n"/>
      <c r="CD60" s="53" t="n"/>
      <c r="CE60" s="53" t="n"/>
      <c r="CF60" s="53" t="n"/>
      <c r="CG60" s="53" t="n"/>
      <c r="CH60" s="53" t="n"/>
      <c r="CI60" s="53" t="n"/>
      <c r="CJ60" s="53" t="n"/>
      <c r="CK60" s="53" t="n"/>
      <c r="CL60" s="53" t="n"/>
      <c r="CM60" s="53" t="n"/>
      <c r="CN60" s="307" t="n"/>
      <c r="CO60" s="53" t="n"/>
      <c r="CP60" s="53" t="n"/>
      <c r="CQ60" s="53" t="n"/>
      <c r="CR60" s="53" t="n"/>
      <c r="CS60" s="53" t="n"/>
      <c r="CT60" s="53" t="n"/>
      <c r="CU60" s="53" t="n"/>
      <c r="CV60" s="53" t="n"/>
      <c r="CW60" s="53" t="n"/>
      <c r="CX60" s="53" t="n"/>
      <c r="CY60" s="53" t="n"/>
      <c r="CZ60" s="307" t="n"/>
      <c r="DA60" s="53" t="n"/>
      <c r="DB60" s="53" t="n"/>
      <c r="DC60" s="53" t="n"/>
      <c r="DD60" s="53" t="n"/>
      <c r="DE60" s="53" t="n"/>
      <c r="DF60" s="53" t="n"/>
      <c r="DG60" s="53" t="n"/>
      <c r="DH60" s="53" t="n"/>
      <c r="DI60" s="53" t="n"/>
      <c r="DJ60" s="53" t="n"/>
      <c r="DK60" s="53" t="n"/>
      <c r="DL60" s="53" t="n"/>
      <c r="DM60" s="53" t="n"/>
      <c r="DN60" s="53" t="n"/>
      <c r="DO60" s="53" t="n"/>
      <c r="DP60" s="53" t="n"/>
      <c r="DQ60" s="53" t="n"/>
      <c r="DR60" s="53" t="n"/>
      <c r="DS60" s="53" t="n"/>
      <c r="DT60" s="53" t="n"/>
      <c r="DU60" s="53" t="n"/>
      <c r="DV60" s="53" t="n"/>
      <c r="DW60" s="53" t="n"/>
      <c r="DX60" s="53" t="n"/>
      <c r="DY60" s="53" t="n"/>
      <c r="DZ60" s="53" t="n"/>
      <c r="EA60" s="53" t="n"/>
      <c r="EB60" s="53" t="n"/>
      <c r="EC60" s="53" t="n"/>
      <c r="ED60" s="53" t="n"/>
      <c r="EE60" s="53" t="n"/>
      <c r="EF60" s="53" t="n"/>
      <c r="EG60" s="53" t="n"/>
      <c r="EH60" s="53" t="n"/>
      <c r="EI60" s="53" t="n"/>
      <c r="EJ60" s="53" t="n"/>
      <c r="EK60" s="53" t="n"/>
      <c r="EL60" s="53" t="n"/>
      <c r="EM60" s="53" t="n"/>
      <c r="EN60" s="53" t="n"/>
      <c r="EO60" s="53" t="n"/>
      <c r="EP60" s="53" t="n"/>
      <c r="EQ60" s="53" t="n"/>
      <c r="ER60" s="53" t="n"/>
      <c r="ES60" s="53" t="n"/>
      <c r="ET60" s="53" t="n"/>
      <c r="EU60" s="53" t="n"/>
      <c r="EV60" s="53" t="n"/>
      <c r="EW60" s="53" t="n"/>
      <c r="EX60" s="53" t="n"/>
      <c r="EY60" s="53" t="n"/>
      <c r="EZ60" s="53" t="n"/>
      <c r="FA60" s="53" t="n"/>
      <c r="FB60" s="53" t="n"/>
      <c r="FC60" s="53" t="n"/>
      <c r="FD60" s="53" t="n"/>
      <c r="FE60" s="53" t="n"/>
      <c r="FF60" s="53" t="n"/>
      <c r="FG60" s="53" t="n"/>
      <c r="FH60" s="53" t="n"/>
      <c r="FI60" s="53" t="n"/>
      <c r="FJ60" s="53" t="n"/>
      <c r="FK60" s="53" t="n"/>
      <c r="FL60" s="53" t="n"/>
      <c r="FM60" s="53" t="n"/>
      <c r="FN60" s="53" t="n"/>
      <c r="FO60" s="53" t="n"/>
      <c r="FP60" s="53" t="n"/>
      <c r="FQ60" s="53" t="n"/>
      <c r="FR60" s="53" t="n"/>
      <c r="FS60" s="53" t="n"/>
      <c r="FT60" s="53" t="n"/>
      <c r="FU60" s="53" t="n"/>
      <c r="FV60" s="53" t="n"/>
      <c r="FW60" s="53" t="n"/>
      <c r="FX60" s="53" t="n"/>
      <c r="FY60" s="53" t="n"/>
      <c r="FZ60" s="53" t="n"/>
      <c r="GA60" s="53" t="n"/>
      <c r="GB60" s="53" t="n"/>
      <c r="GC60" s="53" t="n"/>
      <c r="GD60" s="53" t="n"/>
      <c r="GE60" s="53" t="n"/>
      <c r="GF60" s="53" t="n"/>
      <c r="GG60" s="53" t="n"/>
      <c r="GH60" s="53" t="n"/>
      <c r="GI60" s="53" t="n"/>
      <c r="GJ60" s="53" t="n"/>
      <c r="GK60" s="53" t="n"/>
      <c r="GL60" s="53" t="n"/>
      <c r="GM60" s="53" t="n"/>
      <c r="GN60" s="53" t="n"/>
      <c r="GO60" s="53" t="n"/>
      <c r="GP60" s="53" t="n"/>
      <c r="GQ60" s="53" t="n"/>
      <c r="GR60" s="53" t="n"/>
      <c r="GS60" s="53" t="n"/>
      <c r="GT60" s="53" t="n"/>
      <c r="GU60" s="53" t="n"/>
      <c r="GV60" s="53" t="n"/>
      <c r="GW60" s="53" t="n"/>
      <c r="GX60" s="53" t="n"/>
      <c r="GY60" s="53" t="n"/>
      <c r="GZ60" s="53" t="n"/>
      <c r="HA60" s="53" t="n"/>
      <c r="HB60" s="53" t="n"/>
      <c r="HC60" s="53" t="n"/>
      <c r="HD60" s="53" t="n"/>
      <c r="HE60" s="53" t="n"/>
      <c r="HF60" s="53" t="n"/>
      <c r="HG60" s="53" t="n"/>
      <c r="HH60" s="53" t="n"/>
      <c r="HI60" s="53" t="n"/>
      <c r="HJ60" s="53" t="n"/>
      <c r="HK60" s="53" t="n"/>
      <c r="HL60" s="53" t="n"/>
      <c r="HM60" s="53" t="n"/>
      <c r="HN60" s="53" t="n"/>
      <c r="HO60" s="53" t="n"/>
      <c r="HP60" s="53" t="n"/>
      <c r="HQ60" s="53" t="n"/>
      <c r="HR60" s="53" t="n"/>
      <c r="HS60" s="53" t="n"/>
      <c r="HT60" s="53" t="n"/>
      <c r="HU60" s="53" t="n"/>
      <c r="JF60" s="53">
        <f>AP60</f>
        <v/>
      </c>
      <c r="JG60" s="53">
        <f>SUM(Z60:AK60)</f>
        <v/>
      </c>
      <c r="JH60" s="53">
        <f>SUM(AL60:AP60)</f>
        <v/>
      </c>
      <c r="JI60" s="53">
        <f>SUM(C60:AP60)</f>
        <v/>
      </c>
      <c r="JJ60" s="446" t="n"/>
      <c r="JM60" s="53" t="n"/>
      <c r="KG60" s="143">
        <f>B60</f>
        <v/>
      </c>
      <c r="KH60" s="240">
        <f>AR60</f>
        <v/>
      </c>
    </row>
    <row r="61" ht="16.2" customHeight="1">
      <c r="A61" s="19" t="inlineStr">
        <is>
          <t>DISTRATOS (-)</t>
        </is>
      </c>
      <c r="B61" s="139" t="n"/>
      <c r="C61" s="20" t="n"/>
      <c r="D61" s="22" t="n"/>
      <c r="E61" s="20" t="n"/>
      <c r="F61" s="20" t="n"/>
      <c r="G61" s="20" t="n"/>
      <c r="H61" s="20" t="n"/>
      <c r="I61" s="21" t="n"/>
      <c r="J61" s="175" t="n"/>
      <c r="K61" s="21" t="n"/>
      <c r="L61" s="108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00" t="n"/>
      <c r="AR61" s="241" t="n"/>
      <c r="AS61" s="20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99" t="n"/>
      <c r="BE61" s="22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99" t="n"/>
      <c r="BQ61" s="22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99" t="n"/>
      <c r="CC61" s="22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99" t="n"/>
      <c r="CO61" s="22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99" t="n"/>
      <c r="DA61" s="22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1" t="n"/>
      <c r="DK61" s="20" t="n"/>
      <c r="DL61" s="21" t="n"/>
      <c r="DM61" s="20" t="n"/>
      <c r="DN61" s="21" t="n"/>
      <c r="DO61" s="21" t="n"/>
      <c r="DP61" s="21" t="n"/>
      <c r="DQ61" s="21" t="n"/>
      <c r="DR61" s="21" t="n"/>
      <c r="DS61" s="21" t="n"/>
      <c r="DT61" s="21" t="n"/>
      <c r="DU61" s="21" t="n"/>
      <c r="DV61" s="21" t="n"/>
      <c r="DW61" s="21" t="n"/>
      <c r="DX61" s="21" t="n"/>
      <c r="DY61" s="21" t="n"/>
      <c r="DZ61" s="21" t="n"/>
      <c r="EA61" s="21" t="n"/>
      <c r="EB61" s="21" t="n"/>
      <c r="EC61" s="21" t="n"/>
      <c r="ED61" s="21" t="n"/>
      <c r="EE61" s="21" t="n"/>
      <c r="EF61" s="21" t="n"/>
      <c r="EG61" s="21" t="n"/>
      <c r="EH61" s="21" t="n"/>
      <c r="EI61" s="21" t="n"/>
      <c r="EJ61" s="21" t="n"/>
      <c r="EK61" s="21" t="n"/>
      <c r="EL61" s="21" t="n"/>
      <c r="EM61" s="21" t="n"/>
      <c r="EN61" s="21" t="n"/>
      <c r="EO61" s="21" t="n"/>
      <c r="EP61" s="21" t="n"/>
      <c r="EQ61" s="21" t="n"/>
      <c r="ER61" s="21" t="n"/>
      <c r="ES61" s="21" t="n"/>
      <c r="ET61" s="21" t="n"/>
      <c r="EU61" s="21" t="n"/>
      <c r="EV61" s="21" t="n"/>
      <c r="EW61" s="21" t="n"/>
      <c r="EX61" s="21" t="n"/>
      <c r="EY61" s="21" t="n"/>
      <c r="EZ61" s="21" t="n"/>
      <c r="FA61" s="21" t="n"/>
      <c r="FB61" s="21" t="n"/>
      <c r="FC61" s="21" t="n"/>
      <c r="FD61" s="21" t="n"/>
      <c r="FE61" s="21" t="n"/>
      <c r="FF61" s="21" t="n"/>
      <c r="FG61" s="21" t="n"/>
      <c r="FH61" s="21" t="n"/>
      <c r="FI61" s="21" t="n"/>
      <c r="FJ61" s="21" t="n"/>
      <c r="FK61" s="21" t="n"/>
      <c r="FL61" s="21" t="n"/>
      <c r="FM61" s="21" t="n"/>
      <c r="FN61" s="21" t="n"/>
      <c r="FO61" s="21" t="n"/>
      <c r="FP61" s="21" t="n"/>
      <c r="FQ61" s="21" t="n"/>
      <c r="FR61" s="21" t="n"/>
      <c r="FS61" s="21" t="n"/>
      <c r="FT61" s="21" t="n"/>
      <c r="FU61" s="21" t="n"/>
      <c r="FV61" s="21" t="n"/>
      <c r="FW61" s="21" t="n"/>
      <c r="FX61" s="21" t="n"/>
      <c r="FY61" s="21" t="n"/>
      <c r="FZ61" s="21" t="n"/>
      <c r="GA61" s="21" t="n"/>
      <c r="GB61" s="21" t="n"/>
      <c r="GC61" s="21" t="n"/>
      <c r="GD61" s="21" t="n"/>
      <c r="GE61" s="21" t="n"/>
      <c r="GF61" s="21" t="n"/>
      <c r="GG61" s="21" t="n"/>
      <c r="GH61" s="21" t="n"/>
      <c r="GI61" s="21" t="n"/>
      <c r="GJ61" s="21" t="n"/>
      <c r="GK61" s="21" t="n"/>
      <c r="GL61" s="21" t="n"/>
      <c r="GM61" s="21" t="n"/>
      <c r="GN61" s="21" t="n"/>
      <c r="GO61" s="21" t="n"/>
      <c r="GP61" s="21" t="n"/>
      <c r="GQ61" s="21" t="n"/>
      <c r="GR61" s="21" t="n"/>
      <c r="GS61" s="21" t="n"/>
      <c r="GT61" s="21" t="n"/>
      <c r="GU61" s="21" t="n"/>
      <c r="GV61" s="21" t="n"/>
      <c r="GW61" s="21" t="n"/>
      <c r="GX61" s="21" t="n"/>
      <c r="GY61" s="21" t="n"/>
      <c r="GZ61" s="21" t="n"/>
      <c r="HA61" s="21" t="n"/>
      <c r="HB61" s="21" t="n"/>
      <c r="HC61" s="21" t="n"/>
      <c r="HD61" s="21" t="n"/>
      <c r="HE61" s="21" t="n"/>
      <c r="HF61" s="21" t="n"/>
      <c r="HG61" s="21" t="n"/>
      <c r="HH61" s="21" t="n"/>
      <c r="HI61" s="21" t="n"/>
      <c r="HJ61" s="21" t="n"/>
      <c r="HK61" s="21" t="n"/>
      <c r="HL61" s="21" t="n"/>
      <c r="HM61" s="21" t="n"/>
      <c r="HN61" s="21" t="n"/>
      <c r="HO61" s="21" t="n"/>
      <c r="HP61" s="21" t="n"/>
      <c r="HQ61" s="21" t="n"/>
      <c r="HR61" s="21" t="n"/>
      <c r="HS61" s="21" t="n"/>
      <c r="HT61" s="21" t="n"/>
      <c r="HU61" s="21" t="n"/>
      <c r="JF61" s="20">
        <f>AP61</f>
        <v/>
      </c>
      <c r="JG61" s="20">
        <f>SUM(Z61:AK61)</f>
        <v/>
      </c>
      <c r="JH61" s="20">
        <f>SUM(AL61:AP61)</f>
        <v/>
      </c>
      <c r="JI61" s="20">
        <f>SUM(C61:AP61)</f>
        <v/>
      </c>
      <c r="JJ61" s="446" t="n"/>
      <c r="JM61" s="21" t="n"/>
      <c r="KG61" s="139">
        <f>B61</f>
        <v/>
      </c>
      <c r="KH61" s="241">
        <f>AR61</f>
        <v/>
      </c>
    </row>
    <row r="62" ht="16.2" customHeight="1">
      <c r="A62" s="7" t="inlineStr">
        <is>
          <t>Devoluções</t>
        </is>
      </c>
      <c r="B62" s="136">
        <f>SUM(C62:AP62)</f>
        <v/>
      </c>
      <c r="C62" s="85" t="n"/>
      <c r="D62" s="87" t="n"/>
      <c r="E62" s="85" t="n"/>
      <c r="F62" s="85" t="n"/>
      <c r="G62" s="85" t="n"/>
      <c r="H62" s="85" t="n"/>
      <c r="I62" s="86" t="n"/>
      <c r="J62" s="228" t="n"/>
      <c r="K62" s="229" t="n"/>
      <c r="L62" s="122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>
        <v>-138044.5</v>
      </c>
      <c r="AE62" s="219" t="n">
        <v>0</v>
      </c>
      <c r="AF62" s="219" t="n">
        <v>0</v>
      </c>
      <c r="AG62" s="219" t="n">
        <v>0</v>
      </c>
      <c r="AH62" s="219" t="n">
        <v>0</v>
      </c>
      <c r="AI62" s="219" t="n">
        <v>0</v>
      </c>
      <c r="AJ62" s="219">
        <f>-59410.58-59410.58-59359.09</f>
        <v/>
      </c>
      <c r="AK62" s="219" t="n"/>
      <c r="AL62" s="219" t="n"/>
      <c r="AM62" s="219" t="n"/>
      <c r="AN62" s="219" t="n"/>
      <c r="AO62" s="219" t="n"/>
      <c r="AP62" s="219" t="n"/>
      <c r="AQ62" s="13" t="n"/>
      <c r="AR62" s="345">
        <f>SUM(AT62:HU62)</f>
        <v/>
      </c>
      <c r="AS62" s="13" t="n"/>
      <c r="AT62" s="85" t="n">
        <v>-91053.071</v>
      </c>
      <c r="AU62" s="85" t="n">
        <v>0</v>
      </c>
      <c r="AV62" s="85" t="n">
        <v>0</v>
      </c>
      <c r="AW62" s="85" t="n">
        <v>0</v>
      </c>
      <c r="AX62" s="85" t="n">
        <v>0</v>
      </c>
      <c r="AY62" s="85" t="n">
        <v>0</v>
      </c>
      <c r="AZ62" s="85" t="n">
        <v>0</v>
      </c>
      <c r="BA62" s="85" t="n">
        <v>0</v>
      </c>
      <c r="BB62" s="85" t="n">
        <v>0</v>
      </c>
      <c r="BC62" s="85" t="n">
        <v>0</v>
      </c>
      <c r="BD62" s="296" t="n">
        <v>0</v>
      </c>
      <c r="BE62" s="87" t="n">
        <v>0</v>
      </c>
      <c r="BF62" s="85" t="n">
        <v>0</v>
      </c>
      <c r="BG62" s="85" t="n">
        <v>0</v>
      </c>
      <c r="BH62" s="85" t="n">
        <v>0</v>
      </c>
      <c r="BI62" s="85" t="n">
        <v>0</v>
      </c>
      <c r="BJ62" s="85" t="n">
        <v>0</v>
      </c>
      <c r="BK62" s="85" t="n">
        <v>0</v>
      </c>
      <c r="BL62" s="85" t="n">
        <v>0</v>
      </c>
      <c r="BM62" s="85" t="n">
        <v>0</v>
      </c>
      <c r="BN62" s="85" t="n">
        <v>0</v>
      </c>
      <c r="BO62" s="85" t="n">
        <v>0</v>
      </c>
      <c r="BP62" s="296" t="n">
        <v>0</v>
      </c>
      <c r="BQ62" s="87" t="n">
        <v>0</v>
      </c>
      <c r="BR62" s="85" t="n">
        <v>0</v>
      </c>
      <c r="BS62" s="85" t="n">
        <v>0</v>
      </c>
      <c r="BT62" s="85" t="n">
        <v>0</v>
      </c>
      <c r="BU62" s="85" t="n">
        <v>0</v>
      </c>
      <c r="BV62" s="85" t="n">
        <v>0</v>
      </c>
      <c r="BW62" s="85" t="n">
        <v>0</v>
      </c>
      <c r="BX62" s="85" t="n">
        <v>0</v>
      </c>
      <c r="BY62" s="85" t="n">
        <v>0</v>
      </c>
      <c r="BZ62" s="85" t="n">
        <v>0</v>
      </c>
      <c r="CA62" s="85" t="n">
        <v>0</v>
      </c>
      <c r="CB62" s="296" t="n">
        <v>0</v>
      </c>
      <c r="CC62" s="87" t="n">
        <v>0</v>
      </c>
      <c r="CD62" s="85" t="n">
        <v>0</v>
      </c>
      <c r="CE62" s="85" t="n">
        <v>0</v>
      </c>
      <c r="CF62" s="85" t="n">
        <v>0</v>
      </c>
      <c r="CG62" s="85" t="n">
        <v>0</v>
      </c>
      <c r="CH62" s="85" t="n">
        <v>0</v>
      </c>
      <c r="CI62" s="85" t="n">
        <v>0</v>
      </c>
      <c r="CJ62" s="85" t="n">
        <v>0</v>
      </c>
      <c r="CK62" s="85" t="n">
        <v>0</v>
      </c>
      <c r="CL62" s="85" t="n">
        <v>0</v>
      </c>
      <c r="CM62" s="85" t="n">
        <v>0</v>
      </c>
      <c r="CN62" s="296" t="n">
        <v>0</v>
      </c>
      <c r="CO62" s="87" t="n">
        <v>0</v>
      </c>
      <c r="CP62" s="85" t="n">
        <v>0</v>
      </c>
      <c r="CQ62" s="85" t="n">
        <v>0</v>
      </c>
      <c r="CR62" s="85" t="n">
        <v>0</v>
      </c>
      <c r="CS62" s="85" t="n">
        <v>0</v>
      </c>
      <c r="CT62" s="85" t="n">
        <v>0</v>
      </c>
      <c r="CU62" s="85" t="n">
        <v>0</v>
      </c>
      <c r="CV62" s="85" t="n">
        <v>0</v>
      </c>
      <c r="CW62" s="85" t="n">
        <v>0</v>
      </c>
      <c r="CX62" s="85" t="n">
        <v>0</v>
      </c>
      <c r="CY62" s="85" t="n">
        <v>0</v>
      </c>
      <c r="CZ62" s="296" t="n">
        <v>0</v>
      </c>
      <c r="DA62" s="87" t="n">
        <v>0</v>
      </c>
      <c r="DB62" s="85" t="n">
        <v>0</v>
      </c>
      <c r="DC62" s="85" t="n">
        <v>0</v>
      </c>
      <c r="DD62" s="85" t="n">
        <v>0</v>
      </c>
      <c r="DE62" s="85" t="n">
        <v>0</v>
      </c>
      <c r="DF62" s="85" t="n">
        <v>0</v>
      </c>
      <c r="DG62" s="85" t="n">
        <v>0</v>
      </c>
      <c r="DH62" s="85" t="n">
        <v>0</v>
      </c>
      <c r="DI62" s="85" t="n">
        <v>0</v>
      </c>
      <c r="DJ62" s="86" t="n">
        <v>0</v>
      </c>
      <c r="DK62" s="85" t="n"/>
      <c r="DL62" s="86" t="n">
        <v>0</v>
      </c>
      <c r="DM62" s="85" t="n"/>
      <c r="DN62" s="86" t="n">
        <v>0</v>
      </c>
      <c r="DO62" s="86" t="n"/>
      <c r="DP62" s="86" t="n"/>
      <c r="DQ62" s="86" t="n"/>
      <c r="DR62" s="86" t="n"/>
      <c r="DS62" s="86" t="n"/>
      <c r="DT62" s="86" t="n"/>
      <c r="DU62" s="86" t="n"/>
      <c r="DV62" s="86" t="n"/>
      <c r="DW62" s="86" t="n"/>
      <c r="DX62" s="86" t="n"/>
      <c r="DY62" s="86" t="n"/>
      <c r="DZ62" s="86" t="n"/>
      <c r="EA62" s="86" t="n"/>
      <c r="EB62" s="86" t="n"/>
      <c r="EC62" s="86" t="n"/>
      <c r="ED62" s="86" t="n"/>
      <c r="EE62" s="86" t="n"/>
      <c r="EF62" s="86" t="n"/>
      <c r="EG62" s="86" t="n"/>
      <c r="EH62" s="86" t="n"/>
      <c r="EI62" s="86" t="n"/>
      <c r="EJ62" s="86" t="n"/>
      <c r="EK62" s="86" t="n"/>
      <c r="EL62" s="86" t="n"/>
      <c r="EM62" s="86" t="n"/>
      <c r="EN62" s="86" t="n"/>
      <c r="EO62" s="86" t="n"/>
      <c r="EP62" s="86" t="n"/>
      <c r="EQ62" s="86" t="n"/>
      <c r="ER62" s="86" t="n"/>
      <c r="ES62" s="86" t="n"/>
      <c r="ET62" s="86" t="n"/>
      <c r="EU62" s="86" t="n"/>
      <c r="EV62" s="86" t="n"/>
      <c r="EW62" s="86" t="n"/>
      <c r="EX62" s="86" t="n"/>
      <c r="EY62" s="86" t="n"/>
      <c r="EZ62" s="86" t="n"/>
      <c r="FA62" s="86" t="n"/>
      <c r="FB62" s="86" t="n"/>
      <c r="FC62" s="86" t="n"/>
      <c r="FD62" s="86" t="n"/>
      <c r="FE62" s="86" t="n"/>
      <c r="FF62" s="86" t="n"/>
      <c r="FG62" s="86" t="n"/>
      <c r="FH62" s="86" t="n"/>
      <c r="FI62" s="86" t="n"/>
      <c r="FJ62" s="86" t="n"/>
      <c r="FK62" s="86" t="n"/>
      <c r="FL62" s="86" t="n"/>
      <c r="FM62" s="86" t="n"/>
      <c r="FN62" s="86" t="n"/>
      <c r="FO62" s="86" t="n"/>
      <c r="FP62" s="86" t="n"/>
      <c r="FQ62" s="86" t="n"/>
      <c r="FR62" s="86" t="n"/>
      <c r="FS62" s="86" t="n"/>
      <c r="FT62" s="86" t="n"/>
      <c r="FU62" s="86" t="n"/>
      <c r="FV62" s="86" t="n"/>
      <c r="FW62" s="86" t="n"/>
      <c r="FX62" s="86" t="n"/>
      <c r="FY62" s="86" t="n"/>
      <c r="FZ62" s="86" t="n"/>
      <c r="GA62" s="86" t="n"/>
      <c r="GB62" s="86" t="n"/>
      <c r="GC62" s="86" t="n"/>
      <c r="GD62" s="86" t="n"/>
      <c r="GE62" s="86" t="n"/>
      <c r="GF62" s="86" t="n"/>
      <c r="GG62" s="86" t="n"/>
      <c r="GH62" s="86" t="n"/>
      <c r="GI62" s="86" t="n"/>
      <c r="GJ62" s="86" t="n"/>
      <c r="GK62" s="86" t="n"/>
      <c r="GL62" s="86" t="n"/>
      <c r="GM62" s="86" t="n"/>
      <c r="GN62" s="86" t="n"/>
      <c r="GO62" s="86" t="n"/>
      <c r="GP62" s="86" t="n"/>
      <c r="GQ62" s="86" t="n"/>
      <c r="GR62" s="86" t="n"/>
      <c r="GS62" s="86" t="n"/>
      <c r="GT62" s="86" t="n"/>
      <c r="GU62" s="86" t="n"/>
      <c r="GV62" s="86" t="n"/>
      <c r="GW62" s="86" t="n"/>
      <c r="GX62" s="86" t="n"/>
      <c r="GY62" s="86" t="n"/>
      <c r="GZ62" s="86" t="n"/>
      <c r="HA62" s="86" t="n"/>
      <c r="HB62" s="86" t="n"/>
      <c r="HC62" s="86" t="n"/>
      <c r="HD62" s="86" t="n"/>
      <c r="HE62" s="86" t="n"/>
      <c r="HF62" s="86" t="n"/>
      <c r="HG62" s="86" t="n"/>
      <c r="HH62" s="86" t="n"/>
      <c r="HI62" s="86" t="n"/>
      <c r="HJ62" s="86" t="n"/>
      <c r="HK62" s="86" t="n"/>
      <c r="HL62" s="86" t="n"/>
      <c r="HM62" s="86" t="n"/>
      <c r="HN62" s="86" t="n"/>
      <c r="HO62" s="86" t="n"/>
      <c r="HP62" s="86" t="n"/>
      <c r="HQ62" s="86" t="n"/>
      <c r="HR62" s="86" t="n"/>
      <c r="HS62" s="86" t="n"/>
      <c r="HT62" s="86" t="n"/>
      <c r="HU62" s="86" t="n"/>
      <c r="JF62" s="85">
        <f>AP62</f>
        <v/>
      </c>
      <c r="JG62" s="85">
        <f>SUM(Z62:AK62)</f>
        <v/>
      </c>
      <c r="JH62" s="85">
        <f>SUM(AL62:AP62)</f>
        <v/>
      </c>
      <c r="JI62" s="85">
        <f>SUM(C62:AP62)</f>
        <v/>
      </c>
      <c r="JJ62" s="446" t="n"/>
      <c r="JM62" s="86" t="n">
        <v>0</v>
      </c>
      <c r="KG62" s="136">
        <f>B62</f>
        <v/>
      </c>
      <c r="KH62" s="441">
        <f>AR62</f>
        <v/>
      </c>
    </row>
    <row r="63" ht="8.4" customHeight="1">
      <c r="A63" s="28" t="n"/>
      <c r="B63" s="146" t="n"/>
      <c r="C63" s="512" t="n"/>
      <c r="D63" s="512" t="n"/>
      <c r="E63" s="512" t="n"/>
      <c r="F63" s="512" t="n"/>
      <c r="G63" s="512" t="n"/>
      <c r="H63" s="512" t="n"/>
      <c r="I63" s="512" t="n"/>
      <c r="J63" s="513" t="n"/>
      <c r="K63" s="512" t="n"/>
      <c r="L63" s="512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514" t="n"/>
      <c r="AA63" s="514" t="n"/>
      <c r="AB63" s="514" t="n"/>
      <c r="AC63" s="514" t="n"/>
      <c r="AD63" s="514" t="n"/>
      <c r="AE63" s="514" t="n"/>
      <c r="AF63" s="514" t="n"/>
      <c r="AG63" s="514" t="n"/>
      <c r="AH63" s="514" t="n"/>
      <c r="AI63" s="514" t="n"/>
      <c r="AJ63" s="514" t="n"/>
      <c r="AK63" s="514" t="n"/>
      <c r="AL63" s="514" t="n"/>
      <c r="AM63" s="514" t="n"/>
      <c r="AN63" s="514" t="n"/>
      <c r="AO63" s="514" t="n"/>
      <c r="AP63" s="514" t="n"/>
      <c r="AQ63" s="512" t="n"/>
      <c r="AR63" s="533" t="n"/>
      <c r="AS63" s="512" t="n"/>
      <c r="AT63" s="512" t="n"/>
      <c r="AU63" s="512" t="n"/>
      <c r="AV63" s="512" t="n"/>
      <c r="AW63" s="512" t="n"/>
      <c r="AX63" s="512" t="n"/>
      <c r="AY63" s="512" t="n"/>
      <c r="AZ63" s="512" t="n"/>
      <c r="BA63" s="512" t="n"/>
      <c r="BB63" s="512" t="n"/>
      <c r="BC63" s="512" t="n"/>
      <c r="BD63" s="515" t="n"/>
      <c r="BE63" s="512" t="n"/>
      <c r="BF63" s="512" t="n"/>
      <c r="BG63" s="512" t="n"/>
      <c r="BH63" s="512" t="n"/>
      <c r="BI63" s="512" t="n"/>
      <c r="BJ63" s="512" t="n"/>
      <c r="BK63" s="512" t="n"/>
      <c r="BL63" s="512" t="n"/>
      <c r="BM63" s="512" t="n"/>
      <c r="BN63" s="512" t="n"/>
      <c r="BO63" s="512" t="n"/>
      <c r="BP63" s="515" t="n"/>
      <c r="BQ63" s="512" t="n"/>
      <c r="BR63" s="512" t="n"/>
      <c r="BS63" s="512" t="n"/>
      <c r="BT63" s="512" t="n"/>
      <c r="BU63" s="512" t="n"/>
      <c r="BV63" s="512" t="n"/>
      <c r="BW63" s="512" t="n"/>
      <c r="BX63" s="512" t="n"/>
      <c r="BY63" s="512" t="n"/>
      <c r="BZ63" s="512" t="n"/>
      <c r="CA63" s="512" t="n"/>
      <c r="CB63" s="515" t="n"/>
      <c r="CC63" s="512" t="n"/>
      <c r="CD63" s="512" t="n"/>
      <c r="CE63" s="512" t="n"/>
      <c r="CF63" s="512" t="n"/>
      <c r="CG63" s="512" t="n"/>
      <c r="CH63" s="512" t="n"/>
      <c r="CI63" s="512" t="n"/>
      <c r="CJ63" s="512" t="n"/>
      <c r="CK63" s="512" t="n"/>
      <c r="CL63" s="512" t="n"/>
      <c r="CM63" s="512" t="n"/>
      <c r="CN63" s="515" t="n"/>
      <c r="CO63" s="512" t="n"/>
      <c r="CP63" s="512" t="n"/>
      <c r="CQ63" s="512" t="n"/>
      <c r="CR63" s="512" t="n"/>
      <c r="CS63" s="512" t="n"/>
      <c r="CT63" s="512" t="n"/>
      <c r="CU63" s="512" t="n"/>
      <c r="CV63" s="512" t="n"/>
      <c r="CW63" s="512" t="n"/>
      <c r="CX63" s="512" t="n"/>
      <c r="CY63" s="512" t="n"/>
      <c r="CZ63" s="515" t="n"/>
      <c r="DA63" s="512" t="n"/>
      <c r="DB63" s="512" t="n"/>
      <c r="DC63" s="512" t="n"/>
      <c r="DD63" s="512" t="n"/>
      <c r="DE63" s="512" t="n"/>
      <c r="DF63" s="512" t="n"/>
      <c r="DG63" s="512" t="n"/>
      <c r="DH63" s="512" t="n"/>
      <c r="DI63" s="512" t="n"/>
      <c r="DJ63" s="512" t="n"/>
      <c r="DK63" s="512" t="n"/>
      <c r="DL63" s="512" t="n"/>
      <c r="DM63" s="512" t="n"/>
      <c r="DN63" s="512" t="n"/>
      <c r="DO63" s="512" t="n"/>
      <c r="DP63" s="512" t="n"/>
      <c r="DQ63" s="512" t="n"/>
      <c r="DR63" s="512" t="n"/>
      <c r="DS63" s="512" t="n"/>
      <c r="DT63" s="512" t="n"/>
      <c r="DU63" s="512" t="n"/>
      <c r="DV63" s="512" t="n"/>
      <c r="DW63" s="512" t="n"/>
      <c r="DX63" s="512" t="n"/>
      <c r="DY63" s="512" t="n"/>
      <c r="DZ63" s="512" t="n"/>
      <c r="EA63" s="512" t="n"/>
      <c r="EB63" s="512" t="n"/>
      <c r="EC63" s="512" t="n"/>
      <c r="ED63" s="512" t="n"/>
      <c r="EE63" s="512" t="n"/>
      <c r="EF63" s="512" t="n"/>
      <c r="EG63" s="512" t="n"/>
      <c r="EH63" s="512" t="n"/>
      <c r="EI63" s="512" t="n"/>
      <c r="EJ63" s="512" t="n"/>
      <c r="EK63" s="512" t="n"/>
      <c r="EL63" s="512" t="n"/>
      <c r="EM63" s="512" t="n"/>
      <c r="EN63" s="512" t="n"/>
      <c r="EO63" s="512" t="n"/>
      <c r="EP63" s="512" t="n"/>
      <c r="EQ63" s="512" t="n"/>
      <c r="ER63" s="512" t="n"/>
      <c r="ES63" s="512" t="n"/>
      <c r="ET63" s="512" t="n"/>
      <c r="EU63" s="512" t="n"/>
      <c r="EV63" s="512" t="n"/>
      <c r="EW63" s="512" t="n"/>
      <c r="EX63" s="512" t="n"/>
      <c r="EY63" s="512" t="n"/>
      <c r="EZ63" s="512" t="n"/>
      <c r="FA63" s="512" t="n"/>
      <c r="FB63" s="512" t="n"/>
      <c r="FC63" s="512" t="n"/>
      <c r="FD63" s="512" t="n"/>
      <c r="FE63" s="512" t="n"/>
      <c r="FF63" s="512" t="n"/>
      <c r="FG63" s="512" t="n"/>
      <c r="FH63" s="512" t="n"/>
      <c r="FI63" s="512" t="n"/>
      <c r="FJ63" s="512" t="n"/>
      <c r="FK63" s="512" t="n"/>
      <c r="FL63" s="512" t="n"/>
      <c r="FM63" s="512" t="n"/>
      <c r="FN63" s="512" t="n"/>
      <c r="FO63" s="512" t="n"/>
      <c r="FP63" s="512" t="n"/>
      <c r="FQ63" s="512" t="n"/>
      <c r="FR63" s="512" t="n"/>
      <c r="FS63" s="512" t="n"/>
      <c r="FT63" s="512" t="n"/>
      <c r="FU63" s="512" t="n"/>
      <c r="FV63" s="512" t="n"/>
      <c r="FW63" s="512" t="n"/>
      <c r="FX63" s="512" t="n"/>
      <c r="FY63" s="512" t="n"/>
      <c r="FZ63" s="512" t="n"/>
      <c r="GA63" s="512" t="n"/>
      <c r="GB63" s="512" t="n"/>
      <c r="GC63" s="512" t="n"/>
      <c r="GD63" s="512" t="n"/>
      <c r="GE63" s="512" t="n"/>
      <c r="GF63" s="512" t="n"/>
      <c r="GG63" s="512" t="n"/>
      <c r="GH63" s="512" t="n"/>
      <c r="GI63" s="512" t="n"/>
      <c r="GJ63" s="512" t="n"/>
      <c r="GK63" s="512" t="n"/>
      <c r="GL63" s="512" t="n"/>
      <c r="GM63" s="512" t="n"/>
      <c r="GN63" s="512" t="n"/>
      <c r="GO63" s="512" t="n"/>
      <c r="GP63" s="512" t="n"/>
      <c r="GQ63" s="512" t="n"/>
      <c r="GR63" s="512" t="n"/>
      <c r="GS63" s="512" t="n"/>
      <c r="GT63" s="512" t="n"/>
      <c r="GU63" s="512" t="n"/>
      <c r="GV63" s="512" t="n"/>
      <c r="GW63" s="512" t="n"/>
      <c r="GX63" s="512" t="n"/>
      <c r="GY63" s="512" t="n"/>
      <c r="GZ63" s="512" t="n"/>
      <c r="HA63" s="512" t="n"/>
      <c r="HB63" s="512" t="n"/>
      <c r="HC63" s="512" t="n"/>
      <c r="HD63" s="512" t="n"/>
      <c r="HE63" s="512" t="n"/>
      <c r="HF63" s="512" t="n"/>
      <c r="HG63" s="512" t="n"/>
      <c r="HH63" s="512" t="n"/>
      <c r="HI63" s="512" t="n"/>
      <c r="HJ63" s="512" t="n"/>
      <c r="HK63" s="512" t="n"/>
      <c r="HL63" s="512" t="n"/>
      <c r="HM63" s="512" t="n"/>
      <c r="HN63" s="512" t="n"/>
      <c r="HO63" s="512" t="n"/>
      <c r="HP63" s="512" t="n"/>
      <c r="HQ63" s="512" t="n"/>
      <c r="HR63" s="512" t="n"/>
      <c r="HS63" s="512" t="n"/>
      <c r="HT63" s="512" t="n"/>
      <c r="HU63" s="512" t="n"/>
      <c r="JF63" s="512">
        <f>AP63</f>
        <v/>
      </c>
      <c r="JG63" s="512">
        <f>SUM(Z63:AK63)</f>
        <v/>
      </c>
      <c r="JH63" s="512">
        <f>SUM(AL63:AP63)</f>
        <v/>
      </c>
      <c r="JI63" s="512">
        <f>SUM(C63:AP63)</f>
        <v/>
      </c>
      <c r="JJ63" s="446" t="n"/>
      <c r="JM63" s="512" t="n"/>
      <c r="KG63" s="146">
        <f>B63</f>
        <v/>
      </c>
      <c r="KH63" s="533">
        <f>AR63</f>
        <v/>
      </c>
    </row>
    <row r="64" ht="16.2" customHeight="1">
      <c r="A64" s="19" t="inlineStr">
        <is>
          <t>DISTRIBUIÇÕES (-)</t>
        </is>
      </c>
      <c r="B64" s="139" t="n"/>
      <c r="C64" s="20" t="n"/>
      <c r="D64" s="22" t="n"/>
      <c r="E64" s="20" t="n"/>
      <c r="F64" s="20" t="n"/>
      <c r="G64" s="20" t="n"/>
      <c r="H64" s="20" t="n"/>
      <c r="I64" s="21" t="n"/>
      <c r="J64" s="175" t="n"/>
      <c r="K64" s="21" t="n"/>
      <c r="L64" s="108" t="n"/>
      <c r="M64" s="220" t="n"/>
      <c r="N64" s="220" t="n"/>
      <c r="O64" s="220" t="n"/>
      <c r="P64" s="220" t="n"/>
      <c r="Q64" s="220" t="n"/>
      <c r="R64" s="220" t="n"/>
      <c r="S64" s="220" t="n"/>
      <c r="T64" s="220" t="n"/>
      <c r="U64" s="220" t="n"/>
      <c r="V64" s="220" t="n"/>
      <c r="W64" s="220" t="n"/>
      <c r="X64" s="220" t="n"/>
      <c r="Y64" s="220" t="n"/>
      <c r="Z64" s="220" t="n"/>
      <c r="AA64" s="220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  <c r="AL64" s="220" t="n"/>
      <c r="AM64" s="220" t="n"/>
      <c r="AN64" s="220" t="n"/>
      <c r="AO64" s="220" t="n"/>
      <c r="AP64" s="220" t="n"/>
      <c r="AQ64" s="200" t="n"/>
      <c r="AR64" s="241" t="n"/>
      <c r="AS64" s="200" t="n"/>
      <c r="AT64" s="20" t="n"/>
      <c r="AU64" s="20" t="n"/>
      <c r="AV64" s="20" t="n"/>
      <c r="AW64" s="20" t="n"/>
      <c r="AX64" s="20" t="n"/>
      <c r="AY64" s="20" t="n"/>
      <c r="AZ64" s="20" t="n"/>
      <c r="BA64" s="20" t="n"/>
      <c r="BB64" s="20" t="n"/>
      <c r="BC64" s="20" t="n"/>
      <c r="BD64" s="299" t="n"/>
      <c r="BE64" s="22" t="n"/>
      <c r="BF64" s="20" t="n"/>
      <c r="BG64" s="20" t="n"/>
      <c r="BH64" s="444" t="n"/>
      <c r="BI64" s="444" t="n"/>
      <c r="BJ64" s="444" t="n"/>
      <c r="BK64" s="20" t="n"/>
      <c r="BL64" s="20" t="n"/>
      <c r="BM64" s="20" t="n"/>
      <c r="BN64" s="20" t="n"/>
      <c r="BO64" s="20" t="n"/>
      <c r="BP64" s="299" t="n"/>
      <c r="BQ64" s="22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99" t="n"/>
      <c r="CC64" s="22" t="n"/>
      <c r="CD64" s="20" t="n"/>
      <c r="CE64" s="20" t="n"/>
      <c r="CF64" s="20" t="n"/>
      <c r="CG64" s="20" t="n"/>
      <c r="CH64" s="20" t="n"/>
      <c r="CI64" s="20" t="n"/>
      <c r="CJ64" s="20" t="n"/>
      <c r="CK64" s="20" t="n"/>
      <c r="CL64" s="20" t="n"/>
      <c r="CM64" s="20" t="n"/>
      <c r="CN64" s="299" t="n"/>
      <c r="CO64" s="22" t="n"/>
      <c r="CP64" s="20" t="n"/>
      <c r="CQ64" s="20" t="n"/>
      <c r="CR64" s="20" t="n"/>
      <c r="CS64" s="20" t="n"/>
      <c r="CT64" s="20" t="n"/>
      <c r="CU64" s="20" t="n"/>
      <c r="CV64" s="20" t="n"/>
      <c r="CW64" s="20" t="n"/>
      <c r="CX64" s="20" t="n"/>
      <c r="CY64" s="20" t="n"/>
      <c r="CZ64" s="299" t="n"/>
      <c r="DA64" s="22" t="n"/>
      <c r="DB64" s="20" t="n"/>
      <c r="DC64" s="20" t="n"/>
      <c r="DD64" s="20" t="n"/>
      <c r="DE64" s="20" t="n"/>
      <c r="DF64" s="20" t="n"/>
      <c r="DG64" s="20" t="n"/>
      <c r="DH64" s="20" t="n"/>
      <c r="DI64" s="20" t="n"/>
      <c r="DJ64" s="21" t="n"/>
      <c r="DK64" s="20" t="n"/>
      <c r="DL64" s="21" t="n"/>
      <c r="DM64" s="20" t="n"/>
      <c r="DN64" s="21" t="n"/>
      <c r="DO64" s="21" t="n"/>
      <c r="DP64" s="21" t="n"/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n"/>
      <c r="DZ64" s="21" t="n"/>
      <c r="EA64" s="21" t="n"/>
      <c r="EB64" s="21" t="n"/>
      <c r="EC64" s="21" t="n"/>
      <c r="ED64" s="21" t="n"/>
      <c r="EE64" s="21" t="n"/>
      <c r="EF64" s="21" t="n"/>
      <c r="EG64" s="21" t="n"/>
      <c r="EH64" s="21" t="n"/>
      <c r="EI64" s="21" t="n"/>
      <c r="EJ64" s="21" t="n"/>
      <c r="EK64" s="21" t="n"/>
      <c r="EL64" s="21" t="n"/>
      <c r="EM64" s="21" t="n"/>
      <c r="EN64" s="21" t="n"/>
      <c r="EO64" s="21" t="n"/>
      <c r="EP64" s="21" t="n"/>
      <c r="EQ64" s="21" t="n"/>
      <c r="ER64" s="21" t="n"/>
      <c r="ES64" s="21" t="n"/>
      <c r="ET64" s="21" t="n"/>
      <c r="EU64" s="21" t="n"/>
      <c r="EV64" s="21" t="n"/>
      <c r="EW64" s="21" t="n"/>
      <c r="EX64" s="21" t="n"/>
      <c r="EY64" s="21" t="n"/>
      <c r="EZ64" s="21" t="n"/>
      <c r="FA64" s="21" t="n"/>
      <c r="FB64" s="21" t="n"/>
      <c r="FC64" s="21" t="n"/>
      <c r="FD64" s="21" t="n"/>
      <c r="FE64" s="21" t="n"/>
      <c r="FF64" s="21" t="n"/>
      <c r="FG64" s="21" t="n"/>
      <c r="FH64" s="21" t="n"/>
      <c r="FI64" s="21" t="n"/>
      <c r="FJ64" s="21" t="n"/>
      <c r="FK64" s="21" t="n"/>
      <c r="FL64" s="21" t="n"/>
      <c r="FM64" s="21" t="n"/>
      <c r="FN64" s="21" t="n"/>
      <c r="FO64" s="21" t="n"/>
      <c r="FP64" s="21" t="n"/>
      <c r="FQ64" s="21" t="n"/>
      <c r="FR64" s="21" t="n"/>
      <c r="FS64" s="21" t="n"/>
      <c r="FT64" s="21" t="n"/>
      <c r="FU64" s="21" t="n"/>
      <c r="FV64" s="21" t="n"/>
      <c r="FW64" s="21" t="n"/>
      <c r="FX64" s="21" t="n"/>
      <c r="FY64" s="21" t="n"/>
      <c r="FZ64" s="21" t="n"/>
      <c r="GA64" s="21" t="n"/>
      <c r="GB64" s="21" t="n"/>
      <c r="GC64" s="21" t="n"/>
      <c r="GD64" s="21" t="n"/>
      <c r="GE64" s="21" t="n"/>
      <c r="GF64" s="21" t="n"/>
      <c r="GG64" s="21" t="n"/>
      <c r="GH64" s="21" t="n"/>
      <c r="GI64" s="21" t="n"/>
      <c r="GJ64" s="21" t="n"/>
      <c r="GK64" s="21" t="n"/>
      <c r="GL64" s="21" t="n"/>
      <c r="GM64" s="21" t="n"/>
      <c r="GN64" s="21" t="n"/>
      <c r="GO64" s="21" t="n"/>
      <c r="GP64" s="21" t="n"/>
      <c r="GQ64" s="21" t="n"/>
      <c r="GR64" s="21" t="n"/>
      <c r="GS64" s="21" t="n"/>
      <c r="GT64" s="21" t="n"/>
      <c r="GU64" s="21" t="n"/>
      <c r="GV64" s="21" t="n"/>
      <c r="GW64" s="21" t="n"/>
      <c r="GX64" s="21" t="n"/>
      <c r="GY64" s="21" t="n"/>
      <c r="GZ64" s="21" t="n"/>
      <c r="HA64" s="21" t="n"/>
      <c r="HB64" s="21" t="n"/>
      <c r="HC64" s="21" t="n"/>
      <c r="HD64" s="21" t="n"/>
      <c r="HE64" s="21" t="n"/>
      <c r="HF64" s="21" t="n"/>
      <c r="HG64" s="21" t="n"/>
      <c r="HH64" s="21" t="n"/>
      <c r="HI64" s="21" t="n"/>
      <c r="HJ64" s="21" t="n"/>
      <c r="HK64" s="21" t="n"/>
      <c r="HL64" s="21" t="n"/>
      <c r="HM64" s="21" t="n"/>
      <c r="HN64" s="21" t="n"/>
      <c r="HO64" s="21" t="n"/>
      <c r="HP64" s="21" t="n"/>
      <c r="HQ64" s="21" t="n"/>
      <c r="HR64" s="21" t="n"/>
      <c r="HS64" s="21" t="n"/>
      <c r="HT64" s="21" t="n"/>
      <c r="HU64" s="21" t="n"/>
      <c r="JF64" s="20">
        <f>AP64</f>
        <v/>
      </c>
      <c r="JG64" s="20">
        <f>SUM(Z64:AK64)</f>
        <v/>
      </c>
      <c r="JH64" s="20">
        <f>SUM(AL64:AP64)</f>
        <v/>
      </c>
      <c r="JI64" s="20">
        <f>SUM(C64:AP64)</f>
        <v/>
      </c>
      <c r="JJ64" s="446" t="n"/>
      <c r="JM64" s="21" t="n"/>
      <c r="KG64" s="139">
        <f>B64</f>
        <v/>
      </c>
      <c r="KH64" s="241">
        <f>AR64</f>
        <v/>
      </c>
    </row>
    <row r="65" ht="16.2" customHeight="1">
      <c r="A65" s="7" t="inlineStr">
        <is>
          <t>Devolução de Aporte</t>
        </is>
      </c>
      <c r="B65" s="136">
        <f>SUM(C65:AP65)</f>
        <v/>
      </c>
      <c r="C65" s="85" t="n"/>
      <c r="D65" s="85" t="n"/>
      <c r="E65" s="85" t="n"/>
      <c r="F65" s="85" t="n"/>
      <c r="G65" s="85" t="n"/>
      <c r="H65" s="85" t="n"/>
      <c r="I65" s="86" t="n"/>
      <c r="J65" s="224" t="n"/>
      <c r="K65" s="110" t="n"/>
      <c r="L65" s="34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  <c r="AG65" s="159" t="n">
        <v>-4000000</v>
      </c>
      <c r="AH65" s="159" t="n">
        <v>0</v>
      </c>
      <c r="AI65" s="159" t="n">
        <v>0</v>
      </c>
      <c r="AJ65" s="159" t="n">
        <v>0</v>
      </c>
      <c r="AK65" s="159" t="n">
        <v>0</v>
      </c>
      <c r="AL65" s="159" t="n">
        <v>0</v>
      </c>
      <c r="AM65" s="159" t="n">
        <v>0</v>
      </c>
      <c r="AN65" s="159" t="n">
        <v>0</v>
      </c>
      <c r="AO65" s="159" t="n">
        <v>0</v>
      </c>
      <c r="AP65" s="159" t="n">
        <v>0</v>
      </c>
      <c r="AQ65" s="53" t="n"/>
      <c r="AR65" s="345">
        <f>SUM(AT65:HU65)</f>
        <v/>
      </c>
      <c r="AS65" s="53" t="n"/>
      <c r="AT65" s="87" t="n">
        <v>0</v>
      </c>
      <c r="AU65" s="87" t="n">
        <v>0</v>
      </c>
      <c r="AV65" s="87" t="n">
        <v>0</v>
      </c>
      <c r="AW65" s="87" t="n">
        <v>-1004788.24</v>
      </c>
      <c r="AX65" s="87" t="n">
        <v>0</v>
      </c>
      <c r="AY65" s="87" t="n">
        <v>0</v>
      </c>
      <c r="AZ65" s="87" t="n">
        <v>0</v>
      </c>
      <c r="BA65" s="87" t="n">
        <v>0</v>
      </c>
      <c r="BB65" s="87" t="n">
        <v>0</v>
      </c>
      <c r="BC65" s="87" t="n">
        <v>0</v>
      </c>
      <c r="BD65" s="87" t="n">
        <v>0</v>
      </c>
      <c r="BE65" s="87" t="n">
        <v>0</v>
      </c>
      <c r="BF65" s="87" t="n">
        <v>0</v>
      </c>
      <c r="BG65" s="87" t="n">
        <v>0</v>
      </c>
      <c r="BH65" s="87" t="n">
        <v>0</v>
      </c>
      <c r="BI65" s="87" t="n">
        <v>0</v>
      </c>
      <c r="BJ65" s="87" t="n">
        <v>0</v>
      </c>
      <c r="BK65" s="87" t="n">
        <v>0</v>
      </c>
      <c r="BL65" s="87" t="n">
        <v>0</v>
      </c>
      <c r="BM65" s="87" t="n">
        <v>0</v>
      </c>
      <c r="BN65" s="87" t="n">
        <v>0</v>
      </c>
      <c r="BO65" s="87" t="n">
        <v>0</v>
      </c>
      <c r="BP65" s="87" t="n">
        <v>0</v>
      </c>
      <c r="BQ65" s="87" t="n">
        <v>0</v>
      </c>
      <c r="BR65" s="87" t="n">
        <v>0</v>
      </c>
      <c r="BS65" s="87" t="n">
        <v>0</v>
      </c>
      <c r="BT65" s="87" t="n">
        <v>0</v>
      </c>
      <c r="BU65" s="87" t="n">
        <v>0</v>
      </c>
      <c r="BV65" s="87" t="n">
        <v>0</v>
      </c>
      <c r="BW65" s="87" t="n">
        <v>0</v>
      </c>
      <c r="BX65" s="87" t="n">
        <v>0</v>
      </c>
      <c r="BY65" s="87" t="n">
        <v>0</v>
      </c>
      <c r="BZ65" s="87" t="n">
        <v>0</v>
      </c>
      <c r="CA65" s="87" t="n">
        <v>0</v>
      </c>
      <c r="CB65" s="87" t="n">
        <v>0</v>
      </c>
      <c r="CC65" s="87" t="n">
        <v>0</v>
      </c>
      <c r="CD65" s="87" t="n">
        <v>0</v>
      </c>
      <c r="CE65" s="87" t="n">
        <v>0</v>
      </c>
      <c r="CF65" s="87" t="n">
        <v>0</v>
      </c>
      <c r="CG65" s="87" t="n">
        <v>0</v>
      </c>
      <c r="CH65" s="87" t="n">
        <v>0</v>
      </c>
      <c r="CI65" s="87" t="n">
        <v>0</v>
      </c>
      <c r="CJ65" s="87" t="n">
        <v>0</v>
      </c>
      <c r="CK65" s="87" t="n">
        <v>0</v>
      </c>
      <c r="CL65" s="87" t="n">
        <v>0</v>
      </c>
      <c r="CM65" s="87" t="n">
        <v>0</v>
      </c>
      <c r="CN65" s="87" t="n">
        <v>0</v>
      </c>
      <c r="CO65" s="87" t="n">
        <v>0</v>
      </c>
      <c r="CP65" s="87" t="n">
        <v>0</v>
      </c>
      <c r="CQ65" s="87" t="n">
        <v>0</v>
      </c>
      <c r="CR65" s="87" t="n">
        <v>0</v>
      </c>
      <c r="CS65" s="87" t="n">
        <v>0</v>
      </c>
      <c r="CT65" s="87" t="n">
        <v>0</v>
      </c>
      <c r="CU65" s="87" t="n">
        <v>0</v>
      </c>
      <c r="CV65" s="87" t="n">
        <v>0</v>
      </c>
      <c r="CW65" s="87" t="n">
        <v>0</v>
      </c>
      <c r="CX65" s="87" t="n">
        <v>0</v>
      </c>
      <c r="CY65" s="87" t="n">
        <v>0</v>
      </c>
      <c r="CZ65" s="87" t="n">
        <v>0</v>
      </c>
      <c r="DA65" s="87" t="n">
        <v>0</v>
      </c>
      <c r="DB65" s="87" t="n">
        <v>0</v>
      </c>
      <c r="DC65" s="87" t="n">
        <v>0</v>
      </c>
      <c r="DD65" s="87" t="n">
        <v>0</v>
      </c>
      <c r="DE65" s="87" t="n">
        <v>0</v>
      </c>
      <c r="DF65" s="87" t="n">
        <v>0</v>
      </c>
      <c r="DG65" s="87" t="n">
        <v>0</v>
      </c>
      <c r="DH65" s="87" t="n">
        <v>0</v>
      </c>
      <c r="DI65" s="87" t="n">
        <v>0</v>
      </c>
      <c r="DJ65" s="87" t="n">
        <v>0</v>
      </c>
      <c r="DK65" s="87" t="n">
        <v>0</v>
      </c>
      <c r="DL65" s="87" t="n">
        <v>0</v>
      </c>
      <c r="DM65" s="87" t="n">
        <v>0</v>
      </c>
      <c r="DN65" s="87" t="n">
        <v>0</v>
      </c>
      <c r="DO65" s="87" t="n">
        <v>0</v>
      </c>
      <c r="DP65" s="87" t="n">
        <v>0</v>
      </c>
      <c r="DQ65" s="87" t="n">
        <v>0</v>
      </c>
      <c r="DR65" s="87" t="n">
        <v>0</v>
      </c>
      <c r="DS65" s="87" t="n">
        <v>0</v>
      </c>
      <c r="DT65" s="87" t="n">
        <v>0</v>
      </c>
      <c r="DU65" s="87" t="n">
        <v>0</v>
      </c>
      <c r="DV65" s="87" t="n">
        <v>0</v>
      </c>
      <c r="DW65" s="87" t="n">
        <v>0</v>
      </c>
      <c r="DX65" s="87" t="n">
        <v>0</v>
      </c>
      <c r="DY65" s="87" t="n">
        <v>0</v>
      </c>
      <c r="DZ65" s="87" t="n">
        <v>0</v>
      </c>
      <c r="EA65" s="87" t="n">
        <v>0</v>
      </c>
      <c r="EB65" s="87" t="n">
        <v>0</v>
      </c>
      <c r="EC65" s="87" t="n">
        <v>0</v>
      </c>
      <c r="ED65" s="87" t="n">
        <v>0</v>
      </c>
      <c r="EE65" s="87" t="n">
        <v>0</v>
      </c>
      <c r="EF65" s="87" t="n">
        <v>0</v>
      </c>
      <c r="EG65" s="87" t="n">
        <v>0</v>
      </c>
      <c r="EH65" s="87" t="n">
        <v>0</v>
      </c>
      <c r="EI65" s="87" t="n">
        <v>0</v>
      </c>
      <c r="EJ65" s="87" t="n">
        <v>0</v>
      </c>
      <c r="EK65" s="87" t="n">
        <v>0</v>
      </c>
      <c r="EL65" s="87" t="n">
        <v>0</v>
      </c>
      <c r="EM65" s="87" t="n">
        <v>0</v>
      </c>
      <c r="EN65" s="87" t="n">
        <v>0</v>
      </c>
      <c r="EO65" s="87" t="n">
        <v>0</v>
      </c>
      <c r="EP65" s="87" t="n">
        <v>0</v>
      </c>
      <c r="EQ65" s="87" t="n">
        <v>0</v>
      </c>
      <c r="ER65" s="87" t="n">
        <v>0</v>
      </c>
      <c r="ES65" s="87" t="n">
        <v>0</v>
      </c>
      <c r="ET65" s="87" t="n">
        <v>0</v>
      </c>
      <c r="EU65" s="87" t="n">
        <v>0</v>
      </c>
      <c r="EV65" s="87" t="n">
        <v>0</v>
      </c>
      <c r="EW65" s="87" t="n">
        <v>0</v>
      </c>
      <c r="EX65" s="87" t="n">
        <v>0</v>
      </c>
      <c r="EY65" s="87" t="n">
        <v>0</v>
      </c>
      <c r="EZ65" s="87" t="n">
        <v>0</v>
      </c>
      <c r="FA65" s="87" t="n">
        <v>0</v>
      </c>
      <c r="FB65" s="87" t="n">
        <v>0</v>
      </c>
      <c r="FC65" s="87" t="n">
        <v>0</v>
      </c>
      <c r="FD65" s="87" t="n">
        <v>0</v>
      </c>
      <c r="FE65" s="87" t="n">
        <v>0</v>
      </c>
      <c r="FF65" s="87" t="n">
        <v>0</v>
      </c>
      <c r="FG65" s="87" t="n">
        <v>0</v>
      </c>
      <c r="FH65" s="87" t="n">
        <v>0</v>
      </c>
      <c r="FI65" s="87" t="n">
        <v>0</v>
      </c>
      <c r="FJ65" s="87" t="n">
        <v>0</v>
      </c>
      <c r="FK65" s="87" t="n">
        <v>0</v>
      </c>
      <c r="FL65" s="87" t="n">
        <v>0</v>
      </c>
      <c r="FM65" s="87" t="n">
        <v>0</v>
      </c>
      <c r="FN65" s="87" t="n">
        <v>0</v>
      </c>
      <c r="FO65" s="87" t="n">
        <v>0</v>
      </c>
      <c r="FP65" s="87" t="n">
        <v>0</v>
      </c>
      <c r="FQ65" s="87" t="n">
        <v>0</v>
      </c>
      <c r="FR65" s="87" t="n">
        <v>0</v>
      </c>
      <c r="FS65" s="87" t="n">
        <v>0</v>
      </c>
      <c r="FT65" s="87" t="n">
        <v>0</v>
      </c>
      <c r="FU65" s="87" t="n">
        <v>0</v>
      </c>
      <c r="FV65" s="87" t="n">
        <v>0</v>
      </c>
      <c r="FW65" s="87" t="n">
        <v>0</v>
      </c>
      <c r="FX65" s="87" t="n">
        <v>0</v>
      </c>
      <c r="FY65" s="87" t="n">
        <v>0</v>
      </c>
      <c r="FZ65" s="87" t="n">
        <v>0</v>
      </c>
      <c r="GA65" s="87" t="n">
        <v>0</v>
      </c>
      <c r="GB65" s="87" t="n">
        <v>0</v>
      </c>
      <c r="GC65" s="87" t="n">
        <v>0</v>
      </c>
      <c r="GD65" s="87" t="n">
        <v>0</v>
      </c>
      <c r="GE65" s="87" t="n">
        <v>0</v>
      </c>
      <c r="GF65" s="87" t="n">
        <v>0</v>
      </c>
      <c r="GG65" s="87" t="n">
        <v>0</v>
      </c>
      <c r="GH65" s="87" t="n">
        <v>0</v>
      </c>
      <c r="GI65" s="87" t="n">
        <v>0</v>
      </c>
      <c r="GJ65" s="87" t="n">
        <v>0</v>
      </c>
      <c r="GK65" s="87" t="n">
        <v>0</v>
      </c>
      <c r="GL65" s="87" t="n">
        <v>0</v>
      </c>
      <c r="GM65" s="87" t="n">
        <v>0</v>
      </c>
      <c r="GN65" s="87" t="n">
        <v>0</v>
      </c>
      <c r="GO65" s="87" t="n">
        <v>0</v>
      </c>
      <c r="GP65" s="87" t="n">
        <v>0</v>
      </c>
      <c r="GQ65" s="87" t="n">
        <v>0</v>
      </c>
      <c r="GR65" s="87" t="n">
        <v>0</v>
      </c>
      <c r="GS65" s="87" t="n">
        <v>0</v>
      </c>
      <c r="GT65" s="87" t="n">
        <v>0</v>
      </c>
      <c r="GU65" s="87" t="n">
        <v>0</v>
      </c>
      <c r="GV65" s="87" t="n">
        <v>0</v>
      </c>
      <c r="GW65" s="87" t="n">
        <v>0</v>
      </c>
      <c r="GX65" s="87" t="n">
        <v>0</v>
      </c>
      <c r="GY65" s="87" t="n">
        <v>0</v>
      </c>
      <c r="GZ65" s="87" t="n">
        <v>0</v>
      </c>
      <c r="HA65" s="87" t="n">
        <v>0</v>
      </c>
      <c r="HB65" s="87" t="n">
        <v>0</v>
      </c>
      <c r="HC65" s="87" t="n">
        <v>0</v>
      </c>
      <c r="HD65" s="87" t="n">
        <v>0</v>
      </c>
      <c r="HE65" s="87" t="n">
        <v>0</v>
      </c>
      <c r="HF65" s="87" t="n">
        <v>0</v>
      </c>
      <c r="HG65" s="87" t="n">
        <v>0</v>
      </c>
      <c r="HH65" s="87" t="n">
        <v>0</v>
      </c>
      <c r="HI65" s="87" t="n">
        <v>0</v>
      </c>
      <c r="HJ65" s="87" t="n">
        <v>0</v>
      </c>
      <c r="HK65" s="87" t="n">
        <v>0</v>
      </c>
      <c r="HL65" s="87" t="n">
        <v>0</v>
      </c>
      <c r="HM65" s="87" t="n">
        <v>0</v>
      </c>
      <c r="HN65" s="87" t="n">
        <v>0</v>
      </c>
      <c r="HO65" s="87" t="n">
        <v>0</v>
      </c>
      <c r="HP65" s="87" t="n">
        <v>0</v>
      </c>
      <c r="HQ65" s="87" t="n">
        <v>0</v>
      </c>
      <c r="HR65" s="87" t="n">
        <v>0</v>
      </c>
      <c r="HS65" s="87" t="n">
        <v>0</v>
      </c>
      <c r="HT65" s="87" t="n">
        <v>0</v>
      </c>
      <c r="HU65" s="87" t="n">
        <v>0</v>
      </c>
      <c r="JF65" s="87">
        <f>AP65</f>
        <v/>
      </c>
      <c r="JG65" s="87">
        <f>SUM(Z65:AK65)</f>
        <v/>
      </c>
      <c r="JH65" s="87">
        <f>SUM(AL65:AP65)</f>
        <v/>
      </c>
      <c r="JI65" s="87">
        <f>SUM(C65:AP65)</f>
        <v/>
      </c>
      <c r="JJ65" s="446" t="n"/>
      <c r="JM65" s="87" t="n">
        <v>0</v>
      </c>
      <c r="KG65" s="136">
        <f>B65</f>
        <v/>
      </c>
      <c r="KH65" s="345">
        <f>AR65</f>
        <v/>
      </c>
    </row>
    <row r="66" ht="12.75" customHeight="1">
      <c r="A66" s="23" t="inlineStr">
        <is>
          <t>Distribuição de Resultado</t>
        </is>
      </c>
      <c r="B66" s="136">
        <f>SUM(C66:AP66)</f>
        <v/>
      </c>
      <c r="C66" s="24" t="n"/>
      <c r="D66" s="33" t="n"/>
      <c r="E66" s="24" t="n"/>
      <c r="F66" s="24" t="n"/>
      <c r="G66" s="24" t="n"/>
      <c r="H66" s="24" t="n"/>
      <c r="I66" s="25" t="n"/>
      <c r="J66" s="209" t="n"/>
      <c r="K66" s="118" t="n"/>
      <c r="L66" s="122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>
        <v>0</v>
      </c>
      <c r="AG66" s="219" t="n">
        <v>0</v>
      </c>
      <c r="AH66" s="219" t="n">
        <v>0</v>
      </c>
      <c r="AI66" s="219" t="n">
        <v>0</v>
      </c>
      <c r="AJ66" s="219" t="n">
        <v>0</v>
      </c>
      <c r="AK66" s="219" t="n">
        <v>0</v>
      </c>
      <c r="AL66" s="219" t="n">
        <v>0</v>
      </c>
      <c r="AM66" s="219" t="n">
        <v>0</v>
      </c>
      <c r="AN66" s="219" t="n">
        <v>0</v>
      </c>
      <c r="AO66" s="219" t="n">
        <v>0</v>
      </c>
      <c r="AP66" s="219" t="n">
        <v>0</v>
      </c>
      <c r="AQ66" s="53" t="n"/>
      <c r="AR66" s="345">
        <f>SUM(AT66:HU66)</f>
        <v/>
      </c>
      <c r="AS66" s="53" t="n"/>
      <c r="AT66" s="26" t="n">
        <v>0</v>
      </c>
      <c r="AU66" s="26" t="n">
        <v>0</v>
      </c>
      <c r="AV66" s="26" t="n">
        <v>0</v>
      </c>
      <c r="AW66" s="87" t="n">
        <v>0</v>
      </c>
      <c r="AX66" s="87" t="n">
        <v>0</v>
      </c>
      <c r="AY66" s="87" t="n">
        <v>0</v>
      </c>
      <c r="AZ66" s="87" t="n">
        <v>-1000000</v>
      </c>
      <c r="BA66" s="87">
        <f>-4000000+400000</f>
        <v/>
      </c>
      <c r="BB66" s="87">
        <f>-3000000+100000</f>
        <v/>
      </c>
      <c r="BC66" s="87" t="n">
        <v>-3000000</v>
      </c>
      <c r="BD66" s="87" t="n">
        <v>-4000000</v>
      </c>
      <c r="BE66" s="87">
        <f>-3500000+500000+700000</f>
        <v/>
      </c>
      <c r="BF66" s="87">
        <f>-3700000+700000</f>
        <v/>
      </c>
      <c r="BG66" s="87" t="n">
        <v>-5000000</v>
      </c>
      <c r="BH66" s="87" t="n">
        <v>-4000000</v>
      </c>
      <c r="BI66" s="87" t="n">
        <v>-4000000</v>
      </c>
      <c r="BJ66" s="443">
        <f>-5000000+200000</f>
        <v/>
      </c>
      <c r="BK66" s="87" t="n">
        <v>-4500000</v>
      </c>
      <c r="BL66" s="87">
        <f>-4500000-500000</f>
        <v/>
      </c>
      <c r="BM66" s="87">
        <f>-4500000-200000</f>
        <v/>
      </c>
      <c r="BN66" s="87">
        <f>-4700000-300000+500000+100000</f>
        <v/>
      </c>
      <c r="BO66" s="26" t="n">
        <v>-3000000</v>
      </c>
      <c r="BP66" s="26">
        <f>-3500000+200000+100000</f>
        <v/>
      </c>
      <c r="BQ66" s="26">
        <f>-3000000+50000-50000</f>
        <v/>
      </c>
      <c r="BR66" s="26">
        <f>-5600000-50000</f>
        <v/>
      </c>
      <c r="BS66" s="26">
        <f>-5600000-300000-150000</f>
        <v/>
      </c>
      <c r="BT66" s="26">
        <f>-5600000-300000</f>
        <v/>
      </c>
      <c r="BU66" s="26" t="n">
        <v>-6200000</v>
      </c>
      <c r="BV66" s="26">
        <f>-6200000+100000</f>
        <v/>
      </c>
      <c r="BW66" s="26">
        <f>-6200000+20000</f>
        <v/>
      </c>
      <c r="BX66" s="26" t="n">
        <v>-6200000</v>
      </c>
      <c r="BY66" s="26">
        <f>-6200000-50000</f>
        <v/>
      </c>
      <c r="BZ66" s="26">
        <f>-6200000-100000</f>
        <v/>
      </c>
      <c r="CA66" s="26">
        <f>-7000000+500000+150000</f>
        <v/>
      </c>
      <c r="CB66" s="26" t="n">
        <v>-6700000</v>
      </c>
      <c r="CC66" s="26">
        <f>-6700000+200000-400000-100000</f>
        <v/>
      </c>
      <c r="CD66" s="26">
        <f>-6700000+100000+60000</f>
        <v/>
      </c>
      <c r="CE66" s="26">
        <f>-6800000+100000</f>
        <v/>
      </c>
      <c r="CF66" s="26" t="n">
        <v>-6800000</v>
      </c>
      <c r="CG66" s="26">
        <f>-5500000-800000-200000</f>
        <v/>
      </c>
      <c r="CH66" s="26">
        <f>-5200000-350000+50000</f>
        <v/>
      </c>
      <c r="CI66" s="26">
        <f>-5200000-250000+50000</f>
        <v/>
      </c>
      <c r="CJ66" s="26">
        <f>-5000000-250000+50000</f>
        <v/>
      </c>
      <c r="CK66" s="26">
        <f>-4800000-250000-50000</f>
        <v/>
      </c>
      <c r="CL66" s="26">
        <f>-4800000-150000</f>
        <v/>
      </c>
      <c r="CM66" s="26">
        <f>-4800000+30000</f>
        <v/>
      </c>
      <c r="CN66" s="26">
        <f>-5000000+50000</f>
        <v/>
      </c>
      <c r="CO66" s="26">
        <f>-4000000-450000-400000</f>
        <v/>
      </c>
      <c r="CP66" s="26">
        <f>-4400000+50000</f>
        <v/>
      </c>
      <c r="CQ66" s="26">
        <f>-4200000-50000</f>
        <v/>
      </c>
      <c r="CR66" s="26">
        <f>-3900000-100000</f>
        <v/>
      </c>
      <c r="CS66" s="26">
        <f>-2500000-900000-150000</f>
        <v/>
      </c>
      <c r="CT66" s="26">
        <f>-2500000+100000+160000</f>
        <v/>
      </c>
      <c r="CU66" s="26">
        <f>-2500000+300000</f>
        <v/>
      </c>
      <c r="CV66" s="26">
        <f>-2500000+500000-50000</f>
        <v/>
      </c>
      <c r="CW66" s="26">
        <f>-1900000-150000+50000</f>
        <v/>
      </c>
      <c r="CX66" s="26">
        <f>-1800000-30000</f>
        <v/>
      </c>
      <c r="CY66" s="26">
        <f>-1500000-280000+10000</f>
        <v/>
      </c>
      <c r="CZ66" s="26">
        <f>-1500000-400000</f>
        <v/>
      </c>
      <c r="DA66" s="26">
        <f>-1500000-200000</f>
        <v/>
      </c>
      <c r="DB66" s="26">
        <f>-1300000-100000-50000</f>
        <v/>
      </c>
      <c r="DC66" s="26">
        <f>-1250000-120000</f>
        <v/>
      </c>
      <c r="DD66" s="26">
        <f>-1100000-50000</f>
        <v/>
      </c>
      <c r="DE66" s="26">
        <f>-1000000-100000+20000</f>
        <v/>
      </c>
      <c r="DF66" s="26">
        <f>-900000+20000-120000+20000+25000</f>
        <v/>
      </c>
      <c r="DG66" s="26">
        <f>-1000000+30000</f>
        <v/>
      </c>
      <c r="DH66" s="26">
        <f>-900000-100000+60000</f>
        <v/>
      </c>
      <c r="DI66" s="26">
        <f>-950000-50000+20000</f>
        <v/>
      </c>
      <c r="DJ66" s="26" t="n">
        <v>-1000000</v>
      </c>
      <c r="DK66" s="26">
        <f>-950000-50000</f>
        <v/>
      </c>
      <c r="DL66" s="26">
        <f>-1400000-600000+700000</f>
        <v/>
      </c>
      <c r="DM66" s="26">
        <f>-950000-50000+20000</f>
        <v/>
      </c>
      <c r="DN66" s="26">
        <f>-950000+50000-50000</f>
        <v/>
      </c>
      <c r="DO66" s="26">
        <f>-950000+50000-10000-120000</f>
        <v/>
      </c>
      <c r="DP66" s="26">
        <f>-950000+50000-15000-85000</f>
        <v/>
      </c>
      <c r="DQ66" s="26">
        <f>-950000+10000</f>
        <v/>
      </c>
      <c r="DR66" s="26">
        <f>-950000+5000</f>
        <v/>
      </c>
      <c r="DS66" s="26">
        <f>-900000-50000-15000</f>
        <v/>
      </c>
      <c r="DT66" s="26">
        <f>-900000-50000</f>
        <v/>
      </c>
      <c r="DU66" s="26">
        <f>-950000-50000+5000</f>
        <v/>
      </c>
      <c r="DV66" s="26">
        <f>-900000-20000</f>
        <v/>
      </c>
      <c r="DW66" s="26">
        <f>-900000-30000-50000</f>
        <v/>
      </c>
      <c r="DX66" s="26">
        <f>-1200000+50000</f>
        <v/>
      </c>
      <c r="DY66" s="26">
        <f>-900000+10000-20000</f>
        <v/>
      </c>
      <c r="DZ66" s="26">
        <f>-850000+30000-30000</f>
        <v/>
      </c>
      <c r="EA66" s="26">
        <f>-750000-100000-80000</f>
        <v/>
      </c>
      <c r="EB66" s="26">
        <f>-750000-50000-20000</f>
        <v/>
      </c>
      <c r="EC66" s="26">
        <f>-750000-50000</f>
        <v/>
      </c>
      <c r="ED66" s="26">
        <f>-750000-30000</f>
        <v/>
      </c>
      <c r="EE66" s="26">
        <f>-800000+30000-50000-15000</f>
        <v/>
      </c>
      <c r="EF66" s="26">
        <f>-700000-50000</f>
        <v/>
      </c>
      <c r="EG66" s="26">
        <f>-800000-15000</f>
        <v/>
      </c>
      <c r="EH66" s="26">
        <f>-700000+10000-50000</f>
        <v/>
      </c>
      <c r="EI66" s="26">
        <f>-700000+15000-25000-20000</f>
        <v/>
      </c>
      <c r="EJ66" s="26">
        <f>-700000+50000-50000</f>
        <v/>
      </c>
      <c r="EK66" s="26">
        <f>-700000+50000</f>
        <v/>
      </c>
      <c r="EL66" s="26">
        <f>-700000+100000-30000</f>
        <v/>
      </c>
      <c r="EM66" s="26">
        <f>-700000+60000</f>
        <v/>
      </c>
      <c r="EN66" s="26">
        <f>-700000+100000</f>
        <v/>
      </c>
      <c r="EO66" s="26">
        <f>-700000+150000-50000</f>
        <v/>
      </c>
      <c r="EP66" s="26">
        <f>-700000+100000</f>
        <v/>
      </c>
      <c r="EQ66" s="26">
        <f>-650000+100000</f>
        <v/>
      </c>
      <c r="ER66" s="26">
        <f>-650000+100000</f>
        <v/>
      </c>
      <c r="ES66" s="26">
        <f>-550000+20000</f>
        <v/>
      </c>
      <c r="ET66" s="26">
        <f>-500000-30000</f>
        <v/>
      </c>
      <c r="EU66" s="26">
        <f>-450000-40000</f>
        <v/>
      </c>
      <c r="EV66" s="26">
        <f>-450000-50000</f>
        <v/>
      </c>
      <c r="EW66" s="26" t="n">
        <v>-450000</v>
      </c>
      <c r="EX66" s="26" t="n">
        <v>-450000</v>
      </c>
      <c r="EY66" s="26" t="n">
        <v>-450000</v>
      </c>
      <c r="EZ66" s="26" t="n">
        <v>-450000</v>
      </c>
      <c r="FA66" s="26">
        <f>-450000+30000+10000</f>
        <v/>
      </c>
      <c r="FB66" s="26">
        <f>-400000+5000</f>
        <v/>
      </c>
      <c r="FC66" s="26">
        <f>-400000+30000</f>
        <v/>
      </c>
      <c r="FD66" s="26">
        <f>-325000-50000</f>
        <v/>
      </c>
      <c r="FE66" s="26">
        <f>-325000-35000+5000</f>
        <v/>
      </c>
      <c r="FF66" s="26">
        <f>-325000-35000+30000</f>
        <v/>
      </c>
      <c r="FG66" s="26">
        <f>-325000+10000</f>
        <v/>
      </c>
      <c r="FH66" s="26">
        <f>-325000+30000</f>
        <v/>
      </c>
      <c r="FI66" s="26">
        <f>-275000-5000</f>
        <v/>
      </c>
      <c r="FJ66" s="26">
        <f>-275000+10000-5000</f>
        <v/>
      </c>
      <c r="FK66" s="26">
        <f>-220000-30000-5000</f>
        <v/>
      </c>
      <c r="FL66" s="26">
        <f>-220000-10000-5000</f>
        <v/>
      </c>
      <c r="FM66" s="26">
        <f>-220000-10000+5000</f>
        <v/>
      </c>
      <c r="FN66" s="26">
        <f>-200000-10000+10000</f>
        <v/>
      </c>
      <c r="FO66" s="26">
        <f>-190000+1000</f>
        <v/>
      </c>
      <c r="FP66" s="26">
        <f>-170000+10000-5000</f>
        <v/>
      </c>
      <c r="FQ66" s="26">
        <f>-145000-5000</f>
        <v/>
      </c>
      <c r="FR66" s="26">
        <f>-125000-15000+2000</f>
        <v/>
      </c>
      <c r="FS66" s="26">
        <f>-100000-10000-10000+5000</f>
        <v/>
      </c>
      <c r="FT66" s="26">
        <f>-76000-20000</f>
        <v/>
      </c>
      <c r="FU66" s="26">
        <f>-76000-10000</f>
        <v/>
      </c>
      <c r="FV66" s="26">
        <f>-76000+5000</f>
        <v/>
      </c>
      <c r="FW66" s="26">
        <f>-35000-10000</f>
        <v/>
      </c>
      <c r="FX66" s="26">
        <f>-20000-10000</f>
        <v/>
      </c>
      <c r="FY66" s="26">
        <f>-10000-10000+5000</f>
        <v/>
      </c>
      <c r="FZ66" s="26">
        <f>-750-2000+2000</f>
        <v/>
      </c>
      <c r="GA66" s="26">
        <f>-15-50-200-35</f>
        <v/>
      </c>
      <c r="GB66" s="26" t="n"/>
      <c r="GC66" s="26" t="n">
        <v>0</v>
      </c>
      <c r="GD66" s="26" t="n">
        <v>0</v>
      </c>
      <c r="GE66" s="26" t="n">
        <v>0</v>
      </c>
      <c r="GF66" s="26" t="n">
        <v>0</v>
      </c>
      <c r="GG66" s="26" t="n">
        <v>0</v>
      </c>
      <c r="GH66" s="26" t="n">
        <v>0</v>
      </c>
      <c r="GI66" s="26" t="n">
        <v>0</v>
      </c>
      <c r="GJ66" s="26" t="n">
        <v>0</v>
      </c>
      <c r="GK66" s="26" t="n">
        <v>0</v>
      </c>
      <c r="GL66" s="26" t="n">
        <v>0</v>
      </c>
      <c r="GM66" s="26" t="n">
        <v>0</v>
      </c>
      <c r="GN66" s="26" t="n">
        <v>0</v>
      </c>
      <c r="GO66" s="26" t="n">
        <v>0</v>
      </c>
      <c r="GP66" s="26" t="n">
        <v>0</v>
      </c>
      <c r="GQ66" s="26" t="n">
        <v>0</v>
      </c>
      <c r="GR66" s="26" t="n">
        <v>0</v>
      </c>
      <c r="GS66" s="26" t="n">
        <v>0</v>
      </c>
      <c r="GT66" s="26" t="n">
        <v>0</v>
      </c>
      <c r="GU66" s="26" t="n">
        <v>0</v>
      </c>
      <c r="GV66" s="26" t="n"/>
      <c r="GW66" s="26" t="n">
        <v>0</v>
      </c>
      <c r="GX66" s="26" t="n">
        <v>0</v>
      </c>
      <c r="GY66" s="26" t="n">
        <v>0</v>
      </c>
      <c r="GZ66" s="26" t="n">
        <v>0</v>
      </c>
      <c r="HA66" s="26" t="n">
        <v>0</v>
      </c>
      <c r="HB66" s="26" t="n">
        <v>0</v>
      </c>
      <c r="HC66" s="26" t="n">
        <v>0</v>
      </c>
      <c r="HD66" s="26" t="n">
        <v>0</v>
      </c>
      <c r="HE66" s="26" t="n">
        <v>0</v>
      </c>
      <c r="HF66" s="26" t="n">
        <v>0</v>
      </c>
      <c r="HG66" s="26" t="n">
        <v>0</v>
      </c>
      <c r="HH66" s="26" t="n">
        <v>0</v>
      </c>
      <c r="HI66" s="26" t="n">
        <v>0</v>
      </c>
      <c r="HJ66" s="26" t="n">
        <v>0</v>
      </c>
      <c r="HK66" s="26" t="n">
        <v>0</v>
      </c>
      <c r="HL66" s="26" t="n">
        <v>0</v>
      </c>
      <c r="HM66" s="26" t="n">
        <v>0</v>
      </c>
      <c r="HN66" s="26" t="n">
        <v>0</v>
      </c>
      <c r="HO66" s="26" t="n">
        <v>0</v>
      </c>
      <c r="HP66" s="26" t="n">
        <v>0</v>
      </c>
      <c r="HQ66" s="26" t="n">
        <v>0</v>
      </c>
      <c r="HR66" s="26" t="n">
        <v>0</v>
      </c>
      <c r="HS66" s="26" t="n">
        <v>0</v>
      </c>
      <c r="HT66" s="26" t="n">
        <v>0</v>
      </c>
      <c r="HU66" s="26" t="n"/>
      <c r="JF66" s="26">
        <f>AP66</f>
        <v/>
      </c>
      <c r="JG66" s="26">
        <f>SUM(Z66:AK66)</f>
        <v/>
      </c>
      <c r="JH66" s="26">
        <f>SUM(AL66:AP66)</f>
        <v/>
      </c>
      <c r="JI66" s="26">
        <f>SUM(C66:AP66)</f>
        <v/>
      </c>
      <c r="JJ66" s="446" t="n"/>
      <c r="JM66" s="26" t="n">
        <v>0</v>
      </c>
      <c r="KG66" s="136">
        <f>B66</f>
        <v/>
      </c>
      <c r="KH66" s="345">
        <f>AR66</f>
        <v/>
      </c>
    </row>
    <row r="67" ht="16.2" customHeight="1">
      <c r="A67" s="12" t="inlineStr">
        <is>
          <t>Subtotal</t>
        </is>
      </c>
      <c r="B67" s="136">
        <f>SUM(C67:AP67)</f>
        <v/>
      </c>
      <c r="C67" s="30">
        <f>SUM(C65:C66)</f>
        <v/>
      </c>
      <c r="D67" s="30">
        <f>SUM(D65:D66)</f>
        <v/>
      </c>
      <c r="E67" s="30">
        <f>SUM(E65:E66)</f>
        <v/>
      </c>
      <c r="F67" s="30">
        <f>SUM(F65:F66)</f>
        <v/>
      </c>
      <c r="G67" s="30">
        <f>SUM(G65:G66)</f>
        <v/>
      </c>
      <c r="H67" s="30">
        <f>SUM(H65:H66)</f>
        <v/>
      </c>
      <c r="I67" s="31">
        <f>SUM(I65:I66)</f>
        <v/>
      </c>
      <c r="J67" s="187">
        <f>SUM(J65:J66)</f>
        <v/>
      </c>
      <c r="K67" s="31">
        <f>SUM(K65:K66)</f>
        <v/>
      </c>
      <c r="L67" s="30">
        <f>SUM(L65:L66)</f>
        <v/>
      </c>
      <c r="M67" s="30">
        <f>SUM(M65:M66)</f>
        <v/>
      </c>
      <c r="N67" s="30">
        <f>SUM(N65:N66)</f>
        <v/>
      </c>
      <c r="O67" s="30">
        <f>SUM(O65:O66)</f>
        <v/>
      </c>
      <c r="P67" s="30">
        <f>SUM(P65:P66)</f>
        <v/>
      </c>
      <c r="Q67" s="30">
        <f>SUM(Q65:Q66)</f>
        <v/>
      </c>
      <c r="R67" s="30">
        <f>SUM(R65:R66)</f>
        <v/>
      </c>
      <c r="S67" s="30">
        <f>SUM(S65:S66)</f>
        <v/>
      </c>
      <c r="T67" s="30">
        <f>SUM(T65:T66)</f>
        <v/>
      </c>
      <c r="U67" s="30">
        <f>SUM(U65:U66)</f>
        <v/>
      </c>
      <c r="V67" s="30">
        <f>SUM(V65:V66)</f>
        <v/>
      </c>
      <c r="W67" s="30">
        <f>SUM(W65:W66)</f>
        <v/>
      </c>
      <c r="X67" s="30">
        <f>SUM(X65:X66)</f>
        <v/>
      </c>
      <c r="Y67" s="30">
        <f>SUM(Y65:Y66)</f>
        <v/>
      </c>
      <c r="Z67" s="30">
        <f>SUM(Z65:Z66)</f>
        <v/>
      </c>
      <c r="AA67" s="30">
        <f>SUM(AA65:AA66)</f>
        <v/>
      </c>
      <c r="AB67" s="30">
        <f>SUM(AB65:AB66)</f>
        <v/>
      </c>
      <c r="AC67" s="30" t="n"/>
      <c r="AD67" s="30" t="n"/>
      <c r="AE67" s="30" t="n"/>
      <c r="AF67" s="30" t="n"/>
      <c r="AG67" s="30">
        <f>+AG65+AG66</f>
        <v/>
      </c>
      <c r="AH67" s="30">
        <f>+AH65+AH66</f>
        <v/>
      </c>
      <c r="AI67" s="30">
        <f>+AI65+AI66</f>
        <v/>
      </c>
      <c r="AJ67" s="30">
        <f>+AJ65+AJ66</f>
        <v/>
      </c>
      <c r="AK67" s="30">
        <f>+AK65+AK66</f>
        <v/>
      </c>
      <c r="AL67" s="30">
        <f>+AL65+AL66</f>
        <v/>
      </c>
      <c r="AM67" s="30">
        <f>+AM65+AM66</f>
        <v/>
      </c>
      <c r="AN67" s="30">
        <f>+AN65+AN66</f>
        <v/>
      </c>
      <c r="AO67" s="30">
        <f>+AO65+AO66</f>
        <v/>
      </c>
      <c r="AP67" s="30">
        <f>+AP65+AP66</f>
        <v/>
      </c>
      <c r="AQ67" s="13" t="n"/>
      <c r="AR67" s="188">
        <f>SUM(AT67:HU67)</f>
        <v/>
      </c>
      <c r="AS67" s="13" t="n"/>
      <c r="AT67" s="32">
        <f>SUM(AT65:AT66)</f>
        <v/>
      </c>
      <c r="AU67" s="32">
        <f>SUM(AU65:AU66)</f>
        <v/>
      </c>
      <c r="AV67" s="32">
        <f>SUM(AV65:AV66)</f>
        <v/>
      </c>
      <c r="AW67" s="32">
        <f>SUM(AW65:AW66)</f>
        <v/>
      </c>
      <c r="AX67" s="32">
        <f>SUM(AX65:AX66)</f>
        <v/>
      </c>
      <c r="AY67" s="32">
        <f>SUM(AY65:AY66)</f>
        <v/>
      </c>
      <c r="AZ67" s="32">
        <f>SUM(AZ65:AZ66)</f>
        <v/>
      </c>
      <c r="BA67" s="32">
        <f>SUM(BA65:BA66)</f>
        <v/>
      </c>
      <c r="BB67" s="32">
        <f>SUM(BB65:BB66)</f>
        <v/>
      </c>
      <c r="BC67" s="32">
        <f>SUM(BC65:BC66)</f>
        <v/>
      </c>
      <c r="BD67" s="32">
        <f>SUM(BD65:BD66)</f>
        <v/>
      </c>
      <c r="BE67" s="32">
        <f>SUM(BE65:BE66)</f>
        <v/>
      </c>
      <c r="BF67" s="32">
        <f>SUM(BF65:BF66)</f>
        <v/>
      </c>
      <c r="BG67" s="32">
        <f>SUM(BG65:BG66)</f>
        <v/>
      </c>
      <c r="BH67" s="445">
        <f>SUM(BH65:BH66)</f>
        <v/>
      </c>
      <c r="BI67" s="445">
        <f>SUM(BI65:BI66)</f>
        <v/>
      </c>
      <c r="BJ67" s="445">
        <f>SUM(BJ65:BJ66)</f>
        <v/>
      </c>
      <c r="BK67" s="32">
        <f>SUM(BK65:BK66)</f>
        <v/>
      </c>
      <c r="BL67" s="32">
        <f>SUM(BL65:BL66)</f>
        <v/>
      </c>
      <c r="BM67" s="32">
        <f>SUM(BM65:BM66)</f>
        <v/>
      </c>
      <c r="BN67" s="32">
        <f>SUM(BN65:BN66)</f>
        <v/>
      </c>
      <c r="BO67" s="32">
        <f>SUM(BO65:BO66)</f>
        <v/>
      </c>
      <c r="BP67" s="32">
        <f>SUM(BP65:BP66)</f>
        <v/>
      </c>
      <c r="BQ67" s="32">
        <f>SUM(BQ65:BQ66)</f>
        <v/>
      </c>
      <c r="BR67" s="32">
        <f>SUM(BR65:BR66)</f>
        <v/>
      </c>
      <c r="BS67" s="32">
        <f>SUM(BS65:BS66)</f>
        <v/>
      </c>
      <c r="BT67" s="32">
        <f>SUM(BT65:BT66)</f>
        <v/>
      </c>
      <c r="BU67" s="32">
        <f>SUM(BU65:BU66)</f>
        <v/>
      </c>
      <c r="BV67" s="32">
        <f>SUM(BV65:BV66)</f>
        <v/>
      </c>
      <c r="BW67" s="32">
        <f>SUM(BW65:BW66)</f>
        <v/>
      </c>
      <c r="BX67" s="32">
        <f>SUM(BX65:BX66)</f>
        <v/>
      </c>
      <c r="BY67" s="32">
        <f>SUM(BY65:BY66)</f>
        <v/>
      </c>
      <c r="BZ67" s="32">
        <f>SUM(BZ65:BZ66)</f>
        <v/>
      </c>
      <c r="CA67" s="32">
        <f>SUM(CA65:CA66)</f>
        <v/>
      </c>
      <c r="CB67" s="32">
        <f>SUM(CB65:CB66)</f>
        <v/>
      </c>
      <c r="CC67" s="32">
        <f>SUM(CC65:CC66)</f>
        <v/>
      </c>
      <c r="CD67" s="32">
        <f>SUM(CD65:CD66)</f>
        <v/>
      </c>
      <c r="CE67" s="32">
        <f>SUM(CE65:CE66)</f>
        <v/>
      </c>
      <c r="CF67" s="32">
        <f>SUM(CF65:CF66)</f>
        <v/>
      </c>
      <c r="CG67" s="32">
        <f>SUM(CG65:CG66)</f>
        <v/>
      </c>
      <c r="CH67" s="32">
        <f>SUM(CH65:CH66)</f>
        <v/>
      </c>
      <c r="CI67" s="32">
        <f>SUM(CI65:CI66)</f>
        <v/>
      </c>
      <c r="CJ67" s="32">
        <f>SUM(CJ65:CJ66)</f>
        <v/>
      </c>
      <c r="CK67" s="32">
        <f>SUM(CK65:CK66)</f>
        <v/>
      </c>
      <c r="CL67" s="32">
        <f>SUM(CL65:CL66)</f>
        <v/>
      </c>
      <c r="CM67" s="32">
        <f>SUM(CM65:CM66)</f>
        <v/>
      </c>
      <c r="CN67" s="32">
        <f>SUM(CN65:CN66)</f>
        <v/>
      </c>
      <c r="CO67" s="32">
        <f>SUM(CO65:CO66)</f>
        <v/>
      </c>
      <c r="CP67" s="32">
        <f>SUM(CP65:CP66)</f>
        <v/>
      </c>
      <c r="CQ67" s="32">
        <f>SUM(CQ65:CQ66)</f>
        <v/>
      </c>
      <c r="CR67" s="32">
        <f>SUM(CR65:CR66)</f>
        <v/>
      </c>
      <c r="CS67" s="32">
        <f>SUM(CS65:CS66)</f>
        <v/>
      </c>
      <c r="CT67" s="32">
        <f>SUM(CT65:CT66)</f>
        <v/>
      </c>
      <c r="CU67" s="32">
        <f>SUM(CU65:CU66)</f>
        <v/>
      </c>
      <c r="CV67" s="32">
        <f>SUM(CV65:CV66)</f>
        <v/>
      </c>
      <c r="CW67" s="32">
        <f>SUM(CW65:CW66)</f>
        <v/>
      </c>
      <c r="CX67" s="32">
        <f>SUM(CX65:CX66)</f>
        <v/>
      </c>
      <c r="CY67" s="32">
        <f>SUM(CY65:CY66)</f>
        <v/>
      </c>
      <c r="CZ67" s="32">
        <f>SUM(CZ65:CZ66)</f>
        <v/>
      </c>
      <c r="DA67" s="32">
        <f>SUM(DA65:DA66)</f>
        <v/>
      </c>
      <c r="DB67" s="32">
        <f>SUM(DB65:DB66)</f>
        <v/>
      </c>
      <c r="DC67" s="32">
        <f>SUM(DC65:DC66)</f>
        <v/>
      </c>
      <c r="DD67" s="32">
        <f>SUM(DD65:DD66)</f>
        <v/>
      </c>
      <c r="DE67" s="32">
        <f>SUM(DE65:DE66)</f>
        <v/>
      </c>
      <c r="DF67" s="32">
        <f>SUM(DF65:DF66)</f>
        <v/>
      </c>
      <c r="DG67" s="32">
        <f>SUM(DG65:DG66)</f>
        <v/>
      </c>
      <c r="DH67" s="32">
        <f>SUM(DH65:DH66)</f>
        <v/>
      </c>
      <c r="DI67" s="32">
        <f>SUM(DI65:DI66)</f>
        <v/>
      </c>
      <c r="DJ67" s="32">
        <f>SUM(DJ65:DJ66)</f>
        <v/>
      </c>
      <c r="DK67" s="32">
        <f>SUM(DK65:DK66)</f>
        <v/>
      </c>
      <c r="DL67" s="32">
        <f>SUM(DL65:DL66)</f>
        <v/>
      </c>
      <c r="DM67" s="32">
        <f>SUM(DM65:DM66)</f>
        <v/>
      </c>
      <c r="DN67" s="32">
        <f>SUM(DN65:DN66)</f>
        <v/>
      </c>
      <c r="DO67" s="32">
        <f>SUM(DO65:DO66)</f>
        <v/>
      </c>
      <c r="DP67" s="32">
        <f>SUM(DP65:DP66)</f>
        <v/>
      </c>
      <c r="DQ67" s="32">
        <f>SUM(DQ65:DQ66)</f>
        <v/>
      </c>
      <c r="DR67" s="32">
        <f>SUM(DR65:DR66)</f>
        <v/>
      </c>
      <c r="DS67" s="32">
        <f>SUM(DS65:DS66)</f>
        <v/>
      </c>
      <c r="DT67" s="32">
        <f>SUM(DT65:DT66)</f>
        <v/>
      </c>
      <c r="DU67" s="32">
        <f>SUM(DU65:DU66)</f>
        <v/>
      </c>
      <c r="DV67" s="32">
        <f>SUM(DV65:DV66)</f>
        <v/>
      </c>
      <c r="DW67" s="32">
        <f>SUM(DW65:DW66)</f>
        <v/>
      </c>
      <c r="DX67" s="32">
        <f>SUM(DX65:DX66)</f>
        <v/>
      </c>
      <c r="DY67" s="32">
        <f>SUM(DY65:DY66)</f>
        <v/>
      </c>
      <c r="DZ67" s="32">
        <f>SUM(DZ65:DZ66)</f>
        <v/>
      </c>
      <c r="EA67" s="32">
        <f>SUM(EA65:EA66)</f>
        <v/>
      </c>
      <c r="EB67" s="32">
        <f>SUM(EB65:EB66)</f>
        <v/>
      </c>
      <c r="EC67" s="32">
        <f>SUM(EC65:EC66)</f>
        <v/>
      </c>
      <c r="ED67" s="32">
        <f>SUM(ED65:ED66)</f>
        <v/>
      </c>
      <c r="EE67" s="32">
        <f>SUM(EE65:EE66)</f>
        <v/>
      </c>
      <c r="EF67" s="32">
        <f>SUM(EF65:EF66)</f>
        <v/>
      </c>
      <c r="EG67" s="32">
        <f>SUM(EG65:EG66)</f>
        <v/>
      </c>
      <c r="EH67" s="32">
        <f>SUM(EH65:EH66)</f>
        <v/>
      </c>
      <c r="EI67" s="32">
        <f>SUM(EI65:EI66)</f>
        <v/>
      </c>
      <c r="EJ67" s="32">
        <f>SUM(EJ65:EJ66)</f>
        <v/>
      </c>
      <c r="EK67" s="32">
        <f>SUM(EK65:EK66)</f>
        <v/>
      </c>
      <c r="EL67" s="32">
        <f>SUM(EL65:EL66)</f>
        <v/>
      </c>
      <c r="EM67" s="32">
        <f>SUM(EM65:EM66)</f>
        <v/>
      </c>
      <c r="EN67" s="32">
        <f>SUM(EN65:EN66)</f>
        <v/>
      </c>
      <c r="EO67" s="32">
        <f>SUM(EO65:EO66)</f>
        <v/>
      </c>
      <c r="EP67" s="32">
        <f>SUM(EP65:EP66)</f>
        <v/>
      </c>
      <c r="EQ67" s="32">
        <f>SUM(EQ65:EQ66)</f>
        <v/>
      </c>
      <c r="ER67" s="32">
        <f>SUM(ER65:ER66)</f>
        <v/>
      </c>
      <c r="ES67" s="32">
        <f>SUM(ES65:ES66)</f>
        <v/>
      </c>
      <c r="ET67" s="32">
        <f>SUM(ET65:ET66)</f>
        <v/>
      </c>
      <c r="EU67" s="32">
        <f>SUM(EU65:EU66)</f>
        <v/>
      </c>
      <c r="EV67" s="32">
        <f>SUM(EV65:EV66)</f>
        <v/>
      </c>
      <c r="EW67" s="32">
        <f>SUM(EW65:EW66)</f>
        <v/>
      </c>
      <c r="EX67" s="32">
        <f>SUM(EX65:EX66)</f>
        <v/>
      </c>
      <c r="EY67" s="32">
        <f>SUM(EY65:EY66)</f>
        <v/>
      </c>
      <c r="EZ67" s="32">
        <f>SUM(EZ65:EZ66)</f>
        <v/>
      </c>
      <c r="FA67" s="32">
        <f>SUM(FA65:FA66)</f>
        <v/>
      </c>
      <c r="FB67" s="32">
        <f>SUM(FB65:FB66)</f>
        <v/>
      </c>
      <c r="FC67" s="32">
        <f>SUM(FC65:FC66)</f>
        <v/>
      </c>
      <c r="FD67" s="32">
        <f>SUM(FD65:FD66)</f>
        <v/>
      </c>
      <c r="FE67" s="32">
        <f>SUM(FE65:FE66)</f>
        <v/>
      </c>
      <c r="FF67" s="32">
        <f>SUM(FF65:FF66)</f>
        <v/>
      </c>
      <c r="FG67" s="32">
        <f>SUM(FG65:FG66)</f>
        <v/>
      </c>
      <c r="FH67" s="32">
        <f>SUM(FH65:FH66)</f>
        <v/>
      </c>
      <c r="FI67" s="32">
        <f>SUM(FI65:FI66)</f>
        <v/>
      </c>
      <c r="FJ67" s="32">
        <f>SUM(FJ65:FJ66)</f>
        <v/>
      </c>
      <c r="FK67" s="32">
        <f>SUM(FK65:FK66)</f>
        <v/>
      </c>
      <c r="FL67" s="32">
        <f>SUM(FL65:FL66)</f>
        <v/>
      </c>
      <c r="FM67" s="32">
        <f>SUM(FM65:FM66)</f>
        <v/>
      </c>
      <c r="FN67" s="32">
        <f>SUM(FN65:FN66)</f>
        <v/>
      </c>
      <c r="FO67" s="32">
        <f>SUM(FO65:FO66)</f>
        <v/>
      </c>
      <c r="FP67" s="32">
        <f>SUM(FP65:FP66)</f>
        <v/>
      </c>
      <c r="FQ67" s="32">
        <f>SUM(FQ65:FQ66)</f>
        <v/>
      </c>
      <c r="FR67" s="32">
        <f>SUM(FR65:FR66)</f>
        <v/>
      </c>
      <c r="FS67" s="32">
        <f>SUM(FS65:FS66)</f>
        <v/>
      </c>
      <c r="FT67" s="32">
        <f>SUM(FT65:FT66)</f>
        <v/>
      </c>
      <c r="FU67" s="32">
        <f>SUM(FU65:FU66)</f>
        <v/>
      </c>
      <c r="FV67" s="32">
        <f>SUM(FV65:FV66)</f>
        <v/>
      </c>
      <c r="FW67" s="32">
        <f>SUM(FW65:FW66)</f>
        <v/>
      </c>
      <c r="FX67" s="32">
        <f>SUM(FX65:FX66)</f>
        <v/>
      </c>
      <c r="FY67" s="32">
        <f>SUM(FY65:FY66)</f>
        <v/>
      </c>
      <c r="FZ67" s="32">
        <f>SUM(FZ65:FZ66)</f>
        <v/>
      </c>
      <c r="GA67" s="32">
        <f>SUM(GA65:GA66)</f>
        <v/>
      </c>
      <c r="GB67" s="32">
        <f>SUM(GB65:GB66)</f>
        <v/>
      </c>
      <c r="GC67" s="32">
        <f>SUM(GC65:GC66)</f>
        <v/>
      </c>
      <c r="GD67" s="32">
        <f>SUM(GD65:GD66)</f>
        <v/>
      </c>
      <c r="GE67" s="32">
        <f>SUM(GE65:GE66)</f>
        <v/>
      </c>
      <c r="GF67" s="32">
        <f>SUM(GF65:GF66)</f>
        <v/>
      </c>
      <c r="GG67" s="32">
        <f>SUM(GG65:GG66)</f>
        <v/>
      </c>
      <c r="GH67" s="32">
        <f>SUM(GH65:GH66)</f>
        <v/>
      </c>
      <c r="GI67" s="32">
        <f>SUM(GI65:GI66)</f>
        <v/>
      </c>
      <c r="GJ67" s="32">
        <f>SUM(GJ65:GJ66)</f>
        <v/>
      </c>
      <c r="GK67" s="32">
        <f>SUM(GK65:GK66)</f>
        <v/>
      </c>
      <c r="GL67" s="32">
        <f>SUM(GL65:GL66)</f>
        <v/>
      </c>
      <c r="GM67" s="32">
        <f>SUM(GM65:GM66)</f>
        <v/>
      </c>
      <c r="GN67" s="32">
        <f>SUM(GN65:GN66)</f>
        <v/>
      </c>
      <c r="GO67" s="32">
        <f>SUM(GO65:GO66)</f>
        <v/>
      </c>
      <c r="GP67" s="32">
        <f>SUM(GP65:GP66)</f>
        <v/>
      </c>
      <c r="GQ67" s="32">
        <f>SUM(GQ65:GQ66)</f>
        <v/>
      </c>
      <c r="GR67" s="32">
        <f>SUM(GR65:GR66)</f>
        <v/>
      </c>
      <c r="GS67" s="32">
        <f>SUM(GS65:GS66)</f>
        <v/>
      </c>
      <c r="GT67" s="32">
        <f>SUM(GT65:GT66)</f>
        <v/>
      </c>
      <c r="GU67" s="32">
        <f>SUM(GU65:GU66)</f>
        <v/>
      </c>
      <c r="GV67" s="32">
        <f>SUM(GV65:GV66)</f>
        <v/>
      </c>
      <c r="GW67" s="32">
        <f>SUM(GW65:GW66)</f>
        <v/>
      </c>
      <c r="GX67" s="32">
        <f>SUM(GX65:GX66)</f>
        <v/>
      </c>
      <c r="GY67" s="32">
        <f>SUM(GY65:GY66)</f>
        <v/>
      </c>
      <c r="GZ67" s="32">
        <f>SUM(GZ65:GZ66)</f>
        <v/>
      </c>
      <c r="HA67" s="32">
        <f>SUM(HA65:HA66)</f>
        <v/>
      </c>
      <c r="HB67" s="32">
        <f>SUM(HB65:HB66)</f>
        <v/>
      </c>
      <c r="HC67" s="32">
        <f>SUM(HC65:HC66)</f>
        <v/>
      </c>
      <c r="HD67" s="32">
        <f>SUM(HD65:HD66)</f>
        <v/>
      </c>
      <c r="HE67" s="32">
        <f>SUM(HE65:HE66)</f>
        <v/>
      </c>
      <c r="HF67" s="32">
        <f>SUM(HF65:HF66)</f>
        <v/>
      </c>
      <c r="HG67" s="32">
        <f>SUM(HG65:HG66)</f>
        <v/>
      </c>
      <c r="HH67" s="32">
        <f>SUM(HH65:HH66)</f>
        <v/>
      </c>
      <c r="HI67" s="32">
        <f>SUM(HI65:HI66)</f>
        <v/>
      </c>
      <c r="HJ67" s="32">
        <f>SUM(HJ65:HJ66)</f>
        <v/>
      </c>
      <c r="HK67" s="32">
        <f>SUM(HK65:HK66)</f>
        <v/>
      </c>
      <c r="HL67" s="32">
        <f>SUM(HL65:HL66)</f>
        <v/>
      </c>
      <c r="HM67" s="32">
        <f>SUM(HM65:HM66)</f>
        <v/>
      </c>
      <c r="HN67" s="32">
        <f>SUM(HN65:HN66)</f>
        <v/>
      </c>
      <c r="HO67" s="32">
        <f>SUM(HO65:HO66)</f>
        <v/>
      </c>
      <c r="HP67" s="32">
        <f>SUM(HP65:HP66)</f>
        <v/>
      </c>
      <c r="HQ67" s="32">
        <f>SUM(HQ65:HQ66)</f>
        <v/>
      </c>
      <c r="HR67" s="32">
        <f>SUM(HR65:HR66)</f>
        <v/>
      </c>
      <c r="HS67" s="32">
        <f>SUM(HS65:HS66)</f>
        <v/>
      </c>
      <c r="HT67" s="32">
        <f>SUM(HT65:HT66)</f>
        <v/>
      </c>
      <c r="HU67" s="32">
        <f>SUM(HU65:HU66)</f>
        <v/>
      </c>
      <c r="JF67" s="32">
        <f>AP67</f>
        <v/>
      </c>
      <c r="JG67" s="32">
        <f>SUM(Z67:AK67)</f>
        <v/>
      </c>
      <c r="JH67" s="32">
        <f>SUM(AL67:AP67)</f>
        <v/>
      </c>
      <c r="JI67" s="32">
        <f>SUM(C67:AP67)</f>
        <v/>
      </c>
      <c r="JJ67" s="446" t="n"/>
      <c r="JM67" s="32" t="n">
        <v>0</v>
      </c>
      <c r="KG67" s="136">
        <f>B67</f>
        <v/>
      </c>
      <c r="KH67" s="188">
        <f>AR67</f>
        <v/>
      </c>
    </row>
    <row r="68" ht="16.2" customHeight="1">
      <c r="A68" s="28" t="n"/>
      <c r="B68" s="146" t="n"/>
      <c r="C68" s="512" t="n"/>
      <c r="D68" s="512" t="n"/>
      <c r="E68" s="512" t="n"/>
      <c r="F68" s="512" t="n"/>
      <c r="G68" s="512" t="n"/>
      <c r="H68" s="512" t="n"/>
      <c r="I68" s="512" t="n"/>
      <c r="J68" s="513" t="n"/>
      <c r="K68" s="512" t="n"/>
      <c r="L68" s="512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514" t="n"/>
      <c r="AA68" s="514" t="n"/>
      <c r="AB68" s="514" t="n"/>
      <c r="AC68" s="514" t="n"/>
      <c r="AD68" s="514" t="n"/>
      <c r="AE68" s="514" t="n"/>
      <c r="AF68" s="514" t="n"/>
      <c r="AG68" s="514" t="n"/>
      <c r="AH68" s="514" t="n"/>
      <c r="AI68" s="514" t="n"/>
      <c r="AJ68" s="514" t="n"/>
      <c r="AK68" s="514" t="n"/>
      <c r="AL68" s="514" t="n"/>
      <c r="AM68" s="514" t="n"/>
      <c r="AN68" s="514" t="n"/>
      <c r="AO68" s="514" t="n"/>
      <c r="AP68" s="514" t="n"/>
      <c r="AQ68" s="512" t="n"/>
      <c r="AR68" s="533" t="n"/>
      <c r="AS68" s="512" t="n"/>
      <c r="AT68" s="512" t="n"/>
      <c r="AU68" s="512" t="n"/>
      <c r="AV68" s="512" t="n"/>
      <c r="AW68" s="512" t="n"/>
      <c r="AX68" s="512" t="n"/>
      <c r="AY68" s="512" t="n"/>
      <c r="AZ68" s="512" t="n"/>
      <c r="BA68" s="512" t="n"/>
      <c r="BB68" s="512" t="n"/>
      <c r="BC68" s="512" t="n"/>
      <c r="BD68" s="515" t="n"/>
      <c r="BE68" s="512" t="n"/>
      <c r="BF68" s="512" t="n"/>
      <c r="BG68" s="512" t="n"/>
      <c r="BH68" s="512" t="n"/>
      <c r="BI68" s="512" t="n"/>
      <c r="BJ68" s="512" t="n"/>
      <c r="BK68" s="512" t="n"/>
      <c r="BL68" s="512" t="n"/>
      <c r="BM68" s="512" t="n"/>
      <c r="BN68" s="512" t="n"/>
      <c r="BO68" s="512" t="n"/>
      <c r="BP68" s="515" t="n"/>
      <c r="BQ68" s="512" t="n"/>
      <c r="BR68" s="512" t="n"/>
      <c r="BS68" s="512" t="n"/>
      <c r="BT68" s="512" t="n"/>
      <c r="BU68" s="512" t="n"/>
      <c r="BV68" s="512" t="n"/>
      <c r="BW68" s="512" t="n"/>
      <c r="BX68" s="512" t="n"/>
      <c r="BY68" s="512" t="n"/>
      <c r="BZ68" s="512" t="n"/>
      <c r="CA68" s="512" t="n"/>
      <c r="CB68" s="515" t="n"/>
      <c r="CC68" s="512" t="n"/>
      <c r="CD68" s="512" t="n"/>
      <c r="CE68" s="512" t="n"/>
      <c r="CF68" s="512" t="n"/>
      <c r="CG68" s="512" t="n"/>
      <c r="CH68" s="512" t="n"/>
      <c r="CI68" s="512" t="n"/>
      <c r="CJ68" s="512" t="n"/>
      <c r="CK68" s="512" t="n"/>
      <c r="CL68" s="512" t="n"/>
      <c r="CM68" s="512" t="n"/>
      <c r="CN68" s="515" t="n"/>
      <c r="CO68" s="512" t="n"/>
      <c r="CP68" s="512" t="n"/>
      <c r="CQ68" s="512" t="n"/>
      <c r="CR68" s="512" t="n"/>
      <c r="CS68" s="512" t="n"/>
      <c r="CT68" s="512" t="n"/>
      <c r="CU68" s="512" t="n"/>
      <c r="CV68" s="512" t="n"/>
      <c r="CW68" s="512" t="n"/>
      <c r="CX68" s="512" t="n"/>
      <c r="CY68" s="512" t="n"/>
      <c r="CZ68" s="515" t="n"/>
      <c r="DA68" s="512" t="n"/>
      <c r="DB68" s="512" t="n"/>
      <c r="DC68" s="512" t="n"/>
      <c r="DD68" s="512" t="n"/>
      <c r="DE68" s="512" t="n"/>
      <c r="DF68" s="512" t="n"/>
      <c r="DG68" s="512" t="n"/>
      <c r="DH68" s="512" t="n"/>
      <c r="DI68" s="512" t="n"/>
      <c r="DJ68" s="512" t="n"/>
      <c r="DK68" s="512" t="n"/>
      <c r="DL68" s="512" t="n"/>
      <c r="DM68" s="512" t="n"/>
      <c r="DN68" s="512" t="n"/>
      <c r="DO68" s="512" t="n"/>
      <c r="DP68" s="512" t="n"/>
      <c r="DQ68" s="512" t="n"/>
      <c r="DR68" s="512" t="n"/>
      <c r="DS68" s="512" t="n"/>
      <c r="DT68" s="512" t="n"/>
      <c r="DU68" s="512" t="n"/>
      <c r="DV68" s="512" t="n"/>
      <c r="DW68" s="512" t="n"/>
      <c r="DX68" s="512" t="n"/>
      <c r="DY68" s="512" t="n"/>
      <c r="DZ68" s="512" t="n"/>
      <c r="EA68" s="512" t="n"/>
      <c r="EB68" s="512" t="n"/>
      <c r="EC68" s="512" t="n"/>
      <c r="ED68" s="512" t="n"/>
      <c r="EE68" s="512" t="n"/>
      <c r="EF68" s="512" t="n"/>
      <c r="EG68" s="512" t="n"/>
      <c r="EH68" s="512" t="n"/>
      <c r="EI68" s="512" t="n"/>
      <c r="EJ68" s="512" t="n"/>
      <c r="EK68" s="512" t="n"/>
      <c r="EL68" s="512" t="n"/>
      <c r="EM68" s="512" t="n"/>
      <c r="EN68" s="512" t="n"/>
      <c r="EO68" s="512" t="n"/>
      <c r="EP68" s="512" t="n"/>
      <c r="EQ68" s="512" t="n"/>
      <c r="ER68" s="512" t="n"/>
      <c r="ES68" s="512" t="n"/>
      <c r="ET68" s="512" t="n"/>
      <c r="EU68" s="512" t="n"/>
      <c r="EV68" s="512" t="n"/>
      <c r="EW68" s="512" t="n"/>
      <c r="EX68" s="512" t="n"/>
      <c r="EY68" s="512" t="n"/>
      <c r="EZ68" s="512" t="n"/>
      <c r="FA68" s="512" t="n"/>
      <c r="FB68" s="512" t="n"/>
      <c r="FC68" s="512" t="n"/>
      <c r="FD68" s="512" t="n"/>
      <c r="FE68" s="512" t="n"/>
      <c r="FF68" s="512" t="n"/>
      <c r="FG68" s="512" t="n"/>
      <c r="FH68" s="512" t="n"/>
      <c r="FI68" s="512" t="n"/>
      <c r="FJ68" s="512" t="n"/>
      <c r="FK68" s="512" t="n"/>
      <c r="FL68" s="512" t="n"/>
      <c r="FM68" s="512" t="n"/>
      <c r="FN68" s="512" t="n"/>
      <c r="FO68" s="512" t="n"/>
      <c r="FP68" s="512" t="n"/>
      <c r="FQ68" s="512" t="n"/>
      <c r="FR68" s="512" t="n"/>
      <c r="FS68" s="512" t="n"/>
      <c r="FT68" s="512" t="n"/>
      <c r="FU68" s="512" t="n"/>
      <c r="FV68" s="512" t="n"/>
      <c r="FW68" s="512" t="n"/>
      <c r="FX68" s="512" t="n"/>
      <c r="FY68" s="512" t="n"/>
      <c r="FZ68" s="512" t="n"/>
      <c r="GA68" s="512" t="n"/>
      <c r="GB68" s="512" t="n"/>
      <c r="GC68" s="512" t="n"/>
      <c r="GD68" s="512" t="n"/>
      <c r="GE68" s="512" t="n"/>
      <c r="GF68" s="512" t="n"/>
      <c r="GG68" s="512" t="n"/>
      <c r="GH68" s="512" t="n"/>
      <c r="GI68" s="512" t="n"/>
      <c r="GJ68" s="512" t="n"/>
      <c r="GK68" s="512" t="n"/>
      <c r="GL68" s="512" t="n"/>
      <c r="GM68" s="512" t="n"/>
      <c r="GN68" s="512" t="n"/>
      <c r="GO68" s="512" t="n"/>
      <c r="GP68" s="512" t="n"/>
      <c r="GQ68" s="512" t="n"/>
      <c r="GR68" s="512" t="n"/>
      <c r="GS68" s="512" t="n"/>
      <c r="GT68" s="512" t="n"/>
      <c r="GU68" s="512" t="n"/>
      <c r="GV68" s="512" t="n"/>
      <c r="GW68" s="512" t="n"/>
      <c r="GX68" s="512" t="n"/>
      <c r="GY68" s="512" t="n"/>
      <c r="GZ68" s="512" t="n"/>
      <c r="HA68" s="512" t="n"/>
      <c r="HB68" s="512" t="n"/>
      <c r="HC68" s="512" t="n"/>
      <c r="HD68" s="512" t="n"/>
      <c r="HE68" s="512" t="n"/>
      <c r="HF68" s="512" t="n"/>
      <c r="HG68" s="512" t="n"/>
      <c r="HH68" s="512" t="n"/>
      <c r="HI68" s="512" t="n"/>
      <c r="HJ68" s="512" t="n"/>
      <c r="HK68" s="512" t="n"/>
      <c r="HL68" s="512" t="n"/>
      <c r="HM68" s="512" t="n"/>
      <c r="HN68" s="512" t="n"/>
      <c r="HO68" s="512" t="n"/>
      <c r="HP68" s="512" t="n"/>
      <c r="HQ68" s="512" t="n"/>
      <c r="HR68" s="512" t="n"/>
      <c r="HS68" s="512" t="n"/>
      <c r="HT68" s="512" t="n"/>
      <c r="HU68" s="512" t="n"/>
      <c r="JF68" s="512">
        <f>AP68</f>
        <v/>
      </c>
      <c r="JG68" s="512">
        <f>SUM(Z68:AK68)</f>
        <v/>
      </c>
      <c r="JH68" s="512">
        <f>SUM(AL68:AP68)</f>
        <v/>
      </c>
      <c r="JI68" s="512">
        <f>SUM(C68:AP68)</f>
        <v/>
      </c>
      <c r="JJ68" s="446" t="n"/>
      <c r="JM68" s="512" t="n"/>
      <c r="KG68" s="146">
        <f>B68</f>
        <v/>
      </c>
      <c r="KH68" s="533">
        <f>AR68</f>
        <v/>
      </c>
    </row>
    <row r="69" ht="16.2" customHeight="1">
      <c r="A69" s="101" t="inlineStr">
        <is>
          <t>DESPESAS OP+TERRENO+IMP+DISTR (-)</t>
        </is>
      </c>
      <c r="B69" s="136">
        <f>SUM(C69:AP69)</f>
        <v/>
      </c>
      <c r="C69" s="94">
        <f>C67+C56+C52+C59+C62</f>
        <v/>
      </c>
      <c r="D69" s="94">
        <f>D67+D56+D52+D59+D62</f>
        <v/>
      </c>
      <c r="E69" s="94">
        <f>E67+E56+E52+E59+E62</f>
        <v/>
      </c>
      <c r="F69" s="94">
        <f>F67+F56+F52+F59+F62</f>
        <v/>
      </c>
      <c r="G69" s="94">
        <f>G67+G56+G52+G59+G62</f>
        <v/>
      </c>
      <c r="H69" s="94">
        <f>H67+H56+H52+H59+H62</f>
        <v/>
      </c>
      <c r="I69" s="94">
        <f>I67+I56+I52+I59+I62</f>
        <v/>
      </c>
      <c r="J69" s="94">
        <f>J67+J56+J52+J59+J62</f>
        <v/>
      </c>
      <c r="K69" s="94">
        <f>K67+K56+K52+K59+K62</f>
        <v/>
      </c>
      <c r="L69" s="94">
        <f>L67+L56+L52+L59+L62</f>
        <v/>
      </c>
      <c r="M69" s="94">
        <f>M67+M56+M52+M59+M62</f>
        <v/>
      </c>
      <c r="N69" s="94">
        <f>N67+N56+N52+N59+N62</f>
        <v/>
      </c>
      <c r="O69" s="94">
        <f>O67+O56+O52+O59+O62</f>
        <v/>
      </c>
      <c r="P69" s="94">
        <f>P67+P56+P52+P59+P62</f>
        <v/>
      </c>
      <c r="Q69" s="94">
        <f>Q67+Q56+Q52+Q59+Q62</f>
        <v/>
      </c>
      <c r="R69" s="94">
        <f>R67+R56+R52+R59+R62</f>
        <v/>
      </c>
      <c r="S69" s="94">
        <f>S67+S56+S52+S59+S62</f>
        <v/>
      </c>
      <c r="T69" s="94">
        <f>T67+T56+T52+T59+T62</f>
        <v/>
      </c>
      <c r="U69" s="94">
        <f>U67+U56+U52+U59+U62</f>
        <v/>
      </c>
      <c r="V69" s="94">
        <f>V67+V56+V52+V59+V62</f>
        <v/>
      </c>
      <c r="W69" s="94">
        <f>W67+W56+W52+W59+W62</f>
        <v/>
      </c>
      <c r="X69" s="94">
        <f>X67+X56+X52+X59+X62</f>
        <v/>
      </c>
      <c r="Y69" s="94">
        <f>Y67+Y56+Y52+Y59+Y62</f>
        <v/>
      </c>
      <c r="Z69" s="94">
        <f>Z67+Z56+Z52+Z59+Z62</f>
        <v/>
      </c>
      <c r="AA69" s="94">
        <f>AA67+AA56+AA52+AA59+AA62</f>
        <v/>
      </c>
      <c r="AB69" s="94">
        <f>AB67+AB56+AB52+AB59+AB62</f>
        <v/>
      </c>
      <c r="AC69" s="94">
        <f>AC67+AC56+AC52+AC59+AC62</f>
        <v/>
      </c>
      <c r="AD69" s="94">
        <f>AD67+AD56+AD52+AD59+AD62</f>
        <v/>
      </c>
      <c r="AE69" s="94">
        <f>AE67+AE56+AE52+AE59+AE62</f>
        <v/>
      </c>
      <c r="AF69" s="94">
        <f>AF67+AF56+AF52+AF59+AF62</f>
        <v/>
      </c>
      <c r="AG69" s="94">
        <f>AG67+AG56+AG52+AG59+AG62</f>
        <v/>
      </c>
      <c r="AH69" s="94">
        <f>AH67+AH56+AH52+AH59+AH62</f>
        <v/>
      </c>
      <c r="AI69" s="94">
        <f>AI67+AI56+AI52+AI59+AI62</f>
        <v/>
      </c>
      <c r="AJ69" s="94">
        <f>AJ67+AJ56+AJ52+AJ59+AJ62</f>
        <v/>
      </c>
      <c r="AK69" s="94">
        <f>AK67+AK56+AK52+AK59+AK62</f>
        <v/>
      </c>
      <c r="AL69" s="94">
        <f>AL67+AL56+AL52+AL59+AL62</f>
        <v/>
      </c>
      <c r="AM69" s="94">
        <f>AM67+AM56+AM52+AM59+AM62</f>
        <v/>
      </c>
      <c r="AN69" s="94">
        <f>AN67+AN56+AN52+AN59+AN62</f>
        <v/>
      </c>
      <c r="AO69" s="94">
        <f>AO67+AO56+AO52+AO59+AO62</f>
        <v/>
      </c>
      <c r="AP69" s="94">
        <f>AP67+AP56+AP52+AP59+AP62</f>
        <v/>
      </c>
      <c r="AQ69" s="13" t="n"/>
      <c r="AR69" s="86">
        <f>SUM(AT69:HU69)</f>
        <v/>
      </c>
      <c r="AS69" s="13" t="n"/>
      <c r="AT69" s="94">
        <f>AT67+AT56+AT52+AT59+AT62</f>
        <v/>
      </c>
      <c r="AU69" s="94">
        <f>AU67+AU56+AU52+AU59+AU62</f>
        <v/>
      </c>
      <c r="AV69" s="94">
        <f>AV67+AV56+AV52+AV59+AV62</f>
        <v/>
      </c>
      <c r="AW69" s="94">
        <f>AW67+AW56+AW52+AW59+AW62</f>
        <v/>
      </c>
      <c r="AX69" s="94">
        <f>AX67+AX56+AX52+AX59+AX62</f>
        <v/>
      </c>
      <c r="AY69" s="94">
        <f>AY67+AY56+AY52+AY59+AY62</f>
        <v/>
      </c>
      <c r="AZ69" s="94">
        <f>AZ67+AZ56+AZ52+AZ59+AZ62</f>
        <v/>
      </c>
      <c r="BA69" s="94">
        <f>BA67+BA56+BA52+BA59+BA62</f>
        <v/>
      </c>
      <c r="BB69" s="94">
        <f>BB67+BB56+BB52+BB59+BB62</f>
        <v/>
      </c>
      <c r="BC69" s="94">
        <f>BC67+BC56+BC52+BC59+BC62</f>
        <v/>
      </c>
      <c r="BD69" s="94">
        <f>BD67+BD56+BD52+BD59+BD62</f>
        <v/>
      </c>
      <c r="BE69" s="94">
        <f>BE67+BE56+BE52+BE59+BE62</f>
        <v/>
      </c>
      <c r="BF69" s="94">
        <f>BF67+BF56+BF52+BF59+BF62</f>
        <v/>
      </c>
      <c r="BG69" s="94">
        <f>BG67+BG56+BG52+BG59+BG62</f>
        <v/>
      </c>
      <c r="BH69" s="94">
        <f>BH67+BH56+BH52+BH59+BH62</f>
        <v/>
      </c>
      <c r="BI69" s="94">
        <f>BI67+BI56+BI52+BI59+BI62</f>
        <v/>
      </c>
      <c r="BJ69" s="94">
        <f>BJ67+BJ56+BJ52+BJ59+BJ62</f>
        <v/>
      </c>
      <c r="BK69" s="94">
        <f>BK67+BK56+BK52+BK59+BK62</f>
        <v/>
      </c>
      <c r="BL69" s="94">
        <f>BL67+BL56+BL52+BL59+BL62</f>
        <v/>
      </c>
      <c r="BM69" s="94">
        <f>BM67+BM56+BM52+BM59+BM62</f>
        <v/>
      </c>
      <c r="BN69" s="94">
        <f>BN67+BN56+BN52+BN59+BN62</f>
        <v/>
      </c>
      <c r="BO69" s="94">
        <f>BO67+BO56+BO52+BO59+BO62</f>
        <v/>
      </c>
      <c r="BP69" s="94">
        <f>BP67+BP56+BP52+BP59+BP62</f>
        <v/>
      </c>
      <c r="BQ69" s="94">
        <f>BQ67+BQ56+BQ52+BQ59+BQ62</f>
        <v/>
      </c>
      <c r="BR69" s="94">
        <f>BR67+BR56+BR52+BR59+BR62</f>
        <v/>
      </c>
      <c r="BS69" s="94">
        <f>BS67+BS56+BS52+BS59+BS62</f>
        <v/>
      </c>
      <c r="BT69" s="94">
        <f>BT67+BT56+BT52+BT59+BT62</f>
        <v/>
      </c>
      <c r="BU69" s="94">
        <f>BU67+BU56+BU52+BU59+BU62</f>
        <v/>
      </c>
      <c r="BV69" s="94">
        <f>BV67+BV56+BV52+BV59+BV62</f>
        <v/>
      </c>
      <c r="BW69" s="94">
        <f>BW67+BW56+BW52+BW59+BW62</f>
        <v/>
      </c>
      <c r="BX69" s="94">
        <f>BX67+BX56+BX52+BX59+BX62</f>
        <v/>
      </c>
      <c r="BY69" s="94">
        <f>BY67+BY56+BY52+BY59+BY62</f>
        <v/>
      </c>
      <c r="BZ69" s="94">
        <f>BZ67+BZ56+BZ52+BZ59+BZ62</f>
        <v/>
      </c>
      <c r="CA69" s="94">
        <f>CA67+CA56+CA52+CA59+CA62</f>
        <v/>
      </c>
      <c r="CB69" s="94">
        <f>CB67+CB56+CB52+CB59+CB62</f>
        <v/>
      </c>
      <c r="CC69" s="94">
        <f>CC67+CC56+CC52+CC59+CC62</f>
        <v/>
      </c>
      <c r="CD69" s="94">
        <f>CD67+CD56+CD52+CD59+CD62</f>
        <v/>
      </c>
      <c r="CE69" s="94">
        <f>CE67+CE56+CE52+CE59+CE62</f>
        <v/>
      </c>
      <c r="CF69" s="94">
        <f>CF67+CF56+CF52+CF59+CF62</f>
        <v/>
      </c>
      <c r="CG69" s="94">
        <f>CG67+CG56+CG52+CG59+CG62</f>
        <v/>
      </c>
      <c r="CH69" s="94">
        <f>CH67+CH56+CH52+CH59+CH62</f>
        <v/>
      </c>
      <c r="CI69" s="94">
        <f>CI67+CI56+CI52+CI59+CI62</f>
        <v/>
      </c>
      <c r="CJ69" s="94">
        <f>CJ67+CJ56+CJ52+CJ59+CJ62</f>
        <v/>
      </c>
      <c r="CK69" s="94">
        <f>CK67+CK56+CK52+CK59+CK62</f>
        <v/>
      </c>
      <c r="CL69" s="94">
        <f>CL67+CL56+CL52+CL59+CL62</f>
        <v/>
      </c>
      <c r="CM69" s="94">
        <f>CM67+CM56+CM52+CM59+CM62</f>
        <v/>
      </c>
      <c r="CN69" s="94">
        <f>CN67+CN56+CN52+CN59+CN62</f>
        <v/>
      </c>
      <c r="CO69" s="94">
        <f>CO67+CO56+CO52+CO59+CO62</f>
        <v/>
      </c>
      <c r="CP69" s="94">
        <f>CP67+CP56+CP52+CP59+CP62</f>
        <v/>
      </c>
      <c r="CQ69" s="94">
        <f>CQ67+CQ56+CQ52+CQ59+CQ62</f>
        <v/>
      </c>
      <c r="CR69" s="94">
        <f>CR67+CR56+CR52+CR59+CR62</f>
        <v/>
      </c>
      <c r="CS69" s="94">
        <f>CS67+CS56+CS52+CS59+CS62</f>
        <v/>
      </c>
      <c r="CT69" s="94">
        <f>CT67+CT56+CT52+CT59+CT62</f>
        <v/>
      </c>
      <c r="CU69" s="94">
        <f>CU67+CU56+CU52+CU59+CU62</f>
        <v/>
      </c>
      <c r="CV69" s="94">
        <f>CV67+CV56+CV52+CV59+CV62</f>
        <v/>
      </c>
      <c r="CW69" s="94">
        <f>CW67+CW56+CW52+CW59+CW62</f>
        <v/>
      </c>
      <c r="CX69" s="94">
        <f>CX67+CX56+CX52+CX59+CX62</f>
        <v/>
      </c>
      <c r="CY69" s="94">
        <f>CY67+CY56+CY52+CY59+CY62</f>
        <v/>
      </c>
      <c r="CZ69" s="94">
        <f>CZ67+CZ56+CZ52+CZ59+CZ62</f>
        <v/>
      </c>
      <c r="DA69" s="94">
        <f>DA67+DA56+DA52+DA59+DA62</f>
        <v/>
      </c>
      <c r="DB69" s="94">
        <f>DB67+DB56+DB52+DB59+DB62</f>
        <v/>
      </c>
      <c r="DC69" s="94">
        <f>DC67+DC56+DC52+DC59+DC62</f>
        <v/>
      </c>
      <c r="DD69" s="94">
        <f>DD67+DD56+DD52+DD59+DD62</f>
        <v/>
      </c>
      <c r="DE69" s="94">
        <f>DE67+DE56+DE52+DE59+DE62</f>
        <v/>
      </c>
      <c r="DF69" s="94">
        <f>DF67+DF56+DF52+DF59+DF62</f>
        <v/>
      </c>
      <c r="DG69" s="94">
        <f>DG67+DG56+DG52+DG59+DG62</f>
        <v/>
      </c>
      <c r="DH69" s="94">
        <f>DH67+DH56+DH52+DH59+DH62</f>
        <v/>
      </c>
      <c r="DI69" s="94">
        <f>DI67+DI56+DI52+DI59+DI62</f>
        <v/>
      </c>
      <c r="DJ69" s="94">
        <f>DJ67+DJ56+DJ52+DJ59+DJ62</f>
        <v/>
      </c>
      <c r="DK69" s="94">
        <f>DK67+DK56+DK52+DK59+DK62</f>
        <v/>
      </c>
      <c r="DL69" s="94">
        <f>DL67+DL56+DL52+DL59+DL62</f>
        <v/>
      </c>
      <c r="DM69" s="94">
        <f>DM67+DM56+DM52+DM59+DM62</f>
        <v/>
      </c>
      <c r="DN69" s="94">
        <f>DN67+DN56+DN52+DN59+DN62</f>
        <v/>
      </c>
      <c r="DO69" s="94">
        <f>DO67+DO56+DO52+DO59+DO62</f>
        <v/>
      </c>
      <c r="DP69" s="94">
        <f>DP67+DP56+DP52+DP59+DP62</f>
        <v/>
      </c>
      <c r="DQ69" s="94">
        <f>DQ67+DQ56+DQ52+DQ59+DQ62</f>
        <v/>
      </c>
      <c r="DR69" s="94">
        <f>DR67+DR56+DR52+DR59+DR62</f>
        <v/>
      </c>
      <c r="DS69" s="94">
        <f>DS67+DS56+DS52+DS59+DS62</f>
        <v/>
      </c>
      <c r="DT69" s="94">
        <f>DT67+DT56+DT52+DT59+DT62</f>
        <v/>
      </c>
      <c r="DU69" s="94">
        <f>DU67+DU56+DU52+DU59+DU62</f>
        <v/>
      </c>
      <c r="DV69" s="94">
        <f>DV67+DV56+DV52+DV59+DV62</f>
        <v/>
      </c>
      <c r="DW69" s="94">
        <f>DW67+DW56+DW52+DW59+DW62</f>
        <v/>
      </c>
      <c r="DX69" s="94">
        <f>DX67+DX56+DX52+DX59+DX62</f>
        <v/>
      </c>
      <c r="DY69" s="94">
        <f>DY67+DY56+DY52+DY59+DY62</f>
        <v/>
      </c>
      <c r="DZ69" s="94">
        <f>DZ67+DZ56+DZ52+DZ59+DZ62</f>
        <v/>
      </c>
      <c r="EA69" s="94">
        <f>EA67+EA56+EA52+EA59+EA62</f>
        <v/>
      </c>
      <c r="EB69" s="94">
        <f>EB67+EB56+EB52+EB59+EB62</f>
        <v/>
      </c>
      <c r="EC69" s="94">
        <f>EC67+EC56+EC52+EC59+EC62</f>
        <v/>
      </c>
      <c r="ED69" s="94">
        <f>ED67+ED56+ED52+ED59+ED62</f>
        <v/>
      </c>
      <c r="EE69" s="94">
        <f>EE67+EE56+EE52+EE59+EE62</f>
        <v/>
      </c>
      <c r="EF69" s="94">
        <f>EF67+EF56+EF52+EF59+EF62</f>
        <v/>
      </c>
      <c r="EG69" s="94">
        <f>EG67+EG56+EG52+EG59+EG62</f>
        <v/>
      </c>
      <c r="EH69" s="94">
        <f>EH67+EH56+EH52+EH59+EH62</f>
        <v/>
      </c>
      <c r="EI69" s="94">
        <f>EI67+EI56+EI52+EI59+EI62</f>
        <v/>
      </c>
      <c r="EJ69" s="94">
        <f>EJ67+EJ56+EJ52+EJ59+EJ62</f>
        <v/>
      </c>
      <c r="EK69" s="94">
        <f>EK67+EK56+EK52+EK59+EK62</f>
        <v/>
      </c>
      <c r="EL69" s="94">
        <f>EL67+EL56+EL52+EL59+EL62</f>
        <v/>
      </c>
      <c r="EM69" s="94">
        <f>EM67+EM56+EM52+EM59+EM62</f>
        <v/>
      </c>
      <c r="EN69" s="94">
        <f>EN67+EN56+EN52+EN59+EN62</f>
        <v/>
      </c>
      <c r="EO69" s="94">
        <f>EO67+EO56+EO52+EO59+EO62</f>
        <v/>
      </c>
      <c r="EP69" s="94">
        <f>EP67+EP56+EP52+EP59+EP62</f>
        <v/>
      </c>
      <c r="EQ69" s="94">
        <f>EQ67+EQ56+EQ52+EQ59+EQ62</f>
        <v/>
      </c>
      <c r="ER69" s="94">
        <f>ER67+ER56+ER52+ER59+ER62</f>
        <v/>
      </c>
      <c r="ES69" s="94">
        <f>ES67+ES56+ES52+ES59+ES62</f>
        <v/>
      </c>
      <c r="ET69" s="94">
        <f>ET67+ET56+ET52+ET59+ET62</f>
        <v/>
      </c>
      <c r="EU69" s="94">
        <f>EU67+EU56+EU52+EU59+EU62</f>
        <v/>
      </c>
      <c r="EV69" s="94">
        <f>EV67+EV56+EV52+EV59+EV62</f>
        <v/>
      </c>
      <c r="EW69" s="94">
        <f>EW67+EW56+EW52+EW59+EW62</f>
        <v/>
      </c>
      <c r="EX69" s="94">
        <f>EX67+EX56+EX52+EX59+EX62</f>
        <v/>
      </c>
      <c r="EY69" s="94">
        <f>EY67+EY56+EY52+EY59+EY62</f>
        <v/>
      </c>
      <c r="EZ69" s="94">
        <f>EZ67+EZ56+EZ52+EZ59+EZ62</f>
        <v/>
      </c>
      <c r="FA69" s="94">
        <f>FA67+FA56+FA52+FA59+FA62</f>
        <v/>
      </c>
      <c r="FB69" s="94">
        <f>FB67+FB56+FB52+FB59+FB62</f>
        <v/>
      </c>
      <c r="FC69" s="94">
        <f>FC67+FC56+FC52+FC59+FC62</f>
        <v/>
      </c>
      <c r="FD69" s="94">
        <f>FD67+FD56+FD52+FD59+FD62</f>
        <v/>
      </c>
      <c r="FE69" s="94">
        <f>FE67+FE56+FE52+FE59+FE62</f>
        <v/>
      </c>
      <c r="FF69" s="94">
        <f>FF67+FF56+FF52+FF59+FF62</f>
        <v/>
      </c>
      <c r="FG69" s="94">
        <f>FG67+FG56+FG52+FG59+FG62</f>
        <v/>
      </c>
      <c r="FH69" s="94">
        <f>FH67+FH56+FH52+FH59+FH62</f>
        <v/>
      </c>
      <c r="FI69" s="94">
        <f>FI67+FI56+FI52+FI59+FI62</f>
        <v/>
      </c>
      <c r="FJ69" s="94">
        <f>FJ67+FJ56+FJ52+FJ59+FJ62</f>
        <v/>
      </c>
      <c r="FK69" s="94">
        <f>FK67+FK56+FK52+FK59+FK62</f>
        <v/>
      </c>
      <c r="FL69" s="94">
        <f>FL67+FL56+FL52+FL59+FL62</f>
        <v/>
      </c>
      <c r="FM69" s="94">
        <f>FM67+FM56+FM52+FM59+FM62</f>
        <v/>
      </c>
      <c r="FN69" s="94">
        <f>FN67+FN56+FN52+FN59+FN62</f>
        <v/>
      </c>
      <c r="FO69" s="94">
        <f>FO67+FO56+FO52+FO59+FO62</f>
        <v/>
      </c>
      <c r="FP69" s="94">
        <f>FP67+FP56+FP52+FP59+FP62</f>
        <v/>
      </c>
      <c r="FQ69" s="94">
        <f>FQ67+FQ56+FQ52+FQ59+FQ62</f>
        <v/>
      </c>
      <c r="FR69" s="94">
        <f>FR67+FR56+FR52+FR59+FR62</f>
        <v/>
      </c>
      <c r="FS69" s="94">
        <f>FS67+FS56+FS52+FS59+FS62</f>
        <v/>
      </c>
      <c r="FT69" s="94">
        <f>FT67+FT56+FT52+FT59+FT62</f>
        <v/>
      </c>
      <c r="FU69" s="94">
        <f>FU67+FU56+FU52+FU59+FU62</f>
        <v/>
      </c>
      <c r="FV69" s="94">
        <f>FV67+FV56+FV52+FV59+FV62</f>
        <v/>
      </c>
      <c r="FW69" s="94">
        <f>FW67+FW56+FW52+FW59+FW62</f>
        <v/>
      </c>
      <c r="FX69" s="94">
        <f>FX67+FX56+FX52+FX59+FX62</f>
        <v/>
      </c>
      <c r="FY69" s="94">
        <f>FY67+FY56+FY52+FY59+FY62</f>
        <v/>
      </c>
      <c r="FZ69" s="94">
        <f>FZ67+FZ56+FZ52+FZ59+FZ62</f>
        <v/>
      </c>
      <c r="GA69" s="94">
        <f>GA67+GA56+GA52+GA59+GA62</f>
        <v/>
      </c>
      <c r="GB69" s="94">
        <f>GB67+GB56+GB52+GB59+GB62</f>
        <v/>
      </c>
      <c r="GC69" s="94">
        <f>GC67+GC56+GC52+GC59+GC62</f>
        <v/>
      </c>
      <c r="GD69" s="94">
        <f>GD67+GD56+GD52+GD59+GD62</f>
        <v/>
      </c>
      <c r="GE69" s="94">
        <f>GE67+GE56+GE52+GE59+GE62</f>
        <v/>
      </c>
      <c r="GF69" s="94">
        <f>GF67+GF56+GF52+GF59+GF62</f>
        <v/>
      </c>
      <c r="GG69" s="94">
        <f>GG67+GG56+GG52+GG59+GG62</f>
        <v/>
      </c>
      <c r="GH69" s="94">
        <f>GH67+GH56+GH52+GH59+GH62</f>
        <v/>
      </c>
      <c r="GI69" s="94">
        <f>GI67+GI56+GI52+GI59+GI62</f>
        <v/>
      </c>
      <c r="GJ69" s="94">
        <f>GJ67+GJ56+GJ52+GJ59+GJ62</f>
        <v/>
      </c>
      <c r="GK69" s="94">
        <f>GK67+GK56+GK52+GK59+GK62</f>
        <v/>
      </c>
      <c r="GL69" s="94">
        <f>GL67+GL56+GL52+GL59+GL62</f>
        <v/>
      </c>
      <c r="GM69" s="94">
        <f>GM67+GM56+GM52+GM59+GM62</f>
        <v/>
      </c>
      <c r="GN69" s="94">
        <f>GN67+GN56+GN52+GN59+GN62</f>
        <v/>
      </c>
      <c r="GO69" s="94">
        <f>GO67+GO56+GO52+GO59+GO62</f>
        <v/>
      </c>
      <c r="GP69" s="94">
        <f>GP67+GP56+GP52+GP59+GP62</f>
        <v/>
      </c>
      <c r="GQ69" s="94">
        <f>GQ67+GQ56+GQ52+GQ59+GQ62</f>
        <v/>
      </c>
      <c r="GR69" s="94">
        <f>GR67+GR56+GR52+GR59+GR62</f>
        <v/>
      </c>
      <c r="GS69" s="94">
        <f>GS67+GS56+GS52+GS59+GS62</f>
        <v/>
      </c>
      <c r="GT69" s="94">
        <f>GT67+GT56+GT52+GT59+GT62</f>
        <v/>
      </c>
      <c r="GU69" s="94">
        <f>GU67+GU56+GU52+GU59+GU62</f>
        <v/>
      </c>
      <c r="GV69" s="94">
        <f>GV67+GV56+GV52+GV59+GV62</f>
        <v/>
      </c>
      <c r="GW69" s="94">
        <f>GW67+GW56+GW52+GW59+GW62</f>
        <v/>
      </c>
      <c r="GX69" s="94">
        <f>GX67+GX56+GX52+GX59+GX62</f>
        <v/>
      </c>
      <c r="GY69" s="94">
        <f>GY67+GY56+GY52+GY59+GY62</f>
        <v/>
      </c>
      <c r="GZ69" s="94">
        <f>GZ67+GZ56+GZ52+GZ59+GZ62</f>
        <v/>
      </c>
      <c r="HA69" s="94">
        <f>HA67+HA56+HA52+HA59+HA62</f>
        <v/>
      </c>
      <c r="HB69" s="94">
        <f>HB67+HB56+HB52+HB59+HB62</f>
        <v/>
      </c>
      <c r="HC69" s="94">
        <f>HC67+HC56+HC52+HC59+HC62</f>
        <v/>
      </c>
      <c r="HD69" s="94">
        <f>HD67+HD56+HD52+HD59+HD62</f>
        <v/>
      </c>
      <c r="HE69" s="94">
        <f>HE67+HE56+HE52+HE59+HE62</f>
        <v/>
      </c>
      <c r="HF69" s="94">
        <f>HF67+HF56+HF52+HF59+HF62</f>
        <v/>
      </c>
      <c r="HG69" s="94">
        <f>HG67+HG56+HG52+HG59+HG62</f>
        <v/>
      </c>
      <c r="HH69" s="94">
        <f>HH67+HH56+HH52+HH59+HH62</f>
        <v/>
      </c>
      <c r="HI69" s="94">
        <f>HI67+HI56+HI52+HI59+HI62</f>
        <v/>
      </c>
      <c r="HJ69" s="94">
        <f>HJ67+HJ56+HJ52+HJ59+HJ62</f>
        <v/>
      </c>
      <c r="HK69" s="94">
        <f>HK67+HK56+HK52+HK59+HK62</f>
        <v/>
      </c>
      <c r="HL69" s="94">
        <f>HL67+HL56+HL52+HL59+HL62</f>
        <v/>
      </c>
      <c r="HM69" s="94">
        <f>HM67+HM56+HM52+HM59+HM62</f>
        <v/>
      </c>
      <c r="HN69" s="94">
        <f>HN67+HN56+HN52+HN59+HN62</f>
        <v/>
      </c>
      <c r="HO69" s="94">
        <f>HO67+HO56+HO52+HO59+HO62</f>
        <v/>
      </c>
      <c r="HP69" s="94">
        <f>HP67+HP56+HP52+HP59+HP62</f>
        <v/>
      </c>
      <c r="HQ69" s="94">
        <f>HQ67+HQ56+HQ52+HQ59+HQ62</f>
        <v/>
      </c>
      <c r="HR69" s="94">
        <f>HR67+HR56+HR52+HR59+HR62</f>
        <v/>
      </c>
      <c r="HS69" s="94">
        <f>HS67+HS56+HS52+HS59+HS62</f>
        <v/>
      </c>
      <c r="HT69" s="94">
        <f>HT67+HT56+HT52+HT59+HT62</f>
        <v/>
      </c>
      <c r="HU69" s="94">
        <f>HU67+HU56+HU52+HU59+HU62</f>
        <v/>
      </c>
      <c r="JF69" s="94">
        <f>AP69</f>
        <v/>
      </c>
      <c r="JG69" s="94">
        <f>SUM(Z69:AK69)</f>
        <v/>
      </c>
      <c r="JH69" s="94">
        <f>SUM(AL69:AP69)</f>
        <v/>
      </c>
      <c r="JI69" s="94">
        <f>SUM(C69:AP69)</f>
        <v/>
      </c>
      <c r="JJ69" s="446" t="n"/>
      <c r="JM69" s="91" t="n">
        <v>-4437714.265510871</v>
      </c>
      <c r="KG69" s="136">
        <f>B69</f>
        <v/>
      </c>
      <c r="KH69" s="86">
        <f>AR69</f>
        <v/>
      </c>
    </row>
    <row r="70" ht="16.2" customHeight="1" thickBot="1">
      <c r="A70" s="102" t="inlineStr">
        <is>
          <t>TOTAL ACUMULADO</t>
        </is>
      </c>
      <c r="B70" s="147" t="n"/>
      <c r="C70" s="35" t="n">
        <v>0</v>
      </c>
      <c r="D70" s="37">
        <f>C70+D69</f>
        <v/>
      </c>
      <c r="E70" s="35">
        <f>D70+E69</f>
        <v/>
      </c>
      <c r="F70" s="35">
        <f>E70+F69</f>
        <v/>
      </c>
      <c r="G70" s="35">
        <f>F70+G69</f>
        <v/>
      </c>
      <c r="H70" s="35">
        <f>G70+H69</f>
        <v/>
      </c>
      <c r="I70" s="36">
        <f>H70+I69</f>
        <v/>
      </c>
      <c r="J70" s="190">
        <f>I70+J69</f>
        <v/>
      </c>
      <c r="K70" s="36">
        <f>J70+K69</f>
        <v/>
      </c>
      <c r="L70" s="111">
        <f>K70+L69</f>
        <v/>
      </c>
      <c r="M70" s="226">
        <f>L70+M69</f>
        <v/>
      </c>
      <c r="N70" s="226">
        <f>M70+N69</f>
        <v/>
      </c>
      <c r="O70" s="226">
        <f>N70+O69</f>
        <v/>
      </c>
      <c r="P70" s="226">
        <f>O70+P69</f>
        <v/>
      </c>
      <c r="Q70" s="226">
        <f>P70+Q69</f>
        <v/>
      </c>
      <c r="R70" s="226">
        <f>Q70+R69</f>
        <v/>
      </c>
      <c r="S70" s="226">
        <f>R70+S69</f>
        <v/>
      </c>
      <c r="T70" s="226">
        <f>S70+T69</f>
        <v/>
      </c>
      <c r="U70" s="226">
        <f>T70+U69</f>
        <v/>
      </c>
      <c r="V70" s="226">
        <f>U70+V69</f>
        <v/>
      </c>
      <c r="W70" s="226">
        <f>V70+W69</f>
        <v/>
      </c>
      <c r="X70" s="226">
        <f>W70+X69</f>
        <v/>
      </c>
      <c r="Y70" s="226">
        <f>X70+Y69</f>
        <v/>
      </c>
      <c r="Z70" s="226">
        <f>Y70+Z69</f>
        <v/>
      </c>
      <c r="AA70" s="226">
        <f>Z70+AA69</f>
        <v/>
      </c>
      <c r="AB70" s="226">
        <f>AA70+AB69</f>
        <v/>
      </c>
      <c r="AC70" s="226">
        <f>AB70+AC69</f>
        <v/>
      </c>
      <c r="AD70" s="226">
        <f>AC70+AD69</f>
        <v/>
      </c>
      <c r="AE70" s="226">
        <f>AD70+AE69</f>
        <v/>
      </c>
      <c r="AF70" s="226">
        <f>AE70+AF69</f>
        <v/>
      </c>
      <c r="AG70" s="226">
        <f>AF70+AG69</f>
        <v/>
      </c>
      <c r="AH70" s="226">
        <f>AG70+AH69</f>
        <v/>
      </c>
      <c r="AI70" s="226">
        <f>AH70+AI69</f>
        <v/>
      </c>
      <c r="AJ70" s="226">
        <f>AI70+AJ69</f>
        <v/>
      </c>
      <c r="AK70" s="226">
        <f>AJ70+AK69</f>
        <v/>
      </c>
      <c r="AL70" s="226">
        <f>AK70+AL69</f>
        <v/>
      </c>
      <c r="AM70" s="226">
        <f>AL70+AM69</f>
        <v/>
      </c>
      <c r="AN70" s="226">
        <f>AM70+AN69</f>
        <v/>
      </c>
      <c r="AO70" s="226">
        <f>AN70+AO69</f>
        <v/>
      </c>
      <c r="AP70" s="226">
        <f>AO70+AP69</f>
        <v/>
      </c>
      <c r="AQ70" s="201" t="n"/>
      <c r="AR70" s="247" t="n">
        <v>0</v>
      </c>
      <c r="AS70" s="201" t="n"/>
      <c r="AT70" s="35">
        <f>AP70+AT69</f>
        <v/>
      </c>
      <c r="AU70" s="35">
        <f>AT70+AU69</f>
        <v/>
      </c>
      <c r="AV70" s="35">
        <f>AU70+AV69</f>
        <v/>
      </c>
      <c r="AW70" s="35">
        <f>AV70+AW69</f>
        <v/>
      </c>
      <c r="AX70" s="35">
        <f>AW70+AX69</f>
        <v/>
      </c>
      <c r="AY70" s="35">
        <f>AX70+AY69</f>
        <v/>
      </c>
      <c r="AZ70" s="35">
        <f>AY70+AZ69</f>
        <v/>
      </c>
      <c r="BA70" s="35">
        <f>AZ70+BA69</f>
        <v/>
      </c>
      <c r="BB70" s="35">
        <f>BA70+BB69</f>
        <v/>
      </c>
      <c r="BC70" s="35">
        <f>BB70+BC69</f>
        <v/>
      </c>
      <c r="BD70" s="310">
        <f>BC70+BD69</f>
        <v/>
      </c>
      <c r="BE70" s="37">
        <f>BD70+BE69</f>
        <v/>
      </c>
      <c r="BF70" s="35">
        <f>BE70+BF69</f>
        <v/>
      </c>
      <c r="BG70" s="35">
        <f>BF70+BG69</f>
        <v/>
      </c>
      <c r="BH70" s="35">
        <f>BG70+BH69</f>
        <v/>
      </c>
      <c r="BI70" s="35">
        <f>BH70+BI69</f>
        <v/>
      </c>
      <c r="BJ70" s="35">
        <f>BI70+BJ69</f>
        <v/>
      </c>
      <c r="BK70" s="35">
        <f>BJ70+BK69</f>
        <v/>
      </c>
      <c r="BL70" s="35">
        <f>BK70+BL69</f>
        <v/>
      </c>
      <c r="BM70" s="35">
        <f>BL70+BM69</f>
        <v/>
      </c>
      <c r="BN70" s="35">
        <f>BM70+BN69</f>
        <v/>
      </c>
      <c r="BO70" s="35">
        <f>BN70+BO69</f>
        <v/>
      </c>
      <c r="BP70" s="310">
        <f>BO70+BP69</f>
        <v/>
      </c>
      <c r="BQ70" s="37">
        <f>BP70+BQ69</f>
        <v/>
      </c>
      <c r="BR70" s="35">
        <f>BQ70+BR69</f>
        <v/>
      </c>
      <c r="BS70" s="35">
        <f>BR70+BS69</f>
        <v/>
      </c>
      <c r="BT70" s="35">
        <f>BS70+BT69</f>
        <v/>
      </c>
      <c r="BU70" s="35">
        <f>BT70+BU69</f>
        <v/>
      </c>
      <c r="BV70" s="35">
        <f>BU70+BV69</f>
        <v/>
      </c>
      <c r="BW70" s="35">
        <f>BV70+BW69</f>
        <v/>
      </c>
      <c r="BX70" s="35">
        <f>BW70+BX69</f>
        <v/>
      </c>
      <c r="BY70" s="35">
        <f>BX70+BY69</f>
        <v/>
      </c>
      <c r="BZ70" s="35">
        <f>BY70+BZ69</f>
        <v/>
      </c>
      <c r="CA70" s="35">
        <f>BZ70+CA69</f>
        <v/>
      </c>
      <c r="CB70" s="310">
        <f>CA70+CB69</f>
        <v/>
      </c>
      <c r="CC70" s="37">
        <f>CB70+CC69</f>
        <v/>
      </c>
      <c r="CD70" s="35">
        <f>CC70+CD69</f>
        <v/>
      </c>
      <c r="CE70" s="35">
        <f>CD70+CE69</f>
        <v/>
      </c>
      <c r="CF70" s="35">
        <f>CE70+CF69</f>
        <v/>
      </c>
      <c r="CG70" s="35">
        <f>CF70+CG69</f>
        <v/>
      </c>
      <c r="CH70" s="35">
        <f>CG70+CH69</f>
        <v/>
      </c>
      <c r="CI70" s="35">
        <f>CH70+CI69</f>
        <v/>
      </c>
      <c r="CJ70" s="35">
        <f>CI70+CJ69</f>
        <v/>
      </c>
      <c r="CK70" s="35">
        <f>CJ70+CK69</f>
        <v/>
      </c>
      <c r="CL70" s="35">
        <f>CK70+CL69</f>
        <v/>
      </c>
      <c r="CM70" s="35">
        <f>CL70+CM69</f>
        <v/>
      </c>
      <c r="CN70" s="310">
        <f>CM70+CN69</f>
        <v/>
      </c>
      <c r="CO70" s="37">
        <f>CN70+CO69</f>
        <v/>
      </c>
      <c r="CP70" s="35">
        <f>CO70+CP69</f>
        <v/>
      </c>
      <c r="CQ70" s="35">
        <f>CP70+CQ69</f>
        <v/>
      </c>
      <c r="CR70" s="35">
        <f>CQ70+CR69</f>
        <v/>
      </c>
      <c r="CS70" s="35">
        <f>CR70+CS69</f>
        <v/>
      </c>
      <c r="CT70" s="35">
        <f>CS70+CT69</f>
        <v/>
      </c>
      <c r="CU70" s="35">
        <f>CT70+CU69</f>
        <v/>
      </c>
      <c r="CV70" s="35">
        <f>CU70+CV69</f>
        <v/>
      </c>
      <c r="CW70" s="35">
        <f>CV70+CW69</f>
        <v/>
      </c>
      <c r="CX70" s="35">
        <f>CW70+CX69</f>
        <v/>
      </c>
      <c r="CY70" s="35">
        <f>CX70+CY69</f>
        <v/>
      </c>
      <c r="CZ70" s="310">
        <f>CY70+CZ69</f>
        <v/>
      </c>
      <c r="DA70" s="37">
        <f>CZ70+DA69</f>
        <v/>
      </c>
      <c r="DB70" s="35">
        <f>DA70+DB69</f>
        <v/>
      </c>
      <c r="DC70" s="35">
        <f>DB70+DC69</f>
        <v/>
      </c>
      <c r="DD70" s="35">
        <f>DC70+DD69</f>
        <v/>
      </c>
      <c r="DE70" s="35">
        <f>DD70+DE69</f>
        <v/>
      </c>
      <c r="DF70" s="35">
        <f>DE70+DF69</f>
        <v/>
      </c>
      <c r="DG70" s="35">
        <f>DF70+DG69</f>
        <v/>
      </c>
      <c r="DH70" s="35">
        <f>DG70+DH69</f>
        <v/>
      </c>
      <c r="DI70" s="35">
        <f>DH70+DI69</f>
        <v/>
      </c>
      <c r="DJ70" s="36">
        <f>DI70+DJ69</f>
        <v/>
      </c>
      <c r="DK70" s="35">
        <f>DJ70+DK69</f>
        <v/>
      </c>
      <c r="DL70" s="36">
        <f>DK70+DL69</f>
        <v/>
      </c>
      <c r="DM70" s="35">
        <f>DL70+DM69</f>
        <v/>
      </c>
      <c r="DN70" s="36">
        <f>DM70+DN69</f>
        <v/>
      </c>
      <c r="DO70" s="36">
        <f>DN70+DO69</f>
        <v/>
      </c>
      <c r="DP70" s="36">
        <f>DO70+DP69</f>
        <v/>
      </c>
      <c r="DQ70" s="36">
        <f>DP70+DQ69</f>
        <v/>
      </c>
      <c r="DR70" s="36">
        <f>DQ70+DR69</f>
        <v/>
      </c>
      <c r="DS70" s="36">
        <f>DR70+DS69</f>
        <v/>
      </c>
      <c r="DT70" s="36">
        <f>DS70+DT69</f>
        <v/>
      </c>
      <c r="DU70" s="36">
        <f>DT70+DU69</f>
        <v/>
      </c>
      <c r="DV70" s="36">
        <f>DU70+DV69</f>
        <v/>
      </c>
      <c r="DW70" s="36">
        <f>DV70+DW69</f>
        <v/>
      </c>
      <c r="DX70" s="36">
        <f>DW70+DX69</f>
        <v/>
      </c>
      <c r="DY70" s="36">
        <f>DX70+DY69</f>
        <v/>
      </c>
      <c r="DZ70" s="36">
        <f>DY70+DZ69</f>
        <v/>
      </c>
      <c r="EA70" s="36">
        <f>DZ70+EA69</f>
        <v/>
      </c>
      <c r="EB70" s="36">
        <f>EA70+EB69</f>
        <v/>
      </c>
      <c r="EC70" s="36">
        <f>EB70+EC69</f>
        <v/>
      </c>
      <c r="ED70" s="36">
        <f>EC70+ED69</f>
        <v/>
      </c>
      <c r="EE70" s="36">
        <f>ED70+EE69</f>
        <v/>
      </c>
      <c r="EF70" s="36">
        <f>EE70+EF69</f>
        <v/>
      </c>
      <c r="EG70" s="36">
        <f>EF70+EG69</f>
        <v/>
      </c>
      <c r="EH70" s="36">
        <f>EG70+EH69</f>
        <v/>
      </c>
      <c r="EI70" s="36">
        <f>EH70+EI69</f>
        <v/>
      </c>
      <c r="EJ70" s="36">
        <f>EI70+EJ69</f>
        <v/>
      </c>
      <c r="EK70" s="36">
        <f>EJ70+EK69</f>
        <v/>
      </c>
      <c r="EL70" s="36">
        <f>EK70+EL69</f>
        <v/>
      </c>
      <c r="EM70" s="36">
        <f>EL70+EM69</f>
        <v/>
      </c>
      <c r="EN70" s="36">
        <f>EM70+EN69</f>
        <v/>
      </c>
      <c r="EO70" s="36">
        <f>EN70+EO69</f>
        <v/>
      </c>
      <c r="EP70" s="36">
        <f>EO70+EP69</f>
        <v/>
      </c>
      <c r="EQ70" s="36">
        <f>EP70+EQ69</f>
        <v/>
      </c>
      <c r="ER70" s="36">
        <f>EQ70+ER69</f>
        <v/>
      </c>
      <c r="ES70" s="36">
        <f>ER70+ES69</f>
        <v/>
      </c>
      <c r="ET70" s="36">
        <f>ES70+ET69</f>
        <v/>
      </c>
      <c r="EU70" s="36">
        <f>ET70+EU69</f>
        <v/>
      </c>
      <c r="EV70" s="36">
        <f>EU70+EV69</f>
        <v/>
      </c>
      <c r="EW70" s="36">
        <f>EV70+EW69</f>
        <v/>
      </c>
      <c r="EX70" s="36">
        <f>EW70+EX69</f>
        <v/>
      </c>
      <c r="EY70" s="36">
        <f>EX70+EY69</f>
        <v/>
      </c>
      <c r="EZ70" s="36">
        <f>EY70+EZ69</f>
        <v/>
      </c>
      <c r="FA70" s="36">
        <f>EZ70+FA69</f>
        <v/>
      </c>
      <c r="FB70" s="36">
        <f>FA70+FB69</f>
        <v/>
      </c>
      <c r="FC70" s="36">
        <f>FB70+FC69</f>
        <v/>
      </c>
      <c r="FD70" s="36">
        <f>FC70+FD69</f>
        <v/>
      </c>
      <c r="FE70" s="36">
        <f>FD70+FE69</f>
        <v/>
      </c>
      <c r="FF70" s="36">
        <f>FE70+FF69</f>
        <v/>
      </c>
      <c r="FG70" s="36">
        <f>FF70+FG69</f>
        <v/>
      </c>
      <c r="FH70" s="36">
        <f>FG70+FH69</f>
        <v/>
      </c>
      <c r="FI70" s="36">
        <f>FH70+FI69</f>
        <v/>
      </c>
      <c r="FJ70" s="36">
        <f>FI70+FJ69</f>
        <v/>
      </c>
      <c r="FK70" s="36">
        <f>FJ70+FK69</f>
        <v/>
      </c>
      <c r="FL70" s="36">
        <f>FK70+FL69</f>
        <v/>
      </c>
      <c r="FM70" s="36">
        <f>FL70+FM69</f>
        <v/>
      </c>
      <c r="FN70" s="36">
        <f>FM70+FN69</f>
        <v/>
      </c>
      <c r="FO70" s="36">
        <f>FN70+FO69</f>
        <v/>
      </c>
      <c r="FP70" s="36">
        <f>FO70+FP69</f>
        <v/>
      </c>
      <c r="FQ70" s="36">
        <f>FP70+FQ69</f>
        <v/>
      </c>
      <c r="FR70" s="36">
        <f>FQ70+FR69</f>
        <v/>
      </c>
      <c r="FS70" s="36">
        <f>FR70+FS69</f>
        <v/>
      </c>
      <c r="FT70" s="36">
        <f>FS70+FT69</f>
        <v/>
      </c>
      <c r="FU70" s="36">
        <f>FT70+FU69</f>
        <v/>
      </c>
      <c r="FV70" s="36">
        <f>FU70+FV69</f>
        <v/>
      </c>
      <c r="FW70" s="36">
        <f>FV70+FW69</f>
        <v/>
      </c>
      <c r="FX70" s="36">
        <f>FW70+FX69</f>
        <v/>
      </c>
      <c r="FY70" s="36">
        <f>FX70+FY69</f>
        <v/>
      </c>
      <c r="FZ70" s="36">
        <f>FY70+FZ69</f>
        <v/>
      </c>
      <c r="GA70" s="36">
        <f>FZ70+GA69</f>
        <v/>
      </c>
      <c r="GB70" s="36">
        <f>GA70+GB69</f>
        <v/>
      </c>
      <c r="GC70" s="36">
        <f>GB70+GC69</f>
        <v/>
      </c>
      <c r="GD70" s="36">
        <f>GC70+GD69</f>
        <v/>
      </c>
      <c r="GE70" s="36">
        <f>GD70+GE69</f>
        <v/>
      </c>
      <c r="GF70" s="36">
        <f>GE70+GF69</f>
        <v/>
      </c>
      <c r="GG70" s="36">
        <f>GF70+GG69</f>
        <v/>
      </c>
      <c r="GH70" s="36">
        <f>GG70+GH69</f>
        <v/>
      </c>
      <c r="GI70" s="36">
        <f>GH70+GI69</f>
        <v/>
      </c>
      <c r="GJ70" s="36">
        <f>GI70+GJ69</f>
        <v/>
      </c>
      <c r="GK70" s="36">
        <f>GJ70+GK69</f>
        <v/>
      </c>
      <c r="GL70" s="36">
        <f>GK70+GL69</f>
        <v/>
      </c>
      <c r="GM70" s="36">
        <f>GL70+GM69</f>
        <v/>
      </c>
      <c r="GN70" s="36">
        <f>GM70+GN69</f>
        <v/>
      </c>
      <c r="GO70" s="36">
        <f>GN70+GO69</f>
        <v/>
      </c>
      <c r="GP70" s="36">
        <f>GO70+GP69</f>
        <v/>
      </c>
      <c r="GQ70" s="36">
        <f>GP70+GQ69</f>
        <v/>
      </c>
      <c r="GR70" s="36">
        <f>GQ70+GR69</f>
        <v/>
      </c>
      <c r="GS70" s="36">
        <f>GR70+GS69</f>
        <v/>
      </c>
      <c r="GT70" s="36">
        <f>GS70+GT69</f>
        <v/>
      </c>
      <c r="GU70" s="36">
        <f>GT70+GU69</f>
        <v/>
      </c>
      <c r="GV70" s="36">
        <f>GU70+GV69</f>
        <v/>
      </c>
      <c r="GW70" s="36">
        <f>GV70+GW69</f>
        <v/>
      </c>
      <c r="GX70" s="36">
        <f>GW70+GX69</f>
        <v/>
      </c>
      <c r="GY70" s="36">
        <f>GX70+GY69</f>
        <v/>
      </c>
      <c r="GZ70" s="36">
        <f>GY70+GZ69</f>
        <v/>
      </c>
      <c r="HA70" s="36">
        <f>GZ70+HA69</f>
        <v/>
      </c>
      <c r="HB70" s="36">
        <f>HA70+HB69</f>
        <v/>
      </c>
      <c r="HC70" s="36">
        <f>HB70+HC69</f>
        <v/>
      </c>
      <c r="HD70" s="36">
        <f>HC70+HD69</f>
        <v/>
      </c>
      <c r="HE70" s="36">
        <f>HD70+HE69</f>
        <v/>
      </c>
      <c r="HF70" s="36">
        <f>HE70+HF69</f>
        <v/>
      </c>
      <c r="HG70" s="36">
        <f>HF70+HG69</f>
        <v/>
      </c>
      <c r="HH70" s="36">
        <f>HG70+HH69</f>
        <v/>
      </c>
      <c r="HI70" s="36">
        <f>HH70+HI69</f>
        <v/>
      </c>
      <c r="HJ70" s="36">
        <f>HI70+HJ69</f>
        <v/>
      </c>
      <c r="HK70" s="36">
        <f>HJ70+HK69</f>
        <v/>
      </c>
      <c r="HL70" s="36">
        <f>HK70+HL69</f>
        <v/>
      </c>
      <c r="HM70" s="36">
        <f>HL70+HM69</f>
        <v/>
      </c>
      <c r="HN70" s="36">
        <f>HM70+HN69</f>
        <v/>
      </c>
      <c r="HO70" s="36">
        <f>HN70+HO69</f>
        <v/>
      </c>
      <c r="HP70" s="36">
        <f>HO70+HP69</f>
        <v/>
      </c>
      <c r="HQ70" s="36">
        <f>HP70+HQ69</f>
        <v/>
      </c>
      <c r="HR70" s="36">
        <f>HQ70+HR69</f>
        <v/>
      </c>
      <c r="HS70" s="36">
        <f>HR70+HS69</f>
        <v/>
      </c>
      <c r="HT70" s="36">
        <f>HS70+HT69</f>
        <v/>
      </c>
      <c r="HU70" s="36">
        <f>HT70+HU69</f>
        <v/>
      </c>
      <c r="JF70" s="35">
        <f>AP70</f>
        <v/>
      </c>
      <c r="JG70" s="35">
        <f>SUM(Z70:AK70)</f>
        <v/>
      </c>
      <c r="JH70" s="35">
        <f>SUM(AL70:AP70)</f>
        <v/>
      </c>
      <c r="JI70" s="35">
        <f>SUM(C70:AP70)</f>
        <v/>
      </c>
      <c r="JJ70" s="446" t="n"/>
      <c r="JM70" s="35" t="n">
        <v>-45150578.75551087</v>
      </c>
      <c r="KG70" s="147">
        <f>B70</f>
        <v/>
      </c>
      <c r="KH70" s="247">
        <f>AR70</f>
        <v/>
      </c>
    </row>
    <row r="71" ht="6.6" customHeight="1" thickTop="1">
      <c r="A71" s="1" t="n"/>
      <c r="B71" s="128" t="n"/>
      <c r="C71" s="512" t="n"/>
      <c r="D71" s="512" t="n"/>
      <c r="E71" s="512" t="n"/>
      <c r="F71" s="512" t="n"/>
      <c r="G71" s="512" t="n"/>
      <c r="H71" s="512" t="n"/>
      <c r="I71" s="512" t="n"/>
      <c r="J71" s="513" t="n"/>
      <c r="K71" s="512" t="n"/>
      <c r="L71" s="512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514" t="n"/>
      <c r="AA71" s="514" t="n"/>
      <c r="AB71" s="514" t="n"/>
      <c r="AC71" s="514" t="n"/>
      <c r="AD71" s="514" t="n"/>
      <c r="AE71" s="514" t="n"/>
      <c r="AF71" s="514" t="n"/>
      <c r="AG71" s="514" t="n"/>
      <c r="AH71" s="514" t="n"/>
      <c r="AI71" s="514" t="n"/>
      <c r="AJ71" s="514" t="n"/>
      <c r="AK71" s="514" t="n"/>
      <c r="AL71" s="514" t="n"/>
      <c r="AM71" s="514" t="n"/>
      <c r="AN71" s="514" t="n"/>
      <c r="AO71" s="514" t="n"/>
      <c r="AP71" s="514" t="n"/>
      <c r="AQ71" s="512" t="n"/>
      <c r="AR71" s="533" t="n"/>
      <c r="AS71" s="512" t="n"/>
      <c r="AT71" s="512" t="n"/>
      <c r="AU71" s="512" t="n"/>
      <c r="AV71" s="512" t="n"/>
      <c r="AW71" s="512" t="n"/>
      <c r="AX71" s="512" t="n"/>
      <c r="AY71" s="512" t="n"/>
      <c r="AZ71" s="512" t="n"/>
      <c r="BA71" s="512" t="n"/>
      <c r="BB71" s="512" t="n"/>
      <c r="BC71" s="512" t="n"/>
      <c r="BD71" s="515" t="n"/>
      <c r="BE71" s="512" t="n"/>
      <c r="BF71" s="512" t="n"/>
      <c r="BG71" s="512" t="n"/>
      <c r="BH71" s="512" t="n"/>
      <c r="BI71" s="512" t="n"/>
      <c r="BJ71" s="512" t="n"/>
      <c r="BK71" s="512" t="n"/>
      <c r="BL71" s="512" t="n"/>
      <c r="BM71" s="512" t="n"/>
      <c r="BN71" s="512" t="n"/>
      <c r="BO71" s="512" t="n"/>
      <c r="BP71" s="515" t="n"/>
      <c r="BQ71" s="512" t="n"/>
      <c r="BR71" s="512" t="n"/>
      <c r="BS71" s="512" t="n"/>
      <c r="BT71" s="512" t="n"/>
      <c r="BU71" s="512" t="n"/>
      <c r="BV71" s="512" t="n"/>
      <c r="BW71" s="512" t="n"/>
      <c r="BX71" s="512" t="n"/>
      <c r="BY71" s="512" t="n"/>
      <c r="BZ71" s="512" t="n"/>
      <c r="CA71" s="512" t="n"/>
      <c r="CB71" s="515" t="n"/>
      <c r="CC71" s="512" t="n"/>
      <c r="CD71" s="512" t="n"/>
      <c r="CE71" s="512" t="n"/>
      <c r="CF71" s="512" t="n"/>
      <c r="CG71" s="512" t="n"/>
      <c r="CH71" s="512" t="n"/>
      <c r="CI71" s="512" t="n"/>
      <c r="CJ71" s="512" t="n"/>
      <c r="CK71" s="512" t="n"/>
      <c r="CL71" s="512" t="n"/>
      <c r="CM71" s="512" t="n"/>
      <c r="CN71" s="515" t="n"/>
      <c r="CO71" s="512" t="n"/>
      <c r="CP71" s="512" t="n"/>
      <c r="CQ71" s="512" t="n"/>
      <c r="CR71" s="512" t="n"/>
      <c r="CS71" s="512" t="n"/>
      <c r="CT71" s="512" t="n"/>
      <c r="CU71" s="512" t="n"/>
      <c r="CV71" s="512" t="n"/>
      <c r="CW71" s="512" t="n"/>
      <c r="CX71" s="512" t="n"/>
      <c r="CY71" s="512" t="n"/>
      <c r="CZ71" s="515" t="n"/>
      <c r="DA71" s="512" t="n"/>
      <c r="DB71" s="512" t="n"/>
      <c r="DC71" s="512" t="n"/>
      <c r="DD71" s="512" t="n"/>
      <c r="DE71" s="512" t="n"/>
      <c r="DF71" s="512" t="n"/>
      <c r="DG71" s="512" t="n"/>
      <c r="DH71" s="512" t="n"/>
      <c r="DI71" s="512" t="n"/>
      <c r="DJ71" s="512" t="n"/>
      <c r="DK71" s="512" t="n"/>
      <c r="DL71" s="512" t="n"/>
      <c r="DM71" s="512" t="n"/>
      <c r="DN71" s="512" t="n"/>
      <c r="DO71" s="512" t="n"/>
      <c r="DP71" s="512" t="n"/>
      <c r="DQ71" s="512" t="n"/>
      <c r="DR71" s="512" t="n"/>
      <c r="DS71" s="512" t="n"/>
      <c r="DT71" s="512" t="n"/>
      <c r="DU71" s="512" t="n"/>
      <c r="DV71" s="512" t="n"/>
      <c r="DW71" s="512" t="n"/>
      <c r="DX71" s="512" t="n"/>
      <c r="DY71" s="512" t="n"/>
      <c r="DZ71" s="512" t="n"/>
      <c r="EA71" s="512" t="n"/>
      <c r="EB71" s="512" t="n"/>
      <c r="EC71" s="512" t="n"/>
      <c r="ED71" s="512" t="n"/>
      <c r="EE71" s="512" t="n"/>
      <c r="EF71" s="512" t="n"/>
      <c r="EG71" s="512" t="n"/>
      <c r="EH71" s="512" t="n"/>
      <c r="EI71" s="512" t="n"/>
      <c r="EJ71" s="512" t="n"/>
      <c r="EK71" s="512" t="n"/>
      <c r="EL71" s="512" t="n"/>
      <c r="EM71" s="512" t="n"/>
      <c r="EN71" s="512" t="n"/>
      <c r="EO71" s="512" t="n"/>
      <c r="EP71" s="512" t="n"/>
      <c r="EQ71" s="512" t="n"/>
      <c r="ER71" s="512" t="n"/>
      <c r="ES71" s="512" t="n"/>
      <c r="ET71" s="512" t="n"/>
      <c r="EU71" s="512" t="n"/>
      <c r="EV71" s="512" t="n"/>
      <c r="EW71" s="512" t="n"/>
      <c r="EX71" s="512" t="n"/>
      <c r="EY71" s="512" t="n"/>
      <c r="EZ71" s="512" t="n"/>
      <c r="FA71" s="512" t="n"/>
      <c r="FB71" s="512" t="n"/>
      <c r="FC71" s="512" t="n"/>
      <c r="FD71" s="512" t="n"/>
      <c r="FE71" s="512" t="n"/>
      <c r="FF71" s="512" t="n"/>
      <c r="FG71" s="512" t="n"/>
      <c r="FH71" s="512" t="n"/>
      <c r="FI71" s="512" t="n"/>
      <c r="FJ71" s="512" t="n"/>
      <c r="FK71" s="512" t="n"/>
      <c r="FL71" s="512" t="n"/>
      <c r="FM71" s="512" t="n"/>
      <c r="FN71" s="512" t="n"/>
      <c r="FO71" s="512" t="n"/>
      <c r="FP71" s="512" t="n"/>
      <c r="FQ71" s="512" t="n"/>
      <c r="FR71" s="512" t="n"/>
      <c r="FS71" s="512" t="n"/>
      <c r="FT71" s="512" t="n"/>
      <c r="FU71" s="512" t="n"/>
      <c r="FV71" s="512" t="n"/>
      <c r="FW71" s="512" t="n"/>
      <c r="FX71" s="512" t="n"/>
      <c r="FY71" s="512" t="n"/>
      <c r="FZ71" s="512" t="n"/>
      <c r="GA71" s="512" t="n"/>
      <c r="GB71" s="512" t="n"/>
      <c r="GC71" s="512" t="n"/>
      <c r="GD71" s="512" t="n"/>
      <c r="GE71" s="512" t="n"/>
      <c r="GF71" s="512" t="n"/>
      <c r="GG71" s="512" t="n"/>
      <c r="GH71" s="512" t="n"/>
      <c r="GI71" s="512" t="n"/>
      <c r="GJ71" s="512" t="n"/>
      <c r="GK71" s="512" t="n"/>
      <c r="GL71" s="512" t="n"/>
      <c r="GM71" s="512" t="n"/>
      <c r="GN71" s="512" t="n"/>
      <c r="GO71" s="512" t="n"/>
      <c r="GP71" s="512" t="n"/>
      <c r="GQ71" s="512" t="n"/>
      <c r="GR71" s="512" t="n"/>
      <c r="GS71" s="512" t="n"/>
      <c r="GT71" s="512" t="n"/>
      <c r="GU71" s="512" t="n"/>
      <c r="GV71" s="512" t="n"/>
      <c r="GW71" s="512" t="n"/>
      <c r="GX71" s="512" t="n"/>
      <c r="GY71" s="512" t="n"/>
      <c r="GZ71" s="512" t="n"/>
      <c r="HA71" s="512" t="n"/>
      <c r="HB71" s="512" t="n"/>
      <c r="HC71" s="512" t="n"/>
      <c r="HD71" s="512" t="n"/>
      <c r="HE71" s="512" t="n"/>
      <c r="HF71" s="512" t="n"/>
      <c r="HG71" s="512" t="n"/>
      <c r="HH71" s="512" t="n"/>
      <c r="HI71" s="512" t="n"/>
      <c r="HJ71" s="512" t="n"/>
      <c r="HK71" s="512" t="n"/>
      <c r="HL71" s="512" t="n"/>
      <c r="HM71" s="512" t="n"/>
      <c r="HN71" s="512" t="n"/>
      <c r="HO71" s="512" t="n"/>
      <c r="HP71" s="512" t="n"/>
      <c r="HQ71" s="512" t="n"/>
      <c r="HR71" s="512" t="n"/>
      <c r="HS71" s="512" t="n"/>
      <c r="HT71" s="512" t="n"/>
      <c r="HU71" s="512" t="n"/>
      <c r="JF71" s="512">
        <f>AP71</f>
        <v/>
      </c>
      <c r="JG71" s="512">
        <f>SUM(Z71:AK71)</f>
        <v/>
      </c>
      <c r="JH71" s="512">
        <f>SUM(AL71:AP71)</f>
        <v/>
      </c>
      <c r="JI71" s="512">
        <f>SUM(C71:AP71)</f>
        <v/>
      </c>
      <c r="JJ71" s="446" t="n"/>
      <c r="JM71" s="512" t="n"/>
      <c r="KG71" s="128">
        <f>B71</f>
        <v/>
      </c>
      <c r="KH71" s="533">
        <f>AR71</f>
        <v/>
      </c>
    </row>
    <row r="72" ht="16.2" customHeight="1" thickBot="1">
      <c r="A72" s="124" t="inlineStr">
        <is>
          <t>SALDO DE CAIXA (MENSAL)</t>
        </is>
      </c>
      <c r="B72" s="534">
        <f>SUM(C72:AP72)</f>
        <v/>
      </c>
      <c r="C72" s="534">
        <f>C20+C69</f>
        <v/>
      </c>
      <c r="D72" s="534">
        <f>D20+D69</f>
        <v/>
      </c>
      <c r="E72" s="534">
        <f>E20+E69</f>
        <v/>
      </c>
      <c r="F72" s="534">
        <f>F20+F69</f>
        <v/>
      </c>
      <c r="G72" s="534">
        <f>G20+G69</f>
        <v/>
      </c>
      <c r="H72" s="534">
        <f>H20+H69</f>
        <v/>
      </c>
      <c r="I72" s="534">
        <f>I20+I69</f>
        <v/>
      </c>
      <c r="J72" s="534">
        <f>J20+J69</f>
        <v/>
      </c>
      <c r="K72" s="534">
        <f>K20+K69</f>
        <v/>
      </c>
      <c r="L72" s="534">
        <f>L20+L69</f>
        <v/>
      </c>
      <c r="M72" s="535">
        <f>M20+M69</f>
        <v/>
      </c>
      <c r="N72" s="535">
        <f>N20+N69</f>
        <v/>
      </c>
      <c r="O72" s="535">
        <f>O20+O69</f>
        <v/>
      </c>
      <c r="P72" s="535">
        <f>P20+P69</f>
        <v/>
      </c>
      <c r="Q72" s="535">
        <f>Q20+Q69</f>
        <v/>
      </c>
      <c r="R72" s="535">
        <f>R20+R69</f>
        <v/>
      </c>
      <c r="S72" s="535">
        <f>S20+S69</f>
        <v/>
      </c>
      <c r="T72" s="535">
        <f>T20+T69</f>
        <v/>
      </c>
      <c r="U72" s="535">
        <f>U20+U69</f>
        <v/>
      </c>
      <c r="V72" s="535">
        <f>V20+V69</f>
        <v/>
      </c>
      <c r="W72" s="535">
        <f>W20+W69</f>
        <v/>
      </c>
      <c r="X72" s="535">
        <f>X20+X69</f>
        <v/>
      </c>
      <c r="Y72" s="535">
        <f>Y20+Y69</f>
        <v/>
      </c>
      <c r="Z72" s="535">
        <f>Z20+Z69</f>
        <v/>
      </c>
      <c r="AA72" s="535">
        <f>AA20+AA69</f>
        <v/>
      </c>
      <c r="AB72" s="535">
        <f>AB20+AB69</f>
        <v/>
      </c>
      <c r="AC72" s="535">
        <f>AC20+AC69</f>
        <v/>
      </c>
      <c r="AD72" s="535">
        <f>AD20+AD69</f>
        <v/>
      </c>
      <c r="AE72" s="535">
        <f>AE20+AE69</f>
        <v/>
      </c>
      <c r="AF72" s="535">
        <f>AF20+AF69</f>
        <v/>
      </c>
      <c r="AG72" s="535">
        <f>AG20+AG69</f>
        <v/>
      </c>
      <c r="AH72" s="535">
        <f>AH20+AH69</f>
        <v/>
      </c>
      <c r="AI72" s="535">
        <f>AI20+AI69</f>
        <v/>
      </c>
      <c r="AJ72" s="535">
        <f>AJ20+AJ69</f>
        <v/>
      </c>
      <c r="AK72" s="535">
        <f>AK20+AK69</f>
        <v/>
      </c>
      <c r="AL72" s="535">
        <f>AL20+AL69</f>
        <v/>
      </c>
      <c r="AM72" s="535">
        <f>AM20+AM69</f>
        <v/>
      </c>
      <c r="AN72" s="535">
        <f>AN20+AN69</f>
        <v/>
      </c>
      <c r="AO72" s="535">
        <f>AO20+AO69</f>
        <v/>
      </c>
      <c r="AP72" s="535">
        <f>AP20+AP69</f>
        <v/>
      </c>
      <c r="AQ72" s="13" t="n"/>
      <c r="AR72" s="246" t="n">
        <v>0</v>
      </c>
      <c r="AS72" s="13" t="n"/>
      <c r="AT72" s="534">
        <f>AT20+AT69</f>
        <v/>
      </c>
      <c r="AU72" s="534">
        <f>AU20+AU69</f>
        <v/>
      </c>
      <c r="AV72" s="534">
        <f>AV20+AV69</f>
        <v/>
      </c>
      <c r="AW72" s="534">
        <f>AW20+AW69</f>
        <v/>
      </c>
      <c r="AX72" s="534">
        <f>AX20+AX69</f>
        <v/>
      </c>
      <c r="AY72" s="534">
        <f>AY20+AY69</f>
        <v/>
      </c>
      <c r="AZ72" s="534">
        <f>AZ20+AZ69</f>
        <v/>
      </c>
      <c r="BA72" s="534">
        <f>BA20+BA69</f>
        <v/>
      </c>
      <c r="BB72" s="534">
        <f>BB20+BB69</f>
        <v/>
      </c>
      <c r="BC72" s="534">
        <f>BC20+BC69</f>
        <v/>
      </c>
      <c r="BD72" s="536">
        <f>BD20+BD69</f>
        <v/>
      </c>
      <c r="BE72" s="534">
        <f>BE20+BE69</f>
        <v/>
      </c>
      <c r="BF72" s="534">
        <f>BF20+BF69</f>
        <v/>
      </c>
      <c r="BG72" s="534">
        <f>BG20+BG69</f>
        <v/>
      </c>
      <c r="BH72" s="534">
        <f>BH20+BH69</f>
        <v/>
      </c>
      <c r="BI72" s="534">
        <f>BI20+BI69</f>
        <v/>
      </c>
      <c r="BJ72" s="534">
        <f>BJ20+BJ69</f>
        <v/>
      </c>
      <c r="BK72" s="534">
        <f>BK20+BK69</f>
        <v/>
      </c>
      <c r="BL72" s="534">
        <f>BL20+BL69</f>
        <v/>
      </c>
      <c r="BM72" s="534">
        <f>BM20+BM69</f>
        <v/>
      </c>
      <c r="BN72" s="534">
        <f>BN20+BN69</f>
        <v/>
      </c>
      <c r="BO72" s="534">
        <f>BO20+BO69</f>
        <v/>
      </c>
      <c r="BP72" s="536">
        <f>BP20+BP69</f>
        <v/>
      </c>
      <c r="BQ72" s="534">
        <f>BQ20+BQ69</f>
        <v/>
      </c>
      <c r="BR72" s="534">
        <f>BR20+BR69</f>
        <v/>
      </c>
      <c r="BS72" s="534">
        <f>BS20+BS69</f>
        <v/>
      </c>
      <c r="BT72" s="534">
        <f>BT20+BT69</f>
        <v/>
      </c>
      <c r="BU72" s="534">
        <f>BU20+BU69</f>
        <v/>
      </c>
      <c r="BV72" s="534">
        <f>BV20+BV69</f>
        <v/>
      </c>
      <c r="BW72" s="534">
        <f>BW20+BW69</f>
        <v/>
      </c>
      <c r="BX72" s="534">
        <f>BX20+BX69</f>
        <v/>
      </c>
      <c r="BY72" s="534">
        <f>BY20+BY69</f>
        <v/>
      </c>
      <c r="BZ72" s="534">
        <f>BZ20+BZ69</f>
        <v/>
      </c>
      <c r="CA72" s="534">
        <f>CA20+CA69</f>
        <v/>
      </c>
      <c r="CB72" s="536">
        <f>CB20+CB69</f>
        <v/>
      </c>
      <c r="CC72" s="534">
        <f>CC20+CC69</f>
        <v/>
      </c>
      <c r="CD72" s="534">
        <f>CD20+CD69</f>
        <v/>
      </c>
      <c r="CE72" s="534">
        <f>CE20+CE69</f>
        <v/>
      </c>
      <c r="CF72" s="534">
        <f>CF20+CF69</f>
        <v/>
      </c>
      <c r="CG72" s="534">
        <f>CG20+CG69</f>
        <v/>
      </c>
      <c r="CH72" s="534">
        <f>CH20+CH69</f>
        <v/>
      </c>
      <c r="CI72" s="534">
        <f>CI20+CI69</f>
        <v/>
      </c>
      <c r="CJ72" s="534">
        <f>CJ20+CJ69</f>
        <v/>
      </c>
      <c r="CK72" s="534">
        <f>CK20+CK69</f>
        <v/>
      </c>
      <c r="CL72" s="534">
        <f>CL20+CL69</f>
        <v/>
      </c>
      <c r="CM72" s="534">
        <f>CM20+CM69</f>
        <v/>
      </c>
      <c r="CN72" s="536">
        <f>CN20+CN69</f>
        <v/>
      </c>
      <c r="CO72" s="534">
        <f>CO20+CO69</f>
        <v/>
      </c>
      <c r="CP72" s="534">
        <f>CP20+CP69</f>
        <v/>
      </c>
      <c r="CQ72" s="534">
        <f>CQ20+CQ69</f>
        <v/>
      </c>
      <c r="CR72" s="534">
        <f>CR20+CR69</f>
        <v/>
      </c>
      <c r="CS72" s="534">
        <f>CS20+CS69</f>
        <v/>
      </c>
      <c r="CT72" s="534">
        <f>CT20+CT69</f>
        <v/>
      </c>
      <c r="CU72" s="534">
        <f>CU20+CU69</f>
        <v/>
      </c>
      <c r="CV72" s="534">
        <f>CV20+CV69</f>
        <v/>
      </c>
      <c r="CW72" s="534">
        <f>CW20+CW69</f>
        <v/>
      </c>
      <c r="CX72" s="534">
        <f>CX20+CX69</f>
        <v/>
      </c>
      <c r="CY72" s="534">
        <f>CY20+CY69</f>
        <v/>
      </c>
      <c r="CZ72" s="536">
        <f>CZ20+CZ69</f>
        <v/>
      </c>
      <c r="DA72" s="534">
        <f>DA20+DA69</f>
        <v/>
      </c>
      <c r="DB72" s="534">
        <f>DB20+DB69</f>
        <v/>
      </c>
      <c r="DC72" s="534">
        <f>DC20+DC69</f>
        <v/>
      </c>
      <c r="DD72" s="534">
        <f>DD20+DD69</f>
        <v/>
      </c>
      <c r="DE72" s="534">
        <f>DE20+DE69</f>
        <v/>
      </c>
      <c r="DF72" s="534">
        <f>DF20+DF69</f>
        <v/>
      </c>
      <c r="DG72" s="534">
        <f>DG20+DG69</f>
        <v/>
      </c>
      <c r="DH72" s="534">
        <f>DH20+DH69</f>
        <v/>
      </c>
      <c r="DI72" s="534">
        <f>DI20+DI69</f>
        <v/>
      </c>
      <c r="DJ72" s="534">
        <f>DJ20+DJ69</f>
        <v/>
      </c>
      <c r="DK72" s="534">
        <f>DK20+DK69</f>
        <v/>
      </c>
      <c r="DL72" s="534">
        <f>DL20+DL69</f>
        <v/>
      </c>
      <c r="DM72" s="534">
        <f>DM20+DM69</f>
        <v/>
      </c>
      <c r="DN72" s="534">
        <f>DN20+DN69</f>
        <v/>
      </c>
      <c r="DO72" s="534">
        <f>DO20+DO69</f>
        <v/>
      </c>
      <c r="DP72" s="534">
        <f>DP20+DP69</f>
        <v/>
      </c>
      <c r="DQ72" s="534">
        <f>DQ20+DQ69</f>
        <v/>
      </c>
      <c r="DR72" s="534">
        <f>DR20+DR69</f>
        <v/>
      </c>
      <c r="DS72" s="534">
        <f>DS20+DS69</f>
        <v/>
      </c>
      <c r="DT72" s="534">
        <f>DT20+DT69</f>
        <v/>
      </c>
      <c r="DU72" s="534">
        <f>DU20+DU69</f>
        <v/>
      </c>
      <c r="DV72" s="534">
        <f>DV20+DV69</f>
        <v/>
      </c>
      <c r="DW72" s="534">
        <f>DW20+DW69</f>
        <v/>
      </c>
      <c r="DX72" s="534">
        <f>DX20+DX69</f>
        <v/>
      </c>
      <c r="DY72" s="534">
        <f>DY20+DY69</f>
        <v/>
      </c>
      <c r="DZ72" s="534">
        <f>DZ20+DZ69</f>
        <v/>
      </c>
      <c r="EA72" s="534">
        <f>EA20+EA69</f>
        <v/>
      </c>
      <c r="EB72" s="534">
        <f>EB20+EB69</f>
        <v/>
      </c>
      <c r="EC72" s="534">
        <f>EC20+EC69</f>
        <v/>
      </c>
      <c r="ED72" s="534">
        <f>ED20+ED69</f>
        <v/>
      </c>
      <c r="EE72" s="534">
        <f>EE20+EE69</f>
        <v/>
      </c>
      <c r="EF72" s="534">
        <f>EF20+EF69</f>
        <v/>
      </c>
      <c r="EG72" s="534">
        <f>EG20+EG69</f>
        <v/>
      </c>
      <c r="EH72" s="534">
        <f>EH20+EH69</f>
        <v/>
      </c>
      <c r="EI72" s="534">
        <f>EI20+EI69</f>
        <v/>
      </c>
      <c r="EJ72" s="534">
        <f>EJ20+EJ69</f>
        <v/>
      </c>
      <c r="EK72" s="534">
        <f>EK20+EK69</f>
        <v/>
      </c>
      <c r="EL72" s="534">
        <f>EL20+EL69</f>
        <v/>
      </c>
      <c r="EM72" s="534">
        <f>EM20+EM69</f>
        <v/>
      </c>
      <c r="EN72" s="534">
        <f>EN20+EN69</f>
        <v/>
      </c>
      <c r="EO72" s="534">
        <f>EO20+EO69</f>
        <v/>
      </c>
      <c r="EP72" s="534">
        <f>EP20+EP69</f>
        <v/>
      </c>
      <c r="EQ72" s="534">
        <f>EQ20+EQ69</f>
        <v/>
      </c>
      <c r="ER72" s="534">
        <f>ER20+ER69</f>
        <v/>
      </c>
      <c r="ES72" s="534">
        <f>ES20+ES69</f>
        <v/>
      </c>
      <c r="ET72" s="534">
        <f>ET20+ET69</f>
        <v/>
      </c>
      <c r="EU72" s="534">
        <f>EU20+EU69</f>
        <v/>
      </c>
      <c r="EV72" s="534">
        <f>EV20+EV69</f>
        <v/>
      </c>
      <c r="EW72" s="534">
        <f>EW20+EW69</f>
        <v/>
      </c>
      <c r="EX72" s="534">
        <f>EX20+EX69</f>
        <v/>
      </c>
      <c r="EY72" s="534">
        <f>EY20+EY69</f>
        <v/>
      </c>
      <c r="EZ72" s="534">
        <f>EZ20+EZ69</f>
        <v/>
      </c>
      <c r="FA72" s="534">
        <f>FA20+FA69</f>
        <v/>
      </c>
      <c r="FB72" s="534">
        <f>FB20+FB69</f>
        <v/>
      </c>
      <c r="FC72" s="534">
        <f>FC20+FC69</f>
        <v/>
      </c>
      <c r="FD72" s="534">
        <f>FD20+FD69</f>
        <v/>
      </c>
      <c r="FE72" s="534">
        <f>FE20+FE69</f>
        <v/>
      </c>
      <c r="FF72" s="534">
        <f>FF20+FF69</f>
        <v/>
      </c>
      <c r="FG72" s="534">
        <f>FG20+FG69</f>
        <v/>
      </c>
      <c r="FH72" s="534">
        <f>FH20+FH69</f>
        <v/>
      </c>
      <c r="FI72" s="534">
        <f>FI20+FI69</f>
        <v/>
      </c>
      <c r="FJ72" s="534">
        <f>FJ20+FJ69</f>
        <v/>
      </c>
      <c r="FK72" s="534">
        <f>FK20+FK69</f>
        <v/>
      </c>
      <c r="FL72" s="534">
        <f>FL20+FL69</f>
        <v/>
      </c>
      <c r="FM72" s="534">
        <f>FM20+FM69</f>
        <v/>
      </c>
      <c r="FN72" s="534">
        <f>FN20+FN69</f>
        <v/>
      </c>
      <c r="FO72" s="534">
        <f>FO20+FO69</f>
        <v/>
      </c>
      <c r="FP72" s="534">
        <f>FP20+FP69</f>
        <v/>
      </c>
      <c r="FQ72" s="534">
        <f>FQ20+FQ69</f>
        <v/>
      </c>
      <c r="FR72" s="534">
        <f>FR20+FR69</f>
        <v/>
      </c>
      <c r="FS72" s="534">
        <f>FS20+FS69</f>
        <v/>
      </c>
      <c r="FT72" s="534">
        <f>FT20+FT69</f>
        <v/>
      </c>
      <c r="FU72" s="534">
        <f>FU20+FU69</f>
        <v/>
      </c>
      <c r="FV72" s="534">
        <f>FV20+FV69</f>
        <v/>
      </c>
      <c r="FW72" s="534">
        <f>FW20+FW69</f>
        <v/>
      </c>
      <c r="FX72" s="534">
        <f>FX20+FX69</f>
        <v/>
      </c>
      <c r="FY72" s="534">
        <f>FY20+FY69</f>
        <v/>
      </c>
      <c r="FZ72" s="534">
        <f>FZ20+FZ69</f>
        <v/>
      </c>
      <c r="GA72" s="534">
        <f>GA20+GA69</f>
        <v/>
      </c>
      <c r="GB72" s="534">
        <f>GB20+GB69</f>
        <v/>
      </c>
      <c r="GC72" s="534">
        <f>GC20+GC69</f>
        <v/>
      </c>
      <c r="GD72" s="534">
        <f>GD20+GD69</f>
        <v/>
      </c>
      <c r="GE72" s="534">
        <f>GE20+GE69</f>
        <v/>
      </c>
      <c r="GF72" s="534">
        <f>GF20+GF69</f>
        <v/>
      </c>
      <c r="GG72" s="534">
        <f>GG20+GG69</f>
        <v/>
      </c>
      <c r="GH72" s="534">
        <f>GH20+GH69</f>
        <v/>
      </c>
      <c r="GI72" s="534">
        <f>GI20+GI69</f>
        <v/>
      </c>
      <c r="GJ72" s="534">
        <f>GJ20+GJ69</f>
        <v/>
      </c>
      <c r="GK72" s="534">
        <f>GK20+GK69</f>
        <v/>
      </c>
      <c r="GL72" s="534">
        <f>GL20+GL69</f>
        <v/>
      </c>
      <c r="GM72" s="534">
        <f>GM20+GM69</f>
        <v/>
      </c>
      <c r="GN72" s="534">
        <f>GN20+GN69</f>
        <v/>
      </c>
      <c r="GO72" s="534">
        <f>GO20+GO69</f>
        <v/>
      </c>
      <c r="GP72" s="534">
        <f>GP20+GP69</f>
        <v/>
      </c>
      <c r="GQ72" s="534">
        <f>GQ20+GQ69</f>
        <v/>
      </c>
      <c r="GR72" s="534">
        <f>GR20+GR69</f>
        <v/>
      </c>
      <c r="GS72" s="534">
        <f>GS20+GS69</f>
        <v/>
      </c>
      <c r="GT72" s="534">
        <f>GT20+GT69</f>
        <v/>
      </c>
      <c r="GU72" s="534">
        <f>GU20+GU69</f>
        <v/>
      </c>
      <c r="GV72" s="534">
        <f>GV20+GV69</f>
        <v/>
      </c>
      <c r="GW72" s="534">
        <f>GW20+GW69</f>
        <v/>
      </c>
      <c r="GX72" s="534">
        <f>GX20+GX69</f>
        <v/>
      </c>
      <c r="GY72" s="534">
        <f>GY20+GY69</f>
        <v/>
      </c>
      <c r="GZ72" s="534">
        <f>GZ20+GZ69</f>
        <v/>
      </c>
      <c r="HA72" s="534">
        <f>HA20+HA69</f>
        <v/>
      </c>
      <c r="HB72" s="534">
        <f>HB20+HB69</f>
        <v/>
      </c>
      <c r="HC72" s="534">
        <f>HC20+HC69</f>
        <v/>
      </c>
      <c r="HD72" s="534">
        <f>HD20+HD69</f>
        <v/>
      </c>
      <c r="HE72" s="534">
        <f>HE20+HE69</f>
        <v/>
      </c>
      <c r="HF72" s="534">
        <f>HF20+HF69</f>
        <v/>
      </c>
      <c r="HG72" s="534">
        <f>HG20+HG69</f>
        <v/>
      </c>
      <c r="HH72" s="534">
        <f>HH20+HH69</f>
        <v/>
      </c>
      <c r="HI72" s="534">
        <f>HI20+HI69</f>
        <v/>
      </c>
      <c r="HJ72" s="534">
        <f>HJ20+HJ69</f>
        <v/>
      </c>
      <c r="HK72" s="534">
        <f>HK20+HK69</f>
        <v/>
      </c>
      <c r="HL72" s="534">
        <f>HL20+HL69</f>
        <v/>
      </c>
      <c r="HM72" s="534">
        <f>HM20+HM69</f>
        <v/>
      </c>
      <c r="HN72" s="534">
        <f>HN20+HN69</f>
        <v/>
      </c>
      <c r="HO72" s="534">
        <f>HO20+HO69</f>
        <v/>
      </c>
      <c r="HP72" s="534">
        <f>HP20+HP69</f>
        <v/>
      </c>
      <c r="HQ72" s="534">
        <f>HQ20+HQ69</f>
        <v/>
      </c>
      <c r="HR72" s="534">
        <f>HR20+HR69</f>
        <v/>
      </c>
      <c r="HS72" s="534">
        <f>HS20+HS69</f>
        <v/>
      </c>
      <c r="HT72" s="534">
        <f>HT20+HT69</f>
        <v/>
      </c>
      <c r="HU72" s="534">
        <f>HU20+HU69</f>
        <v/>
      </c>
      <c r="JF72" s="534">
        <f>AP72</f>
        <v/>
      </c>
      <c r="JG72" s="534">
        <f>SUM(Z72:AK72)</f>
        <v/>
      </c>
      <c r="JH72" s="534">
        <f>SUM(AL72:AP72)</f>
        <v/>
      </c>
      <c r="JI72" s="534">
        <f>SUM(C72:AP72)</f>
        <v/>
      </c>
      <c r="JJ72" s="446" t="n"/>
      <c r="JM72" s="534" t="n">
        <v>-2297202.657010871</v>
      </c>
      <c r="KG72" s="534">
        <f>B72</f>
        <v/>
      </c>
      <c r="KH72" s="246">
        <f>AR72</f>
        <v/>
      </c>
    </row>
    <row r="73" ht="16.2" customHeight="1" thickBot="1" thickTop="1">
      <c r="A73" s="125" t="inlineStr">
        <is>
          <t>SALDO ACUMULADO (REAL)</t>
        </is>
      </c>
      <c r="B73" s="149" t="n"/>
      <c r="C73" s="543">
        <f>B73+C72</f>
        <v/>
      </c>
      <c r="D73" s="543">
        <f>C73+D72</f>
        <v/>
      </c>
      <c r="E73" s="543">
        <f>D73+E72</f>
        <v/>
      </c>
      <c r="F73" s="543">
        <f>E73+F72</f>
        <v/>
      </c>
      <c r="G73" s="543">
        <f>F73+G72</f>
        <v/>
      </c>
      <c r="H73" s="543">
        <f>G73+H72</f>
        <v/>
      </c>
      <c r="I73" s="543">
        <f>H73+I72</f>
        <v/>
      </c>
      <c r="J73" s="543">
        <f>I73+J72</f>
        <v/>
      </c>
      <c r="K73" s="543">
        <f>J73+K72</f>
        <v/>
      </c>
      <c r="L73" s="543">
        <f>K73+L72</f>
        <v/>
      </c>
      <c r="M73" s="543">
        <f>L73+M72</f>
        <v/>
      </c>
      <c r="N73" s="543">
        <f>M73+N72</f>
        <v/>
      </c>
      <c r="O73" s="543">
        <f>N73+O72</f>
        <v/>
      </c>
      <c r="P73" s="543">
        <f>O73+P72</f>
        <v/>
      </c>
      <c r="Q73" s="543">
        <f>P73+Q72</f>
        <v/>
      </c>
      <c r="R73" s="543">
        <f>Q73+R72</f>
        <v/>
      </c>
      <c r="S73" s="543">
        <f>R73+S72</f>
        <v/>
      </c>
      <c r="T73" s="543">
        <f>S73+T72</f>
        <v/>
      </c>
      <c r="U73" s="543">
        <f>T73+U72</f>
        <v/>
      </c>
      <c r="V73" s="543">
        <f>U73+V72</f>
        <v/>
      </c>
      <c r="W73" s="543">
        <f>V73+W72</f>
        <v/>
      </c>
      <c r="X73" s="543">
        <f>W73+X72</f>
        <v/>
      </c>
      <c r="Y73" s="543">
        <f>X73+Y72</f>
        <v/>
      </c>
      <c r="Z73" s="543">
        <f>Y73+Z72</f>
        <v/>
      </c>
      <c r="AA73" s="543">
        <f>Z73+AA72</f>
        <v/>
      </c>
      <c r="AB73" s="543">
        <f>AA73+AB72</f>
        <v/>
      </c>
      <c r="AC73" s="543">
        <f>AB73+AC72</f>
        <v/>
      </c>
      <c r="AD73" s="543">
        <f>AC73+AD72</f>
        <v/>
      </c>
      <c r="AE73" s="543">
        <f>AD73+AE72</f>
        <v/>
      </c>
      <c r="AF73" s="543">
        <f>AE73+AF72</f>
        <v/>
      </c>
      <c r="AG73" s="543">
        <f>AF73+AG72</f>
        <v/>
      </c>
      <c r="AH73" s="543">
        <f>AG73+AH72</f>
        <v/>
      </c>
      <c r="AI73" s="543">
        <f>AH73+AI72</f>
        <v/>
      </c>
      <c r="AJ73" s="543">
        <f>AI73+AJ72</f>
        <v/>
      </c>
      <c r="AK73" s="543">
        <f>AJ73+AK72</f>
        <v/>
      </c>
      <c r="AL73" s="543">
        <f>AK73+AL72</f>
        <v/>
      </c>
      <c r="AM73" s="543">
        <f>AL73+AM72</f>
        <v/>
      </c>
      <c r="AN73" s="543">
        <f>AM73+AN72</f>
        <v/>
      </c>
      <c r="AO73" s="543">
        <f>AN73+AO72</f>
        <v/>
      </c>
      <c r="AP73" s="543">
        <f>AO73+AP72</f>
        <v/>
      </c>
      <c r="AQ73" s="544" t="n"/>
      <c r="AR73" s="545" t="n"/>
      <c r="AS73" s="544" t="n"/>
      <c r="AT73" s="546">
        <f>AP73+AT72</f>
        <v/>
      </c>
      <c r="AU73" s="546">
        <f>AT73+AU72</f>
        <v/>
      </c>
      <c r="AV73" s="546">
        <f>AU73+AV72</f>
        <v/>
      </c>
      <c r="AW73" s="546">
        <f>AV73+AW72</f>
        <v/>
      </c>
      <c r="AX73" s="546">
        <f>AW73+AX72</f>
        <v/>
      </c>
      <c r="AY73" s="546">
        <f>AX73+AY72</f>
        <v/>
      </c>
      <c r="AZ73" s="546">
        <f>AY73+AZ72</f>
        <v/>
      </c>
      <c r="BA73" s="546">
        <f>AZ73+BA72</f>
        <v/>
      </c>
      <c r="BB73" s="546">
        <f>BA73+BB72</f>
        <v/>
      </c>
      <c r="BC73" s="546">
        <f>BB73+BC72</f>
        <v/>
      </c>
      <c r="BD73" s="546">
        <f>BC73+BD72</f>
        <v/>
      </c>
      <c r="BE73" s="546">
        <f>BD73+BE72</f>
        <v/>
      </c>
      <c r="BF73" s="546">
        <f>BE73+BF72</f>
        <v/>
      </c>
      <c r="BG73" s="546">
        <f>BF73+BG72</f>
        <v/>
      </c>
      <c r="BH73" s="546">
        <f>BG73+BH72</f>
        <v/>
      </c>
      <c r="BI73" s="546">
        <f>BH73+BI72</f>
        <v/>
      </c>
      <c r="BJ73" s="546">
        <f>BI73+BJ72</f>
        <v/>
      </c>
      <c r="BK73" s="546">
        <f>BJ73+BK72</f>
        <v/>
      </c>
      <c r="BL73" s="546">
        <f>BK73+BL72</f>
        <v/>
      </c>
      <c r="BM73" s="546">
        <f>BL73+BM72</f>
        <v/>
      </c>
      <c r="BN73" s="546">
        <f>BM73+BN72</f>
        <v/>
      </c>
      <c r="BO73" s="546">
        <f>BN73+BO72</f>
        <v/>
      </c>
      <c r="BP73" s="546">
        <f>BO73+BP72</f>
        <v/>
      </c>
      <c r="BQ73" s="546">
        <f>BP73+BQ72</f>
        <v/>
      </c>
      <c r="BR73" s="546">
        <f>BQ73+BR72</f>
        <v/>
      </c>
      <c r="BS73" s="546">
        <f>BR73+BS72</f>
        <v/>
      </c>
      <c r="BT73" s="546">
        <f>BS73+BT72</f>
        <v/>
      </c>
      <c r="BU73" s="546">
        <f>BT73+BU72</f>
        <v/>
      </c>
      <c r="BV73" s="546">
        <f>BU73+BV72</f>
        <v/>
      </c>
      <c r="BW73" s="546">
        <f>BV73+BW72</f>
        <v/>
      </c>
      <c r="BX73" s="546">
        <f>BW73+BX72</f>
        <v/>
      </c>
      <c r="BY73" s="546">
        <f>BX73+BY72</f>
        <v/>
      </c>
      <c r="BZ73" s="546">
        <f>BY73+BZ72</f>
        <v/>
      </c>
      <c r="CA73" s="546">
        <f>BZ73+CA72</f>
        <v/>
      </c>
      <c r="CB73" s="546">
        <f>CA73+CB72</f>
        <v/>
      </c>
      <c r="CC73" s="546">
        <f>CB73+CC72</f>
        <v/>
      </c>
      <c r="CD73" s="546">
        <f>CC73+CD72</f>
        <v/>
      </c>
      <c r="CE73" s="546">
        <f>CD73+CE72</f>
        <v/>
      </c>
      <c r="CF73" s="546">
        <f>CE73+CF72</f>
        <v/>
      </c>
      <c r="CG73" s="546">
        <f>CF73+CG72</f>
        <v/>
      </c>
      <c r="CH73" s="546">
        <f>CG73+CH72</f>
        <v/>
      </c>
      <c r="CI73" s="546">
        <f>CH73+CI72</f>
        <v/>
      </c>
      <c r="CJ73" s="546">
        <f>CI73+CJ72</f>
        <v/>
      </c>
      <c r="CK73" s="546">
        <f>CJ73+CK72</f>
        <v/>
      </c>
      <c r="CL73" s="546">
        <f>CK73+CL72</f>
        <v/>
      </c>
      <c r="CM73" s="546">
        <f>CL73+CM72</f>
        <v/>
      </c>
      <c r="CN73" s="546">
        <f>CM73+CN72</f>
        <v/>
      </c>
      <c r="CO73" s="546">
        <f>CN73+CO72</f>
        <v/>
      </c>
      <c r="CP73" s="546">
        <f>CO73+CP72</f>
        <v/>
      </c>
      <c r="CQ73" s="546">
        <f>CP73+CQ72</f>
        <v/>
      </c>
      <c r="CR73" s="546">
        <f>CQ73+CR72</f>
        <v/>
      </c>
      <c r="CS73" s="546">
        <f>CR73+CS72</f>
        <v/>
      </c>
      <c r="CT73" s="546">
        <f>CS73+CT72</f>
        <v/>
      </c>
      <c r="CU73" s="546">
        <f>CT73+CU72</f>
        <v/>
      </c>
      <c r="CV73" s="546">
        <f>CU73+CV72</f>
        <v/>
      </c>
      <c r="CW73" s="546">
        <f>CV73+CW72</f>
        <v/>
      </c>
      <c r="CX73" s="546">
        <f>CW73+CX72</f>
        <v/>
      </c>
      <c r="CY73" s="546">
        <f>CX73+CY72</f>
        <v/>
      </c>
      <c r="CZ73" s="546">
        <f>CY73+CZ72</f>
        <v/>
      </c>
      <c r="DA73" s="546">
        <f>CZ73+DA72</f>
        <v/>
      </c>
      <c r="DB73" s="546">
        <f>DA73+DB72</f>
        <v/>
      </c>
      <c r="DC73" s="546">
        <f>DB73+DC72</f>
        <v/>
      </c>
      <c r="DD73" s="546">
        <f>DC73+DD72</f>
        <v/>
      </c>
      <c r="DE73" s="546">
        <f>DD73+DE72</f>
        <v/>
      </c>
      <c r="DF73" s="546">
        <f>DE73+DF72</f>
        <v/>
      </c>
      <c r="DG73" s="546">
        <f>DF73+DG72</f>
        <v/>
      </c>
      <c r="DH73" s="546">
        <f>DG73+DH72</f>
        <v/>
      </c>
      <c r="DI73" s="546">
        <f>DH73+DI72</f>
        <v/>
      </c>
      <c r="DJ73" s="546">
        <f>DI73+DJ72</f>
        <v/>
      </c>
      <c r="DK73" s="546">
        <f>DJ73+DK72</f>
        <v/>
      </c>
      <c r="DL73" s="546">
        <f>DK73+DL72</f>
        <v/>
      </c>
      <c r="DM73" s="546">
        <f>DL73+DM72</f>
        <v/>
      </c>
      <c r="DN73" s="546">
        <f>DM73+DN72</f>
        <v/>
      </c>
      <c r="DO73" s="546">
        <f>DN73+DO72</f>
        <v/>
      </c>
      <c r="DP73" s="546">
        <f>DO73+DP72</f>
        <v/>
      </c>
      <c r="DQ73" s="546">
        <f>DP73+DQ72</f>
        <v/>
      </c>
      <c r="DR73" s="546">
        <f>DQ73+DR72</f>
        <v/>
      </c>
      <c r="DS73" s="546">
        <f>DR73+DS72</f>
        <v/>
      </c>
      <c r="DT73" s="546">
        <f>DS73+DT72</f>
        <v/>
      </c>
      <c r="DU73" s="546">
        <f>DT73+DU72</f>
        <v/>
      </c>
      <c r="DV73" s="546">
        <f>DU73+DV72</f>
        <v/>
      </c>
      <c r="DW73" s="546">
        <f>DV73+DW72</f>
        <v/>
      </c>
      <c r="DX73" s="546">
        <f>DW73+DX72</f>
        <v/>
      </c>
      <c r="DY73" s="546">
        <f>DX73+DY72</f>
        <v/>
      </c>
      <c r="DZ73" s="546">
        <f>DY73+DZ72</f>
        <v/>
      </c>
      <c r="EA73" s="546">
        <f>DZ73+EA72</f>
        <v/>
      </c>
      <c r="EB73" s="546">
        <f>EA73+EB72</f>
        <v/>
      </c>
      <c r="EC73" s="546">
        <f>EB73+EC72</f>
        <v/>
      </c>
      <c r="ED73" s="546">
        <f>EC73+ED72</f>
        <v/>
      </c>
      <c r="EE73" s="546">
        <f>ED73+EE72</f>
        <v/>
      </c>
      <c r="EF73" s="546">
        <f>EE73+EF72</f>
        <v/>
      </c>
      <c r="EG73" s="546">
        <f>EF73+EG72</f>
        <v/>
      </c>
      <c r="EH73" s="546">
        <f>EG73+EH72</f>
        <v/>
      </c>
      <c r="EI73" s="546">
        <f>EH73+EI72</f>
        <v/>
      </c>
      <c r="EJ73" s="546">
        <f>EI73+EJ72</f>
        <v/>
      </c>
      <c r="EK73" s="546">
        <f>EJ73+EK72</f>
        <v/>
      </c>
      <c r="EL73" s="546">
        <f>EK73+EL72</f>
        <v/>
      </c>
      <c r="EM73" s="546">
        <f>EL73+EM72</f>
        <v/>
      </c>
      <c r="EN73" s="546">
        <f>EM73+EN72</f>
        <v/>
      </c>
      <c r="EO73" s="546">
        <f>EN73+EO72</f>
        <v/>
      </c>
      <c r="EP73" s="546">
        <f>EO73+EP72</f>
        <v/>
      </c>
      <c r="EQ73" s="546">
        <f>EP73+EQ72</f>
        <v/>
      </c>
      <c r="ER73" s="546">
        <f>EQ73+ER72</f>
        <v/>
      </c>
      <c r="ES73" s="546">
        <f>ER73+ES72</f>
        <v/>
      </c>
      <c r="ET73" s="546">
        <f>ES73+ET72</f>
        <v/>
      </c>
      <c r="EU73" s="546">
        <f>ET73+EU72</f>
        <v/>
      </c>
      <c r="EV73" s="546">
        <f>EU73+EV72</f>
        <v/>
      </c>
      <c r="EW73" s="546">
        <f>EV73+EW72</f>
        <v/>
      </c>
      <c r="EX73" s="546">
        <f>EW73+EX72</f>
        <v/>
      </c>
      <c r="EY73" s="546">
        <f>EX73+EY72</f>
        <v/>
      </c>
      <c r="EZ73" s="546">
        <f>EY73+EZ72</f>
        <v/>
      </c>
      <c r="FA73" s="546">
        <f>EZ73+FA72</f>
        <v/>
      </c>
      <c r="FB73" s="546">
        <f>FA73+FB72</f>
        <v/>
      </c>
      <c r="FC73" s="546">
        <f>FB73+FC72</f>
        <v/>
      </c>
      <c r="FD73" s="546">
        <f>FC73+FD72</f>
        <v/>
      </c>
      <c r="FE73" s="546">
        <f>FD73+FE72</f>
        <v/>
      </c>
      <c r="FF73" s="546">
        <f>FE73+FF72</f>
        <v/>
      </c>
      <c r="FG73" s="546">
        <f>FF73+FG72</f>
        <v/>
      </c>
      <c r="FH73" s="546">
        <f>FG73+FH72</f>
        <v/>
      </c>
      <c r="FI73" s="546">
        <f>FH73+FI72</f>
        <v/>
      </c>
      <c r="FJ73" s="546">
        <f>FI73+FJ72</f>
        <v/>
      </c>
      <c r="FK73" s="546">
        <f>FJ73+FK72</f>
        <v/>
      </c>
      <c r="FL73" s="546">
        <f>FK73+FL72</f>
        <v/>
      </c>
      <c r="FM73" s="546">
        <f>FL73+FM72</f>
        <v/>
      </c>
      <c r="FN73" s="546">
        <f>FM73+FN72</f>
        <v/>
      </c>
      <c r="FO73" s="546">
        <f>FN73+FO72</f>
        <v/>
      </c>
      <c r="FP73" s="546">
        <f>FO73+FP72</f>
        <v/>
      </c>
      <c r="FQ73" s="546">
        <f>FP73+FQ72</f>
        <v/>
      </c>
      <c r="FR73" s="546">
        <f>FQ73+FR72</f>
        <v/>
      </c>
      <c r="FS73" s="546">
        <f>FR73+FS72</f>
        <v/>
      </c>
      <c r="FT73" s="546">
        <f>FS73+FT72</f>
        <v/>
      </c>
      <c r="FU73" s="546">
        <f>FT73+FU72</f>
        <v/>
      </c>
      <c r="FV73" s="546">
        <f>FU73+FV72</f>
        <v/>
      </c>
      <c r="FW73" s="546">
        <f>FV73+FW72</f>
        <v/>
      </c>
      <c r="FX73" s="546">
        <f>FW73+FX72</f>
        <v/>
      </c>
      <c r="FY73" s="546">
        <f>FX73+FY72</f>
        <v/>
      </c>
      <c r="FZ73" s="546">
        <f>FY73+FZ72</f>
        <v/>
      </c>
      <c r="GA73" s="546">
        <f>FZ73+GA72</f>
        <v/>
      </c>
      <c r="GB73" s="546">
        <f>GA73+GB72</f>
        <v/>
      </c>
      <c r="GC73" s="546">
        <f>GB73+GC72</f>
        <v/>
      </c>
      <c r="GD73" s="546">
        <f>GC73+GD72</f>
        <v/>
      </c>
      <c r="GE73" s="546">
        <f>GD73+GE72</f>
        <v/>
      </c>
      <c r="GF73" s="546">
        <f>GE73+GF72</f>
        <v/>
      </c>
      <c r="GG73" s="546">
        <f>GF73+GG72</f>
        <v/>
      </c>
      <c r="GH73" s="546">
        <f>GG73+GH72</f>
        <v/>
      </c>
      <c r="GI73" s="546">
        <f>GH73+GI72</f>
        <v/>
      </c>
      <c r="GJ73" s="546">
        <f>GI73+GJ72</f>
        <v/>
      </c>
      <c r="GK73" s="546">
        <f>GJ73+GK72</f>
        <v/>
      </c>
      <c r="GL73" s="546">
        <f>GK73+GL72</f>
        <v/>
      </c>
      <c r="GM73" s="546">
        <f>GL73+GM72</f>
        <v/>
      </c>
      <c r="GN73" s="546">
        <f>GM73+GN72</f>
        <v/>
      </c>
      <c r="GO73" s="546">
        <f>GN73+GO72</f>
        <v/>
      </c>
      <c r="GP73" s="546">
        <f>GO73+GP72</f>
        <v/>
      </c>
      <c r="GQ73" s="546">
        <f>GP73+GQ72</f>
        <v/>
      </c>
      <c r="GR73" s="546">
        <f>GQ73+GR72</f>
        <v/>
      </c>
      <c r="GS73" s="546">
        <f>GR73+GS72</f>
        <v/>
      </c>
      <c r="GT73" s="546">
        <f>GS73+GT72</f>
        <v/>
      </c>
      <c r="GU73" s="546">
        <f>GT73+GU72</f>
        <v/>
      </c>
      <c r="GV73" s="546">
        <f>GU73+GV72</f>
        <v/>
      </c>
      <c r="GW73" s="546">
        <f>GV73+GW72</f>
        <v/>
      </c>
      <c r="GX73" s="546">
        <f>GW73+GX72</f>
        <v/>
      </c>
      <c r="GY73" s="546">
        <f>GX73+GY72</f>
        <v/>
      </c>
      <c r="GZ73" s="546">
        <f>GY73+GZ72</f>
        <v/>
      </c>
      <c r="HA73" s="546">
        <f>GZ73+HA72</f>
        <v/>
      </c>
      <c r="HB73" s="546">
        <f>HA73+HB72</f>
        <v/>
      </c>
      <c r="HC73" s="546">
        <f>HB73+HC72</f>
        <v/>
      </c>
      <c r="HD73" s="546">
        <f>HC73+HD72</f>
        <v/>
      </c>
      <c r="HE73" s="546">
        <f>HD73+HE72</f>
        <v/>
      </c>
      <c r="HF73" s="546">
        <f>HE73+HF72</f>
        <v/>
      </c>
      <c r="HG73" s="546">
        <f>HF73+HG72</f>
        <v/>
      </c>
      <c r="HH73" s="546">
        <f>HG73+HH72</f>
        <v/>
      </c>
      <c r="HI73" s="546">
        <f>HH73+HI72</f>
        <v/>
      </c>
      <c r="HJ73" s="546">
        <f>HI73+HJ72</f>
        <v/>
      </c>
      <c r="HK73" s="546">
        <f>HJ73+HK72</f>
        <v/>
      </c>
      <c r="HL73" s="546">
        <f>HK73+HL72</f>
        <v/>
      </c>
      <c r="HM73" s="546">
        <f>HL73+HM72</f>
        <v/>
      </c>
      <c r="HN73" s="546">
        <f>HM73+HN72</f>
        <v/>
      </c>
      <c r="HO73" s="546">
        <f>HN73+HO72</f>
        <v/>
      </c>
      <c r="HP73" s="546">
        <f>HO73+HP72</f>
        <v/>
      </c>
      <c r="HQ73" s="546">
        <f>HP73+HQ72</f>
        <v/>
      </c>
      <c r="HR73" s="546">
        <f>HQ73+HR72</f>
        <v/>
      </c>
      <c r="HS73" s="546">
        <f>HR73+HS72</f>
        <v/>
      </c>
      <c r="HT73" s="546">
        <f>HS73+HT72</f>
        <v/>
      </c>
      <c r="HU73" s="546">
        <f>HT73+HU72</f>
        <v/>
      </c>
      <c r="JF73" s="546">
        <f>AP73</f>
        <v/>
      </c>
      <c r="JG73" s="546">
        <f>SUM(Z73:AK73)</f>
        <v/>
      </c>
      <c r="JH73" s="546">
        <f>SUM(AL73:AP73)</f>
        <v/>
      </c>
      <c r="JI73" s="546">
        <f>SUM(C73:AP73)</f>
        <v/>
      </c>
      <c r="JJ73" s="446" t="n"/>
      <c r="JM73" s="546" t="n">
        <v>10274046.19298913</v>
      </c>
      <c r="KG73" s="149">
        <f>B73</f>
        <v/>
      </c>
      <c r="KH73" s="545">
        <f>AR73</f>
        <v/>
      </c>
    </row>
    <row r="74" ht="16.2" customHeight="1" thickBot="1" thickTop="1">
      <c r="A74" s="1" t="n"/>
      <c r="B74" s="128" t="n"/>
      <c r="C74" s="549" t="n"/>
      <c r="D74" s="549" t="n"/>
      <c r="E74" s="550" t="n"/>
      <c r="F74" s="550" t="n"/>
      <c r="G74" s="550" t="n"/>
      <c r="H74" s="550" t="n"/>
      <c r="I74" s="550" t="n"/>
      <c r="J74" s="551" t="n"/>
      <c r="K74" s="549" t="n"/>
      <c r="L74" s="549" t="n"/>
      <c r="M74" s="552" t="n"/>
      <c r="N74" s="552" t="n"/>
      <c r="O74" s="552" t="n"/>
      <c r="P74" s="552" t="n"/>
      <c r="Q74" s="552" t="n"/>
      <c r="R74" s="552" t="n"/>
      <c r="S74" s="552" t="n"/>
      <c r="T74" s="552" t="n"/>
      <c r="U74" s="552" t="n"/>
      <c r="V74" s="552" t="n"/>
      <c r="W74" s="552" t="n"/>
      <c r="X74" s="552" t="n"/>
      <c r="Y74" s="552" t="n"/>
      <c r="Z74" s="549" t="n"/>
      <c r="AA74" s="549" t="n"/>
      <c r="AB74" s="549" t="n"/>
      <c r="AC74" s="549" t="n"/>
      <c r="AD74" s="549" t="n"/>
      <c r="AE74" s="549" t="n"/>
      <c r="AF74" s="549" t="n"/>
      <c r="AG74" s="549" t="n"/>
      <c r="AH74" s="549" t="n"/>
      <c r="AI74" s="549" t="n"/>
      <c r="AJ74" s="549" t="n"/>
      <c r="AK74" s="549" t="n"/>
      <c r="AL74" s="549" t="n"/>
      <c r="AM74" s="549" t="n"/>
      <c r="AN74" s="549" t="n"/>
      <c r="AO74" s="549" t="n"/>
      <c r="AP74" s="549" t="n"/>
      <c r="AQ74" s="549" t="n"/>
      <c r="AR74" s="553" t="n"/>
      <c r="AS74" s="549" t="n"/>
      <c r="AT74" s="549" t="n"/>
      <c r="AU74" s="549" t="n"/>
      <c r="AV74" s="549" t="n"/>
      <c r="AW74" s="549" t="n"/>
      <c r="AX74" s="549" t="n"/>
      <c r="AY74" s="549" t="n"/>
      <c r="AZ74" s="549" t="n"/>
      <c r="BA74" s="549" t="n"/>
      <c r="BB74" s="549" t="n"/>
      <c r="BC74" s="549" t="n"/>
      <c r="BD74" s="554" t="n"/>
      <c r="BE74" s="549" t="n"/>
      <c r="BF74" s="549" t="n"/>
      <c r="BG74" s="549" t="n"/>
      <c r="BH74" s="549" t="n"/>
      <c r="BI74" s="549" t="n"/>
      <c r="BJ74" s="549" t="n"/>
      <c r="BK74" s="549" t="n"/>
      <c r="BL74" s="549" t="n"/>
      <c r="BM74" s="549" t="n"/>
      <c r="BN74" s="549" t="n"/>
      <c r="BO74" s="549" t="n"/>
      <c r="BP74" s="555" t="n"/>
      <c r="BQ74" s="556" t="n"/>
      <c r="BR74" s="549" t="n"/>
      <c r="BS74" s="549" t="n"/>
      <c r="BT74" s="549" t="n"/>
      <c r="BU74" s="549" t="n"/>
      <c r="BV74" s="549" t="n"/>
      <c r="BW74" s="549" t="n"/>
      <c r="BX74" s="549" t="n"/>
      <c r="BY74" s="549" t="n"/>
      <c r="BZ74" s="549" t="n"/>
      <c r="CA74" s="549" t="n"/>
      <c r="CB74" s="555" t="n"/>
      <c r="CC74" s="556" t="n"/>
      <c r="CD74" s="549" t="n"/>
      <c r="CE74" s="549" t="n"/>
      <c r="CF74" s="549" t="n"/>
      <c r="CG74" s="549" t="n"/>
      <c r="CH74" s="549" t="n"/>
      <c r="CI74" s="549" t="n"/>
      <c r="CJ74" s="549" t="n"/>
      <c r="CK74" s="549" t="n"/>
      <c r="CL74" s="549" t="n"/>
      <c r="CM74" s="549" t="n"/>
      <c r="CN74" s="555" t="n"/>
      <c r="CO74" s="556" t="n"/>
      <c r="CP74" s="549" t="n"/>
      <c r="CQ74" s="549" t="n"/>
      <c r="CR74" s="549" t="n"/>
      <c r="CS74" s="549" t="n"/>
      <c r="CT74" s="549" t="n"/>
      <c r="CU74" s="549" t="n"/>
      <c r="CV74" s="549" t="n"/>
      <c r="CW74" s="549" t="n"/>
      <c r="CX74" s="549" t="n"/>
      <c r="CY74" s="549" t="n"/>
      <c r="CZ74" s="555" t="n"/>
      <c r="DA74" s="549" t="n"/>
      <c r="DB74" s="549" t="n"/>
      <c r="DC74" s="549" t="n"/>
      <c r="DD74" s="549" t="n"/>
      <c r="DE74" s="549" t="n"/>
      <c r="DF74" s="549" t="n"/>
      <c r="DG74" s="549" t="n"/>
      <c r="DH74" s="549" t="n"/>
      <c r="DI74" s="549" t="n"/>
      <c r="DJ74" s="549" t="n"/>
      <c r="DK74" s="549" t="n"/>
      <c r="DL74" s="549" t="n"/>
      <c r="DM74" s="549" t="n"/>
      <c r="DN74" s="549" t="n"/>
      <c r="DO74" s="549" t="n"/>
      <c r="DP74" s="549" t="n"/>
      <c r="DQ74" s="549" t="n"/>
      <c r="DR74" s="549" t="n"/>
      <c r="DS74" s="549" t="n"/>
      <c r="DT74" s="549" t="n"/>
      <c r="DU74" s="549" t="n"/>
      <c r="DV74" s="549" t="n"/>
      <c r="DW74" s="549" t="n"/>
      <c r="DX74" s="549" t="n"/>
      <c r="DY74" s="549" t="n"/>
      <c r="DZ74" s="549" t="n"/>
      <c r="EA74" s="549" t="n"/>
      <c r="EB74" s="549" t="n"/>
      <c r="EC74" s="549" t="n"/>
      <c r="ED74" s="549" t="n"/>
      <c r="EE74" s="549" t="n"/>
      <c r="EF74" s="549" t="n"/>
      <c r="EG74" s="549" t="n"/>
      <c r="EH74" s="549" t="n"/>
      <c r="EI74" s="549" t="n"/>
      <c r="EJ74" s="549" t="n"/>
      <c r="EK74" s="549" t="n"/>
      <c r="EL74" s="549" t="n"/>
      <c r="EM74" s="549" t="n"/>
      <c r="EN74" s="549" t="n"/>
      <c r="EO74" s="549" t="n"/>
      <c r="EP74" s="549" t="n"/>
      <c r="EQ74" s="549" t="n"/>
      <c r="ER74" s="549" t="n"/>
      <c r="ES74" s="549" t="n"/>
      <c r="ET74" s="549" t="n"/>
      <c r="EU74" s="549" t="n"/>
      <c r="EV74" s="549" t="n"/>
      <c r="EW74" s="549" t="n"/>
      <c r="EX74" s="549" t="n"/>
      <c r="EY74" s="549" t="n"/>
      <c r="EZ74" s="549" t="n"/>
      <c r="FA74" s="549" t="n"/>
      <c r="FB74" s="549" t="n"/>
      <c r="FC74" s="549" t="n"/>
      <c r="FD74" s="549" t="n"/>
      <c r="FE74" s="549" t="n"/>
      <c r="FF74" s="549" t="n"/>
      <c r="FG74" s="549" t="n"/>
      <c r="FH74" s="549" t="n"/>
      <c r="FI74" s="549" t="n"/>
      <c r="FJ74" s="549" t="n"/>
      <c r="FK74" s="549" t="n"/>
      <c r="FL74" s="549" t="n"/>
      <c r="FM74" s="549" t="n"/>
      <c r="FN74" s="549" t="n"/>
      <c r="FO74" s="549" t="n"/>
      <c r="FP74" s="549" t="n"/>
      <c r="FQ74" s="549" t="n"/>
      <c r="FR74" s="549" t="n"/>
      <c r="FS74" s="549" t="n"/>
      <c r="FT74" s="549" t="n"/>
      <c r="FU74" s="549" t="n"/>
      <c r="FV74" s="549" t="n"/>
      <c r="FW74" s="549" t="n"/>
      <c r="FX74" s="549" t="n"/>
      <c r="FY74" s="549" t="n"/>
      <c r="FZ74" s="549" t="n"/>
      <c r="GA74" s="549" t="n"/>
      <c r="GB74" s="549" t="n"/>
      <c r="GC74" s="549" t="n"/>
      <c r="GD74" s="549" t="n"/>
      <c r="GE74" s="549" t="n"/>
      <c r="GF74" s="549" t="n"/>
      <c r="GG74" s="549" t="n"/>
      <c r="GH74" s="549" t="n"/>
      <c r="GI74" s="549" t="n"/>
      <c r="GJ74" s="549" t="n"/>
      <c r="GK74" s="549" t="n"/>
      <c r="GL74" s="549" t="n"/>
      <c r="GM74" s="549" t="n"/>
      <c r="GN74" s="549" t="n"/>
      <c r="GO74" s="549" t="n"/>
      <c r="GP74" s="549" t="n"/>
      <c r="GQ74" s="549" t="n"/>
      <c r="GR74" s="549" t="n"/>
      <c r="GS74" s="549" t="n"/>
      <c r="GT74" s="549" t="n"/>
      <c r="GU74" s="549" t="n"/>
      <c r="GV74" s="549" t="n"/>
      <c r="GW74" s="549" t="n"/>
      <c r="GX74" s="549" t="n"/>
      <c r="GY74" s="549" t="n"/>
      <c r="GZ74" s="549" t="n"/>
      <c r="HA74" s="549" t="n"/>
      <c r="HB74" s="549" t="n"/>
      <c r="HC74" s="549" t="n"/>
      <c r="HD74" s="549" t="n"/>
      <c r="HE74" s="549" t="n"/>
      <c r="HF74" s="549" t="n"/>
      <c r="HG74" s="549" t="n"/>
      <c r="HH74" s="549" t="n"/>
      <c r="HI74" s="549" t="n"/>
      <c r="HJ74" s="549" t="n"/>
      <c r="HK74" s="549" t="n"/>
      <c r="HL74" s="549" t="n"/>
      <c r="HM74" s="549" t="n"/>
      <c r="HN74" s="549" t="n"/>
      <c r="HO74" s="549" t="n"/>
      <c r="HP74" s="549" t="n"/>
      <c r="HQ74" s="549" t="n"/>
      <c r="HR74" s="549" t="n"/>
      <c r="HS74" s="549" t="n"/>
      <c r="HT74" s="549" t="n"/>
      <c r="HU74" s="549" t="n"/>
      <c r="JF74" s="549">
        <f>AP74</f>
        <v/>
      </c>
      <c r="JG74" s="549">
        <f>SUM(Z74:AK74)</f>
        <v/>
      </c>
      <c r="JH74" s="549">
        <f>SUM(AL74:AP74)</f>
        <v/>
      </c>
      <c r="JI74" s="549">
        <f>SUM(C74:AP74)</f>
        <v/>
      </c>
      <c r="JJ74" s="446" t="n"/>
      <c r="JM74" s="549" t="n"/>
      <c r="KG74" s="128">
        <f>B74</f>
        <v/>
      </c>
      <c r="KH74" s="553">
        <f>AR74</f>
        <v/>
      </c>
    </row>
    <row r="75" ht="16.2" customHeight="1" thickBot="1" thickTop="1">
      <c r="A75" s="126" t="inlineStr">
        <is>
          <t>SALDO DE CAIXA (MENSAL) C/ PROJEÇÃO</t>
        </is>
      </c>
      <c r="B75" s="557">
        <f>SUM(C75:AP75)</f>
        <v/>
      </c>
      <c r="C75" s="557">
        <f>C20+C69+C12</f>
        <v/>
      </c>
      <c r="D75" s="557">
        <f>D20+D69+D12</f>
        <v/>
      </c>
      <c r="E75" s="557">
        <f>E20+E69+E12</f>
        <v/>
      </c>
      <c r="F75" s="557">
        <f>F20+F69+F12</f>
        <v/>
      </c>
      <c r="G75" s="557">
        <f>G20+G69+G12</f>
        <v/>
      </c>
      <c r="H75" s="557">
        <f>H20+H69+H12</f>
        <v/>
      </c>
      <c r="I75" s="557">
        <f>I20+I69+I12</f>
        <v/>
      </c>
      <c r="J75" s="557">
        <f>J20+J69+J12</f>
        <v/>
      </c>
      <c r="K75" s="557">
        <f>K20+K69+K12</f>
        <v/>
      </c>
      <c r="L75" s="557">
        <f>L20+L69+L12</f>
        <v/>
      </c>
      <c r="M75" s="557">
        <f>M20+M69+M12</f>
        <v/>
      </c>
      <c r="N75" s="557">
        <f>N20+N69+N12</f>
        <v/>
      </c>
      <c r="O75" s="557">
        <f>O20+O69+O12</f>
        <v/>
      </c>
      <c r="P75" s="557">
        <f>P20+P69+P12</f>
        <v/>
      </c>
      <c r="Q75" s="557">
        <f>Q20+Q69+Q12</f>
        <v/>
      </c>
      <c r="R75" s="557">
        <f>R20+R69+R12</f>
        <v/>
      </c>
      <c r="S75" s="557">
        <f>S20+S69+S12</f>
        <v/>
      </c>
      <c r="T75" s="557">
        <f>T20+T69+T12</f>
        <v/>
      </c>
      <c r="U75" s="557">
        <f>U20+U69+U12</f>
        <v/>
      </c>
      <c r="V75" s="557">
        <f>V20+V69+V12</f>
        <v/>
      </c>
      <c r="W75" s="557">
        <f>W20+W69+W12</f>
        <v/>
      </c>
      <c r="X75" s="557">
        <f>X20+X69+X12</f>
        <v/>
      </c>
      <c r="Y75" s="557">
        <f>Y20+Y69+Y12</f>
        <v/>
      </c>
      <c r="Z75" s="557">
        <f>Z20+Z69+Z12</f>
        <v/>
      </c>
      <c r="AA75" s="557">
        <f>AA20+AA69+AA12</f>
        <v/>
      </c>
      <c r="AB75" s="557">
        <f>AB20+AB69+AB12</f>
        <v/>
      </c>
      <c r="AC75" s="557">
        <f>AC20+AC69+AC12</f>
        <v/>
      </c>
      <c r="AD75" s="557">
        <f>AD20+AD69+AD12</f>
        <v/>
      </c>
      <c r="AE75" s="557">
        <f>AE20+AE69+AE12</f>
        <v/>
      </c>
      <c r="AF75" s="557">
        <f>AF20+AF69+AF12</f>
        <v/>
      </c>
      <c r="AG75" s="557">
        <f>AG20+AG69+AG12</f>
        <v/>
      </c>
      <c r="AH75" s="557">
        <f>AH20+AH69+AH12</f>
        <v/>
      </c>
      <c r="AI75" s="557">
        <f>AI20+AI69+AI12</f>
        <v/>
      </c>
      <c r="AJ75" s="557">
        <f>AJ20+AJ69+AJ12</f>
        <v/>
      </c>
      <c r="AK75" s="557">
        <f>AK20+AK69+AK12</f>
        <v/>
      </c>
      <c r="AL75" s="557">
        <f>AL20+AL69+AL12</f>
        <v/>
      </c>
      <c r="AM75" s="557">
        <f>AM20+AM69+AM12</f>
        <v/>
      </c>
      <c r="AN75" s="557">
        <f>AN20+AN69+AN12</f>
        <v/>
      </c>
      <c r="AO75" s="557">
        <f>AO20+AO69+AO12</f>
        <v/>
      </c>
      <c r="AP75" s="557">
        <f>AP20+AP69+AP12</f>
        <v/>
      </c>
      <c r="AQ75" s="13" t="n"/>
      <c r="AR75" s="558" t="n"/>
      <c r="AS75" s="13" t="n"/>
      <c r="AT75" s="560">
        <f>AT20+AT69+AT12</f>
        <v/>
      </c>
      <c r="AU75" s="560">
        <f>AU20+AU69+AU12</f>
        <v/>
      </c>
      <c r="AV75" s="560">
        <f>AV20+AV69+AV12</f>
        <v/>
      </c>
      <c r="AW75" s="560">
        <f>AW20+AW69+AW12</f>
        <v/>
      </c>
      <c r="AX75" s="560">
        <f>AX20+AX69+AX12</f>
        <v/>
      </c>
      <c r="AY75" s="560">
        <f>AY20+AY69+AY12</f>
        <v/>
      </c>
      <c r="AZ75" s="560">
        <f>AZ20+AZ69+AZ12</f>
        <v/>
      </c>
      <c r="BA75" s="560">
        <f>BA20+BA69+BA12</f>
        <v/>
      </c>
      <c r="BB75" s="560">
        <f>BB20+BB69+BB12</f>
        <v/>
      </c>
      <c r="BC75" s="560">
        <f>BC20+BC69+BC12</f>
        <v/>
      </c>
      <c r="BD75" s="560">
        <f>BD20+BD69+BD12</f>
        <v/>
      </c>
      <c r="BE75" s="560">
        <f>BE20+BE69+BE12</f>
        <v/>
      </c>
      <c r="BF75" s="560">
        <f>BF20+BF69+BF12</f>
        <v/>
      </c>
      <c r="BG75" s="560">
        <f>BG20+BG69+BG12</f>
        <v/>
      </c>
      <c r="BH75" s="560">
        <f>BH20+BH69+BH12</f>
        <v/>
      </c>
      <c r="BI75" s="560">
        <f>BI20+BI69+BI12</f>
        <v/>
      </c>
      <c r="BJ75" s="560">
        <f>BJ20+BJ69+BJ12</f>
        <v/>
      </c>
      <c r="BK75" s="560">
        <f>BK20+BK69+BK12</f>
        <v/>
      </c>
      <c r="BL75" s="560">
        <f>BL20+BL69+BL12</f>
        <v/>
      </c>
      <c r="BM75" s="560">
        <f>BM20+BM69+BM12</f>
        <v/>
      </c>
      <c r="BN75" s="560">
        <f>BN20+BN69+BN12</f>
        <v/>
      </c>
      <c r="BO75" s="560">
        <f>BO20+BO69+BO12</f>
        <v/>
      </c>
      <c r="BP75" s="560">
        <f>BP20+BP69+BP12</f>
        <v/>
      </c>
      <c r="BQ75" s="560">
        <f>BQ20+BQ69+BQ12</f>
        <v/>
      </c>
      <c r="BR75" s="560">
        <f>BR20+BR69+BR12</f>
        <v/>
      </c>
      <c r="BS75" s="560">
        <f>BS20+BS69+BS12</f>
        <v/>
      </c>
      <c r="BT75" s="560">
        <f>BT20+BT69+BT12</f>
        <v/>
      </c>
      <c r="BU75" s="560">
        <f>BU20+BU69+BU12</f>
        <v/>
      </c>
      <c r="BV75" s="560">
        <f>BV20+BV69+BV12</f>
        <v/>
      </c>
      <c r="BW75" s="560">
        <f>BW20+BW69+BW12</f>
        <v/>
      </c>
      <c r="BX75" s="560">
        <f>BX20+BX69+BX12</f>
        <v/>
      </c>
      <c r="BY75" s="560">
        <f>BY20+BY69+BY12</f>
        <v/>
      </c>
      <c r="BZ75" s="560">
        <f>BZ20+BZ69+BZ12</f>
        <v/>
      </c>
      <c r="CA75" s="560">
        <f>CA20+CA69+CA12</f>
        <v/>
      </c>
      <c r="CB75" s="560">
        <f>CB20+CB69+CB12</f>
        <v/>
      </c>
      <c r="CC75" s="560">
        <f>CC20+CC69+CC12</f>
        <v/>
      </c>
      <c r="CD75" s="560">
        <f>CD20+CD69+CD12</f>
        <v/>
      </c>
      <c r="CE75" s="560">
        <f>CE20+CE69+CE12</f>
        <v/>
      </c>
      <c r="CF75" s="560">
        <f>CF20+CF69+CF12</f>
        <v/>
      </c>
      <c r="CG75" s="560">
        <f>CG20+CG69+CG12</f>
        <v/>
      </c>
      <c r="CH75" s="560">
        <f>CH20+CH69+CH12</f>
        <v/>
      </c>
      <c r="CI75" s="560">
        <f>CI20+CI69+CI12</f>
        <v/>
      </c>
      <c r="CJ75" s="560">
        <f>CJ20+CJ69+CJ12</f>
        <v/>
      </c>
      <c r="CK75" s="560">
        <f>CK20+CK69+CK12</f>
        <v/>
      </c>
      <c r="CL75" s="560">
        <f>CL20+CL69+CL12</f>
        <v/>
      </c>
      <c r="CM75" s="560">
        <f>CM20+CM69+CM12</f>
        <v/>
      </c>
      <c r="CN75" s="560">
        <f>CN20+CN69+CN12</f>
        <v/>
      </c>
      <c r="CO75" s="560">
        <f>CO20+CO69+CO12</f>
        <v/>
      </c>
      <c r="CP75" s="560">
        <f>CP20+CP69+CP12</f>
        <v/>
      </c>
      <c r="CQ75" s="560">
        <f>CQ20+CQ69+CQ12</f>
        <v/>
      </c>
      <c r="CR75" s="560">
        <f>CR20+CR69+CR12</f>
        <v/>
      </c>
      <c r="CS75" s="560">
        <f>CS20+CS69+CS12</f>
        <v/>
      </c>
      <c r="CT75" s="560">
        <f>CT20+CT69+CT12</f>
        <v/>
      </c>
      <c r="CU75" s="560">
        <f>CU20+CU69+CU12</f>
        <v/>
      </c>
      <c r="CV75" s="560">
        <f>CV20+CV69+CV12</f>
        <v/>
      </c>
      <c r="CW75" s="560">
        <f>CW20+CW69+CW12</f>
        <v/>
      </c>
      <c r="CX75" s="560">
        <f>CX20+CX69+CX12</f>
        <v/>
      </c>
      <c r="CY75" s="560">
        <f>CY20+CY69+CY12</f>
        <v/>
      </c>
      <c r="CZ75" s="560">
        <f>CZ20+CZ69+CZ12</f>
        <v/>
      </c>
      <c r="DA75" s="560">
        <f>DA20+DA69+DA12</f>
        <v/>
      </c>
      <c r="DB75" s="560">
        <f>DB20+DB69+DB12</f>
        <v/>
      </c>
      <c r="DC75" s="560">
        <f>DC20+DC69+DC12</f>
        <v/>
      </c>
      <c r="DD75" s="560">
        <f>DD20+DD69+DD12</f>
        <v/>
      </c>
      <c r="DE75" s="560">
        <f>DE20+DE69+DE12</f>
        <v/>
      </c>
      <c r="DF75" s="560">
        <f>DF20+DF69+DF12</f>
        <v/>
      </c>
      <c r="DG75" s="560">
        <f>DG20+DG69+DG12</f>
        <v/>
      </c>
      <c r="DH75" s="560">
        <f>DH20+DH69+DH12</f>
        <v/>
      </c>
      <c r="DI75" s="560">
        <f>DI20+DI69+DI12</f>
        <v/>
      </c>
      <c r="DJ75" s="560">
        <f>DJ20+DJ69+DJ12</f>
        <v/>
      </c>
      <c r="DK75" s="560">
        <f>DK20+DK69+DK12</f>
        <v/>
      </c>
      <c r="DL75" s="560">
        <f>DL20+DL69+DL12</f>
        <v/>
      </c>
      <c r="DM75" s="560">
        <f>DM20+DM69+DM12</f>
        <v/>
      </c>
      <c r="DN75" s="560">
        <f>DN20+DN69+DN12</f>
        <v/>
      </c>
      <c r="DO75" s="560">
        <f>DO20+DO69+DO12</f>
        <v/>
      </c>
      <c r="DP75" s="560">
        <f>DP20+DP69+DP12</f>
        <v/>
      </c>
      <c r="DQ75" s="560">
        <f>DQ20+DQ69+DQ12</f>
        <v/>
      </c>
      <c r="DR75" s="560">
        <f>DR20+DR69+DR12</f>
        <v/>
      </c>
      <c r="DS75" s="560">
        <f>DS20+DS69+DS12</f>
        <v/>
      </c>
      <c r="DT75" s="560">
        <f>DT20+DT69+DT12</f>
        <v/>
      </c>
      <c r="DU75" s="560">
        <f>DU20+DU69+DU12</f>
        <v/>
      </c>
      <c r="DV75" s="560">
        <f>DV20+DV69+DV12</f>
        <v/>
      </c>
      <c r="DW75" s="560">
        <f>DW20+DW69+DW12</f>
        <v/>
      </c>
      <c r="DX75" s="560">
        <f>DX20+DX69+DX12</f>
        <v/>
      </c>
      <c r="DY75" s="560">
        <f>DY20+DY69+DY12</f>
        <v/>
      </c>
      <c r="DZ75" s="560">
        <f>DZ20+DZ69+DZ12</f>
        <v/>
      </c>
      <c r="EA75" s="560">
        <f>EA20+EA69+EA12</f>
        <v/>
      </c>
      <c r="EB75" s="560">
        <f>EB20+EB69+EB12</f>
        <v/>
      </c>
      <c r="EC75" s="560">
        <f>EC20+EC69+EC12</f>
        <v/>
      </c>
      <c r="ED75" s="560">
        <f>ED20+ED69+ED12</f>
        <v/>
      </c>
      <c r="EE75" s="560">
        <f>EE20+EE69+EE12</f>
        <v/>
      </c>
      <c r="EF75" s="560">
        <f>EF20+EF69+EF12</f>
        <v/>
      </c>
      <c r="EG75" s="560">
        <f>EG20+EG69+EG12</f>
        <v/>
      </c>
      <c r="EH75" s="560">
        <f>EH20+EH69+EH12</f>
        <v/>
      </c>
      <c r="EI75" s="560">
        <f>EI20+EI69+EI12</f>
        <v/>
      </c>
      <c r="EJ75" s="560">
        <f>EJ20+EJ69+EJ12</f>
        <v/>
      </c>
      <c r="EK75" s="560">
        <f>EK20+EK69+EK12</f>
        <v/>
      </c>
      <c r="EL75" s="560">
        <f>EL20+EL69+EL12</f>
        <v/>
      </c>
      <c r="EM75" s="560">
        <f>EM20+EM69+EM12</f>
        <v/>
      </c>
      <c r="EN75" s="560">
        <f>EN20+EN69+EN12</f>
        <v/>
      </c>
      <c r="EO75" s="560">
        <f>EO20+EO69+EO12</f>
        <v/>
      </c>
      <c r="EP75" s="560">
        <f>EP20+EP69+EP12</f>
        <v/>
      </c>
      <c r="EQ75" s="560">
        <f>EQ20+EQ69+EQ12</f>
        <v/>
      </c>
      <c r="ER75" s="560">
        <f>ER20+ER69+ER12</f>
        <v/>
      </c>
      <c r="ES75" s="560">
        <f>ES20+ES69+ES12</f>
        <v/>
      </c>
      <c r="ET75" s="560">
        <f>ET20+ET69+ET12</f>
        <v/>
      </c>
      <c r="EU75" s="560">
        <f>EU20+EU69+EU12</f>
        <v/>
      </c>
      <c r="EV75" s="560">
        <f>EV20+EV69+EV12</f>
        <v/>
      </c>
      <c r="EW75" s="560">
        <f>EW20+EW69+EW12</f>
        <v/>
      </c>
      <c r="EX75" s="560">
        <f>EX20+EX69+EX12</f>
        <v/>
      </c>
      <c r="EY75" s="560">
        <f>EY20+EY69+EY12</f>
        <v/>
      </c>
      <c r="EZ75" s="560">
        <f>EZ20+EZ69+EZ12</f>
        <v/>
      </c>
      <c r="FA75" s="560">
        <f>FA20+FA69+FA12</f>
        <v/>
      </c>
      <c r="FB75" s="560">
        <f>FB20+FB69+FB12</f>
        <v/>
      </c>
      <c r="FC75" s="560">
        <f>FC20+FC69+FC12</f>
        <v/>
      </c>
      <c r="FD75" s="560">
        <f>FD20+FD69+FD12</f>
        <v/>
      </c>
      <c r="FE75" s="560">
        <f>FE20+FE69+FE12</f>
        <v/>
      </c>
      <c r="FF75" s="560">
        <f>FF20+FF69+FF12</f>
        <v/>
      </c>
      <c r="FG75" s="560">
        <f>FG20+FG69+FG12</f>
        <v/>
      </c>
      <c r="FH75" s="560">
        <f>FH20+FH69+FH12</f>
        <v/>
      </c>
      <c r="FI75" s="560">
        <f>FI20+FI69+FI12</f>
        <v/>
      </c>
      <c r="FJ75" s="560">
        <f>FJ20+FJ69+FJ12</f>
        <v/>
      </c>
      <c r="FK75" s="560">
        <f>FK20+FK69+FK12</f>
        <v/>
      </c>
      <c r="FL75" s="560">
        <f>FL20+FL69+FL12</f>
        <v/>
      </c>
      <c r="FM75" s="560">
        <f>FM20+FM69+FM12</f>
        <v/>
      </c>
      <c r="FN75" s="560">
        <f>FN20+FN69+FN12</f>
        <v/>
      </c>
      <c r="FO75" s="560">
        <f>FO20+FO69+FO12</f>
        <v/>
      </c>
      <c r="FP75" s="560">
        <f>FP20+FP69+FP12</f>
        <v/>
      </c>
      <c r="FQ75" s="560">
        <f>FQ20+FQ69+FQ12</f>
        <v/>
      </c>
      <c r="FR75" s="560">
        <f>FR20+FR69+FR12</f>
        <v/>
      </c>
      <c r="FS75" s="560">
        <f>FS20+FS69+FS12</f>
        <v/>
      </c>
      <c r="FT75" s="560">
        <f>FT20+FT69+FT12</f>
        <v/>
      </c>
      <c r="FU75" s="560">
        <f>FU20+FU69+FU12</f>
        <v/>
      </c>
      <c r="FV75" s="560">
        <f>FV20+FV69+FV12</f>
        <v/>
      </c>
      <c r="FW75" s="560">
        <f>FW20+FW69+FW12</f>
        <v/>
      </c>
      <c r="FX75" s="560">
        <f>FX20+FX69+FX12</f>
        <v/>
      </c>
      <c r="FY75" s="560">
        <f>FY20+FY69+FY12</f>
        <v/>
      </c>
      <c r="FZ75" s="560">
        <f>FZ20+FZ69+FZ12</f>
        <v/>
      </c>
      <c r="GA75" s="560">
        <f>GA20+GA69+GA12</f>
        <v/>
      </c>
      <c r="GB75" s="560">
        <f>GB20+GB69+GB12</f>
        <v/>
      </c>
      <c r="GC75" s="560">
        <f>GC20+GC69+GC12</f>
        <v/>
      </c>
      <c r="GD75" s="560">
        <f>GD20+GD69+GD12</f>
        <v/>
      </c>
      <c r="GE75" s="560">
        <f>GE20+GE69+GE12</f>
        <v/>
      </c>
      <c r="GF75" s="560">
        <f>GF20+GF69+GF12</f>
        <v/>
      </c>
      <c r="GG75" s="560">
        <f>GG20+GG69+GG12</f>
        <v/>
      </c>
      <c r="GH75" s="560">
        <f>GH20+GH69+GH12</f>
        <v/>
      </c>
      <c r="GI75" s="560">
        <f>GI20+GI69+GI12</f>
        <v/>
      </c>
      <c r="GJ75" s="560">
        <f>GJ20+GJ69+GJ12</f>
        <v/>
      </c>
      <c r="GK75" s="560">
        <f>GK20+GK69+GK12</f>
        <v/>
      </c>
      <c r="GL75" s="560">
        <f>GL20+GL69+GL12</f>
        <v/>
      </c>
      <c r="GM75" s="560">
        <f>GM20+GM69+GM12</f>
        <v/>
      </c>
      <c r="GN75" s="560">
        <f>GN20+GN69+GN12</f>
        <v/>
      </c>
      <c r="GO75" s="560">
        <f>GO20+GO69+GO12</f>
        <v/>
      </c>
      <c r="GP75" s="560">
        <f>GP20+GP69+GP12</f>
        <v/>
      </c>
      <c r="GQ75" s="560">
        <f>GQ20+GQ69+GQ12</f>
        <v/>
      </c>
      <c r="GR75" s="560">
        <f>GR20+GR69+GR12</f>
        <v/>
      </c>
      <c r="GS75" s="560">
        <f>GS20+GS69+GS12</f>
        <v/>
      </c>
      <c r="GT75" s="560">
        <f>GT20+GT69+GT12</f>
        <v/>
      </c>
      <c r="GU75" s="560">
        <f>GU20+GU69+GU12</f>
        <v/>
      </c>
      <c r="GV75" s="560">
        <f>GV20+GV69+GV12</f>
        <v/>
      </c>
      <c r="GW75" s="560">
        <f>GW20+GW69+GW12</f>
        <v/>
      </c>
      <c r="GX75" s="560">
        <f>GX20+GX69+GX12</f>
        <v/>
      </c>
      <c r="GY75" s="560">
        <f>GY20+GY69+GY12</f>
        <v/>
      </c>
      <c r="GZ75" s="560">
        <f>GZ20+GZ69+GZ12</f>
        <v/>
      </c>
      <c r="HA75" s="560">
        <f>HA20+HA69+HA12</f>
        <v/>
      </c>
      <c r="HB75" s="560">
        <f>HB20+HB69+HB12</f>
        <v/>
      </c>
      <c r="HC75" s="560">
        <f>HC20+HC69+HC12</f>
        <v/>
      </c>
      <c r="HD75" s="560">
        <f>HD20+HD69+HD12</f>
        <v/>
      </c>
      <c r="HE75" s="560">
        <f>HE20+HE69+HE12</f>
        <v/>
      </c>
      <c r="HF75" s="560">
        <f>HF20+HF69+HF12</f>
        <v/>
      </c>
      <c r="HG75" s="560">
        <f>HG20+HG69+HG12</f>
        <v/>
      </c>
      <c r="HH75" s="560">
        <f>HH20+HH69+HH12</f>
        <v/>
      </c>
      <c r="HI75" s="560">
        <f>HI20+HI69+HI12</f>
        <v/>
      </c>
      <c r="HJ75" s="560">
        <f>HJ20+HJ69+HJ12</f>
        <v/>
      </c>
      <c r="HK75" s="560">
        <f>HK20+HK69+HK12</f>
        <v/>
      </c>
      <c r="HL75" s="560">
        <f>HL20+HL69+HL12</f>
        <v/>
      </c>
      <c r="HM75" s="560">
        <f>HM20+HM69+HM12</f>
        <v/>
      </c>
      <c r="HN75" s="560">
        <f>HN20+HN69+HN12</f>
        <v/>
      </c>
      <c r="HO75" s="560">
        <f>HO20+HO69+HO12</f>
        <v/>
      </c>
      <c r="HP75" s="560">
        <f>HP20+HP69+HP12</f>
        <v/>
      </c>
      <c r="HQ75" s="560">
        <f>HQ20+HQ69+HQ12</f>
        <v/>
      </c>
      <c r="HR75" s="560">
        <f>HR20+HR69+HR12</f>
        <v/>
      </c>
      <c r="HS75" s="560">
        <f>HS20+HS69+HS12</f>
        <v/>
      </c>
      <c r="HT75" s="560">
        <f>HT20+HT69+HT12</f>
        <v/>
      </c>
      <c r="HU75" s="560">
        <f>HU20+HU69+HU12</f>
        <v/>
      </c>
      <c r="JF75" s="559">
        <f>AP75</f>
        <v/>
      </c>
      <c r="JG75" s="559">
        <f>SUM(Z75:AK75)</f>
        <v/>
      </c>
      <c r="JH75" s="559">
        <f>SUM(AL75:AP75)</f>
        <v/>
      </c>
      <c r="JI75" s="559">
        <f>SUM(C75:AP75)</f>
        <v/>
      </c>
      <c r="JJ75" s="446" t="n"/>
      <c r="JM75" s="560" t="n">
        <v>-1744189.481680871</v>
      </c>
      <c r="KG75" s="557">
        <f>B75</f>
        <v/>
      </c>
      <c r="KH75" s="558">
        <f>AR75</f>
        <v/>
      </c>
    </row>
    <row r="76" ht="16.2" customHeight="1" thickBot="1" thickTop="1">
      <c r="A76" s="127" t="inlineStr">
        <is>
          <t>SALDO ACUMULADO C/ PROJEÇÕES</t>
        </is>
      </c>
      <c r="B76" s="151" t="n"/>
      <c r="C76" s="561">
        <f>B76+C75</f>
        <v/>
      </c>
      <c r="D76" s="561">
        <f>C76+D75</f>
        <v/>
      </c>
      <c r="E76" s="562">
        <f>D76+E75</f>
        <v/>
      </c>
      <c r="F76" s="562">
        <f>E76+F75</f>
        <v/>
      </c>
      <c r="G76" s="562">
        <f>F76+G75</f>
        <v/>
      </c>
      <c r="H76" s="562">
        <f>G76+H75</f>
        <v/>
      </c>
      <c r="I76" s="563">
        <f>H76+I75</f>
        <v/>
      </c>
      <c r="J76" s="564">
        <f>I76+J75</f>
        <v/>
      </c>
      <c r="K76" s="565">
        <f>J76+K75</f>
        <v/>
      </c>
      <c r="L76" s="565">
        <f>K76+L75</f>
        <v/>
      </c>
      <c r="M76" s="566">
        <f>L76+M75</f>
        <v/>
      </c>
      <c r="N76" s="566">
        <f>M76+N75</f>
        <v/>
      </c>
      <c r="O76" s="566">
        <f>N76+O75</f>
        <v/>
      </c>
      <c r="P76" s="566">
        <f>O76+P75</f>
        <v/>
      </c>
      <c r="Q76" s="566">
        <f>P76+Q75</f>
        <v/>
      </c>
      <c r="R76" s="566">
        <f>Q76+R75</f>
        <v/>
      </c>
      <c r="S76" s="566">
        <f>R76+S75</f>
        <v/>
      </c>
      <c r="T76" s="566">
        <f>S76+T75</f>
        <v/>
      </c>
      <c r="U76" s="566">
        <f>T76+U75</f>
        <v/>
      </c>
      <c r="V76" s="566">
        <f>U76+V75</f>
        <v/>
      </c>
      <c r="W76" s="566">
        <f>V76+W75</f>
        <v/>
      </c>
      <c r="X76" s="566">
        <f>W76+X75</f>
        <v/>
      </c>
      <c r="Y76" s="566">
        <f>X76+Y75</f>
        <v/>
      </c>
      <c r="Z76" s="566">
        <f>Y76+Z75</f>
        <v/>
      </c>
      <c r="AA76" s="566">
        <f>Z76+AA75</f>
        <v/>
      </c>
      <c r="AB76" s="566">
        <f>AA76+AB75</f>
        <v/>
      </c>
      <c r="AC76" s="566">
        <f>AB76+AC75</f>
        <v/>
      </c>
      <c r="AD76" s="566">
        <f>AC76+AD75</f>
        <v/>
      </c>
      <c r="AE76" s="566">
        <f>AD76+AE75</f>
        <v/>
      </c>
      <c r="AF76" s="566">
        <f>AE76+AF75</f>
        <v/>
      </c>
      <c r="AG76" s="566">
        <f>AF76+AG75</f>
        <v/>
      </c>
      <c r="AH76" s="566">
        <f>AG76+AH75</f>
        <v/>
      </c>
      <c r="AI76" s="566">
        <f>AH76+AI75</f>
        <v/>
      </c>
      <c r="AJ76" s="566">
        <f>AI76+AJ75</f>
        <v/>
      </c>
      <c r="AK76" s="566">
        <f>AJ76+AK75</f>
        <v/>
      </c>
      <c r="AL76" s="566">
        <f>AK76+AL75</f>
        <v/>
      </c>
      <c r="AM76" s="566">
        <f>AL76+AM75</f>
        <v/>
      </c>
      <c r="AN76" s="566">
        <f>AM76+AN75</f>
        <v/>
      </c>
      <c r="AO76" s="566">
        <f>AN76+AO75</f>
        <v/>
      </c>
      <c r="AP76" s="566">
        <f>AO76+AP75</f>
        <v/>
      </c>
      <c r="AQ76" s="13" t="n"/>
      <c r="AR76" s="567" t="n"/>
      <c r="AS76" s="13" t="n"/>
      <c r="AT76" s="565">
        <f>AP76+AT75</f>
        <v/>
      </c>
      <c r="AU76" s="565">
        <f>AT76+AU75</f>
        <v/>
      </c>
      <c r="AV76" s="565">
        <f>AU76+AV75</f>
        <v/>
      </c>
      <c r="AW76" s="565">
        <f>AV76+AW75</f>
        <v/>
      </c>
      <c r="AX76" s="565">
        <f>AW76+AX75</f>
        <v/>
      </c>
      <c r="AY76" s="565">
        <f>AX76+AY75</f>
        <v/>
      </c>
      <c r="AZ76" s="565">
        <f>AY76+AZ75</f>
        <v/>
      </c>
      <c r="BA76" s="565">
        <f>AZ76+BA75</f>
        <v/>
      </c>
      <c r="BB76" s="565">
        <f>BA76+BB75</f>
        <v/>
      </c>
      <c r="BC76" s="565">
        <f>BB76+BC75</f>
        <v/>
      </c>
      <c r="BD76" s="565">
        <f>BC76+BD75</f>
        <v/>
      </c>
      <c r="BE76" s="565">
        <f>BD76+BE75</f>
        <v/>
      </c>
      <c r="BF76" s="565">
        <f>BE76+BF75</f>
        <v/>
      </c>
      <c r="BG76" s="565">
        <f>BF76+BG75</f>
        <v/>
      </c>
      <c r="BH76" s="565">
        <f>BG76+BH75</f>
        <v/>
      </c>
      <c r="BI76" s="565">
        <f>BH76+BI75</f>
        <v/>
      </c>
      <c r="BJ76" s="565">
        <f>BI76+BJ75</f>
        <v/>
      </c>
      <c r="BK76" s="565">
        <f>BJ76+BK75</f>
        <v/>
      </c>
      <c r="BL76" s="565">
        <f>BK76+BL75</f>
        <v/>
      </c>
      <c r="BM76" s="565">
        <f>BL76+BM75</f>
        <v/>
      </c>
      <c r="BN76" s="565">
        <f>BM76+BN75</f>
        <v/>
      </c>
      <c r="BO76" s="565">
        <f>BN76+BO75</f>
        <v/>
      </c>
      <c r="BP76" s="565">
        <f>BO76+BP75</f>
        <v/>
      </c>
      <c r="BQ76" s="565">
        <f>BP76+BQ75</f>
        <v/>
      </c>
      <c r="BR76" s="565">
        <f>BQ76+BR75</f>
        <v/>
      </c>
      <c r="BS76" s="565">
        <f>BR76+BS75</f>
        <v/>
      </c>
      <c r="BT76" s="565">
        <f>BS76+BT75</f>
        <v/>
      </c>
      <c r="BU76" s="565">
        <f>BT76+BU75</f>
        <v/>
      </c>
      <c r="BV76" s="565">
        <f>BU76+BV75</f>
        <v/>
      </c>
      <c r="BW76" s="565">
        <f>BV76+BW75</f>
        <v/>
      </c>
      <c r="BX76" s="565">
        <f>BW76+BX75</f>
        <v/>
      </c>
      <c r="BY76" s="565">
        <f>BX76+BY75</f>
        <v/>
      </c>
      <c r="BZ76" s="565">
        <f>BY76+BZ75</f>
        <v/>
      </c>
      <c r="CA76" s="565">
        <f>BZ76+CA75</f>
        <v/>
      </c>
      <c r="CB76" s="565">
        <f>CA76+CB75</f>
        <v/>
      </c>
      <c r="CC76" s="565">
        <f>CB76+CC75</f>
        <v/>
      </c>
      <c r="CD76" s="565">
        <f>CC76+CD75</f>
        <v/>
      </c>
      <c r="CE76" s="565">
        <f>CD76+CE75</f>
        <v/>
      </c>
      <c r="CF76" s="565">
        <f>CE76+CF75</f>
        <v/>
      </c>
      <c r="CG76" s="565">
        <f>CF76+CG75</f>
        <v/>
      </c>
      <c r="CH76" s="565">
        <f>CG76+CH75</f>
        <v/>
      </c>
      <c r="CI76" s="565">
        <f>CH76+CI75</f>
        <v/>
      </c>
      <c r="CJ76" s="565">
        <f>CI76+CJ75</f>
        <v/>
      </c>
      <c r="CK76" s="565">
        <f>CJ76+CK75</f>
        <v/>
      </c>
      <c r="CL76" s="565">
        <f>CK76+CL75</f>
        <v/>
      </c>
      <c r="CM76" s="565">
        <f>CL76+CM75</f>
        <v/>
      </c>
      <c r="CN76" s="565">
        <f>CM76+CN75</f>
        <v/>
      </c>
      <c r="CO76" s="565">
        <f>CN76+CO75</f>
        <v/>
      </c>
      <c r="CP76" s="565">
        <f>CO76+CP75</f>
        <v/>
      </c>
      <c r="CQ76" s="565">
        <f>CP76+CQ75</f>
        <v/>
      </c>
      <c r="CR76" s="565">
        <f>CQ76+CR75</f>
        <v/>
      </c>
      <c r="CS76" s="565">
        <f>CR76+CS75</f>
        <v/>
      </c>
      <c r="CT76" s="565">
        <f>CS76+CT75</f>
        <v/>
      </c>
      <c r="CU76" s="565">
        <f>CT76+CU75</f>
        <v/>
      </c>
      <c r="CV76" s="565">
        <f>CU76+CV75</f>
        <v/>
      </c>
      <c r="CW76" s="565">
        <f>CV76+CW75</f>
        <v/>
      </c>
      <c r="CX76" s="565">
        <f>CW76+CX75</f>
        <v/>
      </c>
      <c r="CY76" s="565">
        <f>CX76+CY75</f>
        <v/>
      </c>
      <c r="CZ76" s="565">
        <f>CY76+CZ75</f>
        <v/>
      </c>
      <c r="DA76" s="565">
        <f>CZ76+DA75</f>
        <v/>
      </c>
      <c r="DB76" s="565">
        <f>DA76+DB75</f>
        <v/>
      </c>
      <c r="DC76" s="565">
        <f>DB76+DC75</f>
        <v/>
      </c>
      <c r="DD76" s="565">
        <f>DC76+DD75</f>
        <v/>
      </c>
      <c r="DE76" s="565">
        <f>DD76+DE75</f>
        <v/>
      </c>
      <c r="DF76" s="565">
        <f>DE76+DF75</f>
        <v/>
      </c>
      <c r="DG76" s="565">
        <f>DF76+DG75</f>
        <v/>
      </c>
      <c r="DH76" s="565">
        <f>DG76+DH75</f>
        <v/>
      </c>
      <c r="DI76" s="565">
        <f>DH76+DI75</f>
        <v/>
      </c>
      <c r="DJ76" s="565">
        <f>DI76+DJ75</f>
        <v/>
      </c>
      <c r="DK76" s="565">
        <f>DJ76+DK75</f>
        <v/>
      </c>
      <c r="DL76" s="565">
        <f>DK76+DL75</f>
        <v/>
      </c>
      <c r="DM76" s="565">
        <f>DL76+DM75</f>
        <v/>
      </c>
      <c r="DN76" s="565">
        <f>DM76+DN75</f>
        <v/>
      </c>
      <c r="DO76" s="565">
        <f>DN76+DO75</f>
        <v/>
      </c>
      <c r="DP76" s="565">
        <f>DO76+DP75</f>
        <v/>
      </c>
      <c r="DQ76" s="565">
        <f>DP76+DQ75</f>
        <v/>
      </c>
      <c r="DR76" s="565">
        <f>DQ76+DR75</f>
        <v/>
      </c>
      <c r="DS76" s="565">
        <f>DR76+DS75</f>
        <v/>
      </c>
      <c r="DT76" s="565">
        <f>DS76+DT75</f>
        <v/>
      </c>
      <c r="DU76" s="565">
        <f>DT76+DU75</f>
        <v/>
      </c>
      <c r="DV76" s="565">
        <f>DU76+DV75</f>
        <v/>
      </c>
      <c r="DW76" s="565">
        <f>DV76+DW75</f>
        <v/>
      </c>
      <c r="DX76" s="565">
        <f>DW76+DX75</f>
        <v/>
      </c>
      <c r="DY76" s="565">
        <f>DX76+DY75</f>
        <v/>
      </c>
      <c r="DZ76" s="565">
        <f>DY76+DZ75</f>
        <v/>
      </c>
      <c r="EA76" s="565">
        <f>DZ76+EA75</f>
        <v/>
      </c>
      <c r="EB76" s="565">
        <f>EA76+EB75</f>
        <v/>
      </c>
      <c r="EC76" s="565">
        <f>EB76+EC75</f>
        <v/>
      </c>
      <c r="ED76" s="565">
        <f>EC76+ED75</f>
        <v/>
      </c>
      <c r="EE76" s="565">
        <f>ED76+EE75</f>
        <v/>
      </c>
      <c r="EF76" s="565">
        <f>EE76+EF75</f>
        <v/>
      </c>
      <c r="EG76" s="565">
        <f>EF76+EG75</f>
        <v/>
      </c>
      <c r="EH76" s="565">
        <f>EG76+EH75</f>
        <v/>
      </c>
      <c r="EI76" s="565">
        <f>EH76+EI75</f>
        <v/>
      </c>
      <c r="EJ76" s="565">
        <f>EI76+EJ75</f>
        <v/>
      </c>
      <c r="EK76" s="565">
        <f>EJ76+EK75</f>
        <v/>
      </c>
      <c r="EL76" s="565">
        <f>EK76+EL75</f>
        <v/>
      </c>
      <c r="EM76" s="565">
        <f>EL76+EM75</f>
        <v/>
      </c>
      <c r="EN76" s="565">
        <f>EM76+EN75</f>
        <v/>
      </c>
      <c r="EO76" s="565">
        <f>EN76+EO75</f>
        <v/>
      </c>
      <c r="EP76" s="565">
        <f>EO76+EP75</f>
        <v/>
      </c>
      <c r="EQ76" s="565">
        <f>EP76+EQ75</f>
        <v/>
      </c>
      <c r="ER76" s="565">
        <f>EQ76+ER75</f>
        <v/>
      </c>
      <c r="ES76" s="565">
        <f>ER76+ES75</f>
        <v/>
      </c>
      <c r="ET76" s="565">
        <f>ES76+ET75</f>
        <v/>
      </c>
      <c r="EU76" s="565">
        <f>ET76+EU75</f>
        <v/>
      </c>
      <c r="EV76" s="565">
        <f>EU76+EV75</f>
        <v/>
      </c>
      <c r="EW76" s="565">
        <f>EV76+EW75</f>
        <v/>
      </c>
      <c r="EX76" s="565">
        <f>EW76+EX75</f>
        <v/>
      </c>
      <c r="EY76" s="565">
        <f>EX76+EY75</f>
        <v/>
      </c>
      <c r="EZ76" s="565">
        <f>EY76+EZ75</f>
        <v/>
      </c>
      <c r="FA76" s="565">
        <f>EZ76+FA75</f>
        <v/>
      </c>
      <c r="FB76" s="565">
        <f>FA76+FB75</f>
        <v/>
      </c>
      <c r="FC76" s="565">
        <f>FB76+FC75</f>
        <v/>
      </c>
      <c r="FD76" s="565">
        <f>FC76+FD75</f>
        <v/>
      </c>
      <c r="FE76" s="565">
        <f>FD76+FE75</f>
        <v/>
      </c>
      <c r="FF76" s="565">
        <f>FE76+FF75</f>
        <v/>
      </c>
      <c r="FG76" s="565">
        <f>FF76+FG75</f>
        <v/>
      </c>
      <c r="FH76" s="565">
        <f>FG76+FH75</f>
        <v/>
      </c>
      <c r="FI76" s="565">
        <f>FH76+FI75</f>
        <v/>
      </c>
      <c r="FJ76" s="565">
        <f>FI76+FJ75</f>
        <v/>
      </c>
      <c r="FK76" s="565">
        <f>FJ76+FK75</f>
        <v/>
      </c>
      <c r="FL76" s="565">
        <f>FK76+FL75</f>
        <v/>
      </c>
      <c r="FM76" s="565">
        <f>FL76+FM75</f>
        <v/>
      </c>
      <c r="FN76" s="565">
        <f>FM76+FN75</f>
        <v/>
      </c>
      <c r="FO76" s="565">
        <f>FN76+FO75</f>
        <v/>
      </c>
      <c r="FP76" s="565">
        <f>FO76+FP75</f>
        <v/>
      </c>
      <c r="FQ76" s="565">
        <f>FP76+FQ75</f>
        <v/>
      </c>
      <c r="FR76" s="565">
        <f>FQ76+FR75</f>
        <v/>
      </c>
      <c r="FS76" s="565">
        <f>FR76+FS75</f>
        <v/>
      </c>
      <c r="FT76" s="565">
        <f>FS76+FT75</f>
        <v/>
      </c>
      <c r="FU76" s="565">
        <f>FT76+FU75</f>
        <v/>
      </c>
      <c r="FV76" s="565">
        <f>FU76+FV75</f>
        <v/>
      </c>
      <c r="FW76" s="565">
        <f>FV76+FW75</f>
        <v/>
      </c>
      <c r="FX76" s="565">
        <f>FW76+FX75</f>
        <v/>
      </c>
      <c r="FY76" s="565">
        <f>FX76+FY75</f>
        <v/>
      </c>
      <c r="FZ76" s="565">
        <f>FY76+FZ75</f>
        <v/>
      </c>
      <c r="GA76" s="565">
        <f>FZ76+GA75</f>
        <v/>
      </c>
      <c r="GB76" s="565">
        <f>GA76+GB75</f>
        <v/>
      </c>
      <c r="GC76" s="565">
        <f>GB76+GC75</f>
        <v/>
      </c>
      <c r="GD76" s="565">
        <f>GC76+GD75</f>
        <v/>
      </c>
      <c r="GE76" s="565">
        <f>GD76+GE75</f>
        <v/>
      </c>
      <c r="GF76" s="565">
        <f>GE76+GF75</f>
        <v/>
      </c>
      <c r="GG76" s="565">
        <f>GF76+GG75</f>
        <v/>
      </c>
      <c r="GH76" s="565">
        <f>GG76+GH75</f>
        <v/>
      </c>
      <c r="GI76" s="565">
        <f>GH76+GI75</f>
        <v/>
      </c>
      <c r="GJ76" s="565">
        <f>GI76+GJ75</f>
        <v/>
      </c>
      <c r="GK76" s="565">
        <f>GJ76+GK75</f>
        <v/>
      </c>
      <c r="GL76" s="565">
        <f>GK76+GL75</f>
        <v/>
      </c>
      <c r="GM76" s="565">
        <f>GL76+GM75</f>
        <v/>
      </c>
      <c r="GN76" s="565">
        <f>GM76+GN75</f>
        <v/>
      </c>
      <c r="GO76" s="565">
        <f>GN76+GO75</f>
        <v/>
      </c>
      <c r="GP76" s="565">
        <f>GO76+GP75</f>
        <v/>
      </c>
      <c r="GQ76" s="565">
        <f>GP76+GQ75</f>
        <v/>
      </c>
      <c r="GR76" s="565">
        <f>GQ76+GR75</f>
        <v/>
      </c>
      <c r="GS76" s="565">
        <f>GR76+GS75</f>
        <v/>
      </c>
      <c r="GT76" s="565">
        <f>GS76+GT75</f>
        <v/>
      </c>
      <c r="GU76" s="565">
        <f>GT76+GU75</f>
        <v/>
      </c>
      <c r="GV76" s="565">
        <f>GU76+GV75</f>
        <v/>
      </c>
      <c r="GW76" s="565">
        <f>GV76+GW75</f>
        <v/>
      </c>
      <c r="GX76" s="565">
        <f>GW76+GX75</f>
        <v/>
      </c>
      <c r="GY76" s="565">
        <f>GX76+GY75</f>
        <v/>
      </c>
      <c r="GZ76" s="565">
        <f>GY76+GZ75</f>
        <v/>
      </c>
      <c r="HA76" s="565">
        <f>GZ76+HA75</f>
        <v/>
      </c>
      <c r="HB76" s="565">
        <f>HA76+HB75</f>
        <v/>
      </c>
      <c r="HC76" s="565">
        <f>HB76+HC75</f>
        <v/>
      </c>
      <c r="HD76" s="565">
        <f>HC76+HD75</f>
        <v/>
      </c>
      <c r="HE76" s="565">
        <f>HD76+HE75</f>
        <v/>
      </c>
      <c r="HF76" s="565">
        <f>HE76+HF75</f>
        <v/>
      </c>
      <c r="HG76" s="565">
        <f>HF76+HG75</f>
        <v/>
      </c>
      <c r="HH76" s="565">
        <f>HG76+HH75</f>
        <v/>
      </c>
      <c r="HI76" s="565">
        <f>HH76+HI75</f>
        <v/>
      </c>
      <c r="HJ76" s="565">
        <f>HI76+HJ75</f>
        <v/>
      </c>
      <c r="HK76" s="565">
        <f>HJ76+HK75</f>
        <v/>
      </c>
      <c r="HL76" s="565">
        <f>HK76+HL75</f>
        <v/>
      </c>
      <c r="HM76" s="565">
        <f>HL76+HM75</f>
        <v/>
      </c>
      <c r="HN76" s="565">
        <f>HM76+HN75</f>
        <v/>
      </c>
      <c r="HO76" s="565">
        <f>HN76+HO75</f>
        <v/>
      </c>
      <c r="HP76" s="565">
        <f>HO76+HP75</f>
        <v/>
      </c>
      <c r="HQ76" s="565">
        <f>HP76+HQ75</f>
        <v/>
      </c>
      <c r="HR76" s="565">
        <f>HQ76+HR75</f>
        <v/>
      </c>
      <c r="HS76" s="565">
        <f>HR76+HS75</f>
        <v/>
      </c>
      <c r="HT76" s="565">
        <f>HS76+HT75</f>
        <v/>
      </c>
      <c r="HU76" s="565">
        <f>HT76+HU75</f>
        <v/>
      </c>
      <c r="JF76" s="565">
        <f>AP76</f>
        <v/>
      </c>
      <c r="JG76" s="565">
        <f>SUM(Z76:AK76)</f>
        <v/>
      </c>
      <c r="JH76" s="565">
        <f>SUM(AL76:AP76)</f>
        <v/>
      </c>
      <c r="JI76" s="565">
        <f>SUM(C76:AP76)</f>
        <v/>
      </c>
      <c r="JJ76" s="446" t="n"/>
      <c r="JM76" s="565" t="n">
        <v>10827059.36831913</v>
      </c>
      <c r="KG76" s="151">
        <f>B76</f>
        <v/>
      </c>
      <c r="KH76" s="567">
        <f>AR76</f>
        <v/>
      </c>
    </row>
    <row r="77" ht="16.2" customHeight="1">
      <c r="A77" s="1" t="n"/>
      <c r="B77" s="1" t="n"/>
      <c r="C77" s="1" t="inlineStr">
        <is>
          <t> </t>
        </is>
      </c>
      <c r="D77" s="1" t="n"/>
      <c r="E77" s="1" t="n"/>
      <c r="F77" s="1" t="n"/>
      <c r="G77" s="1" t="n"/>
      <c r="H77" s="1" t="n"/>
      <c r="I77" s="1" t="n"/>
      <c r="J77" s="476" t="n"/>
      <c r="K77" s="476" t="n"/>
      <c r="L77" s="476" t="n"/>
      <c r="M77" s="476" t="n"/>
      <c r="N77" s="476" t="n"/>
      <c r="O77" s="476" t="n"/>
      <c r="P77" s="476" t="n"/>
      <c r="Q77" s="476" t="n"/>
      <c r="R77" s="476" t="n"/>
      <c r="S77" s="476" t="n"/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289" t="n"/>
      <c r="BE77" s="318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289" t="n"/>
      <c r="BQ77" s="315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28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283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289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JM77" s="1" t="n"/>
      <c r="KG77" s="1" t="n"/>
      <c r="KH77" s="1" t="n"/>
    </row>
    <row r="78">
      <c r="AD78" s="578" t="n"/>
      <c r="AE78" s="578" t="n"/>
      <c r="AF78" s="578" t="n"/>
      <c r="AG78" s="578" t="n"/>
      <c r="AH78" s="578" t="n"/>
      <c r="AI78" s="578" t="n"/>
      <c r="AJ78" s="578" t="n"/>
      <c r="AK78" s="578" t="n"/>
      <c r="AL78" s="578" t="n"/>
      <c r="AM78" s="579" t="n"/>
      <c r="AN78" s="578" t="n"/>
      <c r="AO78" s="578" t="n"/>
      <c r="AP78" s="578" t="n"/>
      <c r="AR78" s="580" t="n"/>
      <c r="AT78" s="374">
        <f>AT5</f>
        <v/>
      </c>
      <c r="AU78" s="374">
        <f>AU5</f>
        <v/>
      </c>
      <c r="AV78" s="374">
        <f>AV5</f>
        <v/>
      </c>
      <c r="AW78" s="374">
        <f>AW5</f>
        <v/>
      </c>
      <c r="AX78" s="374">
        <f>AX5</f>
        <v/>
      </c>
      <c r="AY78" s="374">
        <f>AY5</f>
        <v/>
      </c>
      <c r="AZ78" s="374">
        <f>AZ5</f>
        <v/>
      </c>
      <c r="BA78" s="374">
        <f>BA5</f>
        <v/>
      </c>
      <c r="BB78" s="374">
        <f>BB5</f>
        <v/>
      </c>
      <c r="BC78" s="374">
        <f>BC5</f>
        <v/>
      </c>
      <c r="BD78" s="374">
        <f>BD5</f>
        <v/>
      </c>
      <c r="BE78" s="374">
        <f>BE5</f>
        <v/>
      </c>
      <c r="BF78" s="374">
        <f>BF5</f>
        <v/>
      </c>
      <c r="BG78" s="374">
        <f>BG5</f>
        <v/>
      </c>
      <c r="BH78" s="374">
        <f>BH5</f>
        <v/>
      </c>
      <c r="BI78" s="374">
        <f>BI5</f>
        <v/>
      </c>
      <c r="BJ78" s="374">
        <f>BJ5</f>
        <v/>
      </c>
      <c r="BK78" s="374">
        <f>BK5</f>
        <v/>
      </c>
      <c r="BL78" s="374">
        <f>BL5</f>
        <v/>
      </c>
      <c r="BM78" s="374">
        <f>BM5</f>
        <v/>
      </c>
      <c r="BN78" s="374">
        <f>BN5</f>
        <v/>
      </c>
      <c r="BO78" s="374">
        <f>BO5</f>
        <v/>
      </c>
      <c r="BP78" s="374">
        <f>BP5</f>
        <v/>
      </c>
      <c r="BQ78" s="374">
        <f>BQ5</f>
        <v/>
      </c>
      <c r="BR78" s="374">
        <f>BR5</f>
        <v/>
      </c>
      <c r="BS78" s="374">
        <f>BS5</f>
        <v/>
      </c>
      <c r="BT78" s="374">
        <f>BT5</f>
        <v/>
      </c>
      <c r="BU78" s="374">
        <f>BU5</f>
        <v/>
      </c>
      <c r="BV78" s="374">
        <f>BV5</f>
        <v/>
      </c>
      <c r="BW78" s="374">
        <f>BW5</f>
        <v/>
      </c>
      <c r="BX78" s="374">
        <f>BX5</f>
        <v/>
      </c>
      <c r="BY78" s="374">
        <f>BY5</f>
        <v/>
      </c>
      <c r="BZ78" s="374">
        <f>BZ5</f>
        <v/>
      </c>
      <c r="CA78" s="374">
        <f>CA5</f>
        <v/>
      </c>
      <c r="CB78" s="374">
        <f>CB5</f>
        <v/>
      </c>
      <c r="CC78" s="374">
        <f>CC5</f>
        <v/>
      </c>
      <c r="CD78" s="374">
        <f>CD5</f>
        <v/>
      </c>
      <c r="CE78" s="374">
        <f>CE5</f>
        <v/>
      </c>
      <c r="CF78" s="374">
        <f>CF5</f>
        <v/>
      </c>
      <c r="CG78" s="374">
        <f>CG5</f>
        <v/>
      </c>
      <c r="CH78" s="374">
        <f>CH5</f>
        <v/>
      </c>
      <c r="CI78" s="374">
        <f>CI5</f>
        <v/>
      </c>
      <c r="CJ78" s="374">
        <f>CJ5</f>
        <v/>
      </c>
      <c r="CK78" s="374">
        <f>CK5</f>
        <v/>
      </c>
      <c r="CL78" s="374">
        <f>CL5</f>
        <v/>
      </c>
      <c r="CM78" s="374">
        <f>CM5</f>
        <v/>
      </c>
      <c r="CN78" s="374">
        <f>CN5</f>
        <v/>
      </c>
      <c r="CO78" s="374">
        <f>CO5</f>
        <v/>
      </c>
      <c r="CP78" s="374">
        <f>CP5</f>
        <v/>
      </c>
      <c r="CQ78" s="374">
        <f>CQ5</f>
        <v/>
      </c>
      <c r="CR78" s="374">
        <f>CR5</f>
        <v/>
      </c>
      <c r="CS78" s="374">
        <f>CS5</f>
        <v/>
      </c>
      <c r="CT78" s="374">
        <f>CT5</f>
        <v/>
      </c>
      <c r="CU78" s="374">
        <f>CU5</f>
        <v/>
      </c>
      <c r="CV78" s="374">
        <f>CV5</f>
        <v/>
      </c>
      <c r="CW78" s="374">
        <f>CW5</f>
        <v/>
      </c>
      <c r="CX78" s="374">
        <f>CX5</f>
        <v/>
      </c>
      <c r="CY78" s="374">
        <f>CY5</f>
        <v/>
      </c>
      <c r="CZ78" s="374">
        <f>CZ5</f>
        <v/>
      </c>
      <c r="DA78" s="374">
        <f>DA5</f>
        <v/>
      </c>
      <c r="DB78" s="374">
        <f>DB5</f>
        <v/>
      </c>
      <c r="DC78" s="374">
        <f>DC5</f>
        <v/>
      </c>
      <c r="DD78" s="374">
        <f>DD5</f>
        <v/>
      </c>
      <c r="DE78" s="374">
        <f>DE5</f>
        <v/>
      </c>
      <c r="DF78" s="374">
        <f>DF5</f>
        <v/>
      </c>
      <c r="DG78" s="374">
        <f>DG5</f>
        <v/>
      </c>
      <c r="DH78" s="374">
        <f>DH5</f>
        <v/>
      </c>
      <c r="DI78" s="374">
        <f>DI5</f>
        <v/>
      </c>
      <c r="DJ78" s="374">
        <f>DJ5</f>
        <v/>
      </c>
      <c r="DK78" s="374">
        <f>DK5</f>
        <v/>
      </c>
      <c r="DL78" s="374">
        <f>DL5</f>
        <v/>
      </c>
      <c r="DM78" s="374">
        <f>DM5</f>
        <v/>
      </c>
      <c r="DN78" s="374">
        <f>DN5</f>
        <v/>
      </c>
      <c r="DO78" s="374">
        <f>DO5</f>
        <v/>
      </c>
      <c r="DP78" s="374">
        <f>DP5</f>
        <v/>
      </c>
      <c r="DQ78" s="374">
        <f>DQ5</f>
        <v/>
      </c>
      <c r="DR78" s="374">
        <f>DR5</f>
        <v/>
      </c>
      <c r="DS78" s="374">
        <f>DS5</f>
        <v/>
      </c>
      <c r="DT78" s="374">
        <f>DT5</f>
        <v/>
      </c>
      <c r="DU78" s="374">
        <f>DU5</f>
        <v/>
      </c>
      <c r="DV78" s="374">
        <f>DV5</f>
        <v/>
      </c>
      <c r="DW78" s="374">
        <f>DW5</f>
        <v/>
      </c>
      <c r="DX78" s="374">
        <f>DX5</f>
        <v/>
      </c>
      <c r="DY78" s="374">
        <f>DY5</f>
        <v/>
      </c>
      <c r="DZ78" s="374">
        <f>DZ5</f>
        <v/>
      </c>
      <c r="EA78" s="374">
        <f>EA5</f>
        <v/>
      </c>
      <c r="EB78" s="374">
        <f>EB5</f>
        <v/>
      </c>
      <c r="EC78" s="374">
        <f>EC5</f>
        <v/>
      </c>
      <c r="ED78" s="374">
        <f>ED5</f>
        <v/>
      </c>
      <c r="EE78" s="374">
        <f>EE5</f>
        <v/>
      </c>
      <c r="EF78" s="374">
        <f>EF5</f>
        <v/>
      </c>
      <c r="EG78" s="374">
        <f>EG5</f>
        <v/>
      </c>
      <c r="EH78" s="374">
        <f>EH5</f>
        <v/>
      </c>
      <c r="EI78" s="374">
        <f>EI5</f>
        <v/>
      </c>
      <c r="EJ78" s="374">
        <f>EJ5</f>
        <v/>
      </c>
      <c r="EK78" s="374">
        <f>EK5</f>
        <v/>
      </c>
      <c r="EL78" s="374">
        <f>EL5</f>
        <v/>
      </c>
      <c r="EM78" s="374">
        <f>EM5</f>
        <v/>
      </c>
      <c r="EN78" s="374">
        <f>EN5</f>
        <v/>
      </c>
      <c r="EO78" s="374">
        <f>EO5</f>
        <v/>
      </c>
      <c r="EP78" s="374">
        <f>EP5</f>
        <v/>
      </c>
      <c r="EQ78" s="374">
        <f>EQ5</f>
        <v/>
      </c>
      <c r="ER78" s="374">
        <f>ER5</f>
        <v/>
      </c>
      <c r="ES78" s="374">
        <f>ES5</f>
        <v/>
      </c>
      <c r="ET78" s="374">
        <f>ET5</f>
        <v/>
      </c>
      <c r="EU78" s="374">
        <f>EU5</f>
        <v/>
      </c>
      <c r="EV78" s="374">
        <f>EV5</f>
        <v/>
      </c>
      <c r="EW78" s="374">
        <f>EW5</f>
        <v/>
      </c>
      <c r="EX78" s="374">
        <f>EX5</f>
        <v/>
      </c>
      <c r="EY78" s="374">
        <f>EY5</f>
        <v/>
      </c>
      <c r="EZ78" s="374">
        <f>EZ5</f>
        <v/>
      </c>
      <c r="FA78" s="374">
        <f>FA5</f>
        <v/>
      </c>
      <c r="FB78" s="374">
        <f>FB5</f>
        <v/>
      </c>
      <c r="FC78" s="374">
        <f>FC5</f>
        <v/>
      </c>
      <c r="FD78" s="374">
        <f>FD5</f>
        <v/>
      </c>
      <c r="FE78" s="374">
        <f>FE5</f>
        <v/>
      </c>
      <c r="FF78" s="374">
        <f>FF5</f>
        <v/>
      </c>
      <c r="FG78" s="374">
        <f>FG5</f>
        <v/>
      </c>
      <c r="FH78" s="374">
        <f>FH5</f>
        <v/>
      </c>
      <c r="FI78" s="374">
        <f>FI5</f>
        <v/>
      </c>
      <c r="FJ78" s="374">
        <f>FJ5</f>
        <v/>
      </c>
      <c r="FK78" s="374">
        <f>FK5</f>
        <v/>
      </c>
      <c r="FL78" s="374">
        <f>FL5</f>
        <v/>
      </c>
      <c r="FM78" s="374">
        <f>FM5</f>
        <v/>
      </c>
      <c r="FN78" s="374">
        <f>FN5</f>
        <v/>
      </c>
      <c r="FO78" s="374">
        <f>FO5</f>
        <v/>
      </c>
      <c r="FP78" s="374">
        <f>FP5</f>
        <v/>
      </c>
      <c r="FQ78" s="374">
        <f>FQ5</f>
        <v/>
      </c>
      <c r="FR78" s="374">
        <f>FR5</f>
        <v/>
      </c>
      <c r="FS78" s="374">
        <f>FS5</f>
        <v/>
      </c>
      <c r="FT78" s="374">
        <f>FT5</f>
        <v/>
      </c>
      <c r="FU78" s="374">
        <f>FU5</f>
        <v/>
      </c>
      <c r="FV78" s="374">
        <f>FV5</f>
        <v/>
      </c>
      <c r="FW78" s="374">
        <f>FW5</f>
        <v/>
      </c>
      <c r="FX78" s="374">
        <f>FX5</f>
        <v/>
      </c>
      <c r="FY78" s="374">
        <f>FY5</f>
        <v/>
      </c>
      <c r="FZ78" s="374">
        <f>FZ5</f>
        <v/>
      </c>
      <c r="GA78" s="374">
        <f>GA5</f>
        <v/>
      </c>
      <c r="GB78" s="374">
        <f>GB5</f>
        <v/>
      </c>
      <c r="GC78" s="374">
        <f>GC5</f>
        <v/>
      </c>
      <c r="GD78" s="374">
        <f>GD5</f>
        <v/>
      </c>
      <c r="GE78" s="374">
        <f>GE5</f>
        <v/>
      </c>
      <c r="GF78" s="374">
        <f>GF5</f>
        <v/>
      </c>
      <c r="GG78" s="374">
        <f>GG5</f>
        <v/>
      </c>
      <c r="GH78" s="374">
        <f>GH5</f>
        <v/>
      </c>
      <c r="GI78" s="374">
        <f>GI5</f>
        <v/>
      </c>
      <c r="GJ78" s="374">
        <f>GJ5</f>
        <v/>
      </c>
      <c r="GK78" s="374">
        <f>GK5</f>
        <v/>
      </c>
      <c r="GL78" s="374">
        <f>GL5</f>
        <v/>
      </c>
      <c r="GM78" s="374">
        <f>GM5</f>
        <v/>
      </c>
      <c r="GN78" s="374">
        <f>GN5</f>
        <v/>
      </c>
      <c r="GO78" s="374">
        <f>GO5</f>
        <v/>
      </c>
      <c r="GP78" s="374">
        <f>GP5</f>
        <v/>
      </c>
      <c r="GQ78" s="374">
        <f>GQ5</f>
        <v/>
      </c>
      <c r="GR78" s="374">
        <f>GR5</f>
        <v/>
      </c>
      <c r="GS78" s="374">
        <f>GS5</f>
        <v/>
      </c>
      <c r="GT78" s="374">
        <f>GT5</f>
        <v/>
      </c>
      <c r="GU78" s="374">
        <f>GU5</f>
        <v/>
      </c>
      <c r="GV78" s="374">
        <f>GV5</f>
        <v/>
      </c>
      <c r="GW78" s="374">
        <f>GW5</f>
        <v/>
      </c>
      <c r="GX78" s="374">
        <f>GX5</f>
        <v/>
      </c>
      <c r="GY78" s="374">
        <f>GY5</f>
        <v/>
      </c>
      <c r="GZ78" s="374">
        <f>GZ5</f>
        <v/>
      </c>
      <c r="HA78" s="374">
        <f>HA5</f>
        <v/>
      </c>
      <c r="HB78" s="374">
        <f>HB5</f>
        <v/>
      </c>
      <c r="HC78" s="374">
        <f>HC5</f>
        <v/>
      </c>
      <c r="HD78" s="374">
        <f>HD5</f>
        <v/>
      </c>
      <c r="HE78" s="374">
        <f>HE5</f>
        <v/>
      </c>
      <c r="HF78" s="374">
        <f>HF5</f>
        <v/>
      </c>
      <c r="HG78" s="374">
        <f>HG5</f>
        <v/>
      </c>
      <c r="HH78" s="374">
        <f>HH5</f>
        <v/>
      </c>
      <c r="HI78" s="374">
        <f>HI5</f>
        <v/>
      </c>
      <c r="HJ78" s="374">
        <f>HJ5</f>
        <v/>
      </c>
      <c r="HK78" s="374">
        <f>HK5</f>
        <v/>
      </c>
      <c r="HL78" s="374">
        <f>HL5</f>
        <v/>
      </c>
      <c r="HM78" s="374">
        <f>HM5</f>
        <v/>
      </c>
      <c r="HN78" s="374">
        <f>HN5</f>
        <v/>
      </c>
      <c r="HO78" s="374">
        <f>HO5</f>
        <v/>
      </c>
      <c r="HP78" s="374">
        <f>HP5</f>
        <v/>
      </c>
      <c r="HQ78" s="374">
        <f>HQ5</f>
        <v/>
      </c>
      <c r="HR78" s="374">
        <f>HR5</f>
        <v/>
      </c>
      <c r="HS78" s="374">
        <f>HS5</f>
        <v/>
      </c>
      <c r="HT78" s="374">
        <f>HT5</f>
        <v/>
      </c>
      <c r="HU78" s="374">
        <f>HU5</f>
        <v/>
      </c>
      <c r="KH78" s="580" t="n"/>
    </row>
    <row r="79" ht="12" customHeight="1">
      <c r="AE79" s="372" t="n">
        <v>8913488.700000003</v>
      </c>
      <c r="AF79" s="372" t="n">
        <v>9444535.850000007</v>
      </c>
      <c r="AG79" s="372" t="n"/>
      <c r="AH79" s="372" t="n"/>
      <c r="AI79" s="372" t="n"/>
      <c r="AJ79" s="372" t="n"/>
      <c r="AK79" s="372" t="n"/>
      <c r="AL79" s="372" t="n"/>
      <c r="AM79" s="372" t="n"/>
      <c r="AN79" s="372" t="n"/>
      <c r="AO79" s="372" t="n"/>
      <c r="AP79" s="372" t="n"/>
      <c r="BF79" s="373" t="inlineStr">
        <is>
          <t>PREVISÃO DE</t>
        </is>
      </c>
      <c r="BR79" s="413" t="inlineStr">
        <is>
          <t>1º ano pós obra</t>
        </is>
      </c>
      <c r="CD79" s="413" t="inlineStr">
        <is>
          <t>2º ano pós obra</t>
        </is>
      </c>
      <c r="CP79" s="413" t="inlineStr">
        <is>
          <t>3º ano pós obra</t>
        </is>
      </c>
      <c r="DB79" s="413" t="inlineStr">
        <is>
          <t>4º ano pós obra</t>
        </is>
      </c>
      <c r="DN79" s="413" t="inlineStr">
        <is>
          <t>5º ano pós obra</t>
        </is>
      </c>
      <c r="DZ79" s="413" t="inlineStr">
        <is>
          <t>6º ano pós obra</t>
        </is>
      </c>
      <c r="EL79" s="413" t="inlineStr">
        <is>
          <t>7º ano pós obra</t>
        </is>
      </c>
      <c r="EX79" s="413" t="inlineStr">
        <is>
          <t>8º ano pós obra</t>
        </is>
      </c>
      <c r="FJ79" s="413" t="inlineStr">
        <is>
          <t>9º ano pós obra</t>
        </is>
      </c>
      <c r="FV79" s="413" t="inlineStr">
        <is>
          <t>10º ano pós obra</t>
        </is>
      </c>
      <c r="GH79" s="413" t="inlineStr">
        <is>
          <t>11º ano pós obra</t>
        </is>
      </c>
      <c r="GT79" s="413" t="inlineStr">
        <is>
          <t>12º ano pós obra</t>
        </is>
      </c>
      <c r="HF79" s="413" t="inlineStr">
        <is>
          <t>13º ano pós obra</t>
        </is>
      </c>
      <c r="HR79" s="413" t="inlineStr">
        <is>
          <t>14º ano pós obra</t>
        </is>
      </c>
      <c r="HS79" s="374" t="n"/>
      <c r="HT79" s="374" t="n"/>
      <c r="HU79" s="374" t="n"/>
    </row>
    <row r="80">
      <c r="AC80" s="576" t="n"/>
      <c r="AD80" s="576" t="n"/>
      <c r="AE80" s="576" t="n"/>
      <c r="AF80" s="576" t="n"/>
      <c r="AG80" s="576" t="n"/>
      <c r="AH80" s="576" t="n"/>
      <c r="AI80" s="576" t="n"/>
      <c r="AJ80" s="576" t="n"/>
      <c r="AK80" s="576" t="n"/>
      <c r="AL80" s="576" t="n"/>
      <c r="AM80" s="576" t="n"/>
      <c r="AN80" s="576" t="n"/>
      <c r="AO80" s="576" t="n"/>
      <c r="AP80" s="576" t="n"/>
      <c r="BF80" s="373" t="inlineStr">
        <is>
          <t>ENTREGA DA OBRA</t>
        </is>
      </c>
      <c r="BR80" s="414" t="inlineStr">
        <is>
          <t>Fundo R$ 1 MM</t>
        </is>
      </c>
      <c r="CD80" s="414" t="inlineStr">
        <is>
          <t>Fundo R$ 500k</t>
        </is>
      </c>
      <c r="CP80" s="414" t="inlineStr">
        <is>
          <t>Fundo R$ 250k</t>
        </is>
      </c>
      <c r="DB80" s="414" t="inlineStr">
        <is>
          <t>Fundo R$ 250k</t>
        </is>
      </c>
      <c r="DN80" s="414" t="inlineStr">
        <is>
          <t>Fundo R$ 250k</t>
        </is>
      </c>
      <c r="DZ80" s="414" t="inlineStr">
        <is>
          <t>Fundo R$ 250k</t>
        </is>
      </c>
      <c r="EL80" s="414" t="inlineStr">
        <is>
          <t>Fundo R$ 250k</t>
        </is>
      </c>
      <c r="EX80" s="414" t="inlineStr">
        <is>
          <t>Fundo R$ 250k</t>
        </is>
      </c>
      <c r="FJ80" s="414" t="inlineStr">
        <is>
          <t>Fundo R$ 250k</t>
        </is>
      </c>
      <c r="FV80" s="414" t="inlineStr">
        <is>
          <t>Fundo R$ 250k</t>
        </is>
      </c>
      <c r="GH80" s="414" t="inlineStr">
        <is>
          <t>Fundo R$ 250k</t>
        </is>
      </c>
      <c r="GT80" s="414" t="inlineStr">
        <is>
          <t>Fundo R$ 250k</t>
        </is>
      </c>
      <c r="HF80" s="414" t="inlineStr">
        <is>
          <t>Fundo R$ 250k</t>
        </is>
      </c>
      <c r="HR80" s="414" t="inlineStr">
        <is>
          <t>Fundo R$ 250k</t>
        </is>
      </c>
    </row>
    <row r="81">
      <c r="AE81" s="576">
        <f>+AE79-AE76</f>
        <v/>
      </c>
      <c r="AF81" s="576">
        <f>+AF79-AF76</f>
        <v/>
      </c>
      <c r="AG81" s="576">
        <f>3013129.63-AG76</f>
        <v/>
      </c>
      <c r="AH81" s="576">
        <f>3775046.22-AH76</f>
        <v/>
      </c>
      <c r="AI81" s="576">
        <f>4232168.49-AI76</f>
        <v/>
      </c>
      <c r="AJ81" s="576">
        <f>3223191.08-AJ76</f>
        <v/>
      </c>
      <c r="AK81" s="576">
        <f>3338944.48-AK76</f>
        <v/>
      </c>
      <c r="AL81" s="576">
        <f>4310244.13-AL76</f>
        <v/>
      </c>
      <c r="AM81" s="576">
        <f>6156434.67-AM76-612.82</f>
        <v/>
      </c>
      <c r="AN81" s="576">
        <f>11961744.61-AN76</f>
        <v/>
      </c>
      <c r="AO81" s="576">
        <f>12571248.85-AO76</f>
        <v/>
      </c>
      <c r="AP81" s="576">
        <f>11787274.2-AP76</f>
        <v/>
      </c>
      <c r="BR81" s="581">
        <f>+BR76-1000000</f>
        <v/>
      </c>
      <c r="CD81" s="581">
        <f>+CD76-500000</f>
        <v/>
      </c>
      <c r="CP81" s="581">
        <f>+CP76-250000</f>
        <v/>
      </c>
      <c r="DB81" s="581">
        <f>+DB76-250000</f>
        <v/>
      </c>
      <c r="DN81" s="581">
        <f>+DN76-250000</f>
        <v/>
      </c>
      <c r="DZ81" s="581">
        <f>+DZ76-250000</f>
        <v/>
      </c>
      <c r="EL81" s="581">
        <f>+EL76-250000</f>
        <v/>
      </c>
      <c r="EX81" s="581">
        <f>+EX76-250000</f>
        <v/>
      </c>
      <c r="FJ81" s="581">
        <f>+FJ76-250000</f>
        <v/>
      </c>
      <c r="FV81" s="581">
        <f>+FV76-250000</f>
        <v/>
      </c>
      <c r="GH81" s="581">
        <f>+GH76-250000</f>
        <v/>
      </c>
      <c r="GT81" s="581">
        <f>+GT76-250000</f>
        <v/>
      </c>
      <c r="HF81" s="581">
        <f>+HF76-250000</f>
        <v/>
      </c>
      <c r="HR81" s="581">
        <f>+HR76-250000</f>
        <v/>
      </c>
    </row>
    <row r="82">
      <c r="AM82" s="576">
        <f>6156434.67-6155821.85</f>
        <v/>
      </c>
      <c r="AN82" s="576" t="n"/>
      <c r="AO82" s="576" t="n"/>
      <c r="AP82" s="576" t="n"/>
    </row>
    <row r="83">
      <c r="AK83" s="576" t="n"/>
      <c r="AL83" s="576" t="n"/>
      <c r="AM83" s="576" t="n"/>
      <c r="AN83" s="576" t="n"/>
      <c r="AO83" s="576" t="n"/>
      <c r="AP83" s="576" t="n"/>
    </row>
    <row r="84">
      <c r="BJ84" s="582">
        <f>BJ66/$AR$66</f>
        <v/>
      </c>
      <c r="BK84" s="582">
        <f>BK66/$AR$66</f>
        <v/>
      </c>
      <c r="BL84" s="582">
        <f>BL66/$AR$66</f>
        <v/>
      </c>
      <c r="BM84" s="582">
        <f>BM66/$AR$66</f>
        <v/>
      </c>
      <c r="BN84" s="582">
        <f>BN66/$AR$66</f>
        <v/>
      </c>
      <c r="BO84" s="582">
        <f>BO66/$AR$66</f>
        <v/>
      </c>
      <c r="BP84" s="582">
        <f>BP66/$AR$66</f>
        <v/>
      </c>
      <c r="BQ84" s="582">
        <f>BQ66/$AR$66</f>
        <v/>
      </c>
      <c r="BR84" s="582">
        <f>BR66/$AR$66</f>
        <v/>
      </c>
      <c r="BS84" s="582">
        <f>BS66/$AR$66</f>
        <v/>
      </c>
      <c r="BT84" s="582">
        <f>BT66/$AR$66</f>
        <v/>
      </c>
      <c r="BU84" s="582">
        <f>BU66/$AR$66</f>
        <v/>
      </c>
      <c r="BV84" s="582">
        <f>BV66/$AR$66</f>
        <v/>
      </c>
      <c r="BW84" s="582">
        <f>BW66/$AR$66</f>
        <v/>
      </c>
      <c r="BX84" s="582">
        <f>BX66/$AR$66</f>
        <v/>
      </c>
      <c r="BY84" s="582">
        <f>BY66/$AR$66</f>
        <v/>
      </c>
      <c r="BZ84" s="582">
        <f>BZ66/$AR$66</f>
        <v/>
      </c>
      <c r="CA84" s="582">
        <f>CA66/$AR$66</f>
        <v/>
      </c>
      <c r="CB84" s="582">
        <f>CB66/$AR$66</f>
        <v/>
      </c>
      <c r="CC84" s="582">
        <f>CC66/$AR$66</f>
        <v/>
      </c>
      <c r="CD84" s="582">
        <f>CD66/$AR$66</f>
        <v/>
      </c>
      <c r="CE84" s="582">
        <f>CE66/$AR$66</f>
        <v/>
      </c>
      <c r="CF84" s="582">
        <f>CF66/$AR$66</f>
        <v/>
      </c>
      <c r="CG84" s="582">
        <f>CG66/$AR$66</f>
        <v/>
      </c>
      <c r="CH84" s="582">
        <f>CH66/$AR$66</f>
        <v/>
      </c>
      <c r="CI84" s="582">
        <f>CI66/$AR$66</f>
        <v/>
      </c>
      <c r="CJ84" s="582">
        <f>CJ66/$AR$66</f>
        <v/>
      </c>
      <c r="CK84" s="582">
        <f>CK66/$AR$66</f>
        <v/>
      </c>
      <c r="CL84" s="582">
        <f>CL66/$AR$66</f>
        <v/>
      </c>
      <c r="CM84" s="582">
        <f>CM66/$AR$66</f>
        <v/>
      </c>
      <c r="CN84" s="582">
        <f>CN66/$AR$66</f>
        <v/>
      </c>
      <c r="CO84" s="582">
        <f>CO66/$AR$66</f>
        <v/>
      </c>
      <c r="CP84" s="582">
        <f>CP66/$AR$66</f>
        <v/>
      </c>
      <c r="CQ84" s="582">
        <f>CQ66/$AR$66</f>
        <v/>
      </c>
      <c r="CR84" s="582">
        <f>CR66/$AR$66</f>
        <v/>
      </c>
      <c r="CS84" s="582">
        <f>CS66/$AR$66</f>
        <v/>
      </c>
      <c r="CT84" s="582">
        <f>CT66/$AR$66</f>
        <v/>
      </c>
      <c r="CU84" s="582">
        <f>CU66/$AR$66</f>
        <v/>
      </c>
      <c r="CV84" s="582">
        <f>CV66/$AR$66</f>
        <v/>
      </c>
      <c r="CW84" s="582">
        <f>CW66/$AR$66</f>
        <v/>
      </c>
      <c r="CX84" s="582">
        <f>CX66/$AR$66</f>
        <v/>
      </c>
      <c r="CY84" s="582">
        <f>CY66/$AR$66</f>
        <v/>
      </c>
      <c r="CZ84" s="582">
        <f>CZ66/$AR$66</f>
        <v/>
      </c>
      <c r="DA84" s="582">
        <f>DA66/$AR$66</f>
        <v/>
      </c>
      <c r="DB84" s="582">
        <f>DB66/$AR$66</f>
        <v/>
      </c>
      <c r="DC84" s="582">
        <f>DC66/$AR$66</f>
        <v/>
      </c>
      <c r="DD84" s="582">
        <f>DD66/$AR$66</f>
        <v/>
      </c>
      <c r="DE84" s="582">
        <f>DE66/$AR$66</f>
        <v/>
      </c>
      <c r="DF84" s="582">
        <f>DF66/$AR$66</f>
        <v/>
      </c>
      <c r="DG84" s="582">
        <f>DG66/$AR$66</f>
        <v/>
      </c>
      <c r="DH84" s="582">
        <f>DH66/$AR$66</f>
        <v/>
      </c>
      <c r="DI84" s="582">
        <f>DI66/$AR$66</f>
        <v/>
      </c>
      <c r="DJ84" s="582">
        <f>DJ66/$AR$66</f>
        <v/>
      </c>
      <c r="DK84" s="582">
        <f>DK66/$AR$66</f>
        <v/>
      </c>
      <c r="DL84" s="582">
        <f>DL66/$AR$66</f>
        <v/>
      </c>
      <c r="DM84" s="582">
        <f>DM66/$AR$66</f>
        <v/>
      </c>
      <c r="DN84" s="582">
        <f>DN66/$AR$66</f>
        <v/>
      </c>
      <c r="DO84" s="582">
        <f>DO66/$AR$66</f>
        <v/>
      </c>
      <c r="DP84" s="582">
        <f>DP66/$AR$66</f>
        <v/>
      </c>
      <c r="DQ84" s="582">
        <f>DQ66/$AR$66</f>
        <v/>
      </c>
      <c r="DR84" s="582">
        <f>DR66/$AR$66</f>
        <v/>
      </c>
      <c r="DS84" s="582">
        <f>DS66/$AR$66</f>
        <v/>
      </c>
      <c r="DT84" s="582">
        <f>DT66/$AR$66</f>
        <v/>
      </c>
      <c r="DU84" s="582">
        <f>DU66/$AR$66</f>
        <v/>
      </c>
      <c r="DV84" s="582">
        <f>DV66/$AR$66</f>
        <v/>
      </c>
      <c r="DW84" s="582">
        <f>DW66/$AR$66</f>
        <v/>
      </c>
      <c r="DX84" s="582">
        <f>DX66/$AR$66</f>
        <v/>
      </c>
      <c r="DY84" s="582">
        <f>DY66/$AR$66</f>
        <v/>
      </c>
      <c r="DZ84" s="582">
        <f>DZ66/$AR$66</f>
        <v/>
      </c>
      <c r="EA84" s="582">
        <f>EA66/$AR$66</f>
        <v/>
      </c>
      <c r="EB84" s="582">
        <f>EB66/$AR$66</f>
        <v/>
      </c>
      <c r="EC84" s="582">
        <f>EC66/$AR$66</f>
        <v/>
      </c>
      <c r="ED84" s="582">
        <f>ED66/$AR$66</f>
        <v/>
      </c>
      <c r="EE84" s="582">
        <f>EE66/$AR$66</f>
        <v/>
      </c>
      <c r="EF84" s="582">
        <f>EF66/$AR$66</f>
        <v/>
      </c>
      <c r="EG84" s="582">
        <f>EG66/$AR$66</f>
        <v/>
      </c>
      <c r="EH84" s="582">
        <f>EH66/$AR$66</f>
        <v/>
      </c>
      <c r="EI84" s="582">
        <f>EI66/$AR$66</f>
        <v/>
      </c>
      <c r="EJ84" s="582">
        <f>EJ66/$AR$66</f>
        <v/>
      </c>
      <c r="EK84" s="582">
        <f>EK66/$AR$66</f>
        <v/>
      </c>
      <c r="EL84" s="582">
        <f>EL66/$AR$66</f>
        <v/>
      </c>
      <c r="EM84" s="582">
        <f>EM66/$AR$66</f>
        <v/>
      </c>
      <c r="EN84" s="582">
        <f>EN66/$AR$66</f>
        <v/>
      </c>
      <c r="EO84" s="582">
        <f>EO66/$AR$66</f>
        <v/>
      </c>
      <c r="EP84" s="582">
        <f>EP66/$AR$66</f>
        <v/>
      </c>
      <c r="EQ84" s="582">
        <f>EQ66/$AR$66</f>
        <v/>
      </c>
      <c r="ER84" s="582">
        <f>ER66/$AR$66</f>
        <v/>
      </c>
      <c r="ES84" s="582">
        <f>ES66/$AR$66</f>
        <v/>
      </c>
      <c r="ET84" s="582">
        <f>ET66/$AR$66</f>
        <v/>
      </c>
      <c r="EU84" s="582">
        <f>EU66/$AR$66</f>
        <v/>
      </c>
      <c r="EV84" s="582">
        <f>EV66/$AR$66</f>
        <v/>
      </c>
      <c r="EW84" s="582">
        <f>EW66/$AR$66</f>
        <v/>
      </c>
      <c r="EX84" s="582">
        <f>EX66/$AR$66</f>
        <v/>
      </c>
      <c r="EY84" s="582">
        <f>EY66/$AR$66</f>
        <v/>
      </c>
      <c r="EZ84" s="582">
        <f>EZ66/$AR$66</f>
        <v/>
      </c>
      <c r="FA84" s="582">
        <f>FA66/$AR$66</f>
        <v/>
      </c>
      <c r="FB84" s="582">
        <f>FB66/$AR$66</f>
        <v/>
      </c>
      <c r="FC84" s="582">
        <f>FC66/$AR$66</f>
        <v/>
      </c>
      <c r="FD84" s="582">
        <f>FD66/$AR$66</f>
        <v/>
      </c>
      <c r="FE84" s="582">
        <f>FE66/$AR$66</f>
        <v/>
      </c>
      <c r="FF84" s="582">
        <f>FF66/$AR$66</f>
        <v/>
      </c>
      <c r="FG84" s="582">
        <f>FG66/$AR$66</f>
        <v/>
      </c>
      <c r="FH84" s="582">
        <f>FH66/$AR$66</f>
        <v/>
      </c>
      <c r="FI84" s="582">
        <f>FI66/$AR$66</f>
        <v/>
      </c>
      <c r="FJ84" s="582">
        <f>FJ66/$AR$66</f>
        <v/>
      </c>
      <c r="FK84" s="582">
        <f>FK66/$AR$66</f>
        <v/>
      </c>
      <c r="FL84" s="582">
        <f>FL66/$AR$66</f>
        <v/>
      </c>
      <c r="FM84" s="582">
        <f>FM66/$AR$66</f>
        <v/>
      </c>
      <c r="FN84" s="582">
        <f>FN66/$AR$66</f>
        <v/>
      </c>
      <c r="FO84" s="582">
        <f>FO66/$AR$66</f>
        <v/>
      </c>
      <c r="FP84" s="582">
        <f>FP66/$AR$66</f>
        <v/>
      </c>
      <c r="FQ84" s="582">
        <f>FQ66/$AR$66</f>
        <v/>
      </c>
      <c r="FR84" s="582">
        <f>FR66/$AR$66</f>
        <v/>
      </c>
      <c r="FS84" s="582">
        <f>FS66/$AR$66</f>
        <v/>
      </c>
      <c r="FT84" s="582">
        <f>FT66/$AR$66</f>
        <v/>
      </c>
      <c r="FU84" s="582">
        <f>FU66/$AR$66</f>
        <v/>
      </c>
      <c r="FV84" s="582">
        <f>FV66/$AR$66</f>
        <v/>
      </c>
      <c r="FW84" s="582">
        <f>FW66/$AR$66</f>
        <v/>
      </c>
      <c r="FX84" s="582">
        <f>FX66/$AR$66</f>
        <v/>
      </c>
      <c r="FY84" s="582">
        <f>FY66/$AR$66</f>
        <v/>
      </c>
      <c r="FZ84" s="582">
        <f>FZ66/$AR$66</f>
        <v/>
      </c>
      <c r="GA84" s="582">
        <f>GA66/$AR$66</f>
        <v/>
      </c>
      <c r="GB84" s="582">
        <f>GB66/$AR$66</f>
        <v/>
      </c>
      <c r="GC84" s="582">
        <f>GC66/$AR$66</f>
        <v/>
      </c>
      <c r="GD84" s="582">
        <f>GD66/$AR$66</f>
        <v/>
      </c>
      <c r="GE84" s="582">
        <f>GE66/$AR$66</f>
        <v/>
      </c>
      <c r="GF84" s="582">
        <f>GF66/$AR$66</f>
        <v/>
      </c>
      <c r="GG84" s="582">
        <f>GG66/$AR$66</f>
        <v/>
      </c>
      <c r="GH84" s="582">
        <f>GH66/$AR$66</f>
        <v/>
      </c>
      <c r="GI84" s="582">
        <f>GI66/$AR$66</f>
        <v/>
      </c>
      <c r="GJ84" s="582">
        <f>GJ66/$AR$66</f>
        <v/>
      </c>
      <c r="GK84" s="582">
        <f>GK66/$AR$66</f>
        <v/>
      </c>
      <c r="GL84" s="582">
        <f>GL66/$AR$66</f>
        <v/>
      </c>
      <c r="GM84" s="582">
        <f>GM66/$AR$66</f>
        <v/>
      </c>
      <c r="GN84" s="582">
        <f>GN66/$AR$66</f>
        <v/>
      </c>
      <c r="GO84" s="582">
        <f>GO66/$AR$66</f>
        <v/>
      </c>
      <c r="GP84" s="582">
        <f>GP66/$AR$66</f>
        <v/>
      </c>
      <c r="GQ84" s="582">
        <f>GQ66/$AR$66</f>
        <v/>
      </c>
      <c r="GR84" s="582">
        <f>GR66/$AR$66</f>
        <v/>
      </c>
      <c r="GS84" s="582">
        <f>GS66/$AR$66</f>
        <v/>
      </c>
      <c r="GT84" s="582">
        <f>GT66/$AR$66</f>
        <v/>
      </c>
      <c r="GU84" s="582">
        <f>GU66/$AR$66</f>
        <v/>
      </c>
      <c r="GV84" s="582">
        <f>GV66/$AR$66</f>
        <v/>
      </c>
      <c r="GW84" s="582">
        <f>GW66/$AR$66</f>
        <v/>
      </c>
      <c r="GX84" s="582">
        <f>GX66/$AR$66</f>
        <v/>
      </c>
      <c r="GY84" s="582">
        <f>GY66/$AR$66</f>
        <v/>
      </c>
      <c r="GZ84" s="582">
        <f>GZ66/$AR$66</f>
        <v/>
      </c>
      <c r="HA84" s="582">
        <f>HA66/$AR$66</f>
        <v/>
      </c>
      <c r="HB84" s="582">
        <f>HB66/$AR$66</f>
        <v/>
      </c>
      <c r="HC84" s="582">
        <f>HC66/$AR$66</f>
        <v/>
      </c>
      <c r="HD84" s="582">
        <f>HD66/$AR$66</f>
        <v/>
      </c>
      <c r="HE84" s="582">
        <f>HE66/$AR$66</f>
        <v/>
      </c>
      <c r="HF84" s="582">
        <f>HF66/$AR$66</f>
        <v/>
      </c>
      <c r="HG84" s="582">
        <f>HG66/$AR$66</f>
        <v/>
      </c>
      <c r="HH84" s="582">
        <f>HH66/$AR$66</f>
        <v/>
      </c>
      <c r="HI84" s="582">
        <f>HI66/$AR$66</f>
        <v/>
      </c>
      <c r="HJ84" s="582">
        <f>HJ66/$AR$66</f>
        <v/>
      </c>
      <c r="HK84" s="582">
        <f>HK66/$AR$66</f>
        <v/>
      </c>
      <c r="HL84" s="582">
        <f>HL66/$AR$66</f>
        <v/>
      </c>
      <c r="HM84" s="582">
        <f>HM66/$AR$66</f>
        <v/>
      </c>
      <c r="HN84" s="582">
        <f>HN66/$AR$66</f>
        <v/>
      </c>
      <c r="HO84" s="582">
        <f>HO66/$AR$66</f>
        <v/>
      </c>
      <c r="HP84" s="582">
        <f>HP66/$AR$66</f>
        <v/>
      </c>
      <c r="HQ84" s="582">
        <f>HQ66/$AR$66</f>
        <v/>
      </c>
      <c r="HR84" s="582">
        <f>HR66/$AR$66</f>
        <v/>
      </c>
      <c r="HS84" s="582">
        <f>HS66/$AR$66</f>
        <v/>
      </c>
      <c r="HT84" s="582">
        <f>HT66/$AR$66</f>
        <v/>
      </c>
    </row>
    <row r="85">
      <c r="AG85" s="583" t="n"/>
      <c r="AH85" s="583" t="n"/>
      <c r="AI85" s="583" t="n"/>
      <c r="AJ85" s="583" t="n"/>
      <c r="AK85" s="583" t="n"/>
      <c r="AL85" s="583" t="n"/>
      <c r="AM85" s="583" t="n"/>
      <c r="AN85" s="583" t="n"/>
      <c r="AO85" s="583" t="n"/>
      <c r="AP85" s="583" t="n"/>
      <c r="BA85" s="252" t="n">
        <v>2250</v>
      </c>
      <c r="BE85" s="446" t="n"/>
    </row>
    <row r="86">
      <c r="BA86" s="252" t="n">
        <v>1500</v>
      </c>
    </row>
    <row r="87">
      <c r="BA87" s="252" t="n">
        <v>900</v>
      </c>
    </row>
    <row r="88">
      <c r="HU88" s="252" t="inlineStr">
        <is>
          <t>Saldo médio final pós obra</t>
        </is>
      </c>
    </row>
    <row r="89">
      <c r="HU89" s="576">
        <f>AVERAGE(BI76:HU76)</f>
        <v/>
      </c>
    </row>
    <row r="111">
      <c r="AL111" s="584" t="n"/>
      <c r="AM111" s="584" t="n"/>
      <c r="AN111" s="584" t="n"/>
      <c r="AO111" s="584" t="n"/>
      <c r="AP111" s="584" t="n"/>
    </row>
    <row r="112">
      <c r="AL112" s="584" t="n"/>
      <c r="AM112" s="584" t="n"/>
      <c r="AN112" s="584" t="n"/>
      <c r="AO112" s="584" t="n"/>
      <c r="AP112" s="584" t="n"/>
    </row>
    <row r="123">
      <c r="AM123" s="585" t="n"/>
      <c r="AN123" s="585" t="n"/>
      <c r="AO123" s="585" t="n"/>
      <c r="AP123" s="585" t="n"/>
    </row>
  </sheetData>
  <mergeCells count="5">
    <mergeCell ref="M4:W4"/>
    <mergeCell ref="KH1:KH3"/>
    <mergeCell ref="B4:B5"/>
    <mergeCell ref="AR1:AR3"/>
    <mergeCell ref="KG4:KG5"/>
  </mergeCells>
  <conditionalFormatting sqref="B72:J72">
    <cfRule type="top10" rank="1" priority="60" dxfId="8" bottom="1"/>
  </conditionalFormatting>
  <conditionalFormatting sqref="B75:AB75 C73 C76 J76:AB77 AC75:AP77 AT75:HU76 AT77:BD77">
    <cfRule type="cellIs" priority="55" operator="lessThan" dxfId="0">
      <formula>0</formula>
    </cfRule>
  </conditionalFormatting>
  <conditionalFormatting sqref="C8:L9 C12:AP12 C15:AP15 C72:HU76 AQ25:AQ28 AQ29:HU31 AQ36:AS37 AQ38:AQ40 AQ41:AS42 AQ43:AQ44 AQ45:AS46 AQ47 AQ48:AS49 AQ50:AQ51 AQ52:AS55 AQ56 AQ57:AS58 AQ59 AQ60:AS61 AQ62 AQ63:AS64 AQ65:AQ66 AS25:HU28 AS38:AS40 AS43:AS44 AS47 AS50:AS51 AS59 AS62 AT12:HU12 AT15:HU15 AT18:HU18 AT36:HU64">
    <cfRule type="cellIs" priority="52" operator="lessThan" dxfId="12">
      <formula>0</formula>
    </cfRule>
  </conditionalFormatting>
  <conditionalFormatting sqref="C18:AP18">
    <cfRule type="cellIs" priority="3" operator="lessThan" dxfId="12">
      <formula>0</formula>
    </cfRule>
  </conditionalFormatting>
  <conditionalFormatting sqref="C25:AP34">
    <cfRule type="cellIs" priority="4" operator="lessThan" dxfId="12">
      <formula>0</formula>
    </cfRule>
  </conditionalFormatting>
  <conditionalFormatting sqref="C36:AP69">
    <cfRule type="cellIs" priority="2" operator="lessThan" dxfId="12">
      <formula>0</formula>
    </cfRule>
  </conditionalFormatting>
  <conditionalFormatting sqref="C70:HU70">
    <cfRule type="cellIs" priority="43" operator="lessThan" dxfId="43">
      <formula>0</formula>
    </cfRule>
    <cfRule type="cellIs" priority="44" operator="lessThan">
      <formula>0</formula>
    </cfRule>
  </conditionalFormatting>
  <conditionalFormatting sqref="C73:HU73">
    <cfRule type="cellIs" priority="57" operator="lessThan" dxfId="8">
      <formula>0</formula>
    </cfRule>
  </conditionalFormatting>
  <conditionalFormatting sqref="E76:HU76">
    <cfRule type="cellIs" priority="42" operator="lessThan" dxfId="40">
      <formula>0</formula>
    </cfRule>
  </conditionalFormatting>
  <conditionalFormatting sqref="J72">
    <cfRule type="top10" rank="1" priority="53" dxfId="8" bottom="1"/>
  </conditionalFormatting>
  <conditionalFormatting sqref="J8:AP8">
    <cfRule type="cellIs" priority="54" operator="lessThan" dxfId="12">
      <formula>0</formula>
    </cfRule>
  </conditionalFormatting>
  <conditionalFormatting sqref="AQ32:AQ35 AS35">
    <cfRule type="cellIs" priority="49" operator="lessThan" dxfId="12">
      <formula>0</formula>
    </cfRule>
  </conditionalFormatting>
  <conditionalFormatting sqref="AQ16:AS16">
    <cfRule type="cellIs" priority="56" operator="lessThan" dxfId="12">
      <formula>0</formula>
    </cfRule>
  </conditionalFormatting>
  <conditionalFormatting sqref="AQ72:AS72 AQ75:AS76">
    <cfRule type="cellIs" priority="58" operator="lessThan" dxfId="12">
      <formula>0</formula>
    </cfRule>
  </conditionalFormatting>
  <conditionalFormatting sqref="AQ73:AS73">
    <cfRule type="cellIs" priority="59" operator="lessThan" dxfId="0">
      <formula>0</formula>
    </cfRule>
  </conditionalFormatting>
  <conditionalFormatting sqref="B75 AQ67:HU69">
    <cfRule type="cellIs" priority="40" operator="lessThan" dxfId="12">
      <formula>0</formula>
    </cfRule>
  </conditionalFormatting>
  <conditionalFormatting sqref="AR75:AR76">
    <cfRule type="cellIs" priority="51" operator="lessThan" dxfId="0">
      <formula>0</formula>
    </cfRule>
  </conditionalFormatting>
  <conditionalFormatting sqref="B72 AS56">
    <cfRule type="cellIs" priority="41" operator="lessThan" dxfId="12">
      <formula>0</formula>
    </cfRule>
  </conditionalFormatting>
  <conditionalFormatting sqref="AS32:HU34">
    <cfRule type="cellIs" priority="6" operator="lessThan" dxfId="12">
      <formula>0</formula>
    </cfRule>
  </conditionalFormatting>
  <conditionalFormatting sqref="AS65:HU66">
    <cfRule type="cellIs" priority="5" operator="lessThan" dxfId="12">
      <formula>0</formula>
    </cfRule>
  </conditionalFormatting>
  <conditionalFormatting sqref="AT8:HU9">
    <cfRule type="cellIs" priority="1" operator="lessThan" dxfId="12">
      <formula>0</formula>
    </cfRule>
  </conditionalFormatting>
  <conditionalFormatting sqref="J72:AP72 AT72:HU72">
    <cfRule type="top10" rank="1" priority="61" dxfId="8" bottom="1"/>
  </conditionalFormatting>
  <conditionalFormatting sqref="BD2">
    <cfRule type="cellIs" priority="48" operator="lessThan" dxfId="0">
      <formula>0</formula>
    </cfRule>
  </conditionalFormatting>
  <conditionalFormatting sqref="BF77:DK77">
    <cfRule type="cellIs" priority="50" operator="lessThan" dxfId="0">
      <formula>0</formula>
    </cfRule>
  </conditionalFormatting>
  <conditionalFormatting sqref="BP2">
    <cfRule type="cellIs" priority="47" operator="lessThan" dxfId="0">
      <formula>0</formula>
    </cfRule>
  </conditionalFormatting>
  <conditionalFormatting sqref="CB2">
    <cfRule type="cellIs" priority="46" operator="lessThan" dxfId="0">
      <formula>0</formula>
    </cfRule>
  </conditionalFormatting>
  <conditionalFormatting sqref="CN2">
    <cfRule type="cellIs" priority="45" operator="lessThan" dxfId="0">
      <formula>0</formula>
    </cfRule>
  </conditionalFormatting>
  <conditionalFormatting sqref="JF8:JI9 JF12:JI12 JF15:JI15 JF18:JI18 JF25:JI34 JF36:JI69 JF72:JI76">
    <cfRule type="cellIs" priority="33" operator="lessThan" dxfId="12">
      <formula>0</formula>
    </cfRule>
  </conditionalFormatting>
  <conditionalFormatting sqref="JF70:JI70">
    <cfRule type="cellIs" priority="37" operator="lessThan" dxfId="43">
      <formula>0</formula>
    </cfRule>
    <cfRule type="cellIs" priority="38" operator="lessThan">
      <formula>0</formula>
    </cfRule>
  </conditionalFormatting>
  <conditionalFormatting sqref="JF72:JI72">
    <cfRule type="top10" rank="1" priority="39" dxfId="8" bottom="1"/>
  </conditionalFormatting>
  <conditionalFormatting sqref="JF73:JI73">
    <cfRule type="cellIs" priority="35" operator="lessThan" dxfId="8">
      <formula>0</formula>
    </cfRule>
  </conditionalFormatting>
  <conditionalFormatting sqref="JF75:JI76">
    <cfRule type="cellIs" priority="34" operator="lessThan" dxfId="0">
      <formula>0</formula>
    </cfRule>
  </conditionalFormatting>
  <conditionalFormatting sqref="JF76:JI76">
    <cfRule type="cellIs" priority="36" operator="lessThan" dxfId="40">
      <formula>0</formula>
    </cfRule>
  </conditionalFormatting>
  <conditionalFormatting sqref="JM8:JM9 JM18 JM36:JM69 JM72:JM76">
    <cfRule type="cellIs" priority="13" operator="lessThan" dxfId="12">
      <formula>0</formula>
    </cfRule>
  </conditionalFormatting>
  <conditionalFormatting sqref="JM12">
    <cfRule type="cellIs" priority="7" operator="lessThan" dxfId="12">
      <formula>0</formula>
    </cfRule>
  </conditionalFormatting>
  <conditionalFormatting sqref="JM15">
    <cfRule type="cellIs" priority="8" operator="lessThan" dxfId="12">
      <formula>0</formula>
    </cfRule>
  </conditionalFormatting>
  <conditionalFormatting sqref="JM25:JM34">
    <cfRule type="cellIs" priority="9" operator="lessThan" dxfId="12">
      <formula>0</formula>
    </cfRule>
  </conditionalFormatting>
  <conditionalFormatting sqref="JM70">
    <cfRule type="cellIs" priority="11" operator="lessThan" dxfId="43">
      <formula>0</formula>
    </cfRule>
    <cfRule type="cellIs" priority="12" operator="lessThan">
      <formula>0</formula>
    </cfRule>
  </conditionalFormatting>
  <conditionalFormatting sqref="JM72">
    <cfRule type="top10" rank="1" priority="16" dxfId="8" bottom="1"/>
  </conditionalFormatting>
  <conditionalFormatting sqref="JM73">
    <cfRule type="cellIs" priority="15" operator="lessThan" dxfId="8">
      <formula>0</formula>
    </cfRule>
  </conditionalFormatting>
  <conditionalFormatting sqref="JM75:JM77">
    <cfRule type="cellIs" priority="14" operator="lessThan" dxfId="0">
      <formula>0</formula>
    </cfRule>
  </conditionalFormatting>
  <conditionalFormatting sqref="JM76">
    <cfRule type="cellIs" priority="10" operator="lessThan" dxfId="40">
      <formula>0</formula>
    </cfRule>
  </conditionalFormatting>
  <conditionalFormatting sqref="JS33">
    <cfRule type="cellIs" priority="18" operator="lessThan" dxfId="12">
      <formula>0</formula>
    </cfRule>
  </conditionalFormatting>
  <conditionalFormatting sqref="JS8:JZ9 JS12:JZ12 JS15:JZ15 JS18:JZ18">
    <cfRule type="cellIs" priority="32" operator="lessThan" dxfId="12">
      <formula>0</formula>
    </cfRule>
  </conditionalFormatting>
  <conditionalFormatting sqref="KG72">
    <cfRule type="top10" rank="1" priority="31" dxfId="8" bottom="1"/>
  </conditionalFormatting>
  <conditionalFormatting sqref="KG75">
    <cfRule type="cellIs" priority="29" operator="lessThan" dxfId="12">
      <formula>0</formula>
    </cfRule>
    <cfRule type="cellIs" priority="30" operator="lessThan" dxfId="0">
      <formula>0</formula>
    </cfRule>
  </conditionalFormatting>
  <conditionalFormatting sqref="KG72:KH72">
    <cfRule type="cellIs" priority="27" operator="lessThan" dxfId="12">
      <formula>0</formula>
    </cfRule>
  </conditionalFormatting>
  <conditionalFormatting sqref="KH16">
    <cfRule type="cellIs" priority="25" operator="lessThan" dxfId="12">
      <formula>0</formula>
    </cfRule>
  </conditionalFormatting>
  <conditionalFormatting sqref="KH29:KH31 KH36:KH37 KH41:KH42 KH45:KH46 KH48:KH49 KH52:KH55 KH57:KH58 KH60:KH61 KH63:KH64 KH67:KH69">
    <cfRule type="cellIs" priority="24" operator="lessThan" dxfId="12">
      <formula>0</formula>
    </cfRule>
  </conditionalFormatting>
  <conditionalFormatting sqref="KH70">
    <cfRule type="cellIs" priority="21" operator="lessThan" dxfId="43">
      <formula>0</formula>
    </cfRule>
    <cfRule type="cellIs" priority="22" operator="lessThan">
      <formula>0</formula>
    </cfRule>
  </conditionalFormatting>
  <conditionalFormatting sqref="KH72:KH76">
    <cfRule type="cellIs" priority="19" operator="lessThan" dxfId="12">
      <formula>0</formula>
    </cfRule>
  </conditionalFormatting>
  <conditionalFormatting sqref="KH73">
    <cfRule type="cellIs" priority="26" operator="lessThan" dxfId="8">
      <formula>0</formula>
    </cfRule>
    <cfRule type="cellIs" priority="28" operator="lessThan" dxfId="0">
      <formula>0</formula>
    </cfRule>
  </conditionalFormatting>
  <conditionalFormatting sqref="KH75:KH76">
    <cfRule type="cellIs" priority="23" operator="lessThan" dxfId="0">
      <formula>0</formula>
    </cfRule>
  </conditionalFormatting>
  <conditionalFormatting sqref="KH76">
    <cfRule type="cellIs" priority="20" operator="lessThan" dxfId="40">
      <formula>0</formula>
    </cfRule>
  </conditionalFormatting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573"/>
  <sheetViews>
    <sheetView showGridLines="0" topLeftCell="BA1" workbookViewId="0">
      <selection activeCell="CC8" sqref="CC8"/>
    </sheetView>
  </sheetViews>
  <sheetFormatPr baseColWidth="8" defaultRowHeight="14.4"/>
  <cols>
    <col width="7.21875" customWidth="1" min="1" max="1"/>
    <col width="12.88671875" bestFit="1" customWidth="1" style="429" min="2" max="2"/>
    <col width="14" bestFit="1" customWidth="1" style="429" min="3" max="4"/>
    <col width="8.88671875" customWidth="1" style="429" min="5" max="5"/>
    <col width="11.33203125" bestFit="1" customWidth="1" style="429" min="6" max="6"/>
    <col width="11.44140625" bestFit="1" customWidth="1" style="429" min="7" max="7"/>
    <col width="7.21875" customWidth="1" min="10" max="10"/>
    <col width="13.5546875" bestFit="1" customWidth="1" min="11" max="11"/>
    <col width="14" bestFit="1" customWidth="1" min="12" max="13"/>
    <col width="11.33203125" bestFit="1" customWidth="1" min="15" max="15"/>
    <col width="11.44140625" bestFit="1" customWidth="1" min="16" max="16"/>
    <col width="7.21875" customWidth="1" min="19" max="19"/>
    <col width="12.88671875" bestFit="1" customWidth="1" min="20" max="20"/>
    <col width="14" bestFit="1" customWidth="1" min="21" max="22"/>
    <col width="11.33203125" bestFit="1" customWidth="1" min="24" max="24"/>
    <col width="11.44140625" bestFit="1" customWidth="1" min="25" max="25"/>
    <col width="2.6640625" customWidth="1" min="29" max="29"/>
    <col width="12.21875" customWidth="1" min="30" max="30"/>
    <col width="1.5546875" customWidth="1" min="31" max="31"/>
    <col width="1.88671875" customWidth="1" min="32" max="32"/>
    <col width="12.21875" customWidth="1" min="33" max="34"/>
    <col width="1.6640625" customWidth="1" min="35" max="35"/>
    <col width="15.109375" bestFit="1" customWidth="1" min="36" max="36"/>
    <col width="6" bestFit="1" customWidth="1" min="37" max="37"/>
    <col width="1.21875" customWidth="1" min="43" max="43"/>
    <col width="10.77734375" customWidth="1" min="44" max="45"/>
    <col width="1.5546875" customWidth="1" min="46" max="46"/>
    <col width="10.44140625" customWidth="1" min="47" max="53"/>
    <col width="1.5546875" customWidth="1" min="54" max="54"/>
    <col width="8.6640625" customWidth="1" min="55" max="57"/>
    <col width="1.5546875" customWidth="1" min="58" max="58"/>
    <col width="10.21875" customWidth="1" min="59" max="59"/>
    <col width="1.5546875" customWidth="1" min="60" max="60"/>
    <col width="9.109375" customWidth="1" min="61" max="61"/>
    <col width="1.5546875" customWidth="1" min="62" max="62"/>
    <col width="12.21875" customWidth="1" min="63" max="63"/>
    <col width="1.21875" customWidth="1" min="64" max="64"/>
    <col width="1.5546875" customWidth="1" min="69" max="69"/>
    <col width="11.33203125" customWidth="1" min="70" max="70"/>
    <col width="1.5546875" customWidth="1" min="71" max="71"/>
    <col width="11.33203125" customWidth="1" min="72" max="76"/>
    <col width="1.5546875" customWidth="1" min="77" max="77"/>
    <col width="12.21875" customWidth="1" min="78" max="78"/>
    <col width="1.21875" customWidth="1" min="79" max="79"/>
    <col width="10" bestFit="1" customWidth="1" min="90" max="90"/>
    <col width="11.33203125" bestFit="1" customWidth="1" min="96" max="99"/>
  </cols>
  <sheetData>
    <row r="1">
      <c r="B1" s="429" t="inlineStr">
        <is>
          <t>Saldo Acumulado</t>
        </is>
      </c>
      <c r="K1" t="inlineStr">
        <is>
          <t>Distribuição Mensal</t>
        </is>
      </c>
      <c r="T1" t="inlineStr">
        <is>
          <t>Saldo Mensal</t>
        </is>
      </c>
    </row>
    <row r="2">
      <c r="B2" s="429" t="n">
        <v>5</v>
      </c>
      <c r="C2" s="429" t="n">
        <v>7</v>
      </c>
      <c r="D2" s="429" t="n">
        <v>10</v>
      </c>
      <c r="K2" s="431" t="n">
        <v>5</v>
      </c>
      <c r="L2" s="431" t="n">
        <v>7</v>
      </c>
      <c r="M2" s="431" t="n">
        <v>10</v>
      </c>
      <c r="T2" t="n">
        <v>5</v>
      </c>
      <c r="U2" t="n">
        <v>7</v>
      </c>
      <c r="V2" t="n">
        <v>10</v>
      </c>
    </row>
    <row r="3">
      <c r="A3" s="586" t="n">
        <v>45870</v>
      </c>
      <c r="B3" s="430" t="n">
        <v>1792673.114153909</v>
      </c>
      <c r="C3" s="430" t="n">
        <v>2019831.935945909</v>
      </c>
      <c r="D3" s="430" t="n">
        <v>2275026.133877228</v>
      </c>
      <c r="E3" s="430" t="n"/>
      <c r="F3" s="430">
        <f>+B3-C3</f>
        <v/>
      </c>
      <c r="G3" s="430">
        <f>+B3-D3</f>
        <v/>
      </c>
      <c r="H3" s="362" t="n"/>
      <c r="I3" s="362" t="n"/>
      <c r="J3" s="586" t="n">
        <v>45870</v>
      </c>
      <c r="K3" s="362" t="n">
        <v>0</v>
      </c>
      <c r="L3" s="362" t="n">
        <v>0</v>
      </c>
      <c r="M3" s="362" t="n">
        <v>0</v>
      </c>
      <c r="N3" s="362" t="n"/>
      <c r="O3" s="362">
        <f>+K3-L3</f>
        <v/>
      </c>
      <c r="P3" s="362">
        <f>+K3-M3</f>
        <v/>
      </c>
      <c r="S3" s="586" t="n">
        <v>45870</v>
      </c>
      <c r="T3" s="362" t="n">
        <v>-7825711.875846098</v>
      </c>
      <c r="U3" s="362" t="n">
        <v>-7598553.054054098</v>
      </c>
      <c r="V3" s="362" t="n">
        <v>-7343358.85612278</v>
      </c>
      <c r="W3" s="362" t="n"/>
      <c r="X3" s="362">
        <f>+T3-U3</f>
        <v/>
      </c>
      <c r="Y3" s="362">
        <f>+T3-V3</f>
        <v/>
      </c>
      <c r="AE3" t="n">
        <v>7</v>
      </c>
      <c r="AG3" s="448" t="n">
        <v>46296</v>
      </c>
      <c r="AH3" s="448" t="n">
        <v>46327</v>
      </c>
      <c r="AJ3" s="384" t="inlineStr">
        <is>
          <t>TOTAL</t>
        </is>
      </c>
      <c r="AQ3" s="451" t="n"/>
      <c r="AR3" s="452" t="n">
        <v>46023</v>
      </c>
      <c r="AS3" s="452" t="n">
        <v>46054</v>
      </c>
      <c r="AT3" s="451" t="n"/>
      <c r="AU3" s="452" t="n">
        <v>46174</v>
      </c>
      <c r="AV3" s="452" t="n">
        <v>46204</v>
      </c>
      <c r="AW3" s="453" t="n">
        <v>46235</v>
      </c>
      <c r="AX3" s="453" t="n">
        <v>46266</v>
      </c>
      <c r="AY3" s="453" t="n">
        <v>46296</v>
      </c>
      <c r="AZ3" s="453" t="n">
        <v>46327</v>
      </c>
      <c r="BA3" s="453" t="n">
        <v>46357</v>
      </c>
      <c r="BB3" s="451" t="n"/>
      <c r="BC3" s="452" t="n">
        <v>46508</v>
      </c>
      <c r="BD3" s="452" t="n">
        <v>46539</v>
      </c>
      <c r="BE3" s="453" t="n">
        <v>46569</v>
      </c>
      <c r="BF3" s="451" t="n"/>
      <c r="BG3" s="452" t="n">
        <v>46813</v>
      </c>
      <c r="BH3" s="451" t="n"/>
      <c r="BI3" s="452" t="n">
        <v>46874</v>
      </c>
      <c r="BJ3" s="451" t="n"/>
      <c r="BK3" s="452" t="inlineStr">
        <is>
          <t>TOTAL</t>
        </is>
      </c>
      <c r="BL3" s="451" t="n"/>
      <c r="BR3" t="n">
        <v>3</v>
      </c>
      <c r="BT3" s="384" t="n">
        <v>46235</v>
      </c>
      <c r="BU3" s="384" t="n">
        <v>46266</v>
      </c>
      <c r="BV3" s="384" t="n">
        <v>46296</v>
      </c>
      <c r="BW3" s="384" t="n">
        <v>46327</v>
      </c>
      <c r="BX3" s="384" t="n">
        <v>46357</v>
      </c>
      <c r="BZ3" s="384" t="inlineStr">
        <is>
          <t>TOTAL</t>
        </is>
      </c>
      <c r="CK3" t="inlineStr">
        <is>
          <t>Painel de saldo por ano</t>
        </is>
      </c>
    </row>
    <row r="4">
      <c r="A4" s="586" t="n">
        <v>45901</v>
      </c>
      <c r="B4" s="430" t="n">
        <v>793051.4827236431</v>
      </c>
      <c r="C4" s="430" t="n">
        <v>1264665.714173019</v>
      </c>
      <c r="D4" s="430" t="n">
        <v>1758958.869555667</v>
      </c>
      <c r="E4" s="430" t="n"/>
      <c r="F4" s="430">
        <f>+B4-C4</f>
        <v/>
      </c>
      <c r="G4" s="430">
        <f>+B4-D4</f>
        <v/>
      </c>
      <c r="H4" s="362" t="n"/>
      <c r="I4" s="362" t="n"/>
      <c r="J4" s="586" t="n">
        <v>45901</v>
      </c>
      <c r="K4" s="362" t="n">
        <v>0</v>
      </c>
      <c r="L4" s="362" t="n">
        <v>0</v>
      </c>
      <c r="M4" s="362" t="n">
        <v>0</v>
      </c>
      <c r="N4" s="362" t="n"/>
      <c r="O4" s="362">
        <f>+K4-L4</f>
        <v/>
      </c>
      <c r="P4" s="362">
        <f>+K4-M4</f>
        <v/>
      </c>
      <c r="S4" s="586" t="n">
        <v>45901</v>
      </c>
      <c r="T4" s="362" t="n">
        <v>-1071748.667600267</v>
      </c>
      <c r="U4" s="362" t="n">
        <v>-827293.2579428903</v>
      </c>
      <c r="V4" s="362" t="n">
        <v>-588194.3004915612</v>
      </c>
      <c r="W4" s="362" t="n"/>
      <c r="X4" s="362">
        <f>+T4-U4</f>
        <v/>
      </c>
      <c r="Y4" s="362">
        <f>+T4-V4</f>
        <v/>
      </c>
      <c r="AG4" s="385" t="n">
        <v>0</v>
      </c>
      <c r="AH4" s="385" t="n">
        <v>320000</v>
      </c>
      <c r="AJ4" s="386">
        <f>SUM(AG4:AH4)</f>
        <v/>
      </c>
      <c r="AQ4" s="451" t="n"/>
      <c r="AR4" s="454" t="n">
        <v>1500000</v>
      </c>
      <c r="AS4" s="454" t="n">
        <v>1210000</v>
      </c>
      <c r="AT4" s="451" t="n"/>
      <c r="AU4" s="454" t="n">
        <v>2100000</v>
      </c>
      <c r="AV4" s="454" t="n">
        <v>2200000</v>
      </c>
      <c r="AW4" s="454" t="n">
        <v>2000000</v>
      </c>
      <c r="AX4" s="454" t="n">
        <v>1000000</v>
      </c>
      <c r="AY4" s="454" t="n">
        <v>1200000</v>
      </c>
      <c r="AZ4" s="454" t="n">
        <v>1200000</v>
      </c>
      <c r="BA4" s="454" t="n">
        <v>1000000</v>
      </c>
      <c r="BB4" s="451" t="n"/>
      <c r="BC4" s="454" t="n">
        <v>900000</v>
      </c>
      <c r="BD4" s="454" t="n">
        <v>500000</v>
      </c>
      <c r="BE4" s="454" t="n">
        <v>500000</v>
      </c>
      <c r="BF4" s="451" t="n"/>
      <c r="BG4" s="454" t="n">
        <v>3000000</v>
      </c>
      <c r="BH4" s="451" t="n"/>
      <c r="BI4" s="454" t="n">
        <v>600000</v>
      </c>
      <c r="BJ4" s="451" t="n"/>
      <c r="BK4" s="455">
        <f>SUM(AR4:BI4)</f>
        <v/>
      </c>
      <c r="BL4" s="451" t="n"/>
      <c r="BT4" s="385" t="n">
        <v>1700000</v>
      </c>
      <c r="BU4" s="385" t="n">
        <v>1900000</v>
      </c>
      <c r="BV4" s="385" t="n">
        <v>2400000</v>
      </c>
      <c r="BW4" s="385" t="n">
        <v>2200000</v>
      </c>
      <c r="BX4" s="385" t="n">
        <v>2200000</v>
      </c>
      <c r="BZ4" s="386">
        <f>SUM(BT4:BX4)</f>
        <v/>
      </c>
    </row>
    <row r="5">
      <c r="A5" s="586" t="n">
        <v>45931</v>
      </c>
      <c r="B5" s="430" t="n">
        <v>216100.6783357069</v>
      </c>
      <c r="C5" s="430" t="n">
        <v>966598.5766827826</v>
      </c>
      <c r="D5" s="430" t="n">
        <v>1750612.402120969</v>
      </c>
      <c r="E5" s="430" t="n"/>
      <c r="F5" s="430">
        <f>+B5-C5</f>
        <v/>
      </c>
      <c r="G5" s="430">
        <f>+B5-D5</f>
        <v/>
      </c>
      <c r="H5" s="362" t="n"/>
      <c r="I5" s="362" t="n"/>
      <c r="J5" s="586" t="n">
        <v>45931</v>
      </c>
      <c r="K5" s="362" t="n">
        <v>0</v>
      </c>
      <c r="L5" s="362" t="n">
        <v>0</v>
      </c>
      <c r="M5" s="362" t="n">
        <v>0</v>
      </c>
      <c r="N5" s="362" t="n"/>
      <c r="O5" s="362">
        <f>+K5-L5</f>
        <v/>
      </c>
      <c r="P5" s="362">
        <f>+K5-M5</f>
        <v/>
      </c>
      <c r="S5" s="586" t="n">
        <v>45931</v>
      </c>
      <c r="T5" s="362" t="n">
        <v>-255822.8772472963</v>
      </c>
      <c r="U5" s="362" t="n">
        <v>-726939.210349596</v>
      </c>
      <c r="V5" s="362" t="n">
        <v>-437218.5402940586</v>
      </c>
      <c r="W5" s="362" t="n"/>
      <c r="X5" s="362">
        <f>+T5-U5</f>
        <v/>
      </c>
      <c r="Y5" s="362">
        <f>+T5-V5</f>
        <v/>
      </c>
    </row>
    <row r="6">
      <c r="A6" s="586" t="n">
        <v>45962</v>
      </c>
      <c r="B6" s="430" t="n">
        <v>46752.31905366725</v>
      </c>
      <c r="C6" s="430" t="n">
        <v>1110837.56759669</v>
      </c>
      <c r="D6" s="430" t="n">
        <v>2235598.749395455</v>
      </c>
      <c r="E6" s="430" t="n"/>
      <c r="F6" s="430">
        <f>+B6-C6</f>
        <v/>
      </c>
      <c r="G6" s="430">
        <f>+B6-D6</f>
        <v/>
      </c>
      <c r="H6" s="362" t="n"/>
      <c r="I6" s="362" t="n"/>
      <c r="J6" s="586" t="n">
        <v>45962</v>
      </c>
      <c r="K6" s="362" t="n">
        <v>0</v>
      </c>
      <c r="L6" s="362" t="n">
        <v>0</v>
      </c>
      <c r="M6" s="362" t="n">
        <v>0</v>
      </c>
      <c r="N6" s="362" t="n"/>
      <c r="O6" s="362">
        <f>+K6-L6</f>
        <v/>
      </c>
      <c r="P6" s="362">
        <f>+K6-M6</f>
        <v/>
      </c>
      <c r="S6" s="586" t="n">
        <v>45962</v>
      </c>
      <c r="T6" s="362" t="n">
        <v>-245651.4087242746</v>
      </c>
      <c r="U6" s="362" t="n">
        <v>61935.94147167215</v>
      </c>
      <c r="V6" s="362" t="n">
        <v>402683.2978322518</v>
      </c>
      <c r="W6" s="362" t="n"/>
      <c r="X6" s="362">
        <f>+T6-U6</f>
        <v/>
      </c>
      <c r="Y6" s="362">
        <f>+T6-V6</f>
        <v/>
      </c>
    </row>
    <row r="7">
      <c r="A7" s="586" t="n">
        <v>45992</v>
      </c>
      <c r="B7" s="430" t="n">
        <v>335763.2611383674</v>
      </c>
      <c r="C7" s="430" t="n">
        <v>1747829.172641969</v>
      </c>
      <c r="D7" s="430" t="n">
        <v>3263890.610596796</v>
      </c>
      <c r="E7" s="430" t="n"/>
      <c r="F7" s="430">
        <f>+B7-C7</f>
        <v/>
      </c>
      <c r="G7" s="430">
        <f>+B7-D7</f>
        <v/>
      </c>
      <c r="H7" s="362" t="n"/>
      <c r="I7" s="362" t="n"/>
      <c r="J7" s="586" t="n">
        <v>45992</v>
      </c>
      <c r="K7" s="362" t="n">
        <v>0</v>
      </c>
      <c r="L7" s="362" t="n">
        <v>0</v>
      </c>
      <c r="M7" s="362" t="n">
        <v>0</v>
      </c>
      <c r="N7" s="362" t="n"/>
      <c r="O7" s="362">
        <f>+K7-L7</f>
        <v/>
      </c>
      <c r="P7" s="362">
        <f>+K7-M7</f>
        <v/>
      </c>
      <c r="S7" s="586" t="n">
        <v>45992</v>
      </c>
      <c r="T7" s="362" t="n">
        <v>212097.4682469275</v>
      </c>
      <c r="U7" s="362" t="n">
        <v>554030.1312075066</v>
      </c>
      <c r="V7" s="362" t="n">
        <v>945330.3873635679</v>
      </c>
      <c r="W7" s="362" t="n"/>
      <c r="X7" s="362">
        <f>+T7-U7</f>
        <v/>
      </c>
      <c r="Y7" s="362">
        <f>+T7-V7</f>
        <v/>
      </c>
    </row>
    <row r="8">
      <c r="A8" s="586" t="n">
        <v>46023</v>
      </c>
      <c r="B8" s="430" t="n">
        <v>589611.4011736094</v>
      </c>
      <c r="C8" s="430" t="n">
        <v>2384767.43490454</v>
      </c>
      <c r="D8" s="430" t="n">
        <v>3577855.883209275</v>
      </c>
      <c r="E8" s="430" t="n"/>
      <c r="F8" s="430">
        <f>+B8-C8</f>
        <v/>
      </c>
      <c r="G8" s="430">
        <f>+B8-D8</f>
        <v/>
      </c>
      <c r="H8" s="362" t="n"/>
      <c r="I8" s="362" t="n"/>
      <c r="J8" s="586" t="n">
        <v>46023</v>
      </c>
      <c r="K8" s="362" t="n">
        <v>0</v>
      </c>
      <c r="L8" s="362" t="n">
        <v>0</v>
      </c>
      <c r="M8" s="362" t="n">
        <v>-800000</v>
      </c>
      <c r="N8" s="362" t="n"/>
      <c r="O8" s="362">
        <f>+K8-L8</f>
        <v/>
      </c>
      <c r="P8" s="362">
        <f>+K8-M8</f>
        <v/>
      </c>
      <c r="S8" s="586" t="n">
        <v>46023</v>
      </c>
      <c r="T8" s="362" t="n">
        <v>176319.358406767</v>
      </c>
      <c r="U8" s="362" t="n">
        <v>553313.096634096</v>
      </c>
      <c r="V8" s="362" t="n">
        <v>230340.1069840037</v>
      </c>
      <c r="W8" s="362" t="n"/>
      <c r="X8" s="362">
        <f>+T8-U8</f>
        <v/>
      </c>
      <c r="Y8" s="362">
        <f>+T8-V8</f>
        <v/>
      </c>
      <c r="CK8" s="468" t="inlineStr">
        <is>
          <t>Mês</t>
        </is>
      </c>
      <c r="CL8" s="468" t="inlineStr">
        <is>
          <t>3 Lotes</t>
        </is>
      </c>
      <c r="CM8" s="468" t="inlineStr">
        <is>
          <t>5 Lotes</t>
        </is>
      </c>
      <c r="CN8" s="468" t="inlineStr">
        <is>
          <t>7 Lotes</t>
        </is>
      </c>
      <c r="CO8" s="468" t="inlineStr">
        <is>
          <t>10 Lotes</t>
        </is>
      </c>
      <c r="CQ8" s="468" t="inlineStr">
        <is>
          <t>Mês</t>
        </is>
      </c>
      <c r="CR8" s="468" t="inlineStr">
        <is>
          <t>3x5</t>
        </is>
      </c>
      <c r="CS8" s="468" t="inlineStr">
        <is>
          <t>5x7</t>
        </is>
      </c>
      <c r="CT8" s="468" t="inlineStr">
        <is>
          <t>7x10</t>
        </is>
      </c>
      <c r="CU8" s="468" t="inlineStr">
        <is>
          <t>10x3</t>
        </is>
      </c>
    </row>
    <row r="9">
      <c r="A9" s="586" t="n">
        <v>46054</v>
      </c>
      <c r="B9" s="430" t="n">
        <v>35181.16903679667</v>
      </c>
      <c r="C9" s="430" t="n">
        <v>2249699.65993594</v>
      </c>
      <c r="D9" s="430" t="n">
        <v>3969945.505961978</v>
      </c>
      <c r="E9" s="430" t="n"/>
      <c r="F9" s="430">
        <f>+B9-C9</f>
        <v/>
      </c>
      <c r="G9" s="430">
        <f>+B9-D9</f>
        <v/>
      </c>
      <c r="H9" s="362" t="n"/>
      <c r="I9" s="362" t="n"/>
      <c r="J9" s="586" t="n">
        <v>46054</v>
      </c>
      <c r="K9" s="362" t="n">
        <v>0</v>
      </c>
      <c r="L9" s="362" t="n">
        <v>0</v>
      </c>
      <c r="M9" s="362" t="n">
        <v>0</v>
      </c>
      <c r="N9" s="362" t="n"/>
      <c r="O9" s="362">
        <f>+K9-L9</f>
        <v/>
      </c>
      <c r="P9" s="362">
        <f>+K9-M9</f>
        <v/>
      </c>
      <c r="S9" s="586" t="n">
        <v>46054</v>
      </c>
      <c r="T9" s="362" t="n">
        <v>-432579.2440183153</v>
      </c>
      <c r="U9" s="362" t="n">
        <v>-579361.9419221035</v>
      </c>
      <c r="V9" s="362" t="n">
        <v>-52204.54420079896</v>
      </c>
      <c r="W9" s="362" t="n"/>
      <c r="X9" s="362">
        <f>+T9-U9</f>
        <v/>
      </c>
      <c r="Y9" s="362">
        <f>+T9-V9</f>
        <v/>
      </c>
      <c r="CK9" s="467" t="n">
        <v>46357</v>
      </c>
      <c r="CL9">
        <f>+#REF!</f>
        <v/>
      </c>
      <c r="CM9">
        <f>+'FC Total (5 lotes)'!$AZ$76</f>
        <v/>
      </c>
      <c r="CN9">
        <f>+#REF!</f>
        <v/>
      </c>
      <c r="CO9">
        <f>+#REF!</f>
        <v/>
      </c>
      <c r="CQ9" s="467" t="n">
        <v>46357</v>
      </c>
      <c r="CR9" s="362">
        <f>+CM9-CL9</f>
        <v/>
      </c>
      <c r="CS9" s="362">
        <f>+CN9-CM9</f>
        <v/>
      </c>
      <c r="CT9" s="362">
        <f>+CO9-CN9</f>
        <v/>
      </c>
      <c r="CU9" s="362">
        <f>+CO9-CL9</f>
        <v/>
      </c>
    </row>
    <row r="10">
      <c r="A10" s="586" t="n">
        <v>46082</v>
      </c>
      <c r="B10" s="430" t="n">
        <v>5191541.6700239</v>
      </c>
      <c r="C10" s="430" t="n">
        <v>7885125.683551665</v>
      </c>
      <c r="D10" s="430" t="n">
        <v>4083103.616618946</v>
      </c>
      <c r="E10" s="430" t="n"/>
      <c r="F10" s="430">
        <f>+B10-C10</f>
        <v/>
      </c>
      <c r="G10" s="430">
        <f>+B10-D10</f>
        <v/>
      </c>
      <c r="H10" s="362" t="n"/>
      <c r="I10" s="362" t="n"/>
      <c r="J10" s="586" t="n">
        <v>46082</v>
      </c>
      <c r="K10" s="362" t="n">
        <v>0</v>
      </c>
      <c r="L10" s="362" t="n">
        <v>-2500000</v>
      </c>
      <c r="M10" s="362" t="n">
        <v>-6000000</v>
      </c>
      <c r="N10" s="362" t="n"/>
      <c r="O10" s="362">
        <f>+K10-L10</f>
        <v/>
      </c>
      <c r="P10" s="362">
        <f>+K10-M10</f>
        <v/>
      </c>
      <c r="S10" s="586" t="n">
        <v>46082</v>
      </c>
      <c r="T10" s="362" t="n">
        <v>5079186.297010547</v>
      </c>
      <c r="U10" s="362" t="n">
        <v>3042789.263326595</v>
      </c>
      <c r="V10" s="362" t="n">
        <v>-979478.6496321638</v>
      </c>
      <c r="W10" s="362" t="n"/>
      <c r="X10" s="362">
        <f>+T10-U10</f>
        <v/>
      </c>
      <c r="Y10" s="362">
        <f>+T10-V10</f>
        <v/>
      </c>
      <c r="BR10" t="n">
        <v>5</v>
      </c>
      <c r="BV10" s="384" t="n">
        <v>46296</v>
      </c>
      <c r="BW10" s="384" t="n">
        <v>46327</v>
      </c>
      <c r="BX10" s="384" t="n">
        <v>46357</v>
      </c>
      <c r="BZ10" s="384" t="inlineStr">
        <is>
          <t>TOTAL</t>
        </is>
      </c>
      <c r="CK10" s="467" t="n">
        <v>46388</v>
      </c>
      <c r="CL10">
        <f>+#REF!</f>
        <v/>
      </c>
      <c r="CM10">
        <f>+'FC Total (5 lotes)'!$BA$76</f>
        <v/>
      </c>
      <c r="CN10">
        <f>+#REF!</f>
        <v/>
      </c>
      <c r="CO10">
        <f>+#REF!</f>
        <v/>
      </c>
      <c r="CQ10" s="467" t="n">
        <v>46388</v>
      </c>
      <c r="CR10" s="362">
        <f>+CM10-CL10</f>
        <v/>
      </c>
      <c r="CS10" s="362">
        <f>+CN10-CM10</f>
        <v/>
      </c>
      <c r="CT10" s="362">
        <f>+CO10-CN10</f>
        <v/>
      </c>
      <c r="CU10" s="362">
        <f>+CO10-CL10</f>
        <v/>
      </c>
    </row>
    <row r="11">
      <c r="A11" s="586" t="n">
        <v>46113</v>
      </c>
      <c r="B11" s="430" t="n">
        <v>6524829.06697656</v>
      </c>
      <c r="C11" s="430" t="n">
        <v>9735815.666517844</v>
      </c>
      <c r="D11" s="430" t="n">
        <v>4018878.234816744</v>
      </c>
      <c r="E11" s="430" t="n"/>
      <c r="F11" s="430">
        <f>+B11-C11</f>
        <v/>
      </c>
      <c r="G11" s="430">
        <f>+B11-D11</f>
        <v/>
      </c>
      <c r="H11" s="362" t="n"/>
      <c r="I11" s="362" t="n"/>
      <c r="J11" s="586" t="n">
        <v>46113</v>
      </c>
      <c r="K11" s="362" t="n">
        <v>0</v>
      </c>
      <c r="L11" s="362" t="n">
        <v>0</v>
      </c>
      <c r="M11" s="362" t="n">
        <v>-2400000</v>
      </c>
      <c r="N11" s="362" t="n"/>
      <c r="O11" s="362">
        <f>+K11-L11</f>
        <v/>
      </c>
      <c r="P11" s="362">
        <f>+K11-M11</f>
        <v/>
      </c>
      <c r="S11" s="586" t="n">
        <v>46113</v>
      </c>
      <c r="T11" s="362" t="n">
        <v>1255495.799344294</v>
      </c>
      <c r="U11" s="362" t="n">
        <v>1742100.368594735</v>
      </c>
      <c r="V11" s="362" t="n">
        <v>-160814.9961736468</v>
      </c>
      <c r="W11" s="362" t="n"/>
      <c r="X11" s="362">
        <f>+T11-U11</f>
        <v/>
      </c>
      <c r="Y11" s="362">
        <f>+T11-V11</f>
        <v/>
      </c>
      <c r="BV11" s="385" t="n">
        <v>200000</v>
      </c>
      <c r="BW11" s="385" t="n">
        <v>1600000</v>
      </c>
      <c r="BX11" s="385" t="n">
        <v>500000</v>
      </c>
      <c r="BZ11" s="386">
        <f>SUM(BT11:BX11)</f>
        <v/>
      </c>
      <c r="CK11" s="467" t="n">
        <v>46722</v>
      </c>
      <c r="CL11">
        <f>+#REF!</f>
        <v/>
      </c>
      <c r="CM11">
        <f>+'FC Total (5 lotes)'!$BL$76</f>
        <v/>
      </c>
      <c r="CN11">
        <f>+#REF!</f>
        <v/>
      </c>
      <c r="CO11">
        <f>+#REF!</f>
        <v/>
      </c>
      <c r="CQ11" s="467" t="n">
        <v>46722</v>
      </c>
      <c r="CR11" s="362">
        <f>+CM11-CL11</f>
        <v/>
      </c>
      <c r="CS11" s="362">
        <f>+CN11-CM11</f>
        <v/>
      </c>
      <c r="CT11" s="362">
        <f>+CO11-CN11</f>
        <v/>
      </c>
      <c r="CU11" s="362">
        <f>+CO11-CL11</f>
        <v/>
      </c>
    </row>
    <row r="12">
      <c r="A12" s="586" t="n">
        <v>46143</v>
      </c>
      <c r="B12" s="430" t="n">
        <v>5204871.317780221</v>
      </c>
      <c r="C12" s="430" t="n">
        <v>8973269.925039371</v>
      </c>
      <c r="D12" s="430" t="n">
        <v>3776262.835333415</v>
      </c>
      <c r="E12" s="430" t="n"/>
      <c r="F12" s="430">
        <f>+B12-C12</f>
        <v/>
      </c>
      <c r="G12" s="430">
        <f>+B12-D12</f>
        <v/>
      </c>
      <c r="H12" s="362" t="n"/>
      <c r="I12" s="362" t="n"/>
      <c r="J12" s="586" t="n">
        <v>46143</v>
      </c>
      <c r="K12" s="362" t="n">
        <v>0</v>
      </c>
      <c r="L12" s="362" t="n">
        <v>0</v>
      </c>
      <c r="M12" s="362" t="n">
        <v>0</v>
      </c>
      <c r="N12" s="362" t="n"/>
      <c r="O12" s="362">
        <f>+K12-L12</f>
        <v/>
      </c>
      <c r="P12" s="362">
        <f>+K12-M12</f>
        <v/>
      </c>
      <c r="S12" s="586" t="n">
        <v>46143</v>
      </c>
      <c r="T12" s="362" t="n">
        <v>-1398371.679585573</v>
      </c>
      <c r="U12" s="362" t="n">
        <v>-872004.0727648889</v>
      </c>
      <c r="V12" s="362" t="n">
        <v>-339977.7307697441</v>
      </c>
      <c r="W12" s="362" t="n"/>
      <c r="X12" s="362">
        <f>+T12-U12</f>
        <v/>
      </c>
      <c r="Y12" s="362">
        <f>+T12-V12</f>
        <v/>
      </c>
      <c r="AG12" s="364" t="n"/>
      <c r="AH12" s="587" t="n"/>
      <c r="AI12" s="588" t="n"/>
      <c r="CK12" s="467" t="n">
        <v>46753</v>
      </c>
      <c r="CL12">
        <f>+#REF!</f>
        <v/>
      </c>
      <c r="CM12">
        <f>+'FC Total (5 lotes)'!$BM$76</f>
        <v/>
      </c>
      <c r="CN12">
        <f>+#REF!</f>
        <v/>
      </c>
      <c r="CO12">
        <f>+#REF!</f>
        <v/>
      </c>
      <c r="CQ12" s="467" t="n">
        <v>46753</v>
      </c>
      <c r="CR12" s="362">
        <f>+CM12-CL12</f>
        <v/>
      </c>
      <c r="CS12" s="362">
        <f>+CN12-CM12</f>
        <v/>
      </c>
      <c r="CT12" s="362">
        <f>+CO12-CN12</f>
        <v/>
      </c>
      <c r="CU12" s="362">
        <f>+CO12-CL12</f>
        <v/>
      </c>
    </row>
    <row r="13">
      <c r="A13" s="586" t="n">
        <v>46174</v>
      </c>
      <c r="B13" s="430" t="n">
        <v>4447051.719172974</v>
      </c>
      <c r="C13" s="430" t="n">
        <v>8796137.865627972</v>
      </c>
      <c r="D13" s="430" t="n">
        <v>4207493.521534795</v>
      </c>
      <c r="E13" s="430" t="n"/>
      <c r="F13" s="430">
        <f>+B13-C13</f>
        <v/>
      </c>
      <c r="G13" s="430">
        <f>+B13-D13</f>
        <v/>
      </c>
      <c r="H13" s="362" t="n"/>
      <c r="I13" s="362" t="n"/>
      <c r="J13" s="586" t="n">
        <v>46174</v>
      </c>
      <c r="K13" s="362" t="n">
        <v>0</v>
      </c>
      <c r="L13" s="362" t="n">
        <v>0</v>
      </c>
      <c r="M13" s="362" t="n"/>
      <c r="N13" s="362" t="n"/>
      <c r="O13" s="362">
        <f>+K13-L13</f>
        <v/>
      </c>
      <c r="P13" s="362">
        <f>+K13-M13</f>
        <v/>
      </c>
      <c r="S13" s="586" t="n">
        <v>46174</v>
      </c>
      <c r="T13" s="362" t="n">
        <v>-836860.840439595</v>
      </c>
      <c r="U13" s="362" t="n">
        <v>-287466.0573481054</v>
      </c>
      <c r="V13" s="362" t="n">
        <v>333089.4562646733</v>
      </c>
      <c r="W13" s="362" t="n"/>
      <c r="X13" s="362">
        <f>+T13-U13</f>
        <v/>
      </c>
      <c r="Y13" s="362">
        <f>+T13-V13</f>
        <v/>
      </c>
      <c r="AG13" s="364" t="n"/>
      <c r="AH13" s="589" t="n"/>
      <c r="AI13" s="589" t="n"/>
      <c r="AJ13" s="589" t="n"/>
      <c r="CK13" s="467" t="n">
        <v>47088</v>
      </c>
      <c r="CL13">
        <f>+#REF!</f>
        <v/>
      </c>
      <c r="CM13">
        <f>+'FC Total (5 lotes)'!$BX$76</f>
        <v/>
      </c>
      <c r="CN13">
        <f>+#REF!</f>
        <v/>
      </c>
      <c r="CO13">
        <f>+#REF!</f>
        <v/>
      </c>
      <c r="CQ13" s="467" t="n">
        <v>47088</v>
      </c>
      <c r="CR13" s="362">
        <f>+CM13-CL13</f>
        <v/>
      </c>
      <c r="CS13" s="362">
        <f>+CN13-CM13</f>
        <v/>
      </c>
      <c r="CT13" s="362">
        <f>+CO13-CN13</f>
        <v/>
      </c>
      <c r="CU13" s="362">
        <f>+CO13-CL13</f>
        <v/>
      </c>
    </row>
    <row r="14">
      <c r="A14" s="586" t="n">
        <v>46204</v>
      </c>
      <c r="B14" s="430" t="n">
        <v>3787824.374431532</v>
      </c>
      <c r="C14" s="430" t="n">
        <v>8756662.386240184</v>
      </c>
      <c r="D14" s="430" t="n">
        <v>3634315.469750361</v>
      </c>
      <c r="E14" s="430" t="n"/>
      <c r="F14" s="430">
        <f>+B14-C14</f>
        <v/>
      </c>
      <c r="G14" s="430">
        <f>+B14-D14</f>
        <v/>
      </c>
      <c r="H14" s="362" t="n"/>
      <c r="I14" s="362" t="n"/>
      <c r="J14" s="586" t="n">
        <v>46204</v>
      </c>
      <c r="K14" s="362" t="n">
        <v>0</v>
      </c>
      <c r="L14" s="362" t="n">
        <v>0</v>
      </c>
      <c r="M14" s="362" t="n">
        <v>-1200000</v>
      </c>
      <c r="N14" s="362" t="n"/>
      <c r="O14" s="362">
        <f>+K14-L14</f>
        <v/>
      </c>
      <c r="P14" s="362">
        <f>+K14-M14</f>
        <v/>
      </c>
      <c r="S14" s="586" t="n">
        <v>46204</v>
      </c>
      <c r="T14" s="362" t="n">
        <v>-738900.916508449</v>
      </c>
      <c r="U14" s="362" t="n">
        <v>-150692.1493079881</v>
      </c>
      <c r="V14" s="362" t="n">
        <v>-672104.4115606346</v>
      </c>
      <c r="W14" s="362" t="n"/>
      <c r="X14" s="362">
        <f>+T14-U14</f>
        <v/>
      </c>
      <c r="Y14" s="362">
        <f>+T14-V14</f>
        <v/>
      </c>
      <c r="AG14" s="364" t="n"/>
      <c r="AH14" s="587" t="n"/>
      <c r="AI14" s="589" t="n"/>
      <c r="AJ14" s="589" t="n"/>
      <c r="CK14" s="467" t="n">
        <v>47119</v>
      </c>
      <c r="CL14">
        <f>+#REF!</f>
        <v/>
      </c>
      <c r="CM14">
        <f>+'FC Total (5 lotes)'!$BY$76</f>
        <v/>
      </c>
      <c r="CN14">
        <f>+#REF!</f>
        <v/>
      </c>
      <c r="CO14">
        <f>+#REF!</f>
        <v/>
      </c>
      <c r="CQ14" s="467" t="n">
        <v>47119</v>
      </c>
      <c r="CR14" s="362">
        <f>+CM14-CL14</f>
        <v/>
      </c>
      <c r="CS14" s="362">
        <f>+CN14-CM14</f>
        <v/>
      </c>
      <c r="CT14" s="362">
        <f>+CO14-CN14</f>
        <v/>
      </c>
      <c r="CU14" s="362">
        <f>+CO14-CL14</f>
        <v/>
      </c>
    </row>
    <row r="15">
      <c r="A15" s="586" t="n">
        <v>46235</v>
      </c>
      <c r="B15" s="430" t="n">
        <v>3416423.706111613</v>
      </c>
      <c r="C15" s="430" t="n">
        <v>9263279.682501864</v>
      </c>
      <c r="D15" s="430" t="n">
        <v>5271106.030040825</v>
      </c>
      <c r="E15" s="430" t="n"/>
      <c r="F15" s="430">
        <f>+B15-C15</f>
        <v/>
      </c>
      <c r="G15" s="430">
        <f>+B15-D15</f>
        <v/>
      </c>
      <c r="H15" s="362" t="n"/>
      <c r="I15" s="362" t="n"/>
      <c r="J15" s="586" t="n">
        <v>46235</v>
      </c>
      <c r="K15" s="362" t="n">
        <v>0</v>
      </c>
      <c r="L15" s="362" t="n">
        <v>0</v>
      </c>
      <c r="M15" s="362" t="n">
        <v>0</v>
      </c>
      <c r="N15" s="362" t="n"/>
      <c r="O15" s="362">
        <f>+K15-L15</f>
        <v/>
      </c>
      <c r="P15" s="362">
        <f>+K15-M15</f>
        <v/>
      </c>
      <c r="S15" s="586" t="n">
        <v>46235</v>
      </c>
      <c r="T15" s="362" t="n">
        <v>-575378.9886610615</v>
      </c>
      <c r="U15" s="362" t="n">
        <v>270843.5329821175</v>
      </c>
      <c r="V15" s="362" t="n">
        <v>1413405.429636054</v>
      </c>
      <c r="W15" s="362" t="n"/>
      <c r="X15" s="362">
        <f>+T15-U15</f>
        <v/>
      </c>
      <c r="Y15" s="362">
        <f>+T15-V15</f>
        <v/>
      </c>
      <c r="AG15" s="364" t="n"/>
      <c r="AH15" s="587" t="n"/>
      <c r="AI15" s="364" t="n"/>
      <c r="AJ15" s="589" t="n"/>
      <c r="CK15" s="467" t="n">
        <v>47453</v>
      </c>
      <c r="CL15">
        <f>+#REF!</f>
        <v/>
      </c>
      <c r="CM15">
        <f>+'FC Total (5 lotes)'!$CJ$76</f>
        <v/>
      </c>
      <c r="CN15">
        <f>+#REF!</f>
        <v/>
      </c>
      <c r="CO15">
        <f>+#REF!</f>
        <v/>
      </c>
      <c r="CQ15" s="467" t="n">
        <v>47453</v>
      </c>
      <c r="CR15" s="362">
        <f>+CM15-CL15</f>
        <v/>
      </c>
      <c r="CS15" s="362">
        <f>+CN15-CM15</f>
        <v/>
      </c>
      <c r="CT15" s="362">
        <f>+CO15-CN15</f>
        <v/>
      </c>
      <c r="CU15" s="362">
        <f>+CO15-CL15</f>
        <v/>
      </c>
    </row>
    <row r="16">
      <c r="A16" s="586" t="n">
        <v>46266</v>
      </c>
      <c r="B16" s="430" t="n">
        <v>963069.6182497256</v>
      </c>
      <c r="C16" s="430" t="n">
        <v>7700954.387132422</v>
      </c>
      <c r="D16" s="430" t="n">
        <v>4861829.10689394</v>
      </c>
      <c r="E16" s="430" t="n"/>
      <c r="F16" s="430">
        <f>+B16-C16</f>
        <v/>
      </c>
      <c r="G16" s="430">
        <f>+B16-D16</f>
        <v/>
      </c>
      <c r="H16" s="362" t="n"/>
      <c r="I16" s="362" t="n"/>
      <c r="J16" s="586" t="n">
        <v>46266</v>
      </c>
      <c r="K16" s="362" t="n">
        <v>0</v>
      </c>
      <c r="L16" s="362" t="n">
        <v>0</v>
      </c>
      <c r="M16" s="362" t="n">
        <v>0</v>
      </c>
      <c r="N16" s="362" t="n"/>
      <c r="O16" s="362">
        <f>+K16-L16</f>
        <v/>
      </c>
      <c r="P16" s="362">
        <f>+K16-M16</f>
        <v/>
      </c>
      <c r="S16" s="586" t="n">
        <v>46266</v>
      </c>
      <c r="T16" s="362" t="n">
        <v>-2527312.92796576</v>
      </c>
      <c r="U16" s="362" t="n">
        <v>-1668333.94195524</v>
      </c>
      <c r="V16" s="362" t="n">
        <v>-502797.8280465305</v>
      </c>
      <c r="W16" s="362" t="n"/>
      <c r="X16" s="362">
        <f>+T16-U16</f>
        <v/>
      </c>
      <c r="Y16" s="362">
        <f>+T16-V16</f>
        <v/>
      </c>
      <c r="AG16" s="364" t="n"/>
      <c r="AH16" s="587" t="n"/>
      <c r="AI16" s="588" t="n"/>
      <c r="CK16" s="467" t="n">
        <v>47484</v>
      </c>
      <c r="CL16">
        <f>+#REF!</f>
        <v/>
      </c>
      <c r="CM16">
        <f>+'FC Total (5 lotes)'!$CK$76</f>
        <v/>
      </c>
      <c r="CN16">
        <f>+#REF!</f>
        <v/>
      </c>
      <c r="CO16">
        <f>+#REF!</f>
        <v/>
      </c>
      <c r="CQ16" s="467" t="n">
        <v>47484</v>
      </c>
      <c r="CR16" s="362">
        <f>+CM16-CL16</f>
        <v/>
      </c>
      <c r="CS16" s="362">
        <f>+CN16-CM16</f>
        <v/>
      </c>
      <c r="CT16" s="362">
        <f>+CO16-CN16</f>
        <v/>
      </c>
      <c r="CU16" s="362">
        <f>+CO16-CL16</f>
        <v/>
      </c>
    </row>
    <row r="17">
      <c r="A17" s="586" t="n">
        <v>46296</v>
      </c>
      <c r="B17" s="430" t="n">
        <v>0.3376927743665874</v>
      </c>
      <c r="C17" s="430" t="n">
        <v>7316009.801268083</v>
      </c>
      <c r="D17" s="430" t="n">
        <v>5652654.104210526</v>
      </c>
      <c r="E17" s="430" t="n"/>
      <c r="F17" s="430">
        <f>+B17-C17</f>
        <v/>
      </c>
      <c r="G17" s="430">
        <f>+B17-D17</f>
        <v/>
      </c>
      <c r="H17" s="362" t="n"/>
      <c r="I17" s="362" t="n"/>
      <c r="J17" s="586" t="n">
        <v>46296</v>
      </c>
      <c r="K17" s="362" t="n">
        <v>0</v>
      </c>
      <c r="L17" s="362" t="n">
        <v>0</v>
      </c>
      <c r="M17" s="362" t="n">
        <v>0</v>
      </c>
      <c r="N17" s="362" t="n"/>
      <c r="O17" s="362">
        <f>+K17-L17</f>
        <v/>
      </c>
      <c r="P17" s="362">
        <f>+K17-M17</f>
        <v/>
      </c>
      <c r="S17" s="586" t="n">
        <v>46296</v>
      </c>
      <c r="T17" s="362" t="n">
        <v>-259295.7951816539</v>
      </c>
      <c r="U17" s="362" t="n">
        <v>-500124.3054228239</v>
      </c>
      <c r="V17" s="362" t="n">
        <v>688232.9213777436</v>
      </c>
      <c r="W17" s="362" t="n"/>
      <c r="X17" s="362">
        <f>+T17-U17</f>
        <v/>
      </c>
      <c r="Y17" s="362">
        <f>+T17-V17</f>
        <v/>
      </c>
      <c r="AG17" s="492" t="n"/>
      <c r="AH17" s="590" t="n"/>
      <c r="AJ17" s="591" t="n"/>
      <c r="CK17" s="467" t="n">
        <v>47818</v>
      </c>
      <c r="CL17">
        <f>+#REF!</f>
        <v/>
      </c>
      <c r="CM17">
        <f>+'FC Total (5 lotes)'!$CV$76</f>
        <v/>
      </c>
      <c r="CN17">
        <f>+#REF!</f>
        <v/>
      </c>
      <c r="CO17">
        <f>+#REF!</f>
        <v/>
      </c>
      <c r="CQ17" s="467" t="n">
        <v>47818</v>
      </c>
      <c r="CR17" s="362">
        <f>+CM17-CL17</f>
        <v/>
      </c>
      <c r="CS17" s="362">
        <f>+CN17-CM17</f>
        <v/>
      </c>
      <c r="CT17" s="362">
        <f>+CO17-CN17</f>
        <v/>
      </c>
      <c r="CU17" s="362">
        <f>+CO17-CL17</f>
        <v/>
      </c>
    </row>
    <row r="18">
      <c r="A18" s="586" t="n">
        <v>46327</v>
      </c>
      <c r="B18" s="430" t="n">
        <v>0.3548032636754215</v>
      </c>
      <c r="C18" s="430" t="n">
        <v>6430010.55588975</v>
      </c>
      <c r="D18" s="430" t="n">
        <v>6021278.980458353</v>
      </c>
      <c r="E18" s="430" t="n"/>
      <c r="F18" s="430">
        <f>+B18-C18</f>
        <v/>
      </c>
      <c r="G18" s="430">
        <f>+B18-D18</f>
        <v/>
      </c>
      <c r="H18" s="362" t="n"/>
      <c r="I18" s="362" t="n"/>
      <c r="J18" s="586" t="n">
        <v>46327</v>
      </c>
      <c r="K18" s="362" t="n">
        <v>0</v>
      </c>
      <c r="L18" s="362" t="n">
        <v>-800000</v>
      </c>
      <c r="M18" s="362" t="n">
        <v>0</v>
      </c>
      <c r="N18" s="362" t="n"/>
      <c r="O18" s="362">
        <f>+K18-L18</f>
        <v/>
      </c>
      <c r="P18" s="362">
        <f>+K18-M18</f>
        <v/>
      </c>
      <c r="S18" s="586" t="n">
        <v>46327</v>
      </c>
      <c r="T18" s="362" t="n">
        <v>4709.693958947435</v>
      </c>
      <c r="U18" s="362" t="n">
        <v>-1802100.402693287</v>
      </c>
      <c r="V18" s="362" t="n">
        <v>265212.0637014732</v>
      </c>
      <c r="W18" s="362" t="n"/>
      <c r="X18" s="362">
        <f>+T18-U18</f>
        <v/>
      </c>
      <c r="Y18" s="362">
        <f>+T18-V18</f>
        <v/>
      </c>
      <c r="AJ18" s="591" t="n"/>
      <c r="CK18" s="467" t="n">
        <v>47849</v>
      </c>
      <c r="CL18">
        <f>+#REF!</f>
        <v/>
      </c>
      <c r="CM18">
        <f>+'FC Total (5 lotes)'!$CW$76</f>
        <v/>
      </c>
      <c r="CN18">
        <f>+#REF!</f>
        <v/>
      </c>
      <c r="CO18">
        <f>+#REF!</f>
        <v/>
      </c>
      <c r="CQ18" s="467" t="n">
        <v>47849</v>
      </c>
      <c r="CR18" s="362">
        <f>+CM18-CL18</f>
        <v/>
      </c>
      <c r="CS18" s="362">
        <f>+CN18-CM18</f>
        <v/>
      </c>
      <c r="CT18" s="362">
        <f>+CO18-CN18</f>
        <v/>
      </c>
      <c r="CU18" s="362">
        <f>+CO18-CL18</f>
        <v/>
      </c>
    </row>
    <row r="19">
      <c r="A19" s="586" t="n">
        <v>46357</v>
      </c>
      <c r="B19" s="430" t="n">
        <v>-0.291748798917979</v>
      </c>
      <c r="C19" s="430" t="n">
        <v>5897906.359822353</v>
      </c>
      <c r="D19" s="430" t="n">
        <v>5790713.438101539</v>
      </c>
      <c r="E19" s="430" t="n"/>
      <c r="F19" s="430">
        <f>+B19-C19</f>
        <v/>
      </c>
      <c r="G19" s="430">
        <f>+B19-D19</f>
        <v/>
      </c>
      <c r="H19" s="362" t="n"/>
      <c r="I19" s="362" t="n"/>
      <c r="J19" s="586" t="n">
        <v>46357</v>
      </c>
      <c r="K19" s="362" t="n">
        <v>0</v>
      </c>
      <c r="L19" s="362" t="n">
        <v>0</v>
      </c>
      <c r="M19" s="362" t="n">
        <v>-1000000</v>
      </c>
      <c r="N19" s="362" t="n"/>
      <c r="O19" s="362">
        <f>+K19-L19</f>
        <v/>
      </c>
      <c r="P19" s="362">
        <f>+K19-M19</f>
        <v/>
      </c>
      <c r="S19" s="586" t="n">
        <v>46357</v>
      </c>
      <c r="T19" s="362" t="n">
        <v>58449.70412102388</v>
      </c>
      <c r="U19" s="362" t="n">
        <v>-655534.1626408687</v>
      </c>
      <c r="V19" s="362" t="n">
        <v>-334805.657403538</v>
      </c>
      <c r="W19" s="362" t="n"/>
      <c r="X19" s="362">
        <f>+T19-U19</f>
        <v/>
      </c>
      <c r="Y19" s="362">
        <f>+T19-V19</f>
        <v/>
      </c>
      <c r="AJ19" s="591" t="n"/>
      <c r="CK19" s="467" t="n">
        <v>48183</v>
      </c>
      <c r="CL19">
        <f>+#REF!</f>
        <v/>
      </c>
      <c r="CM19">
        <f>+'FC Total (5 lotes)'!$DH$76</f>
        <v/>
      </c>
      <c r="CN19">
        <f>+#REF!</f>
        <v/>
      </c>
      <c r="CO19">
        <f>+#REF!</f>
        <v/>
      </c>
      <c r="CQ19" s="467" t="n">
        <v>48183</v>
      </c>
      <c r="CR19" s="362">
        <f>+CM19-CL19</f>
        <v/>
      </c>
      <c r="CS19" s="362">
        <f>+CN19-CM19</f>
        <v/>
      </c>
      <c r="CT19" s="362">
        <f>+CO19-CN19</f>
        <v/>
      </c>
      <c r="CU19" s="362">
        <f>+CO19-CL19</f>
        <v/>
      </c>
    </row>
    <row r="20">
      <c r="A20" s="586" t="n">
        <v>46388</v>
      </c>
      <c r="B20" s="430" t="n">
        <v>14084.27538425475</v>
      </c>
      <c r="C20" s="430" t="n">
        <v>6922847.253783359</v>
      </c>
      <c r="D20" s="430" t="n">
        <v>6591446.501960474</v>
      </c>
      <c r="E20" s="430" t="n"/>
      <c r="F20" s="430">
        <f>+B20-C20</f>
        <v/>
      </c>
      <c r="G20" s="430">
        <f>+B20-D20</f>
        <v/>
      </c>
      <c r="H20" s="362" t="n"/>
      <c r="I20" s="362" t="n"/>
      <c r="J20" s="586" t="n">
        <v>46388</v>
      </c>
      <c r="K20" s="362" t="n">
        <v>0</v>
      </c>
      <c r="L20" s="362" t="n">
        <v>0</v>
      </c>
      <c r="M20" s="362" t="n">
        <v>-1600000</v>
      </c>
      <c r="N20" s="362" t="n"/>
      <c r="O20" s="362">
        <f>+K20-L20</f>
        <v/>
      </c>
      <c r="P20" s="362">
        <f>+K20-M20</f>
        <v/>
      </c>
      <c r="S20" s="586" t="n">
        <v>46388</v>
      </c>
      <c r="T20" s="362" t="n">
        <v>-62653.48172246525</v>
      </c>
      <c r="U20" s="362" t="n">
        <v>900523.4876549463</v>
      </c>
      <c r="V20" s="362" t="n">
        <v>695659.0278918361</v>
      </c>
      <c r="W20" s="362" t="n"/>
      <c r="X20" s="362">
        <f>+T20-U20</f>
        <v/>
      </c>
      <c r="Y20" s="362">
        <f>+T20-V20</f>
        <v/>
      </c>
      <c r="CK20" s="467" t="n">
        <v>48214</v>
      </c>
      <c r="CL20">
        <f>+#REF!</f>
        <v/>
      </c>
      <c r="CM20">
        <f>+'FC Total (5 lotes)'!$DI$76</f>
        <v/>
      </c>
      <c r="CN20">
        <f>+#REF!</f>
        <v/>
      </c>
      <c r="CO20">
        <f>+#REF!</f>
        <v/>
      </c>
      <c r="CQ20" s="467" t="n">
        <v>48214</v>
      </c>
      <c r="CR20" s="362">
        <f>+CM20-CL20</f>
        <v/>
      </c>
      <c r="CS20" s="362">
        <f>+CN20-CM20</f>
        <v/>
      </c>
      <c r="CT20" s="362">
        <f>+CO20-CN20</f>
        <v/>
      </c>
      <c r="CU20" s="362">
        <f>+CO20-CL20</f>
        <v/>
      </c>
    </row>
    <row r="21">
      <c r="A21" s="586" t="n">
        <v>46419</v>
      </c>
      <c r="B21" s="430" t="n">
        <v>183940.7233459437</v>
      </c>
      <c r="C21" s="430" t="n">
        <v>8136723.588595016</v>
      </c>
      <c r="D21" s="430" t="n">
        <v>6714027.205624906</v>
      </c>
      <c r="E21" s="430" t="n"/>
      <c r="F21" s="430">
        <f>+B21-C21</f>
        <v/>
      </c>
      <c r="G21" s="430">
        <f>+B21-D21</f>
        <v/>
      </c>
      <c r="H21" s="362" t="n"/>
      <c r="I21" s="362" t="n"/>
      <c r="J21" s="586" t="n">
        <v>46419</v>
      </c>
      <c r="K21" s="362" t="n">
        <v>0</v>
      </c>
      <c r="L21" s="362" t="n">
        <v>0</v>
      </c>
      <c r="M21" s="362" t="n">
        <v>-2500000</v>
      </c>
      <c r="N21" s="362" t="n"/>
      <c r="O21" s="362">
        <f>+K21-L21</f>
        <v/>
      </c>
      <c r="P21" s="362">
        <f>+K21-M21</f>
        <v/>
      </c>
      <c r="S21" s="586" t="n">
        <v>46419</v>
      </c>
      <c r="T21" s="362" t="n">
        <v>92504.4970493163</v>
      </c>
      <c r="U21" s="362" t="n">
        <v>1088463.589255148</v>
      </c>
      <c r="V21" s="362" t="n">
        <v>16666.07540959679</v>
      </c>
      <c r="W21" s="362" t="n"/>
      <c r="X21" s="362">
        <f>+T21-U21</f>
        <v/>
      </c>
      <c r="Y21" s="362">
        <f>+T21-V21</f>
        <v/>
      </c>
      <c r="CK21" s="467" t="n">
        <v>48549</v>
      </c>
      <c r="CL21">
        <f>+#REF!</f>
        <v/>
      </c>
      <c r="CM21">
        <f>+'FC Total (5 lotes)'!$DT$76</f>
        <v/>
      </c>
      <c r="CN21">
        <f>+#REF!</f>
        <v/>
      </c>
      <c r="CO21">
        <f>+#REF!</f>
        <v/>
      </c>
      <c r="CQ21" s="467" t="n">
        <v>48549</v>
      </c>
      <c r="CR21" s="362">
        <f>+CM21-CL21</f>
        <v/>
      </c>
      <c r="CS21" s="362">
        <f>+CN21-CM21</f>
        <v/>
      </c>
      <c r="CT21" s="362">
        <f>+CO21-CN21</f>
        <v/>
      </c>
      <c r="CU21" s="362">
        <f>+CO21-CL21</f>
        <v/>
      </c>
    </row>
    <row r="22">
      <c r="A22" s="586" t="n">
        <v>46447</v>
      </c>
      <c r="B22" s="430" t="n">
        <v>0.02091688849031925</v>
      </c>
      <c r="C22" s="430" t="n">
        <v>8073582.544864129</v>
      </c>
      <c r="D22" s="430" t="n">
        <v>7064813.343208778</v>
      </c>
      <c r="E22" s="430" t="n"/>
      <c r="F22" s="430">
        <f>+B22-C22</f>
        <v/>
      </c>
      <c r="G22" s="430">
        <f>+B22-D22</f>
        <v/>
      </c>
      <c r="H22" s="362" t="n"/>
      <c r="I22" s="362" t="n"/>
      <c r="J22" s="586" t="n">
        <v>46447</v>
      </c>
      <c r="K22" s="362" t="n">
        <v>0</v>
      </c>
      <c r="L22" s="362" t="n">
        <v>0</v>
      </c>
      <c r="M22" s="362" t="n">
        <v>-1000000</v>
      </c>
      <c r="N22" s="362" t="n"/>
      <c r="O22" s="362">
        <f>+K22-L22</f>
        <v/>
      </c>
      <c r="P22" s="362">
        <f>+K22-M22</f>
        <v/>
      </c>
      <c r="S22" s="586" t="n">
        <v>46447</v>
      </c>
      <c r="T22" s="362" t="n">
        <v>-93009.46894872654</v>
      </c>
      <c r="U22" s="362" t="n">
        <v>-189557.0912518469</v>
      </c>
      <c r="V22" s="362" t="n">
        <v>244024.1923029991</v>
      </c>
      <c r="W22" s="362" t="n"/>
      <c r="X22" s="362">
        <f>+T22-U22</f>
        <v/>
      </c>
      <c r="Y22" s="362">
        <f>+T22-V22</f>
        <v/>
      </c>
      <c r="CK22" s="467" t="n">
        <v>48580</v>
      </c>
      <c r="CL22">
        <f>+#REF!</f>
        <v/>
      </c>
      <c r="CM22">
        <f>+'FC Total (5 lotes)'!$DU$76</f>
        <v/>
      </c>
      <c r="CN22">
        <f>+#REF!</f>
        <v/>
      </c>
      <c r="CO22">
        <f>+#REF!</f>
        <v/>
      </c>
      <c r="CQ22" s="467" t="n">
        <v>48580</v>
      </c>
      <c r="CR22" s="362">
        <f>+CM22-CL22</f>
        <v/>
      </c>
      <c r="CS22" s="362">
        <f>+CN22-CM22</f>
        <v/>
      </c>
      <c r="CT22" s="362">
        <f>+CO22-CN22</f>
        <v/>
      </c>
      <c r="CU22" s="362">
        <f>+CO22-CL22</f>
        <v/>
      </c>
    </row>
    <row r="23">
      <c r="A23" s="586" t="n">
        <v>46478</v>
      </c>
      <c r="B23" s="430" t="n">
        <v>4.827368963044137</v>
      </c>
      <c r="C23" s="430" t="n">
        <v>8474613.312683959</v>
      </c>
      <c r="D23" s="430" t="n">
        <v>7357138.560258446</v>
      </c>
      <c r="E23" s="430" t="n"/>
      <c r="F23" s="430">
        <f>+B23-C23</f>
        <v/>
      </c>
      <c r="G23" s="430">
        <f>+B23-D23</f>
        <v/>
      </c>
      <c r="H23" s="362" t="n"/>
      <c r="I23" s="362" t="n"/>
      <c r="J23" s="586" t="n">
        <v>46478</v>
      </c>
      <c r="K23" s="362" t="n">
        <v>0</v>
      </c>
      <c r="L23" s="362" t="n">
        <v>0</v>
      </c>
      <c r="M23" s="362" t="n">
        <v>-1600000</v>
      </c>
      <c r="N23" s="362" t="n"/>
      <c r="O23" s="362">
        <f>+K23-L23</f>
        <v/>
      </c>
      <c r="P23" s="362">
        <f>+K23-M23</f>
        <v/>
      </c>
      <c r="S23" s="586" t="n">
        <v>46478</v>
      </c>
      <c r="T23" s="362" t="n">
        <v>-0.510199754498899</v>
      </c>
      <c r="U23" s="362" t="n">
        <v>273603.3919187007</v>
      </c>
      <c r="V23" s="362" t="n">
        <v>184709.1762065487</v>
      </c>
      <c r="W23" s="362" t="n"/>
      <c r="X23" s="362">
        <f>+T23-U23</f>
        <v/>
      </c>
      <c r="Y23" s="362">
        <f>+T23-V23</f>
        <v/>
      </c>
      <c r="CK23" s="467" t="n">
        <v>48914</v>
      </c>
      <c r="CL23">
        <f>+#REF!</f>
        <v/>
      </c>
      <c r="CM23">
        <f>+'FC Total (5 lotes)'!$EF$76</f>
        <v/>
      </c>
      <c r="CN23">
        <f>+#REF!</f>
        <v/>
      </c>
      <c r="CO23">
        <f>+#REF!</f>
        <v/>
      </c>
      <c r="CQ23" s="467" t="n">
        <v>48914</v>
      </c>
      <c r="CR23" s="362">
        <f>+CM23-CL23</f>
        <v/>
      </c>
      <c r="CS23" s="362">
        <f>+CN23-CM23</f>
        <v/>
      </c>
      <c r="CT23" s="362">
        <f>+CO23-CN23</f>
        <v/>
      </c>
      <c r="CU23" s="362">
        <f>+CO23-CL23</f>
        <v/>
      </c>
    </row>
    <row r="24">
      <c r="A24" s="586" t="n">
        <v>46508</v>
      </c>
      <c r="B24" s="430" t="n">
        <v>1326732.246785834</v>
      </c>
      <c r="C24" s="430" t="n">
        <v>9157474.303944375</v>
      </c>
      <c r="D24" s="430" t="n">
        <v>7547750.118994254</v>
      </c>
      <c r="E24" s="430" t="n"/>
      <c r="F24" s="430">
        <f>+B24-C24</f>
        <v/>
      </c>
      <c r="G24" s="430">
        <f>+B24-D24</f>
        <v/>
      </c>
      <c r="H24" s="362" t="n"/>
      <c r="I24" s="362" t="n"/>
      <c r="J24" s="586" t="n">
        <v>46508</v>
      </c>
      <c r="K24" s="362" t="n">
        <v>0</v>
      </c>
      <c r="L24" s="362" t="n">
        <v>-3300000</v>
      </c>
      <c r="M24" s="362" t="n">
        <v>-3800000</v>
      </c>
      <c r="N24" s="362" t="n"/>
      <c r="O24" s="362">
        <f>+K24-L24</f>
        <v/>
      </c>
      <c r="P24" s="362">
        <f>+K24-M24</f>
        <v/>
      </c>
      <c r="S24" s="586" t="n">
        <v>46508</v>
      </c>
      <c r="T24" s="362" t="n">
        <v>1249484.060347919</v>
      </c>
      <c r="U24" s="362" t="n">
        <v>-1945585.803647921</v>
      </c>
      <c r="V24" s="362" t="n">
        <v>82134.58956594206</v>
      </c>
      <c r="W24" s="362" t="n"/>
      <c r="X24" s="362">
        <f>+T24-U24</f>
        <v/>
      </c>
      <c r="Y24" s="362">
        <f>+T24-V24</f>
        <v/>
      </c>
    </row>
    <row r="25">
      <c r="A25" s="586" t="n">
        <v>46539</v>
      </c>
      <c r="B25" s="430" t="n">
        <v>3495472.054537061</v>
      </c>
      <c r="C25" s="430" t="n">
        <v>10484135.69437642</v>
      </c>
      <c r="D25" s="430" t="n">
        <v>7652357.138538657</v>
      </c>
      <c r="E25" s="430" t="n"/>
      <c r="F25" s="430">
        <f>+B25-C25</f>
        <v/>
      </c>
      <c r="G25" s="430">
        <f>+B25-D25</f>
        <v/>
      </c>
      <c r="H25" s="362" t="n"/>
      <c r="I25" s="362" t="n"/>
      <c r="J25" s="586" t="n">
        <v>46539</v>
      </c>
      <c r="K25" s="362" t="n">
        <v>0</v>
      </c>
      <c r="L25" s="362" t="n">
        <v>-3300000</v>
      </c>
      <c r="M25" s="362" t="n">
        <v>-4800000</v>
      </c>
      <c r="N25" s="362" t="n"/>
      <c r="O25" s="362">
        <f>+K25-L25</f>
        <v/>
      </c>
      <c r="P25" s="362">
        <f>+K25-M25</f>
        <v/>
      </c>
      <c r="S25" s="586" t="n">
        <v>46539</v>
      </c>
      <c r="T25" s="362" t="n">
        <v>2090878.501693632</v>
      </c>
      <c r="U25" s="362" t="n">
        <v>-122812.9788355581</v>
      </c>
      <c r="V25" s="362" t="n">
        <v>-4737.765378821641</v>
      </c>
      <c r="W25" s="362" t="n"/>
      <c r="X25" s="362">
        <f>+T25-U25</f>
        <v/>
      </c>
      <c r="Y25" s="362">
        <f>+T25-V25</f>
        <v/>
      </c>
    </row>
    <row r="26">
      <c r="A26" s="586" t="n">
        <v>46569</v>
      </c>
      <c r="B26" s="430" t="n">
        <v>1684561.268389985</v>
      </c>
      <c r="C26" s="430" t="n">
        <v>10051282.14032751</v>
      </c>
      <c r="D26" s="430" t="n">
        <v>8223304.828557789</v>
      </c>
      <c r="E26" s="430" t="n"/>
      <c r="F26" s="430">
        <f>+B26-C26</f>
        <v/>
      </c>
      <c r="G26" s="430">
        <f>+B26-D26</f>
        <v/>
      </c>
      <c r="H26" s="362" t="n"/>
      <c r="I26" s="362" t="n"/>
      <c r="J26" s="586" t="n">
        <v>46569</v>
      </c>
      <c r="K26" s="362" t="n">
        <v>0</v>
      </c>
      <c r="L26" s="362" t="n">
        <v>-3200000</v>
      </c>
      <c r="M26" s="362" t="n">
        <v>-4900000</v>
      </c>
      <c r="N26" s="362" t="n"/>
      <c r="O26" s="362">
        <f>+K26-L26</f>
        <v/>
      </c>
      <c r="P26" s="362">
        <f>+K26-M26</f>
        <v/>
      </c>
      <c r="S26" s="586" t="n">
        <v>46569</v>
      </c>
      <c r="T26" s="362" t="n">
        <v>-2889394.982653131</v>
      </c>
      <c r="U26" s="362" t="n">
        <v>6076.281729346141</v>
      </c>
      <c r="V26" s="362" t="n">
        <v>-39271.85318347625</v>
      </c>
      <c r="W26" s="362" t="n"/>
      <c r="X26" s="362">
        <f>+T26-U26</f>
        <v/>
      </c>
      <c r="Y26" s="362">
        <f>+T26-V26</f>
        <v/>
      </c>
    </row>
    <row r="27">
      <c r="A27" s="586" t="n">
        <v>46600</v>
      </c>
      <c r="B27" s="430" t="n">
        <v>2069719.04346617</v>
      </c>
      <c r="C27" s="430" t="n">
        <v>10309799.7713168</v>
      </c>
      <c r="D27" s="430" t="n">
        <v>8819518.385085952</v>
      </c>
      <c r="E27" s="430" t="n"/>
      <c r="F27" s="430">
        <f>+B27-C27</f>
        <v/>
      </c>
      <c r="G27" s="430">
        <f>+B27-D27</f>
        <v/>
      </c>
      <c r="H27" s="362" t="n"/>
      <c r="I27" s="362" t="n"/>
      <c r="J27" s="586" t="n">
        <v>46600</v>
      </c>
      <c r="K27" s="362" t="n">
        <v>0</v>
      </c>
      <c r="L27" s="362" t="n">
        <v>-2650000</v>
      </c>
      <c r="M27" s="362" t="n">
        <v>-5000000</v>
      </c>
      <c r="N27" s="362" t="n"/>
      <c r="O27" s="362">
        <f>+K27-L27</f>
        <v/>
      </c>
      <c r="P27" s="362">
        <f>+K27-M27</f>
        <v/>
      </c>
      <c r="S27" s="586" t="n">
        <v>46600</v>
      </c>
      <c r="T27" s="362" t="n">
        <v>-25258.05500191916</v>
      </c>
      <c r="U27" s="362" t="n">
        <v>27655.14545376832</v>
      </c>
      <c r="V27" s="362" t="n">
        <v>-542191.5030200696</v>
      </c>
      <c r="W27" s="362" t="n"/>
      <c r="X27" s="362">
        <f>+T27-U27</f>
        <v/>
      </c>
      <c r="Y27" s="362">
        <f>+T27-V27</f>
        <v/>
      </c>
    </row>
    <row r="28">
      <c r="A28" s="586" t="n">
        <v>46631</v>
      </c>
      <c r="B28" s="430" t="n">
        <v>2037672.851772069</v>
      </c>
      <c r="C28" s="430" t="n">
        <v>10462047.06496125</v>
      </c>
      <c r="D28" s="430" t="n">
        <v>8963638.251321878</v>
      </c>
      <c r="E28" s="430" t="n"/>
      <c r="F28" s="430">
        <f>+B28-C28</f>
        <v/>
      </c>
      <c r="G28" s="430">
        <f>+B28-D28</f>
        <v/>
      </c>
      <c r="H28" s="362" t="n"/>
      <c r="I28" s="362" t="n"/>
      <c r="J28" s="586" t="n">
        <v>46631</v>
      </c>
      <c r="K28" s="362" t="n">
        <v>0</v>
      </c>
      <c r="L28" s="362" t="n">
        <v>-1600000</v>
      </c>
      <c r="M28" s="362" t="n">
        <v>-5000000</v>
      </c>
      <c r="N28" s="362" t="n"/>
      <c r="O28" s="362">
        <f>+K28-L28</f>
        <v/>
      </c>
      <c r="P28" s="362">
        <f>+K28-M28</f>
        <v/>
      </c>
      <c r="S28" s="586" t="n">
        <v>46631</v>
      </c>
      <c r="T28" s="362" t="n">
        <v>-335671.3546128306</v>
      </c>
      <c r="U28" s="362" t="n">
        <v>79611.90202465188</v>
      </c>
      <c r="V28" s="362" t="n">
        <v>-1493318.439988689</v>
      </c>
      <c r="W28" s="362" t="n"/>
      <c r="X28" s="362">
        <f>+T28-U28</f>
        <v/>
      </c>
      <c r="Y28" s="362">
        <f>+T28-V28</f>
        <v/>
      </c>
    </row>
    <row r="29">
      <c r="A29" s="586" t="n">
        <v>46661</v>
      </c>
      <c r="B29" s="430" t="n">
        <v>2056724.189777227</v>
      </c>
      <c r="C29" s="430" t="n">
        <v>10603014.61048398</v>
      </c>
      <c r="D29" s="430" t="n">
        <v>8695213.420186318</v>
      </c>
      <c r="E29" s="430" t="n"/>
      <c r="F29" s="430">
        <f>+B29-C29</f>
        <v/>
      </c>
      <c r="G29" s="430">
        <f>+B29-D29</f>
        <v/>
      </c>
      <c r="H29" s="362" t="n"/>
      <c r="I29" s="362" t="n"/>
      <c r="J29" s="586" t="n">
        <v>46661</v>
      </c>
      <c r="K29" s="362" t="n">
        <v>0</v>
      </c>
      <c r="L29" s="362" t="n">
        <v>-1700000</v>
      </c>
      <c r="M29" s="362" t="n">
        <v>-5000000</v>
      </c>
      <c r="N29" s="362" t="n"/>
      <c r="O29" s="362">
        <f>+K29-L29</f>
        <v/>
      </c>
      <c r="P29" s="362">
        <f>+K29-M29</f>
        <v/>
      </c>
      <c r="S29" s="586" t="n">
        <v>46661</v>
      </c>
      <c r="T29" s="362" t="n">
        <v>-621.0180419208482</v>
      </c>
      <c r="U29" s="362" t="n">
        <v>54132.87894496182</v>
      </c>
      <c r="V29" s="362" t="n">
        <v>-1432580.835634972</v>
      </c>
      <c r="W29" s="362" t="n"/>
      <c r="X29" s="362">
        <f>+T29-U29</f>
        <v/>
      </c>
      <c r="Y29" s="362">
        <f>+T29-V29</f>
        <v/>
      </c>
    </row>
    <row r="30">
      <c r="A30" s="586" t="n">
        <v>46692</v>
      </c>
      <c r="B30" s="430" t="n">
        <v>2020032.639694239</v>
      </c>
      <c r="C30" s="430" t="n">
        <v>10699368.2301216</v>
      </c>
      <c r="D30" s="430" t="n">
        <v>8438658.00392155</v>
      </c>
      <c r="E30" s="430" t="n"/>
      <c r="F30" s="430">
        <f>+B30-C30</f>
        <v/>
      </c>
      <c r="G30" s="430">
        <f>+B30-D30</f>
        <v/>
      </c>
      <c r="H30" s="362" t="n"/>
      <c r="I30" s="362" t="n"/>
      <c r="J30" s="586" t="n">
        <v>46692</v>
      </c>
      <c r="K30" s="362" t="n">
        <v>0</v>
      </c>
      <c r="L30" s="362" t="n">
        <v>-1700000</v>
      </c>
      <c r="M30" s="362" t="n">
        <v>-3500000</v>
      </c>
      <c r="N30" s="362" t="n"/>
      <c r="O30" s="362">
        <f>+K30-L30</f>
        <v/>
      </c>
      <c r="P30" s="362">
        <f>+K30-M30</f>
        <v/>
      </c>
      <c r="S30" s="586" t="n">
        <v>46692</v>
      </c>
      <c r="T30" s="362" t="n">
        <v>-56521.28497844376</v>
      </c>
      <c r="U30" s="362" t="n">
        <v>8824.275727234781</v>
      </c>
      <c r="V30" s="362" t="n">
        <v>69975.33119982295</v>
      </c>
      <c r="W30" s="362" t="n"/>
      <c r="X30" s="362">
        <f>+T30-U30</f>
        <v/>
      </c>
      <c r="Y30" s="362">
        <f>+T30-V30</f>
        <v/>
      </c>
    </row>
    <row r="31">
      <c r="A31" s="586" t="n">
        <v>46722</v>
      </c>
      <c r="B31" s="430" t="n">
        <v>2127913.284451733</v>
      </c>
      <c r="C31" s="430" t="n">
        <v>10877036.94545721</v>
      </c>
      <c r="D31" s="430" t="n">
        <v>8257692.638517872</v>
      </c>
      <c r="E31" s="430" t="n"/>
      <c r="F31" s="430">
        <f>+B31-C31</f>
        <v/>
      </c>
      <c r="G31" s="430">
        <f>+B31-D31</f>
        <v/>
      </c>
      <c r="H31" s="362" t="n"/>
      <c r="I31" s="362" t="n"/>
      <c r="J31" s="586" t="n">
        <v>46722</v>
      </c>
      <c r="K31" s="362" t="n">
        <v>-600000</v>
      </c>
      <c r="L31" s="362" t="n">
        <v>-2600000</v>
      </c>
      <c r="M31" s="362" t="n">
        <v>-4500000</v>
      </c>
      <c r="N31" s="362" t="n"/>
      <c r="O31" s="362">
        <f>+K31-L31</f>
        <v/>
      </c>
      <c r="P31" s="362">
        <f>+K31-M31</f>
        <v/>
      </c>
      <c r="S31" s="586" t="n">
        <v>46722</v>
      </c>
      <c r="T31" s="362" t="n">
        <v>91541.03198287543</v>
      </c>
      <c r="U31" s="362" t="n">
        <v>89439.13667395059</v>
      </c>
      <c r="V31" s="362" t="n">
        <v>48177.62804063037</v>
      </c>
      <c r="W31" s="362" t="n"/>
      <c r="X31" s="362">
        <f>+T31-U31</f>
        <v/>
      </c>
      <c r="Y31" s="362">
        <f>+T31-V31</f>
        <v/>
      </c>
    </row>
    <row r="32">
      <c r="A32" s="586" t="n">
        <v>46753</v>
      </c>
      <c r="B32" s="430" t="n">
        <v>2032657.209200101</v>
      </c>
      <c r="C32" s="430" t="n">
        <v>10765962.15824888</v>
      </c>
      <c r="D32" s="430" t="n">
        <v>8756412.77356934</v>
      </c>
      <c r="E32" s="430" t="n"/>
      <c r="F32" s="430">
        <f>+B32-C32</f>
        <v/>
      </c>
      <c r="G32" s="430">
        <f>+B32-D32</f>
        <v/>
      </c>
      <c r="H32" s="362" t="n"/>
      <c r="I32" s="362" t="n"/>
      <c r="J32" s="586" t="n">
        <v>46753</v>
      </c>
      <c r="K32" s="362" t="n">
        <v>-1200000</v>
      </c>
      <c r="L32" s="362" t="n">
        <v>-2600000</v>
      </c>
      <c r="M32" s="362" t="n">
        <v>-3900000</v>
      </c>
      <c r="N32" s="362" t="n"/>
      <c r="O32" s="362">
        <f>+K32-L32</f>
        <v/>
      </c>
      <c r="P32" s="362">
        <f>+K32-M32</f>
        <v/>
      </c>
      <c r="S32" s="586" t="n">
        <v>46753</v>
      </c>
      <c r="T32" s="362" t="n">
        <v>-115375.1649284484</v>
      </c>
      <c r="U32" s="362" t="n">
        <v>-200010.2024992965</v>
      </c>
      <c r="V32" s="362" t="n">
        <v>429696.272443329</v>
      </c>
      <c r="W32" s="362" t="n"/>
      <c r="X32" s="362">
        <f>+T32-U32</f>
        <v/>
      </c>
      <c r="Y32" s="362">
        <f>+T32-V32</f>
        <v/>
      </c>
    </row>
    <row r="33">
      <c r="A33" s="586" t="n">
        <v>46784</v>
      </c>
      <c r="B33" s="430" t="n">
        <v>2041784.260979266</v>
      </c>
      <c r="C33" s="430" t="n">
        <v>10757290.55748861</v>
      </c>
      <c r="D33" s="430" t="n">
        <v>8417434.899599593</v>
      </c>
      <c r="E33" s="430" t="n"/>
      <c r="F33" s="430">
        <f>+B33-C33</f>
        <v/>
      </c>
      <c r="G33" s="430">
        <f>+B33-D33</f>
        <v/>
      </c>
      <c r="H33" s="362" t="n"/>
      <c r="I33" s="362" t="n"/>
      <c r="J33" s="586" t="n">
        <v>46784</v>
      </c>
      <c r="K33" s="362" t="n">
        <v>-1100000</v>
      </c>
      <c r="L33" s="362" t="n">
        <v>-2570000</v>
      </c>
      <c r="M33" s="362" t="n">
        <v>-4900000</v>
      </c>
      <c r="N33" s="362" t="n"/>
      <c r="O33" s="362">
        <f>+K33-L33</f>
        <v/>
      </c>
      <c r="P33" s="362">
        <f>+K33-M33</f>
        <v/>
      </c>
      <c r="S33" s="586" t="n">
        <v>46784</v>
      </c>
      <c r="T33" s="362" t="n">
        <v>88847.00938493526</v>
      </c>
      <c r="U33" s="362" t="n">
        <v>-68318.49937355425</v>
      </c>
      <c r="V33" s="362" t="n">
        <v>-408553.9274787493</v>
      </c>
      <c r="W33" s="362" t="n"/>
      <c r="X33" s="362">
        <f>+T33-U33</f>
        <v/>
      </c>
      <c r="Y33" s="362">
        <f>+T33-V33</f>
        <v/>
      </c>
    </row>
    <row r="34">
      <c r="A34" s="586" t="n">
        <v>46813</v>
      </c>
      <c r="B34" s="430" t="n">
        <v>2135018.821744211</v>
      </c>
      <c r="C34" s="430" t="n">
        <v>10146333.27603473</v>
      </c>
      <c r="D34" s="430" t="n">
        <v>8794387.712739099</v>
      </c>
      <c r="E34" s="430" t="n"/>
      <c r="F34" s="430">
        <f>+B34-C34</f>
        <v/>
      </c>
      <c r="G34" s="430">
        <f>+B34-D34</f>
        <v/>
      </c>
      <c r="H34" s="362" t="n"/>
      <c r="I34" s="362" t="n"/>
      <c r="J34" s="586" t="n">
        <v>46813</v>
      </c>
      <c r="K34" s="362" t="n">
        <v>-900000</v>
      </c>
      <c r="L34" s="362" t="n">
        <v>-2300000</v>
      </c>
      <c r="M34" s="362" t="n">
        <v>-4000000</v>
      </c>
      <c r="N34" s="362" t="n"/>
      <c r="O34" s="362">
        <f>+K34-L34</f>
        <v/>
      </c>
      <c r="P34" s="362">
        <f>+K34-M34</f>
        <v/>
      </c>
      <c r="S34" s="586" t="n">
        <v>46813</v>
      </c>
      <c r="T34" s="362" t="n">
        <v>73592.27803155966</v>
      </c>
      <c r="U34" s="362" t="n">
        <v>-1081.355256073177</v>
      </c>
      <c r="V34" s="362" t="n">
        <v>306820.1512024291</v>
      </c>
      <c r="W34" s="362" t="n"/>
      <c r="X34" s="362">
        <f>+T34-U34</f>
        <v/>
      </c>
      <c r="Y34" s="362">
        <f>+T34-V34</f>
        <v/>
      </c>
    </row>
    <row r="35">
      <c r="A35" s="586" t="n">
        <v>46844</v>
      </c>
      <c r="B35" s="430" t="n">
        <v>1154037.089194213</v>
      </c>
      <c r="C35" s="430" t="n">
        <v>10150092.04704596</v>
      </c>
      <c r="D35" s="430" t="n">
        <v>8951678.924579866</v>
      </c>
      <c r="E35" s="430" t="n"/>
      <c r="F35" s="430">
        <f>+B35-C35</f>
        <v/>
      </c>
      <c r="G35" s="430">
        <f>+B35-D35</f>
        <v/>
      </c>
      <c r="H35" s="362" t="n"/>
      <c r="I35" s="362" t="n"/>
      <c r="J35" s="586" t="n">
        <v>46844</v>
      </c>
      <c r="K35" s="362" t="n">
        <v>-1750000</v>
      </c>
      <c r="L35" s="362" t="n">
        <v>-2800000</v>
      </c>
      <c r="M35" s="362" t="n">
        <v>-4850000</v>
      </c>
      <c r="N35" s="362" t="n"/>
      <c r="O35" s="362">
        <f>+K35-L35</f>
        <v/>
      </c>
      <c r="P35" s="362">
        <f>+K35-M35</f>
        <v/>
      </c>
      <c r="S35" s="586" t="n">
        <v>46844</v>
      </c>
      <c r="T35" s="362" t="n">
        <v>-150781.1535452497</v>
      </c>
      <c r="U35" s="362" t="n">
        <v>118513.704618616</v>
      </c>
      <c r="V35" s="362" t="n">
        <v>136597.4886081973</v>
      </c>
      <c r="W35" s="362" t="n"/>
      <c r="X35" s="362">
        <f>+T35-U35</f>
        <v/>
      </c>
      <c r="Y35" s="362">
        <f>+T35-V35</f>
        <v/>
      </c>
    </row>
    <row r="36">
      <c r="A36" s="586" t="n">
        <v>46874</v>
      </c>
      <c r="B36" s="430" t="n">
        <v>1171149.037852752</v>
      </c>
      <c r="C36" s="430" t="n">
        <v>9846179.732417263</v>
      </c>
      <c r="D36" s="430" t="n">
        <v>8799887.274500512</v>
      </c>
      <c r="E36" s="430" t="n"/>
      <c r="F36" s="430">
        <f>+B36-C36</f>
        <v/>
      </c>
      <c r="G36" s="430">
        <f>+B36-D36</f>
        <v/>
      </c>
      <c r="H36" s="362" t="n"/>
      <c r="I36" s="362" t="n"/>
      <c r="J36" s="586" t="n">
        <v>46874</v>
      </c>
      <c r="K36" s="362" t="n">
        <v>-1250000</v>
      </c>
      <c r="L36" s="362" t="n">
        <v>-2730000</v>
      </c>
      <c r="M36" s="362" t="n">
        <v>-4900000</v>
      </c>
      <c r="N36" s="362" t="n"/>
      <c r="O36" s="362">
        <f>+K36-L36</f>
        <v/>
      </c>
      <c r="P36" s="362">
        <f>+K36-M36</f>
        <v/>
      </c>
      <c r="S36" s="586" t="n">
        <v>46874</v>
      </c>
      <c r="T36" s="362" t="n">
        <v>3954.132295325864</v>
      </c>
      <c r="U36" s="362" t="n">
        <v>-118239.3415524494</v>
      </c>
      <c r="V36" s="362" t="n">
        <v>-222650.9230977856</v>
      </c>
      <c r="W36" s="362" t="n"/>
      <c r="X36" s="362">
        <f>+T36-U36</f>
        <v/>
      </c>
      <c r="Y36" s="362">
        <f>+T36-V36</f>
        <v/>
      </c>
    </row>
    <row r="37">
      <c r="A37" s="586" t="n">
        <v>46905</v>
      </c>
      <c r="B37" s="430" t="n">
        <v>1160704.723728582</v>
      </c>
      <c r="C37" s="430" t="n">
        <v>9871327.417471457</v>
      </c>
      <c r="D37" s="430" t="n">
        <v>9004083.516962506</v>
      </c>
      <c r="E37" s="430" t="n"/>
      <c r="F37" s="430">
        <f>+B37-C37</f>
        <v/>
      </c>
      <c r="G37" s="430">
        <f>+B37-D37</f>
        <v/>
      </c>
      <c r="H37" s="362" t="n"/>
      <c r="I37" s="362" t="n"/>
      <c r="J37" s="586" t="n">
        <v>46905</v>
      </c>
      <c r="K37" s="362" t="n">
        <v>-1600000</v>
      </c>
      <c r="L37" s="362" t="n">
        <v>-2940000</v>
      </c>
      <c r="M37" s="362" t="n">
        <v>-5410000</v>
      </c>
      <c r="N37" s="362" t="n"/>
      <c r="O37" s="362">
        <f>+K37-L37</f>
        <v/>
      </c>
      <c r="P37" s="362">
        <f>+K37-M37</f>
        <v/>
      </c>
      <c r="S37" s="586" t="n">
        <v>46905</v>
      </c>
      <c r="T37" s="362" t="n">
        <v>976292.6069817105</v>
      </c>
      <c r="U37" s="362" t="n">
        <v>1002306.041915054</v>
      </c>
      <c r="V37" s="362" t="n">
        <v>622770.095259415</v>
      </c>
      <c r="W37" s="362" t="n"/>
      <c r="X37" s="362">
        <f>+T37-U37</f>
        <v/>
      </c>
      <c r="Y37" s="362">
        <f>+T37-V37</f>
        <v/>
      </c>
    </row>
    <row r="38">
      <c r="A38" s="586" t="n">
        <v>46935</v>
      </c>
      <c r="B38" s="430" t="n">
        <v>1215578.677511105</v>
      </c>
      <c r="C38" s="430" t="n">
        <v>9974127.264614524</v>
      </c>
      <c r="D38" s="430" t="n">
        <v>9346513.913717844</v>
      </c>
      <c r="E38" s="430" t="n"/>
      <c r="F38" s="430">
        <f>+B38-C38</f>
        <v/>
      </c>
      <c r="G38" s="430">
        <f>+B38-D38</f>
        <v/>
      </c>
      <c r="H38" s="362" t="n"/>
      <c r="I38" s="362" t="n"/>
      <c r="J38" s="586" t="n">
        <v>46935</v>
      </c>
      <c r="K38" s="362" t="n">
        <v>-2600000</v>
      </c>
      <c r="L38" s="362" t="n">
        <v>-4000000</v>
      </c>
      <c r="M38" s="362" t="n">
        <v>-5900000</v>
      </c>
      <c r="N38" s="362" t="n"/>
      <c r="O38" s="362">
        <f>+K38-L38</f>
        <v/>
      </c>
      <c r="P38" s="362">
        <f>+K38-M38</f>
        <v/>
      </c>
      <c r="S38" s="586" t="n">
        <v>46935</v>
      </c>
      <c r="T38" s="362" t="n">
        <v>49504.77025725041</v>
      </c>
      <c r="U38" s="362" t="n">
        <v>27775.47085881047</v>
      </c>
      <c r="V38" s="362" t="n">
        <v>274352.8403751375</v>
      </c>
      <c r="W38" s="362" t="n"/>
      <c r="X38" s="362">
        <f>+T38-U38</f>
        <v/>
      </c>
      <c r="Y38" s="362">
        <f>+T38-V38</f>
        <v/>
      </c>
    </row>
    <row r="39">
      <c r="A39" s="586" t="n">
        <v>46966</v>
      </c>
      <c r="B39" s="430" t="n">
        <v>1502344.749107326</v>
      </c>
      <c r="C39" s="430" t="n">
        <v>10345045.31085817</v>
      </c>
      <c r="D39" s="430" t="n">
        <v>8960091.978711775</v>
      </c>
      <c r="E39" s="430" t="n"/>
      <c r="F39" s="430">
        <f>+B39-C39</f>
        <v/>
      </c>
      <c r="G39" s="430">
        <f>+B39-D39</f>
        <v/>
      </c>
      <c r="H39" s="362" t="n"/>
      <c r="I39" s="362" t="n"/>
      <c r="J39" s="586" t="n">
        <v>46966</v>
      </c>
      <c r="K39" s="362" t="n">
        <v>-2600000</v>
      </c>
      <c r="L39" s="362" t="n">
        <v>-4000000</v>
      </c>
      <c r="M39" s="362" t="n">
        <v>-6900000</v>
      </c>
      <c r="N39" s="362" t="n"/>
      <c r="O39" s="362">
        <f>+K39-L39</f>
        <v/>
      </c>
      <c r="P39" s="362">
        <f>+K39-M39</f>
        <v/>
      </c>
      <c r="S39" s="586" t="n">
        <v>46966</v>
      </c>
      <c r="T39" s="362" t="n">
        <v>158450.2646027463</v>
      </c>
      <c r="U39" s="362" t="n">
        <v>172389.8049491188</v>
      </c>
      <c r="V39" s="362" t="n">
        <v>-577947.7818373116</v>
      </c>
      <c r="W39" s="362" t="n"/>
      <c r="X39" s="362">
        <f>+T39-U39</f>
        <v/>
      </c>
      <c r="Y39" s="362">
        <f>+T39-V39</f>
        <v/>
      </c>
    </row>
    <row r="40">
      <c r="A40" s="586" t="n">
        <v>46997</v>
      </c>
      <c r="B40" s="430" t="n">
        <v>1556857.125259754</v>
      </c>
      <c r="C40" s="430" t="n">
        <v>10498381.92499601</v>
      </c>
      <c r="D40" s="430" t="n">
        <v>8808144.705481082</v>
      </c>
      <c r="E40" s="430" t="n"/>
      <c r="F40" s="430">
        <f>+B40-C40</f>
        <v/>
      </c>
      <c r="G40" s="430">
        <f>+B40-D40</f>
        <v/>
      </c>
      <c r="H40" s="362" t="n"/>
      <c r="I40" s="362" t="n"/>
      <c r="J40" s="586" t="n">
        <v>46997</v>
      </c>
      <c r="K40" s="362" t="n">
        <v>-2600000</v>
      </c>
      <c r="L40" s="362" t="n">
        <v>-4000000</v>
      </c>
      <c r="M40" s="362" t="n">
        <v>-6500000</v>
      </c>
      <c r="N40" s="362" t="n"/>
      <c r="O40" s="362">
        <f>+K40-L40</f>
        <v/>
      </c>
      <c r="P40" s="362">
        <f>+K40-M40</f>
        <v/>
      </c>
      <c r="S40" s="586" t="n">
        <v>46997</v>
      </c>
      <c r="T40" s="362" t="n">
        <v>55929.48042800557</v>
      </c>
      <c r="U40" s="362" t="n">
        <v>83979.58463794831</v>
      </c>
      <c r="V40" s="362" t="n">
        <v>-214245.8891115841</v>
      </c>
      <c r="W40" s="362" t="n"/>
      <c r="X40" s="362">
        <f>+T40-U40</f>
        <v/>
      </c>
      <c r="Y40" s="362">
        <f>+T40-V40</f>
        <v/>
      </c>
    </row>
    <row r="41">
      <c r="A41" s="586" t="n">
        <v>47027</v>
      </c>
      <c r="B41" s="430" t="n">
        <v>1252853.15060484</v>
      </c>
      <c r="C41" s="430" t="n">
        <v>10709357.49158355</v>
      </c>
      <c r="D41" s="430" t="n">
        <v>9014337.55491465</v>
      </c>
      <c r="E41" s="430" t="n"/>
      <c r="F41" s="430">
        <f>+B41-C41</f>
        <v/>
      </c>
      <c r="G41" s="430">
        <f>+B41-D41</f>
        <v/>
      </c>
      <c r="H41" s="362" t="n"/>
      <c r="I41" s="362" t="n"/>
      <c r="J41" s="586" t="n">
        <v>47027</v>
      </c>
      <c r="K41" s="362" t="n">
        <v>-3000000</v>
      </c>
      <c r="L41" s="362" t="n">
        <v>-4000000</v>
      </c>
      <c r="M41" s="362" t="n">
        <v>-6300000</v>
      </c>
      <c r="N41" s="362" t="n"/>
      <c r="O41" s="362">
        <f>+K41-L41</f>
        <v/>
      </c>
      <c r="P41" s="362">
        <f>+K41-M41</f>
        <v/>
      </c>
      <c r="S41" s="586" t="n">
        <v>47027</v>
      </c>
      <c r="T41" s="362" t="n">
        <v>-310841.815745132</v>
      </c>
      <c r="U41" s="362" t="n">
        <v>132797.3986516632</v>
      </c>
      <c r="V41" s="362" t="n">
        <v>135129.5624256292</v>
      </c>
      <c r="W41" s="362" t="n"/>
      <c r="X41" s="362">
        <f>+T41-U41</f>
        <v/>
      </c>
      <c r="Y41" s="362">
        <f>+T41-V41</f>
        <v/>
      </c>
    </row>
    <row r="42">
      <c r="A42" s="586" t="n">
        <v>47058</v>
      </c>
      <c r="B42" s="430" t="n">
        <v>1070932.188036124</v>
      </c>
      <c r="C42" s="430" t="n">
        <v>10060199.13084041</v>
      </c>
      <c r="D42" s="430" t="n">
        <v>8684029.728532609</v>
      </c>
      <c r="E42" s="430" t="n"/>
      <c r="F42" s="430">
        <f>+B42-C42</f>
        <v/>
      </c>
      <c r="G42" s="430">
        <f>+B42-D42</f>
        <v/>
      </c>
      <c r="H42" s="362" t="n"/>
      <c r="I42" s="362" t="n"/>
      <c r="J42" s="586" t="n">
        <v>47058</v>
      </c>
      <c r="K42" s="362" t="n">
        <v>-3000000</v>
      </c>
      <c r="L42" s="362" t="n">
        <v>-5000000</v>
      </c>
      <c r="M42" s="362" t="n">
        <v>-6900000</v>
      </c>
      <c r="N42" s="362" t="n"/>
      <c r="O42" s="362">
        <f>+K42-L42</f>
        <v/>
      </c>
      <c r="P42" s="362">
        <f>+K42-M42</f>
        <v/>
      </c>
      <c r="S42" s="586" t="n">
        <v>47058</v>
      </c>
      <c r="T42" s="362" t="n">
        <v>-288813.5063876552</v>
      </c>
      <c r="U42" s="362" t="n">
        <v>-827961.9540225118</v>
      </c>
      <c r="V42" s="362" t="n">
        <v>-401939.619686042</v>
      </c>
      <c r="W42" s="362" t="n"/>
      <c r="X42" s="362">
        <f>+T42-U42</f>
        <v/>
      </c>
      <c r="Y42" s="362">
        <f>+T42-V42</f>
        <v/>
      </c>
    </row>
    <row r="43">
      <c r="A43" s="586" t="n">
        <v>47088</v>
      </c>
      <c r="B43" s="430" t="n">
        <v>329124.8638752955</v>
      </c>
      <c r="C43" s="430" t="n">
        <v>10367249.52389719</v>
      </c>
      <c r="D43" s="430" t="n">
        <v>8648017.248873439</v>
      </c>
      <c r="E43" s="430" t="n"/>
      <c r="F43" s="430">
        <f>+B43-C43</f>
        <v/>
      </c>
      <c r="G43" s="430">
        <f>+B43-D43</f>
        <v/>
      </c>
      <c r="H43" s="362" t="n"/>
      <c r="I43" s="362" t="n"/>
      <c r="J43" s="586" t="n">
        <v>47088</v>
      </c>
      <c r="K43" s="362" t="n">
        <v>-3000000</v>
      </c>
      <c r="L43" s="362" t="n">
        <v>-4500000</v>
      </c>
      <c r="M43" s="362" t="n">
        <v>-6700000</v>
      </c>
      <c r="N43" s="362" t="n"/>
      <c r="O43" s="362">
        <f>+K43-L43</f>
        <v/>
      </c>
      <c r="P43" s="362">
        <f>+K43-M43</f>
        <v/>
      </c>
      <c r="S43" s="586" t="n">
        <v>47088</v>
      </c>
      <c r="T43" s="362" t="n">
        <v>-249555.00833032</v>
      </c>
      <c r="U43" s="362" t="n">
        <v>-273183.6289688293</v>
      </c>
      <c r="V43" s="362" t="n">
        <v>-108217.3273096038</v>
      </c>
      <c r="W43" s="362" t="n"/>
      <c r="X43" s="362">
        <f>+T43-U43</f>
        <v/>
      </c>
      <c r="Y43" s="362">
        <f>+T43-V43</f>
        <v/>
      </c>
    </row>
    <row r="44">
      <c r="A44" s="586" t="n">
        <v>47119</v>
      </c>
      <c r="B44" s="430" t="n">
        <v>307349.4968016171</v>
      </c>
      <c r="C44" s="430" t="n">
        <v>10712163.59903088</v>
      </c>
      <c r="D44" s="430" t="n">
        <v>8474492.85154682</v>
      </c>
      <c r="E44" s="430" t="n"/>
      <c r="F44" s="430">
        <f>+B44-C44</f>
        <v/>
      </c>
      <c r="G44" s="430">
        <f>+B44-D44</f>
        <v/>
      </c>
      <c r="H44" s="362" t="n"/>
      <c r="I44" s="362" t="n"/>
      <c r="J44" s="586" t="n">
        <v>47119</v>
      </c>
      <c r="K44" s="362" t="n">
        <v>-2600000</v>
      </c>
      <c r="L44" s="362" t="n">
        <v>-4500000</v>
      </c>
      <c r="M44" s="362" t="n">
        <v>-6750000</v>
      </c>
      <c r="N44" s="362" t="n"/>
      <c r="O44" s="362">
        <f>+K44-L44</f>
        <v/>
      </c>
      <c r="P44" s="362">
        <f>+K44-M44</f>
        <v/>
      </c>
      <c r="S44" s="586" t="n">
        <v>47119</v>
      </c>
      <c r="T44" s="362" t="n">
        <v>174414.9672834752</v>
      </c>
      <c r="U44" s="362" t="n">
        <v>-239961.819068118</v>
      </c>
      <c r="V44" s="362" t="n">
        <v>-96306.88375825714</v>
      </c>
      <c r="W44" s="362" t="n"/>
      <c r="X44" s="362">
        <f>+T44-U44</f>
        <v/>
      </c>
      <c r="Y44" s="362">
        <f>+T44-V44</f>
        <v/>
      </c>
    </row>
    <row r="45">
      <c r="A45" s="586" t="n">
        <v>47150</v>
      </c>
      <c r="B45" s="430" t="n">
        <v>128848.1763949115</v>
      </c>
      <c r="C45" s="430" t="n">
        <v>11096893.62081496</v>
      </c>
      <c r="D45" s="430" t="n">
        <v>8400816.475842288</v>
      </c>
      <c r="E45" s="430" t="n"/>
      <c r="F45" s="430">
        <f>+B45-C45</f>
        <v/>
      </c>
      <c r="G45" s="430">
        <f>+B45-D45</f>
        <v/>
      </c>
      <c r="H45" s="362" t="n"/>
      <c r="I45" s="362" t="n"/>
      <c r="J45" s="586" t="n">
        <v>47150</v>
      </c>
      <c r="K45" s="362" t="n">
        <v>-2600000</v>
      </c>
      <c r="L45" s="362" t="n">
        <v>-4350000</v>
      </c>
      <c r="M45" s="362" t="n">
        <v>-6750000</v>
      </c>
      <c r="N45" s="362" t="n"/>
      <c r="O45" s="362">
        <f>+K45-L45</f>
        <v/>
      </c>
      <c r="P45" s="362">
        <f>+K45-M45</f>
        <v/>
      </c>
      <c r="S45" s="586" t="n">
        <v>47150</v>
      </c>
      <c r="T45" s="362" t="n">
        <v>219258.5366253047</v>
      </c>
      <c r="U45" s="362" t="n">
        <v>-54824.87957134936</v>
      </c>
      <c r="V45" s="362" t="n">
        <v>4158.877972376533</v>
      </c>
      <c r="W45" s="362" t="n"/>
      <c r="X45" s="362">
        <f>+T45-U45</f>
        <v/>
      </c>
      <c r="Y45" s="362">
        <f>+T45-V45</f>
        <v/>
      </c>
    </row>
    <row r="46">
      <c r="A46" s="586" t="n">
        <v>47178</v>
      </c>
      <c r="B46" s="430" t="n">
        <v>12637.32234751526</v>
      </c>
      <c r="C46" s="430" t="n">
        <v>10573174.04384662</v>
      </c>
      <c r="D46" s="430" t="n">
        <v>8527675.730791301</v>
      </c>
      <c r="E46" s="430" t="n"/>
      <c r="F46" s="430">
        <f>+B46-C46</f>
        <v/>
      </c>
      <c r="G46" s="430">
        <f>+B46-D46</f>
        <v/>
      </c>
      <c r="H46" s="362" t="n"/>
      <c r="I46" s="362" t="n"/>
      <c r="J46" s="586" t="n">
        <v>47178</v>
      </c>
      <c r="K46" s="362" t="n">
        <v>-3000000</v>
      </c>
      <c r="L46" s="362" t="n">
        <v>-4400000</v>
      </c>
      <c r="M46" s="362" t="n">
        <v>-6900000</v>
      </c>
      <c r="N46" s="362" t="n"/>
      <c r="O46" s="362">
        <f>+K46-L46</f>
        <v/>
      </c>
      <c r="P46" s="362">
        <f>+K46-M46</f>
        <v/>
      </c>
      <c r="S46" s="586" t="n">
        <v>47178</v>
      </c>
      <c r="T46" s="362" t="n">
        <v>-115268.9181591296</v>
      </c>
      <c r="U46" s="362" t="n">
        <v>-16790.91753461026</v>
      </c>
      <c r="V46" s="362" t="n">
        <v>55317.19065533765</v>
      </c>
      <c r="W46" s="362" t="n"/>
      <c r="X46" s="362">
        <f>+T46-U46</f>
        <v/>
      </c>
      <c r="Y46" s="362">
        <f>+T46-V46</f>
        <v/>
      </c>
    </row>
    <row r="47">
      <c r="A47" s="586" t="n">
        <v>47209</v>
      </c>
      <c r="B47" s="430" t="n">
        <v>233540.1738380515</v>
      </c>
      <c r="C47" s="430" t="n">
        <v>10396541.16672672</v>
      </c>
      <c r="D47" s="430" t="n">
        <v>8530513.745087454</v>
      </c>
      <c r="E47" s="430" t="n"/>
      <c r="F47" s="430">
        <f>+B47-C47</f>
        <v/>
      </c>
      <c r="G47" s="430">
        <f>+B47-D47</f>
        <v/>
      </c>
      <c r="H47" s="362" t="n"/>
      <c r="I47" s="362" t="n"/>
      <c r="J47" s="586" t="n">
        <v>47209</v>
      </c>
      <c r="K47" s="362" t="n">
        <v>-3000000</v>
      </c>
      <c r="L47" s="362" t="n">
        <v>-4740000</v>
      </c>
      <c r="M47" s="362" t="n">
        <v>-7000000</v>
      </c>
      <c r="N47" s="362" t="n"/>
      <c r="O47" s="362">
        <f>+K47-L47</f>
        <v/>
      </c>
      <c r="P47" s="362">
        <f>+K47-M47</f>
        <v/>
      </c>
      <c r="S47" s="586" t="n">
        <v>47209</v>
      </c>
      <c r="T47" s="362" t="n">
        <v>221852.3228659085</v>
      </c>
      <c r="U47" s="362" t="n">
        <v>-5648.788410694338</v>
      </c>
      <c r="V47" s="362" t="n">
        <v>330723.6134881293</v>
      </c>
      <c r="W47" s="362" t="n"/>
      <c r="X47" s="362">
        <f>+T47-U47</f>
        <v/>
      </c>
      <c r="Y47" s="362">
        <f>+T47-V47</f>
        <v/>
      </c>
    </row>
    <row r="48">
      <c r="A48" s="586" t="n">
        <v>47239</v>
      </c>
      <c r="B48" s="430" t="n">
        <v>121613.4792608246</v>
      </c>
      <c r="C48" s="430" t="n">
        <v>10899849.09629767</v>
      </c>
      <c r="D48" s="430" t="n">
        <v>8272001.565375527</v>
      </c>
      <c r="E48" s="430" t="n"/>
      <c r="F48" s="430">
        <f>+B48-C48</f>
        <v/>
      </c>
      <c r="G48" s="430">
        <f>+B48-D48</f>
        <v/>
      </c>
      <c r="H48" s="362" t="n"/>
      <c r="I48" s="362" t="n"/>
      <c r="J48" s="586" t="n">
        <v>47239</v>
      </c>
      <c r="K48" s="362" t="n">
        <v>-3200000</v>
      </c>
      <c r="L48" s="362" t="n">
        <v>-4000000</v>
      </c>
      <c r="M48" s="362" t="n">
        <v>-7000000</v>
      </c>
      <c r="N48" s="362" t="n"/>
      <c r="O48" s="362">
        <f>+K48-L48</f>
        <v/>
      </c>
      <c r="P48" s="362">
        <f>+K48-M48</f>
        <v/>
      </c>
      <c r="S48" s="586" t="n">
        <v>47239</v>
      </c>
      <c r="T48" s="362" t="n">
        <v>-310969.6274308511</v>
      </c>
      <c r="U48" s="362" t="n">
        <v>415659.8909898251</v>
      </c>
      <c r="V48" s="362" t="n">
        <v>71996.50427358411</v>
      </c>
      <c r="W48" s="362" t="n"/>
      <c r="X48" s="362">
        <f>+T48-U48</f>
        <v/>
      </c>
      <c r="Y48" s="362">
        <f>+T48-V48</f>
        <v/>
      </c>
    </row>
    <row r="49">
      <c r="A49" s="586" t="n">
        <v>47270</v>
      </c>
      <c r="B49" s="430" t="n">
        <v>56549.80968604237</v>
      </c>
      <c r="C49" s="430" t="n">
        <v>10969109.045463</v>
      </c>
      <c r="D49" s="430" t="n">
        <v>8098159.934489355</v>
      </c>
      <c r="E49" s="430" t="n"/>
      <c r="F49" s="430">
        <f>+B49-C49</f>
        <v/>
      </c>
      <c r="G49" s="430">
        <f>+B49-D49</f>
        <v/>
      </c>
      <c r="H49" s="362" t="n"/>
      <c r="I49" s="362" t="n"/>
      <c r="J49" s="586" t="n">
        <v>47270</v>
      </c>
      <c r="K49" s="362" t="n">
        <v>-3000000</v>
      </c>
      <c r="L49" s="362" t="n">
        <v>-4399000</v>
      </c>
      <c r="M49" s="362" t="n">
        <v>-7130000</v>
      </c>
      <c r="N49" s="362" t="n"/>
      <c r="O49" s="362">
        <f>+K49-L49</f>
        <v/>
      </c>
      <c r="P49" s="362">
        <f>+K49-M49</f>
        <v/>
      </c>
      <c r="S49" s="586" t="n">
        <v>47270</v>
      </c>
      <c r="T49" s="362" t="n">
        <v>-65698.94589123596</v>
      </c>
      <c r="U49" s="362" t="n">
        <v>81910.72627554834</v>
      </c>
      <c r="V49" s="362" t="n">
        <v>29311.12257122248</v>
      </c>
      <c r="W49" s="362" t="n"/>
      <c r="X49" s="362">
        <f>+T49-U49</f>
        <v/>
      </c>
      <c r="Y49" s="362">
        <f>+T49-V49</f>
        <v/>
      </c>
    </row>
    <row r="50">
      <c r="A50" s="586" t="n">
        <v>47300</v>
      </c>
      <c r="B50" s="430" t="n">
        <v>71472.3131387243</v>
      </c>
      <c r="C50" s="430" t="n">
        <v>11133711.7244487</v>
      </c>
      <c r="D50" s="430" t="n">
        <v>8143951.896603422</v>
      </c>
      <c r="E50" s="430" t="n"/>
      <c r="F50" s="430">
        <f>+B50-C50</f>
        <v/>
      </c>
      <c r="G50" s="430">
        <f>+B50-D50</f>
        <v/>
      </c>
      <c r="H50" s="362" t="n"/>
      <c r="I50" s="362" t="n"/>
      <c r="J50" s="586" t="n">
        <v>47300</v>
      </c>
      <c r="K50" s="362" t="n">
        <v>-3000000</v>
      </c>
      <c r="L50" s="362" t="n">
        <v>-4500000</v>
      </c>
      <c r="M50" s="362" t="n">
        <v>-6900000</v>
      </c>
      <c r="N50" s="362" t="n"/>
      <c r="O50" s="362">
        <f>+K50-L50</f>
        <v/>
      </c>
      <c r="P50" s="362">
        <f>+K50-M50</f>
        <v/>
      </c>
      <c r="S50" s="586" t="n">
        <v>47300</v>
      </c>
      <c r="T50" s="362" t="n">
        <v>14282.14492569678</v>
      </c>
      <c r="U50" s="362" t="n">
        <v>76354.66231280845</v>
      </c>
      <c r="V50" s="362" t="n">
        <v>-19430.06240087934</v>
      </c>
      <c r="W50" s="362" t="n"/>
      <c r="X50" s="362">
        <f>+T50-U50</f>
        <v/>
      </c>
      <c r="Y50" s="362">
        <f>+T50-V50</f>
        <v/>
      </c>
    </row>
    <row r="51">
      <c r="A51" s="586" t="n">
        <v>47331</v>
      </c>
      <c r="B51" s="430" t="n">
        <v>297506.2153030899</v>
      </c>
      <c r="C51" s="430" t="n">
        <v>11048014.11707334</v>
      </c>
      <c r="D51" s="430" t="n">
        <v>7981023.280060885</v>
      </c>
      <c r="E51" s="430" t="n"/>
      <c r="F51" s="430">
        <f>+B51-C51</f>
        <v/>
      </c>
      <c r="G51" s="430">
        <f>+B51-D51</f>
        <v/>
      </c>
      <c r="H51" s="362" t="n"/>
      <c r="I51" s="362" t="n"/>
      <c r="J51" s="586" t="n">
        <v>47331</v>
      </c>
      <c r="K51" s="362" t="n">
        <v>-3000000</v>
      </c>
      <c r="L51" s="362" t="n">
        <v>-5000000</v>
      </c>
      <c r="M51" s="362" t="n">
        <v>-6300000</v>
      </c>
      <c r="N51" s="362" t="n"/>
      <c r="O51" s="362">
        <f>+K51-L51</f>
        <v/>
      </c>
      <c r="P51" s="362">
        <f>+K51-M51</f>
        <v/>
      </c>
      <c r="S51" s="586" t="n">
        <v>47331</v>
      </c>
      <c r="T51" s="362" t="n">
        <v>102924.9807691649</v>
      </c>
      <c r="U51" s="362" t="n">
        <v>-297115.0481816344</v>
      </c>
      <c r="V51" s="362" t="n">
        <v>-351135.8572536018</v>
      </c>
      <c r="W51" s="362" t="n"/>
      <c r="X51" s="362">
        <f>+T51-U51</f>
        <v/>
      </c>
      <c r="Y51" s="362">
        <f>+T51-V51</f>
        <v/>
      </c>
    </row>
    <row r="52">
      <c r="A52" s="586" t="n">
        <v>47362</v>
      </c>
      <c r="B52" s="430" t="n">
        <v>288839.5564188343</v>
      </c>
      <c r="C52" s="430" t="n">
        <v>10734006.23285264</v>
      </c>
      <c r="D52" s="430" t="n">
        <v>7856482.568931922</v>
      </c>
      <c r="E52" s="430" t="n"/>
      <c r="F52" s="430">
        <f>+B52-C52</f>
        <v/>
      </c>
      <c r="G52" s="430">
        <f>+B52-D52</f>
        <v/>
      </c>
      <c r="H52" s="362" t="n"/>
      <c r="I52" s="362" t="n"/>
      <c r="J52" s="586" t="n">
        <v>47362</v>
      </c>
      <c r="K52" s="362" t="n">
        <v>-3000000</v>
      </c>
      <c r="L52" s="362" t="n">
        <v>-4850000</v>
      </c>
      <c r="M52" s="362" t="n">
        <v>-5850000</v>
      </c>
      <c r="N52" s="362" t="n"/>
      <c r="O52" s="362">
        <f>+K52-L52</f>
        <v/>
      </c>
      <c r="P52" s="362">
        <f>+K52-M52</f>
        <v/>
      </c>
      <c r="S52" s="586" t="n">
        <v>47362</v>
      </c>
      <c r="T52" s="362" t="n">
        <v>-3323.43945061788</v>
      </c>
      <c r="U52" s="362" t="n">
        <v>-247679.6523534311</v>
      </c>
      <c r="V52" s="362" t="n">
        <v>-134816.5975657171</v>
      </c>
      <c r="W52" s="362" t="n"/>
      <c r="X52" s="362">
        <f>+T52-U52</f>
        <v/>
      </c>
      <c r="Y52" s="362">
        <f>+T52-V52</f>
        <v/>
      </c>
    </row>
    <row r="53">
      <c r="A53" s="586" t="n">
        <v>47392</v>
      </c>
      <c r="B53" s="430" t="n">
        <v>132584.937386503</v>
      </c>
      <c r="C53" s="430" t="n">
        <v>10489879.85119719</v>
      </c>
      <c r="D53" s="430" t="n">
        <v>7577076.553099303</v>
      </c>
      <c r="E53" s="430" t="n"/>
      <c r="F53" s="430">
        <f>+B53-C53</f>
        <v/>
      </c>
      <c r="G53" s="430">
        <f>+B53-D53</f>
        <v/>
      </c>
      <c r="H53" s="362" t="n"/>
      <c r="I53" s="362" t="n"/>
      <c r="J53" s="586" t="n">
        <v>47392</v>
      </c>
      <c r="K53" s="362" t="n">
        <v>-3200000</v>
      </c>
      <c r="L53" s="362" t="n">
        <v>-4695000</v>
      </c>
      <c r="M53" s="362" t="n">
        <v>-5500000</v>
      </c>
      <c r="N53" s="362" t="n"/>
      <c r="O53" s="362">
        <f>+K53-L53</f>
        <v/>
      </c>
      <c r="P53" s="362">
        <f>+K53-M53</f>
        <v/>
      </c>
      <c r="S53" s="586" t="n">
        <v>47392</v>
      </c>
      <c r="T53" s="362" t="n">
        <v>-159047.6781182243</v>
      </c>
      <c r="U53" s="362" t="n">
        <v>-30446.54820823949</v>
      </c>
      <c r="V53" s="362" t="n">
        <v>52056.86636413261</v>
      </c>
      <c r="W53" s="362" t="n"/>
      <c r="X53" s="362">
        <f>+T53-U53</f>
        <v/>
      </c>
      <c r="Y53" s="362">
        <f>+T53-V53</f>
        <v/>
      </c>
    </row>
    <row r="54">
      <c r="A54" s="586" t="n">
        <v>47423</v>
      </c>
      <c r="B54" s="430" t="n">
        <v>95600.93947191443</v>
      </c>
      <c r="C54" s="430" t="n">
        <v>10275807.91024339</v>
      </c>
      <c r="D54" s="430" t="n">
        <v>7125372.257277897</v>
      </c>
      <c r="E54" s="430" t="n"/>
      <c r="F54" s="430">
        <f>+B54-C54</f>
        <v/>
      </c>
      <c r="G54" s="430">
        <f>+B54-D54</f>
        <v/>
      </c>
      <c r="H54" s="362" t="n"/>
      <c r="I54" s="362" t="n"/>
      <c r="J54" s="586" t="n">
        <v>47423</v>
      </c>
      <c r="K54" s="362" t="n">
        <v>-3100000</v>
      </c>
      <c r="L54" s="362" t="n">
        <v>-4695000</v>
      </c>
      <c r="M54" s="362" t="n">
        <v>-5400000</v>
      </c>
      <c r="N54" s="362" t="n"/>
      <c r="O54" s="362">
        <f>+K54-L54</f>
        <v/>
      </c>
      <c r="P54" s="362">
        <f>+K54-M54</f>
        <v/>
      </c>
      <c r="S54" s="586" t="n">
        <v>47423</v>
      </c>
      <c r="T54" s="362" t="n">
        <v>-39799.40147316875</v>
      </c>
      <c r="U54" s="362" t="n">
        <v>1317.331160993315</v>
      </c>
      <c r="V54" s="362" t="n">
        <v>-17589.71056707855</v>
      </c>
      <c r="W54" s="362" t="n"/>
      <c r="X54" s="362">
        <f>+T54-U54</f>
        <v/>
      </c>
      <c r="Y54" s="362">
        <f>+T54-V54</f>
        <v/>
      </c>
    </row>
    <row r="55">
      <c r="A55" s="586" t="n">
        <v>47453</v>
      </c>
      <c r="B55" s="430" t="n">
        <v>96323.56629213411</v>
      </c>
      <c r="C55" s="430" t="n">
        <v>10393533.07823548</v>
      </c>
      <c r="D55" s="430" t="n">
        <v>6936305.294592796</v>
      </c>
      <c r="E55" s="430" t="n"/>
      <c r="F55" s="430">
        <f>+B55-C55</f>
        <v/>
      </c>
      <c r="G55" s="430">
        <f>+B55-D55</f>
        <v/>
      </c>
      <c r="H55" s="362" t="n"/>
      <c r="I55" s="362" t="n"/>
      <c r="J55" s="586" t="n">
        <v>47453</v>
      </c>
      <c r="K55" s="362" t="n">
        <v>-3100000</v>
      </c>
      <c r="L55" s="362" t="n">
        <v>-4700000</v>
      </c>
      <c r="M55" s="362" t="n">
        <v>-5285000</v>
      </c>
      <c r="N55" s="362" t="n"/>
      <c r="O55" s="362">
        <f>+K55-L55</f>
        <v/>
      </c>
      <c r="P55" s="362">
        <f>+K55-M55</f>
        <v/>
      </c>
      <c r="S55" s="586" t="n">
        <v>47453</v>
      </c>
      <c r="T55" s="362" t="n">
        <v>-2115.299966829363</v>
      </c>
      <c r="U55" s="362" t="n">
        <v>29837.55428379122</v>
      </c>
      <c r="V55" s="362" t="n">
        <v>-36479.46074873954</v>
      </c>
      <c r="W55" s="362" t="n"/>
      <c r="X55" s="362">
        <f>+T55-U55</f>
        <v/>
      </c>
      <c r="Y55" s="362">
        <f>+T55-V55</f>
        <v/>
      </c>
    </row>
    <row r="56">
      <c r="A56" s="586" t="n">
        <v>47484</v>
      </c>
      <c r="B56" s="430" t="n">
        <v>116486.7981640412</v>
      </c>
      <c r="C56" s="430" t="n">
        <v>10244008.24694501</v>
      </c>
      <c r="D56" s="430" t="n">
        <v>6771127.88381089</v>
      </c>
      <c r="E56" s="430" t="n"/>
      <c r="F56" s="430">
        <f>+B56-C56</f>
        <v/>
      </c>
      <c r="G56" s="430">
        <f>+B56-D56</f>
        <v/>
      </c>
      <c r="H56" s="362" t="n"/>
      <c r="I56" s="362" t="n"/>
      <c r="J56" s="586" t="n">
        <v>47484</v>
      </c>
      <c r="K56" s="362" t="n">
        <v>-3100000</v>
      </c>
      <c r="L56" s="362" t="n">
        <v>-4790000</v>
      </c>
      <c r="M56" s="362" t="n">
        <v>-5000000</v>
      </c>
      <c r="N56" s="362" t="n"/>
      <c r="O56" s="362">
        <f>+K56-L56</f>
        <v/>
      </c>
      <c r="P56" s="362">
        <f>+K56-M56</f>
        <v/>
      </c>
      <c r="S56" s="586" t="n">
        <v>47484</v>
      </c>
      <c r="T56" s="362" t="n">
        <v>17302.60167056182</v>
      </c>
      <c r="U56" s="362" t="n">
        <v>-28115.5459084278</v>
      </c>
      <c r="V56" s="362" t="n">
        <v>73630.79116994515</v>
      </c>
      <c r="W56" s="362" t="n"/>
      <c r="X56" s="362">
        <f>+T56-U56</f>
        <v/>
      </c>
      <c r="Y56" s="362">
        <f>+T56-V56</f>
        <v/>
      </c>
    </row>
    <row r="57">
      <c r="A57" s="586" t="n">
        <v>47515</v>
      </c>
      <c r="B57" s="430" t="n">
        <v>157424.2707257988</v>
      </c>
      <c r="C57" s="430" t="n">
        <v>10125210.26662198</v>
      </c>
      <c r="D57" s="430" t="n">
        <v>6732245.808602451</v>
      </c>
      <c r="E57" s="430" t="n"/>
      <c r="F57" s="430">
        <f>+B57-C57</f>
        <v/>
      </c>
      <c r="G57" s="430">
        <f>+B57-D57</f>
        <v/>
      </c>
      <c r="H57" s="362" t="n"/>
      <c r="I57" s="362" t="n"/>
      <c r="J57" s="586" t="n">
        <v>47515</v>
      </c>
      <c r="K57" s="362" t="n">
        <v>-3100000</v>
      </c>
      <c r="L57" s="362" t="n">
        <v>-4790000</v>
      </c>
      <c r="M57" s="362" t="n">
        <v>-4900000</v>
      </c>
      <c r="N57" s="362" t="n"/>
      <c r="O57" s="362">
        <f>+K57-L57</f>
        <v/>
      </c>
      <c r="P57" s="362">
        <f>+K57-M57</f>
        <v/>
      </c>
      <c r="S57" s="586" t="n">
        <v>47515</v>
      </c>
      <c r="T57" s="362" t="n">
        <v>38053.95731880143</v>
      </c>
      <c r="U57" s="362" t="n">
        <v>3582.579342065379</v>
      </c>
      <c r="V57" s="362" t="n">
        <v>1836.592359028757</v>
      </c>
      <c r="W57" s="362" t="n"/>
      <c r="X57" s="362">
        <f>+T57-U57</f>
        <v/>
      </c>
      <c r="Y57" s="362">
        <f>+T57-V57</f>
        <v/>
      </c>
    </row>
    <row r="58">
      <c r="A58" s="586" t="n">
        <v>47543</v>
      </c>
      <c r="B58" s="430" t="n">
        <v>243402.8014029255</v>
      </c>
      <c r="C58" s="430" t="n">
        <v>10188120.71832212</v>
      </c>
      <c r="D58" s="430" t="n">
        <v>6543337.09876582</v>
      </c>
      <c r="E58" s="430" t="n"/>
      <c r="F58" s="430">
        <f>+B58-C58</f>
        <v/>
      </c>
      <c r="G58" s="430">
        <f>+B58-D58</f>
        <v/>
      </c>
      <c r="H58" s="362" t="n"/>
      <c r="I58" s="362" t="n"/>
      <c r="J58" s="586" t="n">
        <v>47543</v>
      </c>
      <c r="K58" s="362" t="n">
        <v>-3200000</v>
      </c>
      <c r="L58" s="362" t="n">
        <v>-4880000</v>
      </c>
      <c r="M58" s="362" t="n">
        <v>-4750000</v>
      </c>
      <c r="N58" s="362" t="n"/>
      <c r="O58" s="362">
        <f>+K58-L58</f>
        <v/>
      </c>
      <c r="P58" s="362">
        <f>+K58-M58</f>
        <v/>
      </c>
      <c r="S58" s="586" t="n">
        <v>47543</v>
      </c>
      <c r="T58" s="362" t="n">
        <v>-16928.05268777348</v>
      </c>
      <c r="U58" s="362" t="n">
        <v>-3729.944157437421</v>
      </c>
      <c r="V58" s="362" t="n">
        <v>2135.70707137417</v>
      </c>
      <c r="W58" s="362" t="n"/>
      <c r="X58" s="362">
        <f>+T58-U58</f>
        <v/>
      </c>
      <c r="Y58" s="362">
        <f>+T58-V58</f>
        <v/>
      </c>
    </row>
    <row r="59">
      <c r="A59" s="586" t="n">
        <v>47574</v>
      </c>
      <c r="B59" s="430" t="n">
        <v>488206.8365740944</v>
      </c>
      <c r="C59" s="430" t="n">
        <v>10518677.11204789</v>
      </c>
      <c r="D59" s="430" t="n">
        <v>6516724.10220422</v>
      </c>
      <c r="E59" s="430" t="n"/>
      <c r="F59" s="430">
        <f>+B59-C59</f>
        <v/>
      </c>
      <c r="G59" s="430">
        <f>+B59-D59</f>
        <v/>
      </c>
      <c r="H59" s="362" t="n"/>
      <c r="I59" s="362" t="n"/>
      <c r="J59" s="586" t="n">
        <v>47574</v>
      </c>
      <c r="K59" s="362" t="n">
        <v>-3400000</v>
      </c>
      <c r="L59" s="362" t="n">
        <v>-5000000</v>
      </c>
      <c r="M59" s="362" t="n">
        <v>-4850000</v>
      </c>
      <c r="N59" s="362" t="n"/>
      <c r="O59" s="362">
        <f>+K59-L59</f>
        <v/>
      </c>
      <c r="P59" s="362">
        <f>+K59-M59</f>
        <v/>
      </c>
      <c r="S59" s="586" t="n">
        <v>47574</v>
      </c>
      <c r="T59" s="362" t="n">
        <v>141074.1991393496</v>
      </c>
      <c r="U59" s="362" t="n">
        <v>243382.874701323</v>
      </c>
      <c r="V59" s="362" t="n">
        <v>65959.77568166982</v>
      </c>
      <c r="W59" s="362" t="n"/>
      <c r="X59" s="362">
        <f>+T59-U59</f>
        <v/>
      </c>
      <c r="Y59" s="362">
        <f>+T59-V59</f>
        <v/>
      </c>
    </row>
    <row r="60">
      <c r="A60" s="586" t="n">
        <v>47604</v>
      </c>
      <c r="B60" s="430" t="n">
        <v>362987.8238502564</v>
      </c>
      <c r="C60" s="430" t="n">
        <v>10516996.67815264</v>
      </c>
      <c r="D60" s="430" t="n">
        <v>5959900.022838852</v>
      </c>
      <c r="E60" s="430" t="n"/>
      <c r="F60" s="430">
        <f>+B60-C60</f>
        <v/>
      </c>
      <c r="G60" s="430">
        <f>+B60-D60</f>
        <v/>
      </c>
      <c r="H60" s="362" t="n"/>
      <c r="I60" s="362" t="n"/>
      <c r="J60" s="586" t="n">
        <v>47604</v>
      </c>
      <c r="K60" s="362" t="n">
        <v>-3350000</v>
      </c>
      <c r="L60" s="362" t="n">
        <v>-5000000</v>
      </c>
      <c r="M60" s="362" t="n">
        <v>-4499000</v>
      </c>
      <c r="N60" s="362" t="n"/>
      <c r="O60" s="362">
        <f>+K60-L60</f>
        <v/>
      </c>
      <c r="P60" s="362">
        <f>+K60-M60</f>
        <v/>
      </c>
      <c r="S60" s="586" t="n">
        <v>47604</v>
      </c>
      <c r="T60" s="362" t="n">
        <v>-179778.6874439116</v>
      </c>
      <c r="U60" s="362" t="n">
        <v>-89551.34107188694</v>
      </c>
      <c r="V60" s="362" t="n">
        <v>-112510.7249441519</v>
      </c>
      <c r="W60" s="362" t="n"/>
      <c r="X60" s="362">
        <f>+T60-U60</f>
        <v/>
      </c>
      <c r="Y60" s="362">
        <f>+T60-V60</f>
        <v/>
      </c>
    </row>
    <row r="61">
      <c r="A61" s="586" t="n">
        <v>47635</v>
      </c>
      <c r="B61" s="430" t="n">
        <v>81659.57119825296</v>
      </c>
      <c r="C61" s="430" t="n">
        <v>10573267.52510629</v>
      </c>
      <c r="D61" s="430" t="n">
        <v>5844648.284459085</v>
      </c>
      <c r="E61" s="430" t="n"/>
      <c r="F61" s="430">
        <f>+B61-C61</f>
        <v/>
      </c>
      <c r="G61" s="430">
        <f>+B61-D61</f>
        <v/>
      </c>
      <c r="H61" s="362" t="n"/>
      <c r="I61" s="362" t="n"/>
      <c r="J61" s="586" t="n">
        <v>47635</v>
      </c>
      <c r="K61" s="362" t="n">
        <v>-3400000</v>
      </c>
      <c r="L61" s="362" t="n">
        <v>-4875000</v>
      </c>
      <c r="M61" s="362" t="n">
        <v>-4010000</v>
      </c>
      <c r="N61" s="362" t="n"/>
      <c r="O61" s="362">
        <f>+K61-L61</f>
        <v/>
      </c>
      <c r="P61" s="362">
        <f>+K61-M61</f>
        <v/>
      </c>
      <c r="S61" s="586" t="n">
        <v>47635</v>
      </c>
      <c r="T61" s="362" t="n">
        <v>-186324.4047698379</v>
      </c>
      <c r="U61" s="362" t="n">
        <v>92696.9725195989</v>
      </c>
      <c r="V61" s="362" t="n">
        <v>221616.1228768197</v>
      </c>
      <c r="W61" s="362" t="n"/>
      <c r="X61" s="362">
        <f>+T61-U61</f>
        <v/>
      </c>
      <c r="Y61" s="362">
        <f>+T61-V61</f>
        <v/>
      </c>
    </row>
    <row r="62">
      <c r="A62" s="586" t="n">
        <v>47665</v>
      </c>
      <c r="B62" s="430" t="n">
        <v>278529.9844486578</v>
      </c>
      <c r="C62" s="430" t="n">
        <v>10225200.85914924</v>
      </c>
      <c r="D62" s="430" t="n">
        <v>5589568.527103855</v>
      </c>
      <c r="E62" s="430" t="n"/>
      <c r="F62" s="430">
        <f>+B62-C62</f>
        <v/>
      </c>
      <c r="G62" s="430">
        <f>+B62-D62</f>
        <v/>
      </c>
      <c r="H62" s="362" t="n"/>
      <c r="I62" s="362" t="n"/>
      <c r="J62" s="586" t="n">
        <v>47665</v>
      </c>
      <c r="K62" s="362" t="n">
        <v>-3100000</v>
      </c>
      <c r="L62" s="362" t="n">
        <v>-5300000</v>
      </c>
      <c r="M62" s="362" t="n">
        <v>-3945000</v>
      </c>
      <c r="N62" s="362" t="n"/>
      <c r="O62" s="362">
        <f>+K62-L62</f>
        <v/>
      </c>
      <c r="P62" s="362">
        <f>+K62-M62</f>
        <v/>
      </c>
      <c r="S62" s="586" t="n">
        <v>47665</v>
      </c>
      <c r="T62" s="362" t="n">
        <v>192634.2919156281</v>
      </c>
      <c r="U62" s="362" t="n">
        <v>-236349.1313865725</v>
      </c>
      <c r="V62" s="362" t="n">
        <v>-250516.9532085918</v>
      </c>
      <c r="W62" s="362" t="n"/>
      <c r="X62" s="362">
        <f>+T62-U62</f>
        <v/>
      </c>
      <c r="Y62" s="362">
        <f>+T62-V62</f>
        <v/>
      </c>
    </row>
    <row r="63">
      <c r="A63" s="586" t="n">
        <v>47696</v>
      </c>
      <c r="B63" s="430" t="n">
        <v>505472.3662955672</v>
      </c>
      <c r="C63" s="430" t="n">
        <v>10362837.60167821</v>
      </c>
      <c r="D63" s="430" t="n">
        <v>5153922.946786329</v>
      </c>
      <c r="E63" s="430" t="n"/>
      <c r="F63" s="430">
        <f>+B63-C63</f>
        <v/>
      </c>
      <c r="G63" s="430">
        <f>+B63-D63</f>
        <v/>
      </c>
      <c r="H63" s="362" t="n"/>
      <c r="I63" s="362" t="n"/>
      <c r="J63" s="586" t="n">
        <v>47696</v>
      </c>
      <c r="K63" s="362" t="n">
        <v>-3100000</v>
      </c>
      <c r="L63" s="362" t="n">
        <v>-5000000</v>
      </c>
      <c r="M63" s="362" t="n">
        <v>-2500000</v>
      </c>
      <c r="N63" s="362" t="n"/>
      <c r="O63" s="362">
        <f>+K63-L63</f>
        <v/>
      </c>
      <c r="P63" s="362">
        <f>+K63-M63</f>
        <v/>
      </c>
      <c r="S63" s="586" t="n">
        <v>47696</v>
      </c>
      <c r="T63" s="362" t="n">
        <v>222672.3715414545</v>
      </c>
      <c r="U63" s="362" t="n">
        <v>50248.01737600751</v>
      </c>
      <c r="V63" s="362" t="n">
        <v>13953.72626228491</v>
      </c>
      <c r="W63" s="362" t="n"/>
      <c r="X63" s="362">
        <f>+T63-U63</f>
        <v/>
      </c>
      <c r="Y63" s="362">
        <f>+T63-V63</f>
        <v/>
      </c>
    </row>
    <row r="64">
      <c r="A64" s="586" t="n">
        <v>47727</v>
      </c>
      <c r="B64" s="430" t="n">
        <v>757723.5765169519</v>
      </c>
      <c r="C64" s="430" t="n">
        <v>10535921.02836108</v>
      </c>
      <c r="D64" s="430" t="n">
        <v>4685098.903609882</v>
      </c>
      <c r="E64" s="430" t="n"/>
      <c r="F64" s="430">
        <f>+B64-C64</f>
        <v/>
      </c>
      <c r="G64" s="430">
        <f>+B64-D64</f>
        <v/>
      </c>
      <c r="H64" s="362" t="n"/>
      <c r="I64" s="362" t="n"/>
      <c r="J64" s="586" t="n">
        <v>47727</v>
      </c>
      <c r="K64" s="362" t="n">
        <v>-3100000</v>
      </c>
      <c r="L64" s="362" t="n">
        <v>-5000000</v>
      </c>
      <c r="M64" s="362" t="n">
        <v>-2500000</v>
      </c>
      <c r="N64" s="362" t="n"/>
      <c r="O64" s="362">
        <f>+K64-L64</f>
        <v/>
      </c>
      <c r="P64" s="362">
        <f>+K64-M64</f>
        <v/>
      </c>
      <c r="S64" s="586" t="n">
        <v>47727</v>
      </c>
      <c r="T64" s="362" t="n">
        <v>247947.0398334861</v>
      </c>
      <c r="U64" s="362" t="n">
        <v>84995.59172868822</v>
      </c>
      <c r="V64" s="362" t="n">
        <v>-15627.94214399671</v>
      </c>
      <c r="W64" s="362" t="n"/>
      <c r="X64" s="362">
        <f>+T64-U64</f>
        <v/>
      </c>
      <c r="Y64" s="362">
        <f>+T64-V64</f>
        <v/>
      </c>
    </row>
    <row r="65">
      <c r="A65" s="586" t="n">
        <v>47757</v>
      </c>
      <c r="B65" s="430" t="n">
        <v>548972.4593602442</v>
      </c>
      <c r="C65" s="430" t="n">
        <v>10566176.35158834</v>
      </c>
      <c r="D65" s="430" t="n">
        <v>4308310.498807149</v>
      </c>
      <c r="E65" s="430" t="n"/>
      <c r="F65" s="430">
        <f>+B65-C65</f>
        <v/>
      </c>
      <c r="G65" s="430">
        <f>+B65-D65</f>
        <v/>
      </c>
      <c r="H65" s="362" t="n"/>
      <c r="I65" s="362" t="n"/>
      <c r="J65" s="586" t="n">
        <v>47757</v>
      </c>
      <c r="K65" s="362" t="n">
        <v>-3600000</v>
      </c>
      <c r="L65" s="362" t="n">
        <v>-5200000</v>
      </c>
      <c r="M65" s="362" t="n">
        <v>-2350000</v>
      </c>
      <c r="N65" s="362" t="n"/>
      <c r="O65" s="362">
        <f>+K65-L65</f>
        <v/>
      </c>
      <c r="P65" s="362">
        <f>+K65-M65</f>
        <v/>
      </c>
      <c r="S65" s="586" t="n">
        <v>47757</v>
      </c>
      <c r="T65" s="362" t="n">
        <v>-213089.7209077096</v>
      </c>
      <c r="U65" s="362" t="n">
        <v>-58537.21440656111</v>
      </c>
      <c r="V65" s="362" t="n">
        <v>30033.26503797574</v>
      </c>
      <c r="W65" s="362" t="n"/>
      <c r="X65" s="362">
        <f>+T65-U65</f>
        <v/>
      </c>
      <c r="Y65" s="362">
        <f>+T65-V65</f>
        <v/>
      </c>
    </row>
    <row r="66">
      <c r="A66" s="586" t="n">
        <v>47788</v>
      </c>
      <c r="B66" s="430" t="n">
        <v>856963.3201504205</v>
      </c>
      <c r="C66" s="430" t="n">
        <v>10623602.70367859</v>
      </c>
      <c r="D66" s="430" t="n">
        <v>4024294.014110119</v>
      </c>
      <c r="E66" s="430" t="n"/>
      <c r="F66" s="430">
        <f>+B66-C66</f>
        <v/>
      </c>
      <c r="G66" s="430">
        <f>+B66-D66</f>
        <v/>
      </c>
      <c r="H66" s="362" t="n"/>
      <c r="I66" s="362" t="n"/>
      <c r="J66" s="586" t="n">
        <v>47788</v>
      </c>
      <c r="K66" s="362" t="n">
        <v>-3100000</v>
      </c>
      <c r="L66" s="362" t="n">
        <v>-5200000</v>
      </c>
      <c r="M66" s="362" t="n">
        <v>-2250000</v>
      </c>
      <c r="N66" s="362" t="n"/>
      <c r="O66" s="362">
        <f>+K66-L66</f>
        <v/>
      </c>
      <c r="P66" s="362">
        <f>+K66-M66</f>
        <v/>
      </c>
      <c r="S66" s="586" t="n">
        <v>47788</v>
      </c>
      <c r="T66" s="362" t="n">
        <v>303617.5482091666</v>
      </c>
      <c r="U66" s="362" t="n">
        <v>-32076.52584462985</v>
      </c>
      <c r="V66" s="362" t="n">
        <v>26059.75850240514</v>
      </c>
      <c r="W66" s="362" t="n"/>
      <c r="X66" s="362">
        <f>+T66-U66</f>
        <v/>
      </c>
      <c r="Y66" s="362">
        <f>+T66-V66</f>
        <v/>
      </c>
    </row>
    <row r="67">
      <c r="A67" s="586" t="n">
        <v>47818</v>
      </c>
      <c r="B67" s="430" t="n">
        <v>587008.2055088053</v>
      </c>
      <c r="C67" s="430" t="n">
        <v>10036512.67210492</v>
      </c>
      <c r="D67" s="430" t="n">
        <v>4033414.448379637</v>
      </c>
      <c r="E67" s="430" t="n"/>
      <c r="F67" s="430">
        <f>+B67-C67</f>
        <v/>
      </c>
      <c r="G67" s="430">
        <f>+B67-D67</f>
        <v/>
      </c>
      <c r="H67" s="362" t="n"/>
      <c r="I67" s="362" t="n"/>
      <c r="J67" s="586" t="n">
        <v>47818</v>
      </c>
      <c r="K67" s="362" t="n">
        <v>-3700000</v>
      </c>
      <c r="L67" s="362" t="n">
        <v>-5280000</v>
      </c>
      <c r="M67" s="362" t="n">
        <v>-2200000</v>
      </c>
      <c r="N67" s="362" t="n"/>
      <c r="O67" s="362">
        <f>+K67-L67</f>
        <v/>
      </c>
      <c r="P67" s="362">
        <f>+K67-M67</f>
        <v/>
      </c>
      <c r="S67" s="586" t="n">
        <v>47818</v>
      </c>
      <c r="T67" s="362" t="n">
        <v>-274363.4137232727</v>
      </c>
      <c r="U67" s="362" t="n">
        <v>-57308.9325320432</v>
      </c>
      <c r="V67" s="362" t="n">
        <v>-28322.71258545108</v>
      </c>
      <c r="W67" s="362" t="n"/>
      <c r="X67" s="362">
        <f>+T67-U67</f>
        <v/>
      </c>
      <c r="Y67" s="362">
        <f>+T67-V67</f>
        <v/>
      </c>
    </row>
    <row r="68">
      <c r="A68" s="586" t="n">
        <v>47849</v>
      </c>
      <c r="B68" s="430" t="n">
        <v>933268.201131945</v>
      </c>
      <c r="C68" s="430" t="n">
        <v>10375722.13653887</v>
      </c>
      <c r="D68" s="430" t="n">
        <v>3535368.594081187</v>
      </c>
      <c r="E68" s="430" t="n"/>
      <c r="F68" s="430">
        <f>+B68-C68</f>
        <v/>
      </c>
      <c r="G68" s="430">
        <f>+B68-D68</f>
        <v/>
      </c>
      <c r="H68" s="362" t="n"/>
      <c r="I68" s="362" t="n"/>
      <c r="J68" s="586" t="n">
        <v>47849</v>
      </c>
      <c r="K68" s="362" t="n">
        <v>-3100000</v>
      </c>
      <c r="L68" s="362" t="n">
        <v>-5200000</v>
      </c>
      <c r="M68" s="362" t="n">
        <v>-2000000</v>
      </c>
      <c r="N68" s="362" t="n"/>
      <c r="O68" s="362">
        <f>+K68-L68</f>
        <v/>
      </c>
      <c r="P68" s="362">
        <f>+K68-M68</f>
        <v/>
      </c>
      <c r="S68" s="586" t="n">
        <v>47849</v>
      </c>
      <c r="T68" s="362" t="n">
        <v>341816.4301488283</v>
      </c>
      <c r="U68" s="362" t="n">
        <v>53228.81226792186</v>
      </c>
      <c r="V68" s="362" t="n">
        <v>64211.4536717406</v>
      </c>
      <c r="W68" s="362" t="n"/>
      <c r="X68" s="362">
        <f>+T68-U68</f>
        <v/>
      </c>
      <c r="Y68" s="362">
        <f>+T68-V68</f>
        <v/>
      </c>
    </row>
    <row r="69">
      <c r="A69" s="586" t="n">
        <v>47880</v>
      </c>
      <c r="B69" s="430" t="n">
        <v>700755.0637907065</v>
      </c>
      <c r="C69" s="430" t="n">
        <v>10750143.72094214</v>
      </c>
      <c r="D69" s="430" t="n">
        <v>3326279.599861474</v>
      </c>
      <c r="E69" s="430" t="n"/>
      <c r="F69" s="430">
        <f>+B69-C69</f>
        <v/>
      </c>
      <c r="G69" s="430">
        <f>+B69-D69</f>
        <v/>
      </c>
      <c r="H69" s="362" t="n"/>
      <c r="I69" s="362" t="n"/>
      <c r="J69" s="586" t="n">
        <v>47880</v>
      </c>
      <c r="K69" s="362" t="n">
        <v>-3700000</v>
      </c>
      <c r="L69" s="362" t="n">
        <v>-5300000</v>
      </c>
      <c r="M69" s="362" t="n">
        <v>-2000000</v>
      </c>
      <c r="N69" s="362" t="n"/>
      <c r="O69" s="362">
        <f>+K69-L69</f>
        <v/>
      </c>
      <c r="P69" s="362">
        <f>+K69-M69</f>
        <v/>
      </c>
      <c r="S69" s="586" t="n">
        <v>47880</v>
      </c>
      <c r="T69" s="362" t="n">
        <v>-236992.2513393438</v>
      </c>
      <c r="U69" s="362" t="n">
        <v>-13846.91298009921</v>
      </c>
      <c r="V69" s="362" t="n">
        <v>-42333.62778575998</v>
      </c>
      <c r="W69" s="362" t="n"/>
      <c r="X69" s="362">
        <f>+T69-U69</f>
        <v/>
      </c>
      <c r="Y69" s="362">
        <f>+T69-V69</f>
        <v/>
      </c>
    </row>
    <row r="70">
      <c r="A70" s="586" t="n">
        <v>47908</v>
      </c>
      <c r="B70" s="430" t="n">
        <v>510097.2284213761</v>
      </c>
      <c r="C70" s="430" t="n">
        <v>10185317.74227446</v>
      </c>
      <c r="D70" s="430" t="n">
        <v>3033717.740601128</v>
      </c>
      <c r="E70" s="430" t="n"/>
      <c r="F70" s="430">
        <f>+B70-C70</f>
        <v/>
      </c>
      <c r="G70" s="430">
        <f>+B70-D70</f>
        <v/>
      </c>
      <c r="H70" s="362" t="n"/>
      <c r="I70" s="362" t="n"/>
      <c r="J70" s="586" t="n">
        <v>47908</v>
      </c>
      <c r="K70" s="362" t="n">
        <v>-3700000</v>
      </c>
      <c r="L70" s="362" t="n">
        <v>-5380000</v>
      </c>
      <c r="M70" s="362" t="n">
        <v>-1900000</v>
      </c>
      <c r="N70" s="362" t="n"/>
      <c r="O70" s="362">
        <f>+K70-L70</f>
        <v/>
      </c>
      <c r="P70" s="362">
        <f>+K70-M70</f>
        <v/>
      </c>
      <c r="S70" s="586" t="n">
        <v>47908</v>
      </c>
      <c r="T70" s="362" t="n">
        <v>-195172.7822794206</v>
      </c>
      <c r="U70" s="362" t="n">
        <v>-36200.62403010484</v>
      </c>
      <c r="V70" s="362" t="n">
        <v>-24472.44989492116</v>
      </c>
      <c r="W70" s="362" t="n"/>
      <c r="X70" s="362">
        <f>+T70-U70</f>
        <v/>
      </c>
      <c r="Y70" s="362">
        <f>+T70-V70</f>
        <v/>
      </c>
    </row>
    <row r="71">
      <c r="A71" s="586" t="n">
        <v>47939</v>
      </c>
      <c r="B71" s="430" t="n">
        <v>704631.5005897298</v>
      </c>
      <c r="C71" s="430" t="n">
        <v>10141015.35222728</v>
      </c>
      <c r="D71" s="430" t="n">
        <v>3000017.196529825</v>
      </c>
      <c r="E71" s="430" t="n"/>
      <c r="F71" s="430">
        <f>+B71-C71</f>
        <v/>
      </c>
      <c r="G71" s="430">
        <f>+B71-D71</f>
        <v/>
      </c>
      <c r="H71" s="362" t="n"/>
      <c r="I71" s="362" t="n"/>
      <c r="J71" s="586" t="n">
        <v>47939</v>
      </c>
      <c r="K71" s="362" t="n">
        <v>-3750000</v>
      </c>
      <c r="L71" s="362" t="n">
        <v>-4850000</v>
      </c>
      <c r="M71" s="362" t="n">
        <v>-2150000</v>
      </c>
      <c r="N71" s="362" t="n"/>
      <c r="O71" s="362">
        <f>+K71-L71</f>
        <v/>
      </c>
      <c r="P71" s="362">
        <f>+K71-M71</f>
        <v/>
      </c>
      <c r="S71" s="586" t="n">
        <v>47939</v>
      </c>
      <c r="T71" s="362" t="n">
        <v>139983.2056829822</v>
      </c>
      <c r="U71" s="362" t="n">
        <v>18551.96742748935</v>
      </c>
      <c r="V71" s="362" t="n">
        <v>-13466.41943095531</v>
      </c>
      <c r="W71" s="362" t="n"/>
      <c r="X71" s="362">
        <f>+T71-U71</f>
        <v/>
      </c>
      <c r="Y71" s="362">
        <f>+T71-V71</f>
        <v/>
      </c>
    </row>
    <row r="72">
      <c r="A72" s="586" t="n">
        <v>47969</v>
      </c>
      <c r="B72" s="430" t="n">
        <v>479125.8418060676</v>
      </c>
      <c r="C72" s="430" t="n">
        <v>10492657.75123295</v>
      </c>
      <c r="D72" s="430" t="n">
        <v>2718746.694569076</v>
      </c>
      <c r="E72" s="430" t="n"/>
      <c r="F72" s="430">
        <f>+B72-C72</f>
        <v/>
      </c>
      <c r="G72" s="430">
        <f>+B72-D72</f>
        <v/>
      </c>
      <c r="H72" s="362" t="n"/>
      <c r="I72" s="362" t="n"/>
      <c r="J72" s="586" t="n">
        <v>47969</v>
      </c>
      <c r="K72" s="362" t="n">
        <v>-3750000</v>
      </c>
      <c r="L72" s="362" t="n">
        <v>-4200000</v>
      </c>
      <c r="M72" s="362" t="n">
        <v>-1450000</v>
      </c>
      <c r="N72" s="362" t="n"/>
      <c r="O72" s="362">
        <f>+K72-L72</f>
        <v/>
      </c>
      <c r="P72" s="362">
        <f>+K72-M72</f>
        <v/>
      </c>
      <c r="S72" s="586" t="n">
        <v>47969</v>
      </c>
      <c r="T72" s="362" t="n">
        <v>-280493.1338009168</v>
      </c>
      <c r="U72" s="362" t="n">
        <v>64999.59134013951</v>
      </c>
      <c r="V72" s="362" t="n">
        <v>139125.4956767217</v>
      </c>
      <c r="W72" s="362" t="n"/>
      <c r="X72" s="362">
        <f>+T72-U72</f>
        <v/>
      </c>
      <c r="Y72" s="362">
        <f>+T72-V72</f>
        <v/>
      </c>
    </row>
    <row r="73">
      <c r="A73" s="586" t="n">
        <v>48000</v>
      </c>
      <c r="B73" s="430" t="n">
        <v>816861.6102146483</v>
      </c>
      <c r="C73" s="430" t="n">
        <v>10759722.74377235</v>
      </c>
      <c r="D73" s="430" t="n">
        <v>2653146.957894516</v>
      </c>
      <c r="E73" s="430" t="n"/>
      <c r="F73" s="430">
        <f>+B73-C73</f>
        <v/>
      </c>
      <c r="G73" s="430">
        <f>+B73-D73</f>
        <v/>
      </c>
      <c r="H73" s="362" t="n"/>
      <c r="I73" s="362" t="n"/>
      <c r="J73" s="586" t="n">
        <v>48000</v>
      </c>
      <c r="K73" s="362" t="n">
        <v>-3790000</v>
      </c>
      <c r="L73" s="362" t="n">
        <v>-4015000</v>
      </c>
      <c r="M73" s="362" t="n">
        <v>-1410000</v>
      </c>
      <c r="N73" s="362" t="n"/>
      <c r="O73" s="362">
        <f>+K73-L73</f>
        <v/>
      </c>
      <c r="P73" s="362">
        <f>+K73-M73</f>
        <v/>
      </c>
      <c r="S73" s="586" t="n">
        <v>48000</v>
      </c>
      <c r="T73" s="362" t="n">
        <v>-257691.6064088121</v>
      </c>
      <c r="U73" s="362" t="n">
        <v>163129.0424125427</v>
      </c>
      <c r="V73" s="362" t="n">
        <v>98159.42894401052</v>
      </c>
      <c r="W73" s="362" t="n"/>
      <c r="X73" s="362">
        <f>+T73-U73</f>
        <v/>
      </c>
      <c r="Y73" s="362">
        <f>+T73-V73</f>
        <v/>
      </c>
    </row>
    <row r="74">
      <c r="A74" s="586" t="n">
        <v>48030</v>
      </c>
      <c r="B74" s="430" t="n">
        <v>862721.6166622099</v>
      </c>
      <c r="C74" s="430" t="n">
        <v>10791581.01465642</v>
      </c>
      <c r="D74" s="430" t="n">
        <v>2762663.560483685</v>
      </c>
      <c r="E74" s="430" t="n"/>
      <c r="F74" s="430">
        <f>+B74-C74</f>
        <v/>
      </c>
      <c r="G74" s="430">
        <f>+B74-D74</f>
        <v/>
      </c>
      <c r="H74" s="362" t="n"/>
      <c r="I74" s="362" t="n"/>
      <c r="J74" s="586" t="n">
        <v>48030</v>
      </c>
      <c r="K74" s="362" t="n">
        <v>-3700000</v>
      </c>
      <c r="L74" s="362" t="n">
        <v>-4200000</v>
      </c>
      <c r="M74" s="362" t="n">
        <v>-1400000</v>
      </c>
      <c r="N74" s="362" t="n"/>
      <c r="O74" s="362">
        <f>+K74-L74</f>
        <v/>
      </c>
      <c r="P74" s="362">
        <f>+K74-M74</f>
        <v/>
      </c>
      <c r="S74" s="586" t="n">
        <v>48030</v>
      </c>
      <c r="T74" s="362" t="n">
        <v>-64330.78736837069</v>
      </c>
      <c r="U74" s="362" t="n">
        <v>-57909.16684379801</v>
      </c>
      <c r="V74" s="362" t="n">
        <v>84585.84153268766</v>
      </c>
      <c r="W74" s="362" t="n"/>
      <c r="X74" s="362">
        <f>+T74-U74</f>
        <v/>
      </c>
      <c r="Y74" s="362">
        <f>+T74-V74</f>
        <v/>
      </c>
    </row>
    <row r="75">
      <c r="A75" s="586" t="n">
        <v>48061</v>
      </c>
      <c r="B75" s="430" t="n">
        <v>857309.2502685017</v>
      </c>
      <c r="C75" s="430" t="n">
        <v>9810059.28801192</v>
      </c>
      <c r="D75" s="430" t="n">
        <v>2703542.988280692</v>
      </c>
      <c r="E75" s="430" t="n"/>
      <c r="F75" s="430">
        <f>+B75-C75</f>
        <v/>
      </c>
      <c r="G75" s="430">
        <f>+B75-D75</f>
        <v/>
      </c>
      <c r="H75" s="362" t="n"/>
      <c r="I75" s="362" t="n"/>
      <c r="J75" s="586" t="n">
        <v>48061</v>
      </c>
      <c r="K75" s="362" t="n">
        <v>-3550000</v>
      </c>
      <c r="L75" s="362" t="n">
        <v>-4120000</v>
      </c>
      <c r="M75" s="362" t="n">
        <v>-1400000</v>
      </c>
      <c r="N75" s="362" t="n"/>
      <c r="O75" s="362">
        <f>+K75-L75</f>
        <v/>
      </c>
      <c r="P75" s="362">
        <f>+K75-M75</f>
        <v/>
      </c>
      <c r="S75" s="586" t="n">
        <v>48061</v>
      </c>
      <c r="T75" s="362" t="n">
        <v>33515.313439833</v>
      </c>
      <c r="U75" s="362" t="n">
        <v>-192007.3038741909</v>
      </c>
      <c r="V75" s="362" t="n">
        <v>-84250.77934792591</v>
      </c>
      <c r="W75" s="362" t="n"/>
      <c r="X75" s="362">
        <f>+T75-U75</f>
        <v/>
      </c>
      <c r="Y75" s="362">
        <f>+T75-V75</f>
        <v/>
      </c>
    </row>
    <row r="76">
      <c r="A76" s="586" t="n">
        <v>48092</v>
      </c>
      <c r="B76" s="430" t="n">
        <v>876272.2625516946</v>
      </c>
      <c r="C76" s="430" t="n">
        <v>9503532.894308621</v>
      </c>
      <c r="D76" s="430" t="n">
        <v>2641470.168637425</v>
      </c>
      <c r="E76" s="430" t="n"/>
      <c r="F76" s="430">
        <f>+B76-C76</f>
        <v/>
      </c>
      <c r="G76" s="430">
        <f>+B76-D76</f>
        <v/>
      </c>
      <c r="H76" s="362" t="n"/>
      <c r="I76" s="362" t="n"/>
      <c r="J76" s="586" t="n">
        <v>48092</v>
      </c>
      <c r="K76" s="362" t="n">
        <v>-3600000</v>
      </c>
      <c r="L76" s="362" t="n">
        <v>-3800000</v>
      </c>
      <c r="M76" s="362" t="n">
        <v>-1400000</v>
      </c>
      <c r="N76" s="362" t="n"/>
      <c r="O76" s="362">
        <f>+K76-L76</f>
        <v/>
      </c>
      <c r="P76" s="362">
        <f>+K76-M76</f>
        <v/>
      </c>
      <c r="S76" s="586" t="n">
        <v>48092</v>
      </c>
      <c r="T76" s="362" t="n">
        <v>8202.113555401564</v>
      </c>
      <c r="U76" s="362" t="n">
        <v>9304.14444917161</v>
      </c>
      <c r="V76" s="362" t="n">
        <v>-87404.06844535936</v>
      </c>
      <c r="W76" s="362" t="n"/>
      <c r="X76" s="362">
        <f>+T76-U76</f>
        <v/>
      </c>
      <c r="Y76" s="362">
        <f>+T76-V76</f>
        <v/>
      </c>
    </row>
    <row r="77">
      <c r="A77" s="586" t="n">
        <v>48122</v>
      </c>
      <c r="B77" s="430" t="n">
        <v>915365.9180437271</v>
      </c>
      <c r="C77" s="430" t="n">
        <v>9271666.135835055</v>
      </c>
      <c r="D77" s="430" t="n">
        <v>2565404.541269887</v>
      </c>
      <c r="E77" s="430" t="n"/>
      <c r="F77" s="430">
        <f>+B77-C77</f>
        <v/>
      </c>
      <c r="G77" s="430">
        <f>+B77-D77</f>
        <v/>
      </c>
      <c r="H77" s="362" t="n"/>
      <c r="I77" s="362" t="n"/>
      <c r="J77" s="586" t="n">
        <v>48122</v>
      </c>
      <c r="K77" s="362" t="n">
        <v>-3600000</v>
      </c>
      <c r="L77" s="362" t="n">
        <v>-3695000</v>
      </c>
      <c r="M77" s="362" t="n">
        <v>-1400000</v>
      </c>
      <c r="N77" s="362" t="n"/>
      <c r="O77" s="362">
        <f>+K77-L77</f>
        <v/>
      </c>
      <c r="P77" s="362">
        <f>+K77-M77</f>
        <v/>
      </c>
      <c r="S77" s="586" t="n">
        <v>48122</v>
      </c>
      <c r="T77" s="362" t="n">
        <v>28246.66957441857</v>
      </c>
      <c r="U77" s="362" t="n">
        <v>-8509.576015877537</v>
      </c>
      <c r="V77" s="362" t="n">
        <v>-101599.5261600472</v>
      </c>
      <c r="W77" s="362" t="n"/>
      <c r="X77" s="362">
        <f>+T77-U77</f>
        <v/>
      </c>
      <c r="Y77" s="362">
        <f>+T77-V77</f>
        <v/>
      </c>
    </row>
    <row r="78">
      <c r="A78" s="586" t="n">
        <v>48153</v>
      </c>
      <c r="B78" s="430" t="n">
        <v>973535.9167402713</v>
      </c>
      <c r="C78" s="430" t="n">
        <v>8913184.657413058</v>
      </c>
      <c r="D78" s="430" t="n">
        <v>2575259.624480033</v>
      </c>
      <c r="E78" s="430" t="n"/>
      <c r="F78" s="430">
        <f>+B78-C78</f>
        <v/>
      </c>
      <c r="G78" s="430">
        <f>+B78-D78</f>
        <v/>
      </c>
      <c r="H78" s="362" t="n"/>
      <c r="I78" s="362" t="n"/>
      <c r="J78" s="586" t="n">
        <v>48153</v>
      </c>
      <c r="K78" s="362" t="n">
        <v>-3600000</v>
      </c>
      <c r="L78" s="362" t="n">
        <v>-3560000</v>
      </c>
      <c r="M78" s="362" t="n">
        <v>-1300000</v>
      </c>
      <c r="N78" s="362" t="n"/>
      <c r="O78" s="362">
        <f>+K78-L78</f>
        <v/>
      </c>
      <c r="P78" s="362">
        <f>+K78-M78</f>
        <v/>
      </c>
      <c r="S78" s="586" t="n">
        <v>48153</v>
      </c>
      <c r="T78" s="362" t="n">
        <v>47236.23689159052</v>
      </c>
      <c r="U78" s="362" t="n">
        <v>1662.561495352071</v>
      </c>
      <c r="V78" s="362" t="n">
        <v>-15883.08677270263</v>
      </c>
      <c r="W78" s="362" t="n"/>
      <c r="X78" s="362">
        <f>+T78-U78</f>
        <v/>
      </c>
      <c r="Y78" s="362">
        <f>+T78-V78</f>
        <v/>
      </c>
    </row>
    <row r="79">
      <c r="A79" s="586" t="n">
        <v>48183</v>
      </c>
      <c r="B79" s="430" t="n">
        <v>1051016.905275712</v>
      </c>
      <c r="C79" s="430" t="n">
        <v>8452621.672799718</v>
      </c>
      <c r="D79" s="430" t="n">
        <v>2571722.783952486</v>
      </c>
      <c r="E79" s="430" t="n"/>
      <c r="F79" s="430">
        <f>+B79-C79</f>
        <v/>
      </c>
      <c r="G79" s="430">
        <f>+B79-D79</f>
        <v/>
      </c>
      <c r="H79" s="362" t="n"/>
      <c r="I79" s="362" t="n"/>
      <c r="J79" s="586" t="n">
        <v>48183</v>
      </c>
      <c r="K79" s="362" t="n">
        <v>-3600000</v>
      </c>
      <c r="L79" s="362" t="n">
        <v>-3450000</v>
      </c>
      <c r="M79" s="362" t="n">
        <v>-1300000</v>
      </c>
      <c r="N79" s="362" t="n"/>
      <c r="O79" s="362">
        <f>+K79-L79</f>
        <v/>
      </c>
      <c r="P79" s="362">
        <f>+K79-M79</f>
        <v/>
      </c>
      <c r="S79" s="586" t="n">
        <v>48183</v>
      </c>
      <c r="T79" s="362" t="n">
        <v>66459.7566360468</v>
      </c>
      <c r="U79" s="362" t="n">
        <v>12462.20762334904</v>
      </c>
      <c r="V79" s="362" t="n">
        <v>-29480.91587025928</v>
      </c>
      <c r="W79" s="362" t="n"/>
      <c r="X79" s="362">
        <f>+T79-U79</f>
        <v/>
      </c>
      <c r="Y79" s="362">
        <f>+T79-V79</f>
        <v/>
      </c>
    </row>
    <row r="80">
      <c r="A80" s="586" t="n">
        <v>48214</v>
      </c>
      <c r="B80" s="430" t="n">
        <v>1147963.371568762</v>
      </c>
      <c r="C80" s="430" t="n">
        <v>8860302.290466761</v>
      </c>
      <c r="D80" s="430" t="n">
        <v>2854686.884297343</v>
      </c>
      <c r="E80" s="430" t="n"/>
      <c r="F80" s="430">
        <f>+B80-C80</f>
        <v/>
      </c>
      <c r="G80" s="430">
        <f>+B80-D80</f>
        <v/>
      </c>
      <c r="H80" s="362" t="n"/>
      <c r="I80" s="362" t="n"/>
      <c r="J80" s="586" t="n">
        <v>48214</v>
      </c>
      <c r="K80" s="362" t="n">
        <v>-3600000</v>
      </c>
      <c r="L80" s="362" t="n">
        <v>-3350000</v>
      </c>
      <c r="M80" s="362" t="n">
        <v>-1270000</v>
      </c>
      <c r="N80" s="362" t="n"/>
      <c r="O80" s="362">
        <f>+K80-L80</f>
        <v/>
      </c>
      <c r="P80" s="362">
        <f>+K80-M80</f>
        <v/>
      </c>
      <c r="S80" s="586" t="n">
        <v>48214</v>
      </c>
      <c r="T80" s="362" t="n">
        <v>85837.06453846116</v>
      </c>
      <c r="U80" s="362" t="n">
        <v>-15509.98855837295</v>
      </c>
      <c r="V80" s="362" t="n">
        <v>-13187.52760059643</v>
      </c>
      <c r="W80" s="362" t="n"/>
      <c r="X80" s="362">
        <f>+T80-U80</f>
        <v/>
      </c>
      <c r="Y80" s="362">
        <f>+T80-V80</f>
        <v/>
      </c>
    </row>
    <row r="81">
      <c r="A81" s="586" t="n">
        <v>48245</v>
      </c>
      <c r="B81" s="430" t="n">
        <v>1264531.039441482</v>
      </c>
      <c r="C81" s="430" t="n">
        <v>9145004.571450593</v>
      </c>
      <c r="D81" s="430" t="n">
        <v>2726443.933041584</v>
      </c>
      <c r="E81" s="430" t="n"/>
      <c r="F81" s="430">
        <f>+B81-C81</f>
        <v/>
      </c>
      <c r="G81" s="430">
        <f>+B81-D81</f>
        <v/>
      </c>
      <c r="H81" s="362" t="n"/>
      <c r="I81" s="362" t="n"/>
      <c r="J81" s="586" t="n">
        <v>48245</v>
      </c>
      <c r="K81" s="362" t="n">
        <v>-3600000</v>
      </c>
      <c r="L81" s="362" t="n">
        <v>-3000000</v>
      </c>
      <c r="M81" s="362" t="n">
        <v>-1245000</v>
      </c>
      <c r="N81" s="362" t="n"/>
      <c r="O81" s="362">
        <f>+K81-L81</f>
        <v/>
      </c>
      <c r="P81" s="362">
        <f>+K81-M81</f>
        <v/>
      </c>
      <c r="S81" s="586" t="n">
        <v>48245</v>
      </c>
      <c r="T81" s="362" t="n">
        <v>105369.3909040941</v>
      </c>
      <c r="U81" s="362" t="n">
        <v>208126.1499086125</v>
      </c>
      <c r="V81" s="362" t="n">
        <v>-1763.792224776</v>
      </c>
      <c r="W81" s="362" t="n"/>
      <c r="X81" s="362">
        <f>+T81-U81</f>
        <v/>
      </c>
      <c r="Y81" s="362">
        <f>+T81-V81</f>
        <v/>
      </c>
    </row>
    <row r="82">
      <c r="A82" s="586" t="n">
        <v>48274</v>
      </c>
      <c r="B82" s="430" t="n">
        <v>1425918.860256507</v>
      </c>
      <c r="C82" s="430" t="n">
        <v>8330975.259057748</v>
      </c>
      <c r="D82" s="430" t="n">
        <v>2908519.949622405</v>
      </c>
      <c r="E82" s="430" t="n"/>
      <c r="F82" s="430">
        <f>+B82-C82</f>
        <v/>
      </c>
      <c r="G82" s="430">
        <f>+B82-D82</f>
        <v/>
      </c>
      <c r="H82" s="362" t="n"/>
      <c r="I82" s="362" t="n"/>
      <c r="J82" s="586" t="n">
        <v>48274</v>
      </c>
      <c r="K82" s="362" t="n">
        <v>-3600000</v>
      </c>
      <c r="L82" s="362" t="n">
        <v>-3315000</v>
      </c>
      <c r="M82" s="362" t="n">
        <v>-1200000</v>
      </c>
      <c r="N82" s="362" t="n"/>
      <c r="O82" s="362">
        <f>+K82-L82</f>
        <v/>
      </c>
      <c r="P82" s="362">
        <f>+K82-M82</f>
        <v/>
      </c>
      <c r="S82" s="586" t="n">
        <v>48274</v>
      </c>
      <c r="T82" s="362" t="n">
        <v>150099.9576306511</v>
      </c>
      <c r="U82" s="362" t="n">
        <v>-206218.0525166662</v>
      </c>
      <c r="V82" s="362" t="n">
        <v>54567.00888405065</v>
      </c>
      <c r="W82" s="362" t="n"/>
      <c r="X82" s="362">
        <f>+T82-U82</f>
        <v/>
      </c>
      <c r="Y82" s="362">
        <f>+T82-V82</f>
        <v/>
      </c>
    </row>
    <row r="83">
      <c r="A83" s="586" t="n">
        <v>48305</v>
      </c>
      <c r="B83" s="430" t="n">
        <v>1026822.943629253</v>
      </c>
      <c r="C83" s="430" t="n">
        <v>7939204.009178214</v>
      </c>
      <c r="D83" s="430" t="n">
        <v>3278990.947662622</v>
      </c>
      <c r="E83" s="430" t="n"/>
      <c r="F83" s="430">
        <f>+B83-C83</f>
        <v/>
      </c>
      <c r="G83" s="430">
        <f>+B83-D83</f>
        <v/>
      </c>
      <c r="H83" s="362" t="n"/>
      <c r="I83" s="362" t="n"/>
      <c r="J83" s="586" t="n">
        <v>48305</v>
      </c>
      <c r="K83" s="362" t="n">
        <v>-4600000</v>
      </c>
      <c r="L83" s="362" t="n">
        <v>-2500000</v>
      </c>
      <c r="M83" s="362" t="n">
        <v>-1300000</v>
      </c>
      <c r="N83" s="362" t="n"/>
      <c r="O83" s="362">
        <f>+K83-L83</f>
        <v/>
      </c>
      <c r="P83" s="362">
        <f>+K83-M83</f>
        <v/>
      </c>
      <c r="S83" s="586" t="n">
        <v>48305</v>
      </c>
      <c r="T83" s="362" t="n">
        <v>-410474.0827171025</v>
      </c>
      <c r="U83" s="362" t="n">
        <v>35902.50007565273</v>
      </c>
      <c r="V83" s="362" t="n">
        <v>341941.9182818732</v>
      </c>
      <c r="W83" s="362" t="n"/>
      <c r="X83" s="362">
        <f>+T83-U83</f>
        <v/>
      </c>
      <c r="Y83" s="362">
        <f>+T83-V83</f>
        <v/>
      </c>
    </row>
    <row r="84">
      <c r="A84" s="586" t="n">
        <v>48335</v>
      </c>
      <c r="B84" s="430" t="n">
        <v>1190660.025089382</v>
      </c>
      <c r="C84" s="430" t="n">
        <v>7928575.564738535</v>
      </c>
      <c r="D84" s="430" t="n">
        <v>3284427.54191391</v>
      </c>
      <c r="E84" s="430" t="n"/>
      <c r="F84" s="430">
        <f>+B84-C84</f>
        <v/>
      </c>
      <c r="G84" s="430">
        <f>+B84-D84</f>
        <v/>
      </c>
      <c r="H84" s="362" t="n"/>
      <c r="I84" s="362" t="n"/>
      <c r="J84" s="586" t="n">
        <v>48335</v>
      </c>
      <c r="K84" s="362" t="n">
        <v>-3600000</v>
      </c>
      <c r="L84" s="362" t="n">
        <v>-1950000</v>
      </c>
      <c r="M84" s="362" t="n">
        <v>-1300000</v>
      </c>
      <c r="N84" s="362" t="n"/>
      <c r="O84" s="362">
        <f>+K84-L84</f>
        <v/>
      </c>
      <c r="P84" s="362">
        <f>+K84-M84</f>
        <v/>
      </c>
      <c r="S84" s="586" t="n">
        <v>48335</v>
      </c>
      <c r="T84" s="362" t="n">
        <v>152367.8900415604</v>
      </c>
      <c r="U84" s="362" t="n">
        <v>-29533.30448484886</v>
      </c>
      <c r="V84" s="362" t="n">
        <v>-123320.7181451221</v>
      </c>
      <c r="W84" s="362" t="n"/>
      <c r="X84" s="362">
        <f>+T84-U84</f>
        <v/>
      </c>
      <c r="Y84" s="362">
        <f>+T84-V84</f>
        <v/>
      </c>
    </row>
    <row r="85">
      <c r="A85" s="586" t="n">
        <v>48366</v>
      </c>
      <c r="B85" s="430" t="n">
        <v>1424124.733037029</v>
      </c>
      <c r="C85" s="430" t="n">
        <v>6881430.109091262</v>
      </c>
      <c r="D85" s="430" t="n">
        <v>3304870.604245958</v>
      </c>
      <c r="E85" s="430" t="n"/>
      <c r="F85" s="430">
        <f>+B85-C85</f>
        <v/>
      </c>
      <c r="G85" s="430">
        <f>+B85-D85</f>
        <v/>
      </c>
      <c r="H85" s="362" t="n"/>
      <c r="I85" s="362" t="n"/>
      <c r="J85" s="586" t="n">
        <v>48366</v>
      </c>
      <c r="K85" s="362" t="n">
        <v>-4000000</v>
      </c>
      <c r="L85" s="362" t="n">
        <v>-1640000</v>
      </c>
      <c r="M85" s="362" t="n">
        <v>-1210000</v>
      </c>
      <c r="N85" s="362" t="n"/>
      <c r="O85" s="362">
        <f>+K85-L85</f>
        <v/>
      </c>
      <c r="P85" s="362">
        <f>+K85-M85</f>
        <v/>
      </c>
      <c r="S85" s="586" t="n">
        <v>48366</v>
      </c>
      <c r="T85" s="362" t="n">
        <v>-178096.2370022698</v>
      </c>
      <c r="U85" s="362" t="n">
        <v>243798.4454271945</v>
      </c>
      <c r="V85" s="362" t="n">
        <v>-19344.30856353394</v>
      </c>
      <c r="W85" s="362" t="n"/>
      <c r="X85" s="362">
        <f>+T85-U85</f>
        <v/>
      </c>
      <c r="Y85" s="362">
        <f>+T85-V85</f>
        <v/>
      </c>
    </row>
    <row r="86">
      <c r="A86" s="586" t="n">
        <v>48396</v>
      </c>
      <c r="B86" s="430" t="n">
        <v>762168.0579849938</v>
      </c>
      <c r="C86" s="430" t="n">
        <v>6834359.184652623</v>
      </c>
      <c r="D86" s="430" t="n">
        <v>3595258.595853412</v>
      </c>
      <c r="E86" s="430" t="n"/>
      <c r="F86" s="430">
        <f>+B86-C86</f>
        <v/>
      </c>
      <c r="G86" s="430">
        <f>+B86-D86</f>
        <v/>
      </c>
      <c r="H86" s="362" t="n"/>
      <c r="I86" s="362" t="n"/>
      <c r="J86" s="586" t="n">
        <v>48396</v>
      </c>
      <c r="K86" s="362" t="n">
        <v>-4100000</v>
      </c>
      <c r="L86" s="362" t="n">
        <v>-2000000</v>
      </c>
      <c r="M86" s="362" t="n">
        <v>-1200000</v>
      </c>
      <c r="N86" s="362" t="n"/>
      <c r="O86" s="362">
        <f>+K86-L86</f>
        <v/>
      </c>
      <c r="P86" s="362">
        <f>+K86-M86</f>
        <v/>
      </c>
      <c r="S86" s="586" t="n">
        <v>48396</v>
      </c>
      <c r="T86" s="362" t="n">
        <v>-176810.1075615515</v>
      </c>
      <c r="U86" s="362" t="n">
        <v>-105799.4721555754</v>
      </c>
      <c r="V86" s="362" t="n">
        <v>60282.32174470788</v>
      </c>
      <c r="W86" s="362" t="n"/>
      <c r="X86" s="362">
        <f>+T86-U86</f>
        <v/>
      </c>
      <c r="Y86" s="362">
        <f>+T86-V86</f>
        <v/>
      </c>
    </row>
    <row r="87">
      <c r="A87" s="586" t="n">
        <v>48427</v>
      </c>
      <c r="B87" s="430" t="n">
        <v>1016139.467571806</v>
      </c>
      <c r="C87" s="430" t="n">
        <v>6612580.304497287</v>
      </c>
      <c r="D87" s="430" t="n">
        <v>3774553.098845476</v>
      </c>
      <c r="E87" s="430" t="n"/>
      <c r="F87" s="430">
        <f>+B87-C87</f>
        <v/>
      </c>
      <c r="G87" s="430">
        <f>+B87-D87</f>
        <v/>
      </c>
      <c r="H87" s="362" t="n"/>
      <c r="I87" s="362" t="n"/>
      <c r="J87" s="586" t="n">
        <v>48427</v>
      </c>
      <c r="K87" s="362" t="n">
        <v>-3600000</v>
      </c>
      <c r="L87" s="362" t="n">
        <v>-1850000</v>
      </c>
      <c r="M87" s="362" t="n">
        <v>-1200000</v>
      </c>
      <c r="N87" s="362" t="n"/>
      <c r="O87" s="362">
        <f>+K87-L87</f>
        <v/>
      </c>
      <c r="P87" s="362">
        <f>+K87-M87</f>
        <v/>
      </c>
      <c r="S87" s="586" t="n">
        <v>48427</v>
      </c>
      <c r="T87" s="362" t="n">
        <v>242999.1496172193</v>
      </c>
      <c r="U87" s="362" t="n">
        <v>-130977.2562540078</v>
      </c>
      <c r="V87" s="362" t="n">
        <v>-52652.01222958439</v>
      </c>
      <c r="W87" s="362" t="n"/>
      <c r="X87" s="362">
        <f>+T87-U87</f>
        <v/>
      </c>
      <c r="Y87" s="362">
        <f>+T87-V87</f>
        <v/>
      </c>
    </row>
    <row r="88">
      <c r="A88" s="586" t="n">
        <v>48458</v>
      </c>
      <c r="B88" s="430" t="n">
        <v>1297484.653199574</v>
      </c>
      <c r="C88" s="430" t="n">
        <v>6619886.929304522</v>
      </c>
      <c r="D88" s="430" t="n">
        <v>3947348.518543352</v>
      </c>
      <c r="E88" s="430" t="n"/>
      <c r="F88" s="430">
        <f>+B88-C88</f>
        <v/>
      </c>
      <c r="G88" s="430">
        <f>+B88-D88</f>
        <v/>
      </c>
      <c r="H88" s="362" t="n"/>
      <c r="I88" s="362" t="n"/>
      <c r="J88" s="586" t="n">
        <v>48458</v>
      </c>
      <c r="K88" s="362" t="n">
        <v>-3600000</v>
      </c>
      <c r="L88" s="362" t="n">
        <v>-1500000</v>
      </c>
      <c r="M88" s="362" t="n">
        <v>-1200000</v>
      </c>
      <c r="N88" s="362" t="n"/>
      <c r="O88" s="362">
        <f>+K88-L88</f>
        <v/>
      </c>
      <c r="P88" s="362">
        <f>+K88-M88</f>
        <v/>
      </c>
      <c r="S88" s="586" t="n">
        <v>48458</v>
      </c>
      <c r="T88" s="362" t="n">
        <v>270285.1475784201</v>
      </c>
      <c r="U88" s="362" t="n">
        <v>148834.661699774</v>
      </c>
      <c r="V88" s="362" t="n">
        <v>-61006.66764554521</v>
      </c>
      <c r="W88" s="362" t="n"/>
      <c r="X88" s="362">
        <f>+T88-U88</f>
        <v/>
      </c>
      <c r="Y88" s="362">
        <f>+T88-V88</f>
        <v/>
      </c>
    </row>
    <row r="89">
      <c r="A89" s="586" t="n">
        <v>48488</v>
      </c>
      <c r="B89" s="430" t="n">
        <v>606500.6945792534</v>
      </c>
      <c r="C89" s="430" t="n">
        <v>6543117.414728653</v>
      </c>
      <c r="D89" s="430" t="n">
        <v>4098580.712305686</v>
      </c>
      <c r="E89" s="430" t="n"/>
      <c r="F89" s="430">
        <f>+B89-C89</f>
        <v/>
      </c>
      <c r="G89" s="430">
        <f>+B89-D89</f>
        <v/>
      </c>
      <c r="H89" s="362" t="n"/>
      <c r="I89" s="362" t="n"/>
      <c r="J89" s="586" t="n">
        <v>48488</v>
      </c>
      <c r="K89" s="362" t="n">
        <v>-4500000</v>
      </c>
      <c r="L89" s="362" t="n">
        <v>-1700000</v>
      </c>
      <c r="M89" s="362" t="n">
        <v>-1200000</v>
      </c>
      <c r="N89" s="362" t="n"/>
      <c r="O89" s="362">
        <f>+K89-L89</f>
        <v/>
      </c>
      <c r="P89" s="362">
        <f>+K89-M89</f>
        <v/>
      </c>
      <c r="S89" s="586" t="n">
        <v>48488</v>
      </c>
      <c r="T89" s="362" t="n">
        <v>-602132.4769740654</v>
      </c>
      <c r="U89" s="362" t="n">
        <v>-134109.2533881906</v>
      </c>
      <c r="V89" s="362" t="n">
        <v>-84440.31027983548</v>
      </c>
      <c r="W89" s="362" t="n"/>
      <c r="X89" s="362">
        <f>+T89-U89</f>
        <v/>
      </c>
      <c r="Y89" s="362">
        <f>+T89-V89</f>
        <v/>
      </c>
    </row>
    <row r="90">
      <c r="A90" s="586" t="n">
        <v>48519</v>
      </c>
      <c r="B90" s="430" t="n">
        <v>1013026.961488537</v>
      </c>
      <c r="C90" s="430" t="n">
        <v>6206902.234586295</v>
      </c>
      <c r="D90" s="430" t="n">
        <v>4437365.542499993</v>
      </c>
      <c r="E90" s="430" t="n"/>
      <c r="F90" s="430">
        <f>+B90-C90</f>
        <v/>
      </c>
      <c r="G90" s="430">
        <f>+B90-D90</f>
        <v/>
      </c>
      <c r="H90" s="362" t="n"/>
      <c r="I90" s="362" t="n"/>
      <c r="J90" s="586" t="n">
        <v>48519</v>
      </c>
      <c r="K90" s="362" t="n">
        <v>-3600000</v>
      </c>
      <c r="L90" s="362" t="n">
        <v>-1600000</v>
      </c>
      <c r="M90" s="362" t="n">
        <v>-1200000</v>
      </c>
      <c r="N90" s="362" t="n"/>
      <c r="O90" s="362">
        <f>+K90-L90</f>
        <v/>
      </c>
      <c r="P90" s="362">
        <f>+K90-M90</f>
        <v/>
      </c>
      <c r="S90" s="586" t="n">
        <v>48519</v>
      </c>
      <c r="T90" s="362" t="n">
        <v>396088.56040871</v>
      </c>
      <c r="U90" s="362" t="n">
        <v>5986.36313482211</v>
      </c>
      <c r="V90" s="362" t="n">
        <v>-98773.05388019921</v>
      </c>
      <c r="W90" s="362" t="n"/>
      <c r="X90" s="362">
        <f>+T90-U90</f>
        <v/>
      </c>
      <c r="Y90" s="362">
        <f>+T90-V90</f>
        <v/>
      </c>
    </row>
    <row r="91">
      <c r="A91" s="586" t="n">
        <v>48549</v>
      </c>
      <c r="B91" s="430" t="n">
        <v>1441926.580099983</v>
      </c>
      <c r="C91" s="430" t="n">
        <v>6092563.787921235</v>
      </c>
      <c r="D91" s="430" t="n">
        <v>4764616.10934273</v>
      </c>
      <c r="E91" s="430" t="n"/>
      <c r="F91" s="430">
        <f>+B91-C91</f>
        <v/>
      </c>
      <c r="G91" s="430">
        <f>+B91-D91</f>
        <v/>
      </c>
      <c r="H91" s="362" t="n"/>
      <c r="I91" s="362" t="n"/>
      <c r="J91" s="586" t="n">
        <v>48549</v>
      </c>
      <c r="K91" s="362" t="n">
        <v>-3600000</v>
      </c>
      <c r="L91" s="362" t="n">
        <v>-1560000</v>
      </c>
      <c r="M91" s="362" t="n">
        <v>-1100000</v>
      </c>
      <c r="N91" s="362" t="n"/>
      <c r="O91" s="362">
        <f>+K91-L91</f>
        <v/>
      </c>
      <c r="P91" s="362">
        <f>+K91-M91</f>
        <v/>
      </c>
      <c r="S91" s="586" t="n">
        <v>48549</v>
      </c>
      <c r="T91" s="362" t="n">
        <v>418378.4104588674</v>
      </c>
      <c r="U91" s="362" t="n">
        <v>-29399.29104166175</v>
      </c>
      <c r="V91" s="362" t="n">
        <v>-13807.78030436579</v>
      </c>
      <c r="W91" s="362" t="n"/>
      <c r="X91" s="362">
        <f>+T91-U91</f>
        <v/>
      </c>
      <c r="Y91" s="362">
        <f>+T91-V91</f>
        <v/>
      </c>
    </row>
    <row r="92">
      <c r="A92" s="586" t="n">
        <v>48580</v>
      </c>
      <c r="B92" s="430" t="n">
        <v>893189.9489772078</v>
      </c>
      <c r="C92" s="430" t="n">
        <v>6000005.454991292</v>
      </c>
      <c r="D92" s="430" t="n">
        <v>5079825.244577083</v>
      </c>
      <c r="E92" s="430" t="n"/>
      <c r="F92" s="430">
        <f>+B92-C92</f>
        <v/>
      </c>
      <c r="G92" s="430">
        <f>+B92-D92</f>
        <v/>
      </c>
      <c r="H92" s="362" t="n"/>
      <c r="I92" s="362" t="n"/>
      <c r="J92" s="586" t="n">
        <v>48580</v>
      </c>
      <c r="K92" s="362" t="n">
        <v>-4600000</v>
      </c>
      <c r="L92" s="362" t="n">
        <v>-1450000</v>
      </c>
      <c r="M92" s="362" t="n">
        <v>-1050000</v>
      </c>
      <c r="N92" s="362" t="n"/>
      <c r="O92" s="362">
        <f>+K92-L92</f>
        <v/>
      </c>
      <c r="P92" s="362">
        <f>+K92-M92</f>
        <v/>
      </c>
      <c r="S92" s="586" t="n">
        <v>48580</v>
      </c>
      <c r="T92" s="362" t="n">
        <v>-559342.0089405738</v>
      </c>
      <c r="U92" s="362" t="n">
        <v>3060.335938442266</v>
      </c>
      <c r="V92" s="362" t="n">
        <v>21422.3213100743</v>
      </c>
      <c r="W92" s="362" t="n"/>
      <c r="X92" s="362">
        <f>+T92-U92</f>
        <v/>
      </c>
      <c r="Y92" s="362">
        <f>+T92-V92</f>
        <v/>
      </c>
    </row>
    <row r="93">
      <c r="A93" s="586" t="n">
        <v>48611</v>
      </c>
      <c r="B93" s="430" t="n">
        <v>1377768.069989212</v>
      </c>
      <c r="C93" s="430" t="n">
        <v>6229527.811975023</v>
      </c>
      <c r="D93" s="430" t="n">
        <v>5382924.622105312</v>
      </c>
      <c r="E93" s="430" t="n"/>
      <c r="F93" s="430">
        <f>+B93-C93</f>
        <v/>
      </c>
      <c r="G93" s="430">
        <f>+B93-D93</f>
        <v/>
      </c>
      <c r="H93" s="362" t="n"/>
      <c r="I93" s="362" t="n"/>
      <c r="J93" s="586" t="n">
        <v>48611</v>
      </c>
      <c r="K93" s="362" t="n">
        <v>-3600000</v>
      </c>
      <c r="L93" s="362" t="n">
        <v>-1350000</v>
      </c>
      <c r="M93" s="362" t="n">
        <v>-1000000</v>
      </c>
      <c r="N93" s="362" t="n"/>
      <c r="O93" s="362">
        <f>+K93-L93</f>
        <v/>
      </c>
      <c r="P93" s="362">
        <f>+K93-M93</f>
        <v/>
      </c>
      <c r="S93" s="586" t="n">
        <v>48611</v>
      </c>
      <c r="T93" s="362" t="n">
        <v>473887.9001716627</v>
      </c>
      <c r="U93" s="362" t="n">
        <v>25905.97520306264</v>
      </c>
      <c r="V93" s="362" t="n">
        <v>56962.26909255551</v>
      </c>
      <c r="W93" s="362" t="n"/>
      <c r="X93" s="362">
        <f>+T93-U93</f>
        <v/>
      </c>
      <c r="Y93" s="362">
        <f>+T93-V93</f>
        <v/>
      </c>
    </row>
    <row r="94">
      <c r="A94" s="586" t="n">
        <v>48639</v>
      </c>
      <c r="B94" s="430" t="n">
        <v>911924.0616822755</v>
      </c>
      <c r="C94" s="430" t="n">
        <v>6408866.954391736</v>
      </c>
      <c r="D94" s="430" t="n">
        <v>5698976.813865766</v>
      </c>
      <c r="E94" s="430" t="n"/>
      <c r="F94" s="430">
        <f>+B94-C94</f>
        <v/>
      </c>
      <c r="G94" s="430">
        <f>+B94-D94</f>
        <v/>
      </c>
      <c r="H94" s="362" t="n"/>
      <c r="I94" s="362" t="n"/>
      <c r="J94" s="586" t="n">
        <v>48639</v>
      </c>
      <c r="K94" s="362" t="n">
        <v>-4600000</v>
      </c>
      <c r="L94" s="362" t="n">
        <v>-1350000</v>
      </c>
      <c r="M94" s="362" t="n">
        <v>-1100000</v>
      </c>
      <c r="N94" s="362" t="n"/>
      <c r="O94" s="362">
        <f>+K94-L94</f>
        <v/>
      </c>
      <c r="P94" s="362">
        <f>+K94-M94</f>
        <v/>
      </c>
      <c r="S94" s="586" t="n">
        <v>48639</v>
      </c>
      <c r="T94" s="362" t="n">
        <v>-476619.750914</v>
      </c>
      <c r="U94" s="362" t="n">
        <v>-25906.17041820055</v>
      </c>
      <c r="V94" s="362" t="n">
        <v>-32054.01354270405</v>
      </c>
      <c r="W94" s="362" t="n"/>
      <c r="X94" s="362">
        <f>+T94-U94</f>
        <v/>
      </c>
      <c r="Y94" s="362">
        <f>+T94-V94</f>
        <v/>
      </c>
    </row>
    <row r="95">
      <c r="A95" s="586" t="n">
        <v>48670</v>
      </c>
      <c r="B95" s="430" t="n">
        <v>1780575.491462284</v>
      </c>
      <c r="C95" s="430" t="n">
        <v>6810621.917744894</v>
      </c>
      <c r="D95" s="430" t="n">
        <v>6301376.369497304</v>
      </c>
      <c r="E95" s="430" t="n"/>
      <c r="F95" s="430">
        <f>+B95-C95</f>
        <v/>
      </c>
      <c r="G95" s="430">
        <f>+B95-D95</f>
        <v/>
      </c>
      <c r="H95" s="362" t="n"/>
      <c r="I95" s="362" t="n"/>
      <c r="J95" s="586" t="n">
        <v>48670</v>
      </c>
      <c r="K95" s="362" t="n">
        <v>-3600000</v>
      </c>
      <c r="L95" s="362" t="n">
        <v>-1550000</v>
      </c>
      <c r="M95" s="362" t="n">
        <v>-1300000</v>
      </c>
      <c r="N95" s="362" t="n"/>
      <c r="O95" s="362">
        <f>+K95-L95</f>
        <v/>
      </c>
      <c r="P95" s="362">
        <f>+K95-M95</f>
        <v/>
      </c>
      <c r="S95" s="586" t="n">
        <v>48670</v>
      </c>
      <c r="T95" s="362" t="n">
        <v>857789.4812320876</v>
      </c>
      <c r="U95" s="362" t="n">
        <v>-5132.311984434957</v>
      </c>
      <c r="V95" s="362" t="n">
        <v>51508.50068595447</v>
      </c>
      <c r="W95" s="362" t="n"/>
      <c r="X95" s="362">
        <f>+T95-U95</f>
        <v/>
      </c>
      <c r="Y95" s="362">
        <f>+T95-V95</f>
        <v/>
      </c>
    </row>
    <row r="96">
      <c r="A96" s="586" t="n">
        <v>48700</v>
      </c>
      <c r="B96" s="430" t="n">
        <v>2294831.913784169</v>
      </c>
      <c r="C96" s="430" t="n">
        <v>6797031.222075652</v>
      </c>
      <c r="D96" s="430" t="n">
        <v>6504181.588824894</v>
      </c>
      <c r="E96" s="430" t="n"/>
      <c r="F96" s="430">
        <f>+B96-C96</f>
        <v/>
      </c>
      <c r="G96" s="430">
        <f>+B96-D96</f>
        <v/>
      </c>
      <c r="H96" s="362" t="n"/>
      <c r="I96" s="362" t="n"/>
      <c r="J96" s="586" t="n">
        <v>48700</v>
      </c>
      <c r="K96" s="362" t="n">
        <v>-4500000</v>
      </c>
      <c r="L96" s="362" t="n">
        <v>-1000000</v>
      </c>
      <c r="M96" s="362" t="n">
        <v>-1000000</v>
      </c>
      <c r="N96" s="362" t="n"/>
      <c r="O96" s="362">
        <f>+K96-L96</f>
        <v/>
      </c>
      <c r="P96" s="362">
        <f>+K96-M96</f>
        <v/>
      </c>
      <c r="S96" s="586" t="n">
        <v>48700</v>
      </c>
      <c r="T96" s="362" t="n">
        <v>-396692.4218144184</v>
      </c>
      <c r="U96" s="362" t="n">
        <v>126266.9307904649</v>
      </c>
      <c r="V96" s="362" t="n">
        <v>-52492.96405755798</v>
      </c>
      <c r="W96" s="362" t="n"/>
      <c r="X96" s="362">
        <f>+T96-U96</f>
        <v/>
      </c>
      <c r="Y96" s="362">
        <f>+T96-V96</f>
        <v/>
      </c>
    </row>
    <row r="97">
      <c r="A97" s="586" t="n">
        <v>48731</v>
      </c>
      <c r="B97" s="430" t="n">
        <v>1815672.805742118</v>
      </c>
      <c r="C97" s="430" t="n">
        <v>6778851.949227133</v>
      </c>
      <c r="D97" s="430" t="n">
        <v>6784480.558255105</v>
      </c>
      <c r="E97" s="430" t="n"/>
      <c r="F97" s="430">
        <f>+B97-C97</f>
        <v/>
      </c>
      <c r="G97" s="430">
        <f>+B97-D97</f>
        <v/>
      </c>
      <c r="H97" s="362" t="n"/>
      <c r="I97" s="362" t="n"/>
      <c r="J97" s="586" t="n">
        <v>48731</v>
      </c>
      <c r="K97" s="362" t="n">
        <v>-4570000</v>
      </c>
      <c r="L97" s="362" t="n">
        <v>-1000000</v>
      </c>
      <c r="M97" s="362" t="n">
        <v>-720000</v>
      </c>
      <c r="N97" s="362" t="n"/>
      <c r="O97" s="362">
        <f>+K97-L97</f>
        <v/>
      </c>
      <c r="P97" s="362">
        <f>+K97-M97</f>
        <v/>
      </c>
      <c r="S97" s="586" t="n">
        <v>48731</v>
      </c>
      <c r="T97" s="362" t="n">
        <v>-467395.5429314459</v>
      </c>
      <c r="U97" s="362" t="n">
        <v>122797.2146228646</v>
      </c>
      <c r="V97" s="362" t="n">
        <v>202958.4005779816</v>
      </c>
      <c r="W97" s="362" t="n"/>
      <c r="X97" s="362">
        <f>+T97-U97</f>
        <v/>
      </c>
      <c r="Y97" s="362">
        <f>+T97-V97</f>
        <v/>
      </c>
    </row>
    <row r="98">
      <c r="A98" s="586" t="n">
        <v>48761</v>
      </c>
      <c r="B98" s="430" t="n">
        <v>1989066.420520558</v>
      </c>
      <c r="C98" s="430" t="n">
        <v>7024829.065507049</v>
      </c>
      <c r="D98" s="430" t="n">
        <v>7326005.780407883</v>
      </c>
      <c r="E98" s="430" t="n"/>
      <c r="F98" s="430">
        <f>+B98-C98</f>
        <v/>
      </c>
      <c r="G98" s="430">
        <f>+B98-D98</f>
        <v/>
      </c>
      <c r="H98" s="362" t="n"/>
      <c r="I98" s="362" t="n"/>
      <c r="J98" s="586" t="n">
        <v>48761</v>
      </c>
      <c r="K98" s="362" t="n">
        <v>-3600000</v>
      </c>
      <c r="L98" s="362" t="n">
        <v>-1400000</v>
      </c>
      <c r="M98" s="362" t="n">
        <v>-1000000</v>
      </c>
      <c r="N98" s="362" t="n"/>
      <c r="O98" s="362">
        <f>+K98-L98</f>
        <v/>
      </c>
      <c r="P98" s="362">
        <f>+K98-M98</f>
        <v/>
      </c>
      <c r="S98" s="586" t="n">
        <v>48761</v>
      </c>
      <c r="T98" s="362" t="n">
        <v>155251.2884099302</v>
      </c>
      <c r="U98" s="362" t="n">
        <v>-211918.5843489284</v>
      </c>
      <c r="V98" s="362" t="n">
        <v>-16434.07125026966</v>
      </c>
      <c r="W98" s="362" t="n"/>
      <c r="X98" s="362">
        <f>+T98-U98</f>
        <v/>
      </c>
      <c r="Y98" s="362">
        <f>+T98-V98</f>
        <v/>
      </c>
    </row>
    <row r="99">
      <c r="A99" s="586" t="n">
        <v>48792</v>
      </c>
      <c r="B99" s="430" t="n">
        <v>730566.1381220343</v>
      </c>
      <c r="C99" s="430" t="n">
        <v>7138861.906453431</v>
      </c>
      <c r="D99" s="430" t="n">
        <v>7737464.780695008</v>
      </c>
      <c r="E99" s="430" t="n"/>
      <c r="F99" s="430">
        <f>+B99-C99</f>
        <v/>
      </c>
      <c r="G99" s="430">
        <f>+B99-D99</f>
        <v/>
      </c>
      <c r="H99" s="362" t="n"/>
      <c r="I99" s="362" t="n"/>
      <c r="J99" s="586" t="n">
        <v>48792</v>
      </c>
      <c r="K99" s="362" t="n">
        <v>-3600000</v>
      </c>
      <c r="L99" s="362" t="n">
        <v>-1000000</v>
      </c>
      <c r="M99" s="362" t="n">
        <v>-1000000</v>
      </c>
      <c r="N99" s="362" t="n"/>
      <c r="O99" s="362">
        <f>+K99-L99</f>
        <v/>
      </c>
      <c r="P99" s="362">
        <f>+K99-M99</f>
        <v/>
      </c>
      <c r="S99" s="586" t="n">
        <v>48792</v>
      </c>
      <c r="T99" s="362" t="n">
        <v>-276787.7473779814</v>
      </c>
      <c r="U99" s="362" t="n">
        <v>52473.97471250617</v>
      </c>
      <c r="V99" s="362" t="n">
        <v>-150963.9674631468</v>
      </c>
      <c r="W99" s="362" t="n"/>
      <c r="X99" s="362">
        <f>+T99-U99</f>
        <v/>
      </c>
      <c r="Y99" s="362">
        <f>+T99-V99</f>
        <v/>
      </c>
    </row>
    <row r="100">
      <c r="A100" s="586" t="n">
        <v>48823</v>
      </c>
      <c r="B100" s="430" t="n">
        <v>672686.7352879103</v>
      </c>
      <c r="C100" s="430" t="n">
        <v>7220008.885118607</v>
      </c>
      <c r="D100" s="430" t="n">
        <v>8123854.676111418</v>
      </c>
      <c r="E100" s="430" t="n"/>
      <c r="F100" s="430">
        <f>+B100-C100</f>
        <v/>
      </c>
      <c r="G100" s="430">
        <f>+B100-D100</f>
        <v/>
      </c>
      <c r="H100" s="362" t="n"/>
      <c r="I100" s="362" t="n"/>
      <c r="J100" s="586" t="n">
        <v>48823</v>
      </c>
      <c r="K100" s="362" t="n">
        <v>-3300000</v>
      </c>
      <c r="L100" s="362" t="n">
        <v>-1100000</v>
      </c>
      <c r="M100" s="362" t="n">
        <v>-900000</v>
      </c>
      <c r="N100" s="362" t="n"/>
      <c r="O100" s="362">
        <f>+K100-L100</f>
        <v/>
      </c>
      <c r="P100" s="362">
        <f>+K100-M100</f>
        <v/>
      </c>
      <c r="S100" s="586" t="n">
        <v>48823</v>
      </c>
      <c r="T100" s="362" t="n">
        <v>-62192.79753341759</v>
      </c>
      <c r="U100" s="362" t="n">
        <v>-74783.98849857016</v>
      </c>
      <c r="V100" s="362" t="n">
        <v>-74412.08607586438</v>
      </c>
      <c r="W100" s="362" t="n"/>
      <c r="X100" s="362">
        <f>+T100-U100</f>
        <v/>
      </c>
      <c r="Y100" s="362">
        <f>+T100-V100</f>
        <v/>
      </c>
    </row>
    <row r="101">
      <c r="A101" s="586" t="n">
        <v>48853</v>
      </c>
      <c r="B101" s="430" t="n">
        <v>518715.2701789751</v>
      </c>
      <c r="C101" s="430" t="n">
        <v>7282552.159433681</v>
      </c>
      <c r="D101" s="430" t="n">
        <v>8499098.296161659</v>
      </c>
      <c r="E101" s="430" t="n"/>
      <c r="F101" s="430">
        <f>+B101-C101</f>
        <v/>
      </c>
      <c r="G101" s="430">
        <f>+B101-D101</f>
        <v/>
      </c>
      <c r="H101" s="362" t="n"/>
      <c r="I101" s="362" t="n"/>
      <c r="J101" s="586" t="n">
        <v>48853</v>
      </c>
      <c r="K101" s="362" t="n">
        <v>-3200000</v>
      </c>
      <c r="L101" s="362" t="n">
        <v>-1000000</v>
      </c>
      <c r="M101" s="362" t="n">
        <v>-800000</v>
      </c>
      <c r="N101" s="362" t="n"/>
      <c r="O101" s="362">
        <f>+K101-L101</f>
        <v/>
      </c>
      <c r="P101" s="362">
        <f>+K101-M101</f>
        <v/>
      </c>
      <c r="S101" s="586" t="n">
        <v>48853</v>
      </c>
      <c r="T101" s="362" t="n">
        <v>-58732.49194082292</v>
      </c>
      <c r="U101" s="362" t="n">
        <v>4951.734439016553</v>
      </c>
      <c r="V101" s="362" t="n">
        <v>10342.09773102868</v>
      </c>
      <c r="W101" s="362" t="n"/>
      <c r="X101" s="362">
        <f>+T101-U101</f>
        <v/>
      </c>
      <c r="Y101" s="362">
        <f>+T101-V101</f>
        <v/>
      </c>
    </row>
    <row r="102">
      <c r="A102" s="586" t="n">
        <v>48884</v>
      </c>
      <c r="B102" s="430" t="n">
        <v>266315.5739470324</v>
      </c>
      <c r="C102" s="430" t="n">
        <v>7724673.629758849</v>
      </c>
      <c r="D102" s="430" t="n">
        <v>9081727.626542803</v>
      </c>
      <c r="E102" s="430" t="n"/>
      <c r="F102" s="430">
        <f>+B102-C102</f>
        <v/>
      </c>
      <c r="G102" s="430">
        <f>+B102-D102</f>
        <v/>
      </c>
      <c r="H102" s="362" t="n"/>
      <c r="I102" s="362" t="n"/>
      <c r="J102" s="586" t="n">
        <v>48884</v>
      </c>
      <c r="K102" s="362" t="n">
        <v>-3000000</v>
      </c>
      <c r="L102" s="362" t="n">
        <v>-1000000</v>
      </c>
      <c r="M102" s="362" t="n">
        <v>-799000</v>
      </c>
      <c r="N102" s="362" t="n"/>
      <c r="O102" s="362">
        <f>+K102-L102</f>
        <v/>
      </c>
      <c r="P102" s="362">
        <f>+K102-M102</f>
        <v/>
      </c>
      <c r="S102" s="586" t="n">
        <v>48884</v>
      </c>
      <c r="T102" s="362" t="n">
        <v>43601.18872151477</v>
      </c>
      <c r="U102" s="362" t="n">
        <v>-15930.80186989624</v>
      </c>
      <c r="V102" s="362" t="n">
        <v>-4191.40411662322</v>
      </c>
      <c r="W102" s="362" t="n"/>
      <c r="X102" s="362">
        <f>+T102-U102</f>
        <v/>
      </c>
      <c r="Y102" s="362">
        <f>+T102-V102</f>
        <v/>
      </c>
    </row>
    <row r="103">
      <c r="A103" s="586" t="n">
        <v>48914</v>
      </c>
      <c r="B103" s="430" t="n">
        <v>214712.9504499719</v>
      </c>
      <c r="C103" s="430" t="n">
        <v>8149429.525410782</v>
      </c>
      <c r="D103" s="430" t="n">
        <v>9333401.752937496</v>
      </c>
      <c r="E103" s="430" t="n"/>
      <c r="F103" s="430">
        <f>+B103-C103</f>
        <v/>
      </c>
      <c r="G103" s="430">
        <f>+B103-D103</f>
        <v/>
      </c>
      <c r="H103" s="362" t="n"/>
      <c r="I103" s="362" t="n"/>
      <c r="J103" s="586" t="n">
        <v>48914</v>
      </c>
      <c r="K103" s="362" t="n">
        <v>-3000000</v>
      </c>
      <c r="L103" s="362" t="n">
        <v>-970000</v>
      </c>
      <c r="M103" s="362" t="n">
        <v>-779000</v>
      </c>
      <c r="N103" s="362" t="n"/>
      <c r="O103" s="362">
        <f>+K103-L103</f>
        <v/>
      </c>
      <c r="P103" s="362">
        <f>+K103-M103</f>
        <v/>
      </c>
      <c r="S103" s="586" t="n">
        <v>48914</v>
      </c>
      <c r="T103" s="362" t="n">
        <v>-53233.73146397574</v>
      </c>
      <c r="U103" s="362" t="n">
        <v>-6960.794720692909</v>
      </c>
      <c r="V103" s="362" t="n">
        <v>158.8260209440487</v>
      </c>
      <c r="W103" s="362" t="n"/>
      <c r="X103" s="362">
        <f>+T103-U103</f>
        <v/>
      </c>
      <c r="Y103" s="362">
        <f>+T103-V103</f>
        <v/>
      </c>
    </row>
    <row r="104">
      <c r="A104" s="586" t="n">
        <v>48945</v>
      </c>
      <c r="B104" s="430" t="n">
        <v>65513.77626967197</v>
      </c>
      <c r="C104" s="430" t="n">
        <v>8556680.921792092</v>
      </c>
      <c r="D104" s="430" t="n">
        <v>9771473.033713846</v>
      </c>
      <c r="E104" s="430" t="n"/>
      <c r="F104" s="430">
        <f>+B104-C104</f>
        <v/>
      </c>
      <c r="G104" s="430">
        <f>+B104-D104</f>
        <v/>
      </c>
      <c r="H104" s="362" t="n"/>
      <c r="I104" s="362" t="n"/>
      <c r="J104" s="586" t="n">
        <v>48945</v>
      </c>
      <c r="K104" s="362" t="n">
        <v>-2800000</v>
      </c>
      <c r="L104" s="362" t="n">
        <v>-940000</v>
      </c>
      <c r="M104" s="362" t="n">
        <v>-750000</v>
      </c>
      <c r="N104" s="362" t="n"/>
      <c r="O104" s="362">
        <f>+K104-L104</f>
        <v/>
      </c>
      <c r="P104" s="362">
        <f>+K104-M104</f>
        <v/>
      </c>
      <c r="S104" s="586" t="n">
        <v>48945</v>
      </c>
      <c r="T104" s="362" t="n">
        <v>49156.66898904974</v>
      </c>
      <c r="U104" s="362" t="n">
        <v>2080.972485704115</v>
      </c>
      <c r="V104" s="362" t="n">
        <v>13543.85799961165</v>
      </c>
      <c r="W104" s="362" t="n"/>
      <c r="X104" s="362">
        <f>+T104-U104</f>
        <v/>
      </c>
      <c r="Y104" s="362">
        <f>+T104-V104</f>
        <v/>
      </c>
    </row>
    <row r="105">
      <c r="A105" s="586" t="n">
        <v>48976</v>
      </c>
      <c r="B105" s="430" t="n">
        <v>136094.276320667</v>
      </c>
      <c r="C105" s="430" t="n">
        <v>7946287.782908616</v>
      </c>
      <c r="D105" s="430" t="n">
        <v>10196929.74410691</v>
      </c>
      <c r="E105" s="430" t="n"/>
      <c r="F105" s="430">
        <f>+B105-C105</f>
        <v/>
      </c>
      <c r="G105" s="430">
        <f>+B105-D105</f>
        <v/>
      </c>
      <c r="H105" s="362" t="n"/>
      <c r="I105" s="362" t="n"/>
      <c r="J105" s="586" t="n">
        <v>48976</v>
      </c>
      <c r="K105" s="362" t="n">
        <v>-2500000</v>
      </c>
      <c r="L105" s="362" t="n">
        <v>-900000</v>
      </c>
      <c r="M105" s="362" t="n">
        <v>-750000</v>
      </c>
      <c r="N105" s="362" t="n"/>
      <c r="O105" s="362">
        <f>+K105-L105</f>
        <v/>
      </c>
      <c r="P105" s="362">
        <f>+K105-M105</f>
        <v/>
      </c>
      <c r="S105" s="586" t="n">
        <v>48976</v>
      </c>
      <c r="T105" s="362" t="n">
        <v>270523.1899656993</v>
      </c>
      <c r="U105" s="362" t="n">
        <v>21195.07382975263</v>
      </c>
      <c r="V105" s="362" t="n">
        <v>-2466.931765891612</v>
      </c>
      <c r="W105" s="362" t="n"/>
      <c r="X105" s="362">
        <f>+T105-U105</f>
        <v/>
      </c>
      <c r="Y105" s="362">
        <f>+T105-V105</f>
        <v/>
      </c>
    </row>
    <row r="106">
      <c r="A106" s="586" t="n">
        <v>49004</v>
      </c>
      <c r="B106" s="430" t="n">
        <v>107788.2480477062</v>
      </c>
      <c r="C106" s="430" t="n">
        <v>8410108.952478234</v>
      </c>
      <c r="D106" s="430" t="n">
        <v>10609704.91343861</v>
      </c>
      <c r="E106" s="430" t="n"/>
      <c r="F106" s="430">
        <f>+B106-C106</f>
        <v/>
      </c>
      <c r="G106" s="430">
        <f>+B106-D106</f>
        <v/>
      </c>
      <c r="H106" s="362" t="n"/>
      <c r="I106" s="362" t="n"/>
      <c r="J106" s="586" t="n">
        <v>49004</v>
      </c>
      <c r="K106" s="362" t="n">
        <v>-2700000</v>
      </c>
      <c r="L106" s="362" t="n">
        <v>-900000</v>
      </c>
      <c r="M106" s="362" t="n">
        <v>-700000</v>
      </c>
      <c r="N106" s="362" t="n"/>
      <c r="O106" s="362">
        <f>+K106-L106</f>
        <v/>
      </c>
      <c r="P106" s="362">
        <f>+K106-M106</f>
        <v/>
      </c>
      <c r="S106" s="586" t="n">
        <v>49004</v>
      </c>
      <c r="T106" s="362" t="n">
        <v>-26763.79683893872</v>
      </c>
      <c r="U106" s="362" t="n">
        <v>462.087984553189</v>
      </c>
      <c r="V106" s="362" t="n">
        <v>31428.13803548121</v>
      </c>
      <c r="W106" s="362" t="n"/>
      <c r="X106" s="362">
        <f>+T106-U106</f>
        <v/>
      </c>
      <c r="Y106" s="362">
        <f>+T106-V106</f>
        <v/>
      </c>
    </row>
    <row r="107">
      <c r="A107" s="586" t="n">
        <v>49035</v>
      </c>
      <c r="B107" s="430" t="n">
        <v>-18899.47889827564</v>
      </c>
      <c r="C107" s="430" t="n">
        <v>8656386.113568572</v>
      </c>
      <c r="D107" s="430" t="n">
        <v>11009697.08938047</v>
      </c>
      <c r="E107" s="430" t="n"/>
      <c r="F107" s="430">
        <f>+B107-C107</f>
        <v/>
      </c>
      <c r="G107" s="430">
        <f>+B107-D107</f>
        <v/>
      </c>
      <c r="H107" s="362" t="n"/>
      <c r="I107" s="362" t="n"/>
      <c r="J107" s="586" t="n">
        <v>49035</v>
      </c>
      <c r="K107" s="362" t="n">
        <v>-2700000</v>
      </c>
      <c r="L107" s="362" t="n">
        <v>-900000</v>
      </c>
      <c r="M107" s="362" t="n">
        <v>-700000</v>
      </c>
      <c r="N107" s="362" t="n"/>
      <c r="O107" s="362">
        <f>+K107-L107</f>
        <v/>
      </c>
      <c r="P107" s="362">
        <f>+K107-M107</f>
        <v/>
      </c>
      <c r="S107" s="586" t="n">
        <v>49035</v>
      </c>
      <c r="T107" s="362" t="n">
        <v>-125133.1576604876</v>
      </c>
      <c r="U107" s="362" t="n">
        <v>-20788.79314740782</v>
      </c>
      <c r="V107" s="362" t="n">
        <v>15594.36839526508</v>
      </c>
      <c r="W107" s="362" t="n"/>
      <c r="X107" s="362">
        <f>+T107-U107</f>
        <v/>
      </c>
      <c r="Y107" s="362">
        <f>+T107-V107</f>
        <v/>
      </c>
    </row>
    <row r="108">
      <c r="A108" s="586" t="n">
        <v>49065</v>
      </c>
      <c r="B108" s="430" t="n">
        <v>-45941.64342547627</v>
      </c>
      <c r="C108" s="430" t="n">
        <v>8883402.676231295</v>
      </c>
      <c r="D108" s="430" t="n">
        <v>11396804.00798536</v>
      </c>
      <c r="E108" s="430" t="n"/>
      <c r="F108" s="430">
        <f>+B108-C108</f>
        <v/>
      </c>
      <c r="G108" s="430">
        <f>+B108-D108</f>
        <v/>
      </c>
      <c r="H108" s="362" t="n"/>
      <c r="I108" s="362" t="n"/>
      <c r="J108" s="586" t="n">
        <v>49065</v>
      </c>
      <c r="K108" s="362" t="n">
        <v>-2500000</v>
      </c>
      <c r="L108" s="362" t="n">
        <v>-850000</v>
      </c>
      <c r="M108" s="362" t="n">
        <v>-700000</v>
      </c>
      <c r="N108" s="362" t="n"/>
      <c r="O108" s="362">
        <f>+K108-L108</f>
        <v/>
      </c>
      <c r="P108" s="362">
        <f>+K108-M108</f>
        <v/>
      </c>
      <c r="S108" s="586" t="n">
        <v>49065</v>
      </c>
      <c r="T108" s="362" t="n">
        <v>-25626.35451860866</v>
      </c>
      <c r="U108" s="362" t="n">
        <v>7814.080791075365</v>
      </c>
      <c r="V108" s="362" t="n">
        <v>-366.0714020727901</v>
      </c>
      <c r="W108" s="362" t="n"/>
      <c r="X108" s="362">
        <f>+T108-U108</f>
        <v/>
      </c>
      <c r="Y108" s="362">
        <f>+T108-V108</f>
        <v/>
      </c>
    </row>
    <row r="109">
      <c r="A109" s="586" t="n">
        <v>49096</v>
      </c>
      <c r="B109" s="430" t="n">
        <v>-172385.7000718904</v>
      </c>
      <c r="C109" s="430" t="n">
        <v>9090714.129773982</v>
      </c>
      <c r="D109" s="430" t="n">
        <v>11770922.5871946</v>
      </c>
      <c r="E109" s="430" t="n"/>
      <c r="F109" s="430">
        <f>+B109-C109</f>
        <v/>
      </c>
      <c r="G109" s="430">
        <f>+B109-D109</f>
        <v/>
      </c>
      <c r="H109" s="362" t="n"/>
      <c r="I109" s="362" t="n"/>
      <c r="J109" s="586" t="n">
        <v>49096</v>
      </c>
      <c r="K109" s="362" t="n">
        <v>-2270000</v>
      </c>
      <c r="L109" s="362" t="n">
        <v>-600000</v>
      </c>
      <c r="M109" s="362" t="n">
        <v>-500000</v>
      </c>
      <c r="N109" s="362" t="n"/>
      <c r="O109" s="362">
        <f>+K109-L109</f>
        <v/>
      </c>
      <c r="P109" s="362">
        <f>+K109-M109</f>
        <v/>
      </c>
      <c r="S109" s="586" t="n">
        <v>49096</v>
      </c>
      <c r="T109" s="362" t="n">
        <v>104766.7425260292</v>
      </c>
      <c r="U109" s="362" t="n">
        <v>236355.3518160664</v>
      </c>
      <c r="V109" s="362" t="n">
        <v>183545.8052822107</v>
      </c>
      <c r="W109" s="362" t="n"/>
      <c r="X109" s="362">
        <f>+T109-U109</f>
        <v/>
      </c>
      <c r="Y109" s="362">
        <f>+T109-V109</f>
        <v/>
      </c>
    </row>
    <row r="110">
      <c r="A110" s="586" t="n">
        <v>49126</v>
      </c>
      <c r="B110" s="430" t="n">
        <v>-321376.0737815171</v>
      </c>
      <c r="C110" s="430" t="n">
        <v>9378182.43707226</v>
      </c>
      <c r="D110" s="430" t="n">
        <v>12131446.018293</v>
      </c>
      <c r="E110" s="430" t="n"/>
      <c r="F110" s="430">
        <f>+B110-C110</f>
        <v/>
      </c>
      <c r="G110" s="430">
        <f>+B110-D110</f>
        <v/>
      </c>
      <c r="H110" s="362" t="n"/>
      <c r="I110" s="362" t="n"/>
      <c r="J110" s="586" t="n">
        <v>49126</v>
      </c>
      <c r="K110" s="362" t="n">
        <v>-1500000</v>
      </c>
      <c r="L110" s="362" t="n">
        <v>-1000000</v>
      </c>
      <c r="M110" s="362" t="n">
        <v>-900000</v>
      </c>
      <c r="N110" s="362" t="n"/>
      <c r="O110" s="362">
        <f>+K110-L110</f>
        <v/>
      </c>
      <c r="P110" s="362">
        <f>+K110-M110</f>
        <v/>
      </c>
      <c r="S110" s="586" t="n">
        <v>49126</v>
      </c>
      <c r="T110" s="362" t="n">
        <v>353058.5594030246</v>
      </c>
      <c r="U110" s="362" t="n">
        <v>-183255.4432421549</v>
      </c>
      <c r="V110" s="362" t="n">
        <v>-231573.9250200315</v>
      </c>
      <c r="W110" s="362" t="n"/>
      <c r="X110" s="362">
        <f>+T110-U110</f>
        <v/>
      </c>
      <c r="Y110" s="362">
        <f>+T110-V110</f>
        <v/>
      </c>
    </row>
    <row r="111">
      <c r="A111" s="586" t="n">
        <v>49157</v>
      </c>
      <c r="B111" s="430" t="n">
        <v>-799120.666820636</v>
      </c>
      <c r="C111" s="430" t="n">
        <v>9646448.852956176</v>
      </c>
      <c r="D111" s="430" t="n">
        <v>12578299.4859807</v>
      </c>
      <c r="E111" s="430" t="n"/>
      <c r="F111" s="430">
        <f>+B111-C111</f>
        <v/>
      </c>
      <c r="G111" s="430">
        <f>+B111-D111</f>
        <v/>
      </c>
      <c r="H111" s="362" t="n"/>
      <c r="I111" s="362" t="n"/>
      <c r="J111" s="586" t="n">
        <v>49157</v>
      </c>
      <c r="K111" s="362" t="n">
        <v>-2000000</v>
      </c>
      <c r="L111" s="362" t="n">
        <v>-800000</v>
      </c>
      <c r="M111" s="362" t="n">
        <v>-650000</v>
      </c>
      <c r="N111" s="362" t="n"/>
      <c r="O111" s="362">
        <f>+K111-L111</f>
        <v/>
      </c>
      <c r="P111" s="362">
        <f>+K111-M111</f>
        <v/>
      </c>
      <c r="S111" s="586" t="n">
        <v>49157</v>
      </c>
      <c r="T111" s="362" t="n">
        <v>-472871.1914512434</v>
      </c>
      <c r="U111" s="362" t="n">
        <v>-6223.124660842121</v>
      </c>
      <c r="V111" s="362" t="n">
        <v>19.33272030809894</v>
      </c>
      <c r="W111" s="362" t="n"/>
      <c r="X111" s="362">
        <f>+T111-U111</f>
        <v/>
      </c>
      <c r="Y111" s="362">
        <f>+T111-V111</f>
        <v/>
      </c>
    </row>
    <row r="112">
      <c r="A112" s="586" t="n">
        <v>49188</v>
      </c>
      <c r="B112" s="430" t="n">
        <v>-1018874.275511123</v>
      </c>
      <c r="C112" s="430" t="n">
        <v>9895359.762294412</v>
      </c>
      <c r="D112" s="430" t="n">
        <v>13012173.63055039</v>
      </c>
      <c r="E112" s="430" t="n"/>
      <c r="F112" s="430">
        <f>+B112-C112</f>
        <v/>
      </c>
      <c r="G112" s="430">
        <f>+B112-D112</f>
        <v/>
      </c>
      <c r="H112" s="362" t="n"/>
      <c r="I112" s="362" t="n"/>
      <c r="J112" s="586" t="n">
        <v>49188</v>
      </c>
      <c r="K112" s="362" t="n">
        <v>-1500000</v>
      </c>
      <c r="L112" s="362" t="n">
        <v>-800000</v>
      </c>
      <c r="M112" s="362" t="n">
        <v>-650000</v>
      </c>
      <c r="N112" s="362" t="n"/>
      <c r="O112" s="362">
        <f>+K112-L112</f>
        <v/>
      </c>
      <c r="P112" s="362">
        <f>+K112-M112</f>
        <v/>
      </c>
      <c r="S112" s="586" t="n">
        <v>49188</v>
      </c>
      <c r="T112" s="362" t="n">
        <v>-18663.1766342211</v>
      </c>
      <c r="U112" s="362" t="n">
        <v>-27774.5475308788</v>
      </c>
      <c r="V112" s="362" t="n">
        <v>-16534.66347742931</v>
      </c>
      <c r="W112" s="362" t="n"/>
      <c r="X112" s="362">
        <f>+T112-U112</f>
        <v/>
      </c>
      <c r="Y112" s="362">
        <f>+T112-V112</f>
        <v/>
      </c>
    </row>
    <row r="113">
      <c r="A113" s="586" t="n">
        <v>49218</v>
      </c>
      <c r="B113" s="430" t="n">
        <v>-1300745.029600984</v>
      </c>
      <c r="C113" s="430" t="n">
        <v>10124760.3210346</v>
      </c>
      <c r="D113" s="430" t="n">
        <v>13432964.61741715</v>
      </c>
      <c r="E113" s="430" t="n"/>
      <c r="F113" s="430">
        <f>+B113-C113</f>
        <v/>
      </c>
      <c r="G113" s="430">
        <f>+B113-D113</f>
        <v/>
      </c>
      <c r="H113" s="362" t="n"/>
      <c r="I113" s="362" t="n"/>
      <c r="J113" s="586" t="n">
        <v>49218</v>
      </c>
      <c r="K113" s="362" t="n">
        <v>-1400000</v>
      </c>
      <c r="L113" s="362" t="n">
        <v>-750000</v>
      </c>
      <c r="M113" s="362" t="n">
        <v>-600000</v>
      </c>
      <c r="N113" s="362" t="n"/>
      <c r="O113" s="362">
        <f>+K113-L113</f>
        <v/>
      </c>
      <c r="P113" s="362">
        <f>+K113-M113</f>
        <v/>
      </c>
      <c r="S113" s="586" t="n">
        <v>49218</v>
      </c>
      <c r="T113" s="362" t="n">
        <v>19070.37255333015</v>
      </c>
      <c r="U113" s="362" t="n">
        <v>501.618216124014</v>
      </c>
      <c r="V113" s="362" t="n">
        <v>16778.9083552513</v>
      </c>
      <c r="W113" s="362" t="n"/>
      <c r="X113" s="362">
        <f>+T113-U113</f>
        <v/>
      </c>
      <c r="Y113" s="362">
        <f>+T113-V113</f>
        <v/>
      </c>
    </row>
    <row r="114">
      <c r="A114" s="586" t="n">
        <v>49249</v>
      </c>
      <c r="B114" s="430" t="n">
        <v>-1644732.929090221</v>
      </c>
      <c r="C114" s="430" t="n">
        <v>10334142.41497197</v>
      </c>
      <c r="D114" s="430" t="n">
        <v>13840567.78131933</v>
      </c>
      <c r="E114" s="430" t="n"/>
      <c r="F114" s="430">
        <f>+B114-C114</f>
        <v/>
      </c>
      <c r="G114" s="430">
        <f>+B114-D114</f>
        <v/>
      </c>
      <c r="H114" s="362" t="n"/>
      <c r="I114" s="362" t="n"/>
      <c r="J114" s="586" t="n">
        <v>49249</v>
      </c>
      <c r="K114" s="362" t="n">
        <v>-1400000</v>
      </c>
      <c r="L114" s="362" t="n">
        <v>-750000</v>
      </c>
      <c r="M114" s="362" t="n">
        <v>-600000</v>
      </c>
      <c r="N114" s="362" t="n"/>
      <c r="O114" s="362">
        <f>+K114-L114</f>
        <v/>
      </c>
      <c r="P114" s="362">
        <f>+K114-M114</f>
        <v/>
      </c>
      <c r="S114" s="586" t="n">
        <v>49249</v>
      </c>
      <c r="T114" s="362" t="n">
        <v>-42894.20986561803</v>
      </c>
      <c r="U114" s="362" t="n">
        <v>-21348.03811089706</v>
      </c>
      <c r="V114" s="362" t="n">
        <v>358.9887625931296</v>
      </c>
      <c r="W114" s="362" t="n"/>
      <c r="X114" s="362">
        <f>+T114-U114</f>
        <v/>
      </c>
      <c r="Y114" s="362">
        <f>+T114-V114</f>
        <v/>
      </c>
    </row>
    <row r="115">
      <c r="A115" s="586" t="n">
        <v>49279</v>
      </c>
      <c r="B115" s="430" t="n">
        <v>-1750837.973978832</v>
      </c>
      <c r="C115" s="430" t="n">
        <v>10523369.65850758</v>
      </c>
      <c r="D115" s="430" t="n">
        <v>14134374.71767324</v>
      </c>
      <c r="E115" s="430" t="n"/>
      <c r="F115" s="430">
        <f>+B115-C115</f>
        <v/>
      </c>
      <c r="G115" s="430">
        <f>+B115-D115</f>
        <v/>
      </c>
      <c r="H115" s="362" t="n"/>
      <c r="I115" s="362" t="n"/>
      <c r="J115" s="586" t="n">
        <v>49279</v>
      </c>
      <c r="K115" s="362" t="n">
        <v>-1300000</v>
      </c>
      <c r="L115" s="362" t="n">
        <v>-700000</v>
      </c>
      <c r="M115" s="362" t="n">
        <v>-600000</v>
      </c>
      <c r="N115" s="362" t="n"/>
      <c r="O115" s="362">
        <f>+K115-L115</f>
        <v/>
      </c>
      <c r="P115" s="362">
        <f>+K115-M115</f>
        <v/>
      </c>
      <c r="S115" s="586" t="n">
        <v>49279</v>
      </c>
      <c r="T115" s="362" t="n">
        <v>-5354.508943917928</v>
      </c>
      <c r="U115" s="362" t="n">
        <v>6651.270430965698</v>
      </c>
      <c r="V115" s="362" t="n">
        <v>-16695.192186806</v>
      </c>
      <c r="W115" s="362" t="n"/>
      <c r="X115" s="362">
        <f>+T115-U115</f>
        <v/>
      </c>
      <c r="Y115" s="362">
        <f>+T115-V115</f>
        <v/>
      </c>
    </row>
    <row r="116">
      <c r="A116" s="586" t="n">
        <v>49310</v>
      </c>
      <c r="B116" s="430" t="n">
        <v>-1919060.164266819</v>
      </c>
      <c r="C116" s="430" t="n">
        <v>10691990.38693323</v>
      </c>
      <c r="D116" s="430" t="n">
        <v>14413509.00254347</v>
      </c>
      <c r="E116" s="430" t="n"/>
      <c r="F116" s="430">
        <f>+B116-C116</f>
        <v/>
      </c>
      <c r="G116" s="430">
        <f>+B116-D116</f>
        <v/>
      </c>
      <c r="H116" s="362" t="n"/>
      <c r="I116" s="362" t="n"/>
      <c r="J116" s="586" t="n">
        <v>49310</v>
      </c>
      <c r="K116" s="362" t="n">
        <v>-1200000</v>
      </c>
      <c r="L116" s="362" t="n">
        <v>-700000</v>
      </c>
      <c r="M116" s="362" t="n">
        <v>-570000</v>
      </c>
      <c r="N116" s="362" t="n"/>
      <c r="O116" s="362">
        <f>+K116-L116</f>
        <v/>
      </c>
      <c r="P116" s="362">
        <f>+K116-M116</f>
        <v/>
      </c>
      <c r="S116" s="586" t="n">
        <v>49310</v>
      </c>
      <c r="T116" s="362" t="n">
        <v>32485.50958515541</v>
      </c>
      <c r="U116" s="362" t="n">
        <v>-15415.85246383643</v>
      </c>
      <c r="V116" s="362" t="n">
        <v>-3851.860698800534</v>
      </c>
      <c r="W116" s="362" t="n"/>
      <c r="X116" s="362">
        <f>+T116-U116</f>
        <v/>
      </c>
      <c r="Y116" s="362">
        <f>+T116-V116</f>
        <v/>
      </c>
    </row>
    <row r="117">
      <c r="A117" s="586" t="n">
        <v>49341</v>
      </c>
      <c r="B117" s="430" t="n">
        <v>-2149399.499954181</v>
      </c>
      <c r="C117" s="430" t="n">
        <v>11039859.35187662</v>
      </c>
      <c r="D117" s="430" t="n">
        <v>14777853.25471817</v>
      </c>
      <c r="E117" s="430" t="n"/>
      <c r="F117" s="430">
        <f>+B117-C117</f>
        <v/>
      </c>
      <c r="G117" s="430">
        <f>+B117-D117</f>
        <v/>
      </c>
      <c r="H117" s="362" t="n"/>
      <c r="I117" s="362" t="n"/>
      <c r="J117" s="586" t="n">
        <v>49341</v>
      </c>
      <c r="K117" s="362" t="n">
        <v>-1200000</v>
      </c>
      <c r="L117" s="362" t="n">
        <v>-650000</v>
      </c>
      <c r="M117" s="362" t="n">
        <v>-550000</v>
      </c>
      <c r="N117" s="362" t="n"/>
      <c r="O117" s="362">
        <f>+K117-L117</f>
        <v/>
      </c>
      <c r="P117" s="362">
        <f>+K117-M117</f>
        <v/>
      </c>
      <c r="S117" s="586" t="n">
        <v>49341</v>
      </c>
      <c r="T117" s="362" t="n">
        <v>-29371.75173753826</v>
      </c>
      <c r="U117" s="362" t="n">
        <v>12360.09140679042</v>
      </c>
      <c r="V117" s="362" t="n">
        <v>-905.7825588907581</v>
      </c>
      <c r="W117" s="362" t="n"/>
      <c r="X117" s="362">
        <f>+T117-U117</f>
        <v/>
      </c>
      <c r="Y117" s="362">
        <f>+T117-V117</f>
        <v/>
      </c>
    </row>
    <row r="118">
      <c r="A118" s="586" t="n">
        <v>49369</v>
      </c>
      <c r="B118" s="430" t="n">
        <v>-2443192.862190918</v>
      </c>
      <c r="C118" s="430" t="n">
        <v>11368410.5392299</v>
      </c>
      <c r="D118" s="430" t="n">
        <v>15128089.15393577</v>
      </c>
      <c r="E118" s="430" t="n"/>
      <c r="F118" s="430">
        <f>+B118-C118</f>
        <v/>
      </c>
      <c r="G118" s="430">
        <f>+B118-D118</f>
        <v/>
      </c>
      <c r="H118" s="362" t="n"/>
      <c r="I118" s="362" t="n"/>
      <c r="J118" s="586" t="n">
        <v>49369</v>
      </c>
      <c r="K118" s="362" t="n">
        <v>-1100000</v>
      </c>
      <c r="L118" s="362" t="n">
        <v>-650000</v>
      </c>
      <c r="M118" s="362" t="n">
        <v>-538000</v>
      </c>
      <c r="N118" s="362" t="n"/>
      <c r="O118" s="362">
        <f>+K118-L118</f>
        <v/>
      </c>
      <c r="P118" s="362">
        <f>+K118-M118</f>
        <v/>
      </c>
      <c r="S118" s="586" t="n">
        <v>49369</v>
      </c>
      <c r="T118" s="362" t="n">
        <v>6939.24769918574</v>
      </c>
      <c r="U118" s="362" t="n">
        <v>-9641.757171617821</v>
      </c>
      <c r="V118" s="362" t="n">
        <v>-5936.135793862049</v>
      </c>
      <c r="W118" s="362" t="n"/>
      <c r="X118" s="362">
        <f>+T118-U118</f>
        <v/>
      </c>
      <c r="Y118" s="362">
        <f>+T118-V118</f>
        <v/>
      </c>
    </row>
    <row r="119">
      <c r="A119" s="586" t="n">
        <v>49400</v>
      </c>
      <c r="B119" s="430" t="n">
        <v>-2600350.011499406</v>
      </c>
      <c r="C119" s="430" t="n">
        <v>11677489.40677233</v>
      </c>
      <c r="D119" s="430" t="n">
        <v>15464103.8333726</v>
      </c>
      <c r="E119" s="430" t="n"/>
      <c r="F119" s="430">
        <f>+B119-C119</f>
        <v/>
      </c>
      <c r="G119" s="430">
        <f>+B119-D119</f>
        <v/>
      </c>
      <c r="H119" s="362" t="n"/>
      <c r="I119" s="362" t="n"/>
      <c r="J119" s="586" t="n">
        <v>49400</v>
      </c>
      <c r="K119" s="362" t="n">
        <v>-1000000</v>
      </c>
      <c r="L119" s="362" t="n">
        <v>-600000</v>
      </c>
      <c r="M119" s="362" t="n">
        <v>-500000</v>
      </c>
      <c r="N119" s="362" t="n"/>
      <c r="O119" s="362">
        <f>+K119-L119</f>
        <v/>
      </c>
      <c r="P119" s="362">
        <f>+K119-M119</f>
        <v/>
      </c>
      <c r="S119" s="586" t="n">
        <v>49400</v>
      </c>
      <c r="T119" s="362" t="n">
        <v>43630.97460902901</v>
      </c>
      <c r="U119" s="362" t="n">
        <v>18180.37946134689</v>
      </c>
      <c r="V119" s="362" t="n">
        <v>14993.26814528718</v>
      </c>
      <c r="W119" s="362" t="n"/>
      <c r="X119" s="362">
        <f>+T119-U119</f>
        <v/>
      </c>
      <c r="Y119" s="362">
        <f>+T119-V119</f>
        <v/>
      </c>
    </row>
    <row r="120">
      <c r="A120" s="586" t="n">
        <v>49430</v>
      </c>
      <c r="B120" s="430" t="n">
        <v>-2821122.398879644</v>
      </c>
      <c r="C120" s="430" t="n">
        <v>12076603.43787545</v>
      </c>
      <c r="D120" s="430" t="n">
        <v>15795280.62127043</v>
      </c>
      <c r="E120" s="430" t="n"/>
      <c r="F120" s="430">
        <f>+B120-C120</f>
        <v/>
      </c>
      <c r="G120" s="430">
        <f>+B120-D120</f>
        <v/>
      </c>
      <c r="H120" s="362" t="n"/>
      <c r="I120" s="362" t="n"/>
      <c r="J120" s="586" t="n">
        <v>49430</v>
      </c>
      <c r="K120" s="362" t="n">
        <v>-1000000</v>
      </c>
      <c r="L120" s="362" t="n">
        <v>-600000</v>
      </c>
      <c r="M120" s="362" t="n">
        <v>-440000</v>
      </c>
      <c r="N120" s="362" t="n"/>
      <c r="O120" s="362">
        <f>+K120-L120</f>
        <v/>
      </c>
      <c r="P120" s="362">
        <f>+K120-M120</f>
        <v/>
      </c>
      <c r="S120" s="586" t="n">
        <v>49430</v>
      </c>
      <c r="T120" s="362" t="n">
        <v>-19635.21566584869</v>
      </c>
      <c r="U120" s="362" t="n">
        <v>5888.355117375148</v>
      </c>
      <c r="V120" s="362" t="n">
        <v>57587.20531594945</v>
      </c>
      <c r="W120" s="362" t="n"/>
      <c r="X120" s="362">
        <f>+T120-U120</f>
        <v/>
      </c>
      <c r="Y120" s="362">
        <f>+T120-V120</f>
        <v/>
      </c>
    </row>
    <row r="121">
      <c r="A121" s="586" t="n">
        <v>49461</v>
      </c>
      <c r="B121" s="430" t="n">
        <v>-3105493.051389131</v>
      </c>
      <c r="C121" s="430" t="n">
        <v>12467079.15592245</v>
      </c>
      <c r="D121" s="430" t="n">
        <v>16101614.76038195</v>
      </c>
      <c r="E121" s="430" t="n"/>
      <c r="F121" s="430">
        <f>+B121-C121</f>
        <v/>
      </c>
      <c r="G121" s="430">
        <f>+B121-D121</f>
        <v/>
      </c>
      <c r="H121" s="362" t="n"/>
      <c r="I121" s="362" t="n"/>
      <c r="J121" s="586" t="n">
        <v>49461</v>
      </c>
      <c r="K121" s="362" t="n">
        <v>-785000</v>
      </c>
      <c r="L121" s="362" t="n">
        <v>-370000</v>
      </c>
      <c r="M121" s="362" t="n">
        <v>-300000</v>
      </c>
      <c r="N121" s="362" t="n"/>
      <c r="O121" s="362">
        <f>+K121-L121</f>
        <v/>
      </c>
      <c r="P121" s="362">
        <f>+K121-M121</f>
        <v/>
      </c>
      <c r="S121" s="586" t="n">
        <v>49461</v>
      </c>
      <c r="T121" s="362" t="n">
        <v>131609.4374795746</v>
      </c>
      <c r="U121" s="362" t="n">
        <v>224104.2366533768</v>
      </c>
      <c r="V121" s="362" t="n">
        <v>180555.8398689771</v>
      </c>
      <c r="W121" s="362" t="n"/>
      <c r="X121" s="362">
        <f>+T121-U121</f>
        <v/>
      </c>
      <c r="Y121" s="362">
        <f>+T121-V121</f>
        <v/>
      </c>
    </row>
    <row r="122">
      <c r="A122" s="586" t="n">
        <v>49491</v>
      </c>
      <c r="B122" s="430" t="n">
        <v>-2953669.416102869</v>
      </c>
      <c r="C122" s="430" t="n">
        <v>12848762.50483168</v>
      </c>
      <c r="D122" s="430" t="n">
        <v>16492907.50951685</v>
      </c>
      <c r="E122" s="430" t="n"/>
      <c r="F122" s="430">
        <f>+B122-C122</f>
        <v/>
      </c>
      <c r="G122" s="430">
        <f>+B122-D122</f>
        <v/>
      </c>
      <c r="H122" s="362" t="n"/>
      <c r="I122" s="362" t="n"/>
      <c r="J122" s="586" t="n">
        <v>49491</v>
      </c>
      <c r="K122" s="362" t="n">
        <v>-800000</v>
      </c>
      <c r="L122" s="362" t="n">
        <v>-800000</v>
      </c>
      <c r="M122" s="362" t="n">
        <v>-700000</v>
      </c>
      <c r="N122" s="362" t="n"/>
      <c r="O122" s="362">
        <f>+K122-L122</f>
        <v/>
      </c>
      <c r="P122" s="362">
        <f>+K122-M122</f>
        <v/>
      </c>
      <c r="S122" s="586" t="n">
        <v>49491</v>
      </c>
      <c r="T122" s="362" t="n">
        <v>53856.60077516106</v>
      </c>
      <c r="U122" s="362" t="n">
        <v>-216019.1043355461</v>
      </c>
      <c r="V122" s="362" t="n">
        <v>-235491.7765015712</v>
      </c>
      <c r="W122" s="362" t="n"/>
      <c r="X122" s="362">
        <f>+T122-U122</f>
        <v/>
      </c>
      <c r="Y122" s="362">
        <f>+T122-V122</f>
        <v/>
      </c>
    </row>
    <row r="123">
      <c r="A123" s="586" t="n">
        <v>49522</v>
      </c>
      <c r="B123" s="430" t="n">
        <v>-2934500.313013294</v>
      </c>
      <c r="C123" s="430" t="n">
        <v>13221583.14565004</v>
      </c>
      <c r="D123" s="430" t="n">
        <v>16869838.53755534</v>
      </c>
      <c r="E123" s="430" t="n"/>
      <c r="F123" s="430">
        <f>+B123-C123</f>
        <v/>
      </c>
      <c r="G123" s="430">
        <f>+B123-D123</f>
        <v/>
      </c>
      <c r="H123" s="362" t="n"/>
      <c r="I123" s="362" t="n"/>
      <c r="J123" s="586" t="n">
        <v>49522</v>
      </c>
      <c r="K123" s="362" t="n">
        <v>-800000</v>
      </c>
      <c r="L123" s="362" t="n">
        <v>-600000</v>
      </c>
      <c r="M123" s="362" t="n">
        <v>-450000</v>
      </c>
      <c r="N123" s="362" t="n"/>
      <c r="O123" s="362">
        <f>+K123-L123</f>
        <v/>
      </c>
      <c r="P123" s="362">
        <f>+K123-M123</f>
        <v/>
      </c>
      <c r="S123" s="586" t="n">
        <v>49522</v>
      </c>
      <c r="T123" s="362" t="n">
        <v>21632.92138467485</v>
      </c>
      <c r="U123" s="362" t="n">
        <v>-29663.43205238052</v>
      </c>
      <c r="V123" s="362" t="n">
        <v>-4867.773803083692</v>
      </c>
      <c r="W123" s="362" t="n"/>
      <c r="X123" s="362">
        <f>+T123-U123</f>
        <v/>
      </c>
      <c r="Y123" s="362">
        <f>+T123-V123</f>
        <v/>
      </c>
    </row>
    <row r="124">
      <c r="A124" s="586" t="n">
        <v>49553</v>
      </c>
      <c r="B124" s="430" t="n">
        <v>-2929329.383370182</v>
      </c>
      <c r="C124" s="430" t="n">
        <v>13585470.17671279</v>
      </c>
      <c r="D124" s="430" t="n">
        <v>17132292.95072863</v>
      </c>
      <c r="E124" s="430" t="n"/>
      <c r="F124" s="430">
        <f>+B124-C124</f>
        <v/>
      </c>
      <c r="G124" s="430">
        <f>+B124-D124</f>
        <v/>
      </c>
      <c r="H124" s="362" t="n"/>
      <c r="I124" s="362" t="n"/>
      <c r="J124" s="586" t="n">
        <v>49553</v>
      </c>
      <c r="K124" s="362" t="n">
        <v>-800000</v>
      </c>
      <c r="L124" s="362" t="n">
        <v>-550000</v>
      </c>
      <c r="M124" s="362" t="n">
        <v>-440000</v>
      </c>
      <c r="N124" s="362" t="n"/>
      <c r="O124" s="362">
        <f>+K124-L124</f>
        <v/>
      </c>
      <c r="P124" s="362">
        <f>+K124-M124</f>
        <v/>
      </c>
      <c r="S124" s="586" t="n">
        <v>49553</v>
      </c>
      <c r="T124" s="362" t="n">
        <v>7807.811309289769</v>
      </c>
      <c r="U124" s="362" t="n">
        <v>8183.085609050468</v>
      </c>
      <c r="V124" s="362" t="n">
        <v>-12398.77908300824</v>
      </c>
      <c r="W124" s="362" t="n"/>
      <c r="X124" s="362">
        <f>+T124-U124</f>
        <v/>
      </c>
      <c r="Y124" s="362">
        <f>+T124-V124</f>
        <v/>
      </c>
    </row>
    <row r="125">
      <c r="A125" s="586" t="n">
        <v>49583</v>
      </c>
      <c r="B125" s="430" t="n">
        <v>-2839557.800153382</v>
      </c>
      <c r="C125" s="430" t="n">
        <v>13940352.12914189</v>
      </c>
      <c r="D125" s="430" t="n">
        <v>17478852.03411781</v>
      </c>
      <c r="E125" s="430" t="n"/>
      <c r="F125" s="430">
        <f>+B125-C125</f>
        <v/>
      </c>
      <c r="G125" s="430">
        <f>+B125-D125</f>
        <v/>
      </c>
      <c r="H125" s="362" t="n"/>
      <c r="I125" s="362" t="n"/>
      <c r="J125" s="586" t="n">
        <v>49583</v>
      </c>
      <c r="K125" s="362" t="n">
        <v>-700000</v>
      </c>
      <c r="L125" s="362" t="n">
        <v>-550000</v>
      </c>
      <c r="M125" s="362" t="n">
        <v>-400000</v>
      </c>
      <c r="N125" s="362" t="n"/>
      <c r="O125" s="362">
        <f>+K125-L125</f>
        <v/>
      </c>
      <c r="P125" s="362">
        <f>+K125-M125</f>
        <v/>
      </c>
      <c r="S125" s="586" t="n">
        <v>49583</v>
      </c>
      <c r="T125" s="362" t="n">
        <v>92470.92737345153</v>
      </c>
      <c r="U125" s="362" t="n">
        <v>-3667.624588227249</v>
      </c>
      <c r="V125" s="362" t="n">
        <v>9507.065594827582</v>
      </c>
      <c r="W125" s="362" t="n"/>
      <c r="X125" s="362">
        <f>+T125-U125</f>
        <v/>
      </c>
      <c r="Y125" s="362">
        <f>+T125-V125</f>
        <v/>
      </c>
    </row>
    <row r="126">
      <c r="A126" s="586" t="n">
        <v>49614</v>
      </c>
      <c r="B126" s="430" t="n">
        <v>-2765185.563362895</v>
      </c>
      <c r="C126" s="430" t="n">
        <v>14286156.96230827</v>
      </c>
      <c r="D126" s="430" t="n">
        <v>17810222.5709696</v>
      </c>
      <c r="E126" s="430" t="n"/>
      <c r="F126" s="430">
        <f>+B126-C126</f>
        <v/>
      </c>
      <c r="G126" s="430">
        <f>+B126-D126</f>
        <v/>
      </c>
      <c r="H126" s="362" t="n"/>
      <c r="I126" s="362" t="n"/>
      <c r="J126" s="586" t="n">
        <v>49614</v>
      </c>
      <c r="K126" s="362" t="n">
        <v>-700000</v>
      </c>
      <c r="L126" s="362" t="n">
        <v>-545000</v>
      </c>
      <c r="M126" s="362" t="n">
        <v>-400000</v>
      </c>
      <c r="N126" s="362" t="n"/>
      <c r="O126" s="362">
        <f>+K126-L126</f>
        <v/>
      </c>
      <c r="P126" s="362">
        <f>+K126-M126</f>
        <v/>
      </c>
      <c r="S126" s="586" t="n">
        <v>49614</v>
      </c>
      <c r="T126" s="362" t="n">
        <v>77811.34836612653</v>
      </c>
      <c r="U126" s="362" t="n">
        <v>-10613.14046708297</v>
      </c>
      <c r="V126" s="362" t="n">
        <v>-8377.897084913799</v>
      </c>
      <c r="W126" s="362" t="n"/>
      <c r="X126" s="362">
        <f>+T126-U126</f>
        <v/>
      </c>
      <c r="Y126" s="362">
        <f>+T126-V126</f>
        <v/>
      </c>
    </row>
    <row r="127">
      <c r="A127" s="586" t="n">
        <v>49644</v>
      </c>
      <c r="B127" s="430" t="n">
        <v>-2706212.67299872</v>
      </c>
      <c r="C127" s="430" t="n">
        <v>14622812.05925784</v>
      </c>
      <c r="D127" s="430" t="n">
        <v>18126283.05291171</v>
      </c>
      <c r="E127" s="430" t="n"/>
      <c r="F127" s="430">
        <f>+B127-C127</f>
        <v/>
      </c>
      <c r="G127" s="430">
        <f>+B127-D127</f>
        <v/>
      </c>
      <c r="H127" s="362" t="n"/>
      <c r="I127" s="362" t="n"/>
      <c r="J127" s="586" t="n">
        <v>49644</v>
      </c>
      <c r="K127" s="362" t="n">
        <v>-700000</v>
      </c>
      <c r="L127" s="362" t="n">
        <v>-520000</v>
      </c>
      <c r="M127" s="362" t="n">
        <v>-370000</v>
      </c>
      <c r="N127" s="362" t="n"/>
      <c r="O127" s="362">
        <f>+K127-L127</f>
        <v/>
      </c>
      <c r="P127" s="362">
        <f>+K127-M127</f>
        <v/>
      </c>
      <c r="S127" s="586" t="n">
        <v>49644</v>
      </c>
      <c r="T127" s="362" t="n">
        <v>63034.49272674299</v>
      </c>
      <c r="U127" s="362" t="n">
        <v>2385.77952703042</v>
      </c>
      <c r="V127" s="362" t="n">
        <v>3594.060533906973</v>
      </c>
      <c r="W127" s="362" t="n"/>
      <c r="X127" s="362">
        <f>+T127-U127</f>
        <v/>
      </c>
      <c r="Y127" s="362">
        <f>+T127-V127</f>
        <v/>
      </c>
    </row>
    <row r="128">
      <c r="A128" s="586" t="n">
        <v>49675</v>
      </c>
      <c r="B128" s="430" t="n">
        <v>-2662639.129060858</v>
      </c>
      <c r="C128" s="430" t="n">
        <v>14949892.19070085</v>
      </c>
      <c r="D128" s="430" t="n">
        <v>18426910.99950485</v>
      </c>
      <c r="E128" s="430" t="n"/>
      <c r="F128" s="430">
        <f>+B128-C128</f>
        <v/>
      </c>
      <c r="G128" s="430">
        <f>+B128-D128</f>
        <v/>
      </c>
      <c r="H128" s="362" t="n"/>
      <c r="I128" s="362" t="n"/>
      <c r="J128" s="586" t="n">
        <v>49675</v>
      </c>
      <c r="K128" s="362" t="n">
        <v>-700000</v>
      </c>
      <c r="L128" s="362" t="n">
        <v>-500000</v>
      </c>
      <c r="M128" s="362" t="n">
        <v>-360000</v>
      </c>
      <c r="N128" s="362" t="n"/>
      <c r="O128" s="362">
        <f>+K128-L128</f>
        <v/>
      </c>
      <c r="P128" s="362">
        <f>+K128-M128</f>
        <v/>
      </c>
      <c r="S128" s="586" t="n">
        <v>49675</v>
      </c>
      <c r="T128" s="362" t="n">
        <v>48139.42224224436</v>
      </c>
      <c r="U128" s="362" t="n">
        <v>10136.65948109678</v>
      </c>
      <c r="V128" s="362" t="n">
        <v>-4338.206186321622</v>
      </c>
      <c r="W128" s="362" t="n"/>
      <c r="X128" s="362">
        <f>+T128-U128</f>
        <v/>
      </c>
      <c r="Y128" s="362">
        <f>+T128-V128</f>
        <v/>
      </c>
    </row>
    <row r="129">
      <c r="A129" s="586" t="n">
        <v>49706</v>
      </c>
      <c r="B129" s="430" t="n">
        <v>-2634464.931549308</v>
      </c>
      <c r="C129" s="430" t="n">
        <v>15267344.51903276</v>
      </c>
      <c r="D129" s="430" t="n">
        <v>18711982.95046624</v>
      </c>
      <c r="E129" s="430" t="n"/>
      <c r="F129" s="430">
        <f>+B129-C129</f>
        <v/>
      </c>
      <c r="G129" s="430">
        <f>+B129-D129</f>
        <v/>
      </c>
      <c r="H129" s="362" t="n"/>
      <c r="I129" s="362" t="n"/>
      <c r="J129" s="586" t="n">
        <v>49706</v>
      </c>
      <c r="K129" s="362" t="n">
        <v>-700000</v>
      </c>
      <c r="L129" s="362" t="n">
        <v>-500000</v>
      </c>
      <c r="M129" s="362" t="n">
        <v>-330000</v>
      </c>
      <c r="N129" s="362" t="n"/>
      <c r="O129" s="362">
        <f>+K129-L129</f>
        <v/>
      </c>
      <c r="P129" s="362">
        <f>+K129-M129</f>
        <v/>
      </c>
      <c r="S129" s="586" t="n">
        <v>49706</v>
      </c>
      <c r="T129" s="362" t="n">
        <v>33125.19119386992</v>
      </c>
      <c r="U129" s="362" t="n">
        <v>-2026.691405704478</v>
      </c>
      <c r="V129" s="362" t="n">
        <v>7666.068959687778</v>
      </c>
      <c r="W129" s="362" t="n"/>
      <c r="X129" s="362">
        <f>+T129-U129</f>
        <v/>
      </c>
      <c r="Y129" s="362">
        <f>+T129-V129</f>
        <v/>
      </c>
    </row>
    <row r="130">
      <c r="A130" s="586" t="n">
        <v>49735</v>
      </c>
      <c r="B130" s="430" t="n">
        <v>-2621941.531464071</v>
      </c>
      <c r="C130" s="430" t="n">
        <v>15575092.02182867</v>
      </c>
      <c r="D130" s="430" t="n">
        <v>18980821.26563082</v>
      </c>
      <c r="E130" s="430" t="n"/>
      <c r="F130" s="430">
        <f>+B130-C130</f>
        <v/>
      </c>
      <c r="G130" s="430">
        <f>+B130-D130</f>
        <v/>
      </c>
      <c r="H130" s="362" t="n"/>
      <c r="I130" s="362" t="n"/>
      <c r="J130" s="586" t="n">
        <v>49735</v>
      </c>
      <c r="K130" s="362" t="n">
        <v>-700000</v>
      </c>
      <c r="L130" s="362" t="n">
        <v>-490000</v>
      </c>
      <c r="M130" s="362" t="n">
        <v>-325000</v>
      </c>
      <c r="N130" s="362" t="n"/>
      <c r="O130" s="362">
        <f>+K130-L130</f>
        <v/>
      </c>
      <c r="P130" s="362">
        <f>+K130-M130</f>
        <v/>
      </c>
      <c r="S130" s="586" t="n">
        <v>49735</v>
      </c>
      <c r="T130" s="362" t="n">
        <v>17739.3952971081</v>
      </c>
      <c r="U130" s="362" t="n">
        <v>-4287.349099600222</v>
      </c>
      <c r="V130" s="362" t="n">
        <v>-5786.81389313488</v>
      </c>
      <c r="W130" s="362" t="n"/>
      <c r="X130" s="362">
        <f>+T130-U130</f>
        <v/>
      </c>
      <c r="Y130" s="362">
        <f>+T130-V130</f>
        <v/>
      </c>
    </row>
    <row r="131">
      <c r="A131" s="586" t="n">
        <v>49766</v>
      </c>
      <c r="B131" s="430" t="n">
        <v>-2525051.955862647</v>
      </c>
      <c r="C131" s="430" t="n">
        <v>15923057.0604843</v>
      </c>
      <c r="D131" s="430" t="n">
        <v>19233333.41638571</v>
      </c>
      <c r="E131" s="430" t="n"/>
      <c r="F131" s="430">
        <f>+B131-C131</f>
        <v/>
      </c>
      <c r="G131" s="430">
        <f>+B131-D131</f>
        <v/>
      </c>
      <c r="H131" s="362" t="n"/>
      <c r="I131" s="362" t="n"/>
      <c r="J131" s="586" t="n">
        <v>49766</v>
      </c>
      <c r="K131" s="362" t="n">
        <v>-600000</v>
      </c>
      <c r="L131" s="362" t="n">
        <v>-480000</v>
      </c>
      <c r="M131" s="362" t="n">
        <v>-300000</v>
      </c>
      <c r="N131" s="362" t="n"/>
      <c r="O131" s="362">
        <f>+K131-L131</f>
        <v/>
      </c>
      <c r="P131" s="362">
        <f>+K131-M131</f>
        <v/>
      </c>
      <c r="S131" s="586" t="n">
        <v>49766</v>
      </c>
      <c r="T131" s="362" t="n">
        <v>102247.4859756726</v>
      </c>
      <c r="U131" s="362" t="n">
        <v>-6566.092055046989</v>
      </c>
      <c r="V131" s="362" t="n">
        <v>690.020664720214</v>
      </c>
      <c r="W131" s="362" t="n"/>
      <c r="X131" s="362">
        <f>+T131-U131</f>
        <v/>
      </c>
      <c r="Y131" s="362">
        <f>+T131-V131</f>
        <v/>
      </c>
    </row>
    <row r="132">
      <c r="A132" s="586" t="n">
        <v>49796</v>
      </c>
      <c r="B132" s="430" t="n">
        <v>-2344003.651820035</v>
      </c>
      <c r="C132" s="430" t="n">
        <v>16261561.37528653</v>
      </c>
      <c r="D132" s="430" t="n">
        <v>19569388.79341565</v>
      </c>
      <c r="E132" s="430" t="n"/>
      <c r="F132" s="430">
        <f>+B132-C132</f>
        <v/>
      </c>
      <c r="G132" s="430">
        <f>+B132-D132</f>
        <v/>
      </c>
      <c r="H132" s="362" t="n"/>
      <c r="I132" s="362" t="n"/>
      <c r="J132" s="586" t="n">
        <v>49796</v>
      </c>
      <c r="K132" s="362" t="n">
        <v>-500000</v>
      </c>
      <c r="L132" s="362" t="n">
        <v>-450000</v>
      </c>
      <c r="M132" s="362" t="n">
        <v>-200000</v>
      </c>
      <c r="N132" s="362" t="n"/>
      <c r="O132" s="362">
        <f>+K132-L132</f>
        <v/>
      </c>
      <c r="P132" s="362">
        <f>+K132-M132</f>
        <v/>
      </c>
      <c r="S132" s="586" t="n">
        <v>49796</v>
      </c>
      <c r="T132" s="362" t="n">
        <v>187224.1943046654</v>
      </c>
      <c r="U132" s="362" t="n">
        <v>11136.93504586275</v>
      </c>
      <c r="V132" s="362" t="n">
        <v>82218.66989903798</v>
      </c>
      <c r="W132" s="362" t="n"/>
      <c r="X132" s="362">
        <f>+T132-U132</f>
        <v/>
      </c>
      <c r="Y132" s="362">
        <f>+T132-V132</f>
        <v/>
      </c>
    </row>
    <row r="133">
      <c r="A133" s="586" t="n">
        <v>49827</v>
      </c>
      <c r="B133" s="430" t="n">
        <v>-2178782.616658673</v>
      </c>
      <c r="C133" s="430" t="n">
        <v>16590529.28044452</v>
      </c>
      <c r="D133" s="430" t="n">
        <v>19889655.74253083</v>
      </c>
      <c r="E133" s="430" t="n"/>
      <c r="F133" s="430">
        <f>+B133-C133</f>
        <v/>
      </c>
      <c r="G133" s="430">
        <f>+B133-D133</f>
        <v/>
      </c>
      <c r="H133" s="362" t="n"/>
      <c r="I133" s="362" t="n"/>
      <c r="J133" s="586" t="n">
        <v>49827</v>
      </c>
      <c r="K133" s="362" t="n">
        <v>-1380000</v>
      </c>
      <c r="L133" s="362" t="n">
        <v>-200000</v>
      </c>
      <c r="M133" s="362" t="n">
        <v>-100000</v>
      </c>
      <c r="N133" s="362" t="n"/>
      <c r="O133" s="362">
        <f>+K133-L133</f>
        <v/>
      </c>
      <c r="P133" s="362">
        <f>+K133-M133</f>
        <v/>
      </c>
      <c r="S133" s="586" t="n">
        <v>49827</v>
      </c>
      <c r="T133" s="362" t="n">
        <v>-707105.2810221473</v>
      </c>
      <c r="U133" s="362" t="n">
        <v>248981.5863635796</v>
      </c>
      <c r="V133" s="362" t="n">
        <v>164399.5483272302</v>
      </c>
      <c r="W133" s="362" t="n"/>
      <c r="X133" s="362">
        <f>+T133-U133</f>
        <v/>
      </c>
      <c r="Y133" s="362">
        <f>+T133-V133</f>
        <v/>
      </c>
    </row>
    <row r="134">
      <c r="A134" s="586" t="n">
        <v>49857</v>
      </c>
      <c r="B134" s="430" t="n">
        <v>-2029388.850378561</v>
      </c>
      <c r="C134" s="430" t="n">
        <v>16909884.48468113</v>
      </c>
      <c r="D134" s="430" t="n">
        <v>20104007.95630792</v>
      </c>
      <c r="E134" s="430" t="n"/>
      <c r="F134" s="430">
        <f>+B134-C134</f>
        <v/>
      </c>
      <c r="G134" s="430">
        <f>+B134-D134</f>
        <v/>
      </c>
      <c r="H134" s="362" t="n"/>
      <c r="I134" s="362" t="n"/>
      <c r="J134" s="586" t="n">
        <v>49857</v>
      </c>
      <c r="K134" s="362" t="n">
        <v>-800000</v>
      </c>
      <c r="L134" s="362" t="n">
        <v>-690000</v>
      </c>
      <c r="M134" s="362" t="n">
        <v>-250000</v>
      </c>
      <c r="N134" s="362" t="n"/>
      <c r="O134" s="362">
        <f>+K134-L134</f>
        <v/>
      </c>
      <c r="P134" s="362">
        <f>+K134-M134</f>
        <v/>
      </c>
      <c r="S134" s="586" t="n">
        <v>49857</v>
      </c>
      <c r="T134" s="362" t="n">
        <v>-148589.3921515745</v>
      </c>
      <c r="U134" s="362" t="n">
        <v>-251271.0051081617</v>
      </c>
      <c r="V134" s="362" t="n">
        <v>-2762.126217151876</v>
      </c>
      <c r="W134" s="362" t="n"/>
      <c r="X134" s="362">
        <f>+T134-U134</f>
        <v/>
      </c>
      <c r="Y134" s="362">
        <f>+T134-V134</f>
        <v/>
      </c>
    </row>
    <row r="135">
      <c r="A135" s="586" t="n">
        <v>49888</v>
      </c>
      <c r="B135" s="430" t="n">
        <v>-1895822.352979699</v>
      </c>
      <c r="C135" s="430" t="n">
        <v>17219550.08638898</v>
      </c>
      <c r="D135" s="430" t="n">
        <v>20291044.92466424</v>
      </c>
      <c r="E135" s="430" t="n"/>
      <c r="F135" s="430">
        <f>+B135-C135</f>
        <v/>
      </c>
      <c r="G135" s="430">
        <f>+B135-D135</f>
        <v/>
      </c>
      <c r="H135" s="362" t="n"/>
      <c r="I135" s="362" t="n"/>
      <c r="J135" s="586" t="n">
        <v>49888</v>
      </c>
      <c r="K135" s="362" t="n">
        <v>-500000</v>
      </c>
      <c r="L135" s="362" t="n">
        <v>-400000</v>
      </c>
      <c r="M135" s="362" t="n">
        <v>-250000</v>
      </c>
      <c r="N135" s="362" t="n"/>
      <c r="O135" s="362">
        <f>+K135-L135</f>
        <v/>
      </c>
      <c r="P135" s="362">
        <f>+K135-M135</f>
        <v/>
      </c>
      <c r="S135" s="586" t="n">
        <v>49888</v>
      </c>
      <c r="T135" s="362" t="n">
        <v>134394.6238299629</v>
      </c>
      <c r="U135" s="362" t="n">
        <v>24474.38268832309</v>
      </c>
      <c r="V135" s="362" t="n">
        <v>-21814.28635788913</v>
      </c>
      <c r="W135" s="362" t="n"/>
      <c r="X135" s="362">
        <f>+T135-U135</f>
        <v/>
      </c>
      <c r="Y135" s="362">
        <f>+T135-V135</f>
        <v/>
      </c>
    </row>
    <row r="136">
      <c r="A136" s="586" t="n">
        <v>49919</v>
      </c>
      <c r="B136" s="430" t="n">
        <v>-1778083.124462087</v>
      </c>
      <c r="C136" s="430" t="n">
        <v>17519096.53734784</v>
      </c>
      <c r="D136" s="430" t="n">
        <v>20560585.4661099</v>
      </c>
      <c r="E136" s="430" t="n"/>
      <c r="F136" s="430">
        <f>+B136-C136</f>
        <v/>
      </c>
      <c r="G136" s="430">
        <f>+B136-D136</f>
        <v/>
      </c>
      <c r="H136" s="362" t="n"/>
      <c r="I136" s="362" t="n"/>
      <c r="J136" s="586" t="n">
        <v>49919</v>
      </c>
      <c r="K136" s="362" t="n">
        <v>-500000</v>
      </c>
      <c r="L136" s="362" t="n">
        <v>-400000</v>
      </c>
      <c r="M136" s="362" t="n">
        <v>-250000</v>
      </c>
      <c r="N136" s="362" t="n"/>
      <c r="O136" s="362">
        <f>+K136-L136</f>
        <v/>
      </c>
      <c r="P136" s="362">
        <f>+K136-M136</f>
        <v/>
      </c>
      <c r="S136" s="586" t="n">
        <v>49919</v>
      </c>
      <c r="T136" s="362" t="n">
        <v>119642.5119393526</v>
      </c>
      <c r="U136" s="362" t="n">
        <v>12073.70218717953</v>
      </c>
      <c r="V136" s="362" t="n">
        <v>-40981.52330625223</v>
      </c>
      <c r="W136" s="362" t="n"/>
      <c r="X136" s="362">
        <f>+T136-U136</f>
        <v/>
      </c>
      <c r="Y136" s="362">
        <f>+T136-V136</f>
        <v/>
      </c>
    </row>
    <row r="137">
      <c r="A137" s="586" t="n">
        <v>49949</v>
      </c>
      <c r="B137" s="430" t="n">
        <v>-1676171.164825724</v>
      </c>
      <c r="C137" s="430" t="n">
        <v>17858466.64647122</v>
      </c>
      <c r="D137" s="430" t="n">
        <v>20813289.60922963</v>
      </c>
      <c r="E137" s="430" t="n"/>
      <c r="F137" s="430">
        <f>+B137-C137</f>
        <v/>
      </c>
      <c r="G137" s="430">
        <f>+B137-D137</f>
        <v/>
      </c>
      <c r="H137" s="362" t="n"/>
      <c r="I137" s="362" t="n"/>
      <c r="J137" s="586" t="n">
        <v>49949</v>
      </c>
      <c r="K137" s="362" t="n">
        <v>-500000</v>
      </c>
      <c r="L137" s="362" t="n">
        <v>-440000</v>
      </c>
      <c r="M137" s="362" t="n">
        <v>-250000</v>
      </c>
      <c r="N137" s="362" t="n"/>
      <c r="O137" s="362">
        <f>+K137-L137</f>
        <v/>
      </c>
      <c r="P137" s="362">
        <f>+K137-M137</f>
        <v/>
      </c>
      <c r="S137" s="586" t="n">
        <v>49949</v>
      </c>
      <c r="T137" s="362" t="n">
        <v>104772.3831536176</v>
      </c>
      <c r="U137" s="362" t="n">
        <v>-40402.421638473</v>
      </c>
      <c r="V137" s="362" t="n">
        <v>-60302.09815020236</v>
      </c>
      <c r="W137" s="362" t="n"/>
      <c r="X137" s="362">
        <f>+T137-U137</f>
        <v/>
      </c>
      <c r="Y137" s="362">
        <f>+T137-V137</f>
        <v/>
      </c>
    </row>
    <row r="138">
      <c r="A138" s="586" t="n">
        <v>49980</v>
      </c>
      <c r="B138" s="430" t="n">
        <v>-1590086.474070612</v>
      </c>
      <c r="C138" s="430" t="n">
        <v>18187979.00302444</v>
      </c>
      <c r="D138" s="430" t="n">
        <v>21049022.66283682</v>
      </c>
      <c r="E138" s="430" t="n"/>
      <c r="F138" s="430">
        <f>+B138-C138</f>
        <v/>
      </c>
      <c r="G138" s="430">
        <f>+B138-D138</f>
        <v/>
      </c>
      <c r="H138" s="362" t="n"/>
      <c r="I138" s="362" t="n"/>
      <c r="J138" s="586" t="n">
        <v>49980</v>
      </c>
      <c r="K138" s="362" t="n">
        <v>-500000</v>
      </c>
      <c r="L138" s="362" t="n">
        <v>-390000</v>
      </c>
      <c r="M138" s="362" t="n">
        <v>-250000</v>
      </c>
      <c r="N138" s="362" t="n"/>
      <c r="O138" s="362">
        <f>+K138-L138</f>
        <v/>
      </c>
      <c r="P138" s="362">
        <f>+K138-M138</f>
        <v/>
      </c>
      <c r="S138" s="586" t="n">
        <v>49980</v>
      </c>
      <c r="T138" s="362" t="n">
        <v>89783.29333759658</v>
      </c>
      <c r="U138" s="362" t="n">
        <v>-3298.354454730754</v>
      </c>
      <c r="V138" s="362" t="n">
        <v>-79777.23759290396</v>
      </c>
      <c r="W138" s="362" t="n"/>
      <c r="X138" s="362">
        <f>+T138-U138</f>
        <v/>
      </c>
      <c r="Y138" s="362">
        <f>+T138-V138</f>
        <v/>
      </c>
    </row>
    <row r="139">
      <c r="A139" s="586" t="n">
        <v>50010</v>
      </c>
      <c r="B139" s="430" t="n">
        <v>-1519829.05219675</v>
      </c>
      <c r="C139" s="430" t="n">
        <v>18507554.74498694</v>
      </c>
      <c r="D139" s="430" t="n">
        <v>21267648.85821537</v>
      </c>
      <c r="E139" s="430" t="n"/>
      <c r="F139" s="430">
        <f>+B139-C139</f>
        <v/>
      </c>
      <c r="G139" s="430">
        <f>+B139-D139</f>
        <v/>
      </c>
      <c r="H139" s="362" t="n"/>
      <c r="I139" s="362" t="n"/>
      <c r="J139" s="586" t="n">
        <v>50010</v>
      </c>
      <c r="K139" s="362" t="n">
        <v>-500000</v>
      </c>
      <c r="L139" s="362" t="n">
        <v>-370000</v>
      </c>
      <c r="M139" s="362" t="n">
        <v>-190000</v>
      </c>
      <c r="N139" s="362" t="n"/>
      <c r="O139" s="362">
        <f>+K139-L139</f>
        <v/>
      </c>
      <c r="P139" s="362">
        <f>+K139-M139</f>
        <v/>
      </c>
      <c r="S139" s="586" t="n">
        <v>50010</v>
      </c>
      <c r="T139" s="362" t="n">
        <v>74674.29080304748</v>
      </c>
      <c r="U139" s="362" t="n">
        <v>4102.545266481233</v>
      </c>
      <c r="V139" s="362" t="n">
        <v>-39408.17815114721</v>
      </c>
      <c r="W139" s="362" t="n"/>
      <c r="X139" s="362">
        <f>+T139-U139</f>
        <v/>
      </c>
      <c r="Y139" s="362">
        <f>+T139-V139</f>
        <v/>
      </c>
    </row>
    <row r="140">
      <c r="A140" s="586" t="n">
        <v>50041</v>
      </c>
      <c r="B140" s="430" t="n">
        <v>-1365650.350204138</v>
      </c>
      <c r="C140" s="430" t="n">
        <v>18817114.37944198</v>
      </c>
      <c r="D140" s="430" t="n">
        <v>21518478.14829944</v>
      </c>
      <c r="E140" s="430" t="n"/>
      <c r="F140" s="430">
        <f>+B140-C140</f>
        <v/>
      </c>
      <c r="G140" s="430">
        <f>+B140-D140</f>
        <v/>
      </c>
      <c r="H140" s="362" t="n"/>
      <c r="I140" s="362" t="n"/>
      <c r="J140" s="586" t="n">
        <v>50041</v>
      </c>
      <c r="K140" s="362" t="n">
        <v>-400000</v>
      </c>
      <c r="L140" s="362" t="n">
        <v>-360000</v>
      </c>
      <c r="M140" s="362" t="n">
        <v>-50000</v>
      </c>
      <c r="N140" s="362" t="n"/>
      <c r="O140" s="362">
        <f>+K140-L140</f>
        <v/>
      </c>
      <c r="P140" s="362">
        <f>+K140-M140</f>
        <v/>
      </c>
      <c r="S140" s="586" t="n">
        <v>50041</v>
      </c>
      <c r="T140" s="362" t="n">
        <v>159192.965248222</v>
      </c>
      <c r="U140" s="362" t="n">
        <v>1562.652185463114</v>
      </c>
      <c r="V140" s="362" t="n">
        <v>80730.64156614363</v>
      </c>
      <c r="W140" s="362" t="n"/>
      <c r="X140" s="362">
        <f>+T140-U140</f>
        <v/>
      </c>
      <c r="Y140" s="362">
        <f>+T140-V140</f>
        <v/>
      </c>
    </row>
    <row r="141">
      <c r="A141" s="586" t="n">
        <v>50072</v>
      </c>
      <c r="B141" s="430" t="n">
        <v>-1227533.395150275</v>
      </c>
      <c r="C141" s="430" t="n">
        <v>19116577.77752952</v>
      </c>
      <c r="D141" s="430" t="n">
        <v>21751805.49832018</v>
      </c>
      <c r="E141" s="430" t="n"/>
      <c r="F141" s="430">
        <f>+B141-C141</f>
        <v/>
      </c>
      <c r="G141" s="430">
        <f>+B141-D141</f>
        <v/>
      </c>
      <c r="H141" s="362" t="n"/>
      <c r="I141" s="362" t="n"/>
      <c r="J141" s="586" t="n">
        <v>50072</v>
      </c>
      <c r="K141" s="362" t="n">
        <v>-800000</v>
      </c>
      <c r="L141" s="362" t="n">
        <v>-350000</v>
      </c>
      <c r="M141" s="362" t="n">
        <v>-50000</v>
      </c>
      <c r="N141" s="362" t="n"/>
      <c r="O141" s="362">
        <f>+K141-L141</f>
        <v/>
      </c>
      <c r="P141" s="362">
        <f>+K141-M141</f>
        <v/>
      </c>
      <c r="S141" s="586" t="n">
        <v>50072</v>
      </c>
      <c r="T141" s="362" t="n">
        <v>-255595.2379685423</v>
      </c>
      <c r="U141" s="362" t="n">
        <v>-997.5600402032142</v>
      </c>
      <c r="V141" s="362" t="n">
        <v>61867.91231467279</v>
      </c>
      <c r="W141" s="362" t="n"/>
      <c r="X141" s="362">
        <f>+T141-U141</f>
        <v/>
      </c>
      <c r="Y141" s="362">
        <f>+T141-V141</f>
        <v/>
      </c>
    </row>
    <row r="142">
      <c r="A142" s="586" t="n">
        <v>50100</v>
      </c>
      <c r="B142" s="430" t="n">
        <v>-1105685.634110163</v>
      </c>
      <c r="C142" s="430" t="n">
        <v>19405864.1693586</v>
      </c>
      <c r="D142" s="430" t="n">
        <v>21967490.89275709</v>
      </c>
      <c r="E142" s="430" t="n"/>
      <c r="F142" s="430">
        <f>+B142-C142</f>
        <v/>
      </c>
      <c r="G142" s="430">
        <f>+B142-D142</f>
        <v/>
      </c>
      <c r="H142" s="362" t="n"/>
      <c r="I142" s="362" t="n"/>
      <c r="J142" s="586" t="n">
        <v>50100</v>
      </c>
      <c r="K142" s="362" t="n">
        <v>-800000</v>
      </c>
      <c r="L142" s="362" t="n">
        <v>-340000</v>
      </c>
      <c r="M142" s="362" t="n">
        <v>-50000</v>
      </c>
      <c r="N142" s="362" t="n"/>
      <c r="O142" s="362">
        <f>+K142-L142</f>
        <v/>
      </c>
      <c r="P142" s="362">
        <f>+K142-M142</f>
        <v/>
      </c>
      <c r="S142" s="586" t="n">
        <v>50100</v>
      </c>
      <c r="T142" s="362" t="n">
        <v>-273909.1938860407</v>
      </c>
      <c r="U142" s="362" t="n">
        <v>-3578.253963674826</v>
      </c>
      <c r="V142" s="362" t="n">
        <v>42854.28122919017</v>
      </c>
      <c r="W142" s="362" t="n"/>
      <c r="X142" s="362">
        <f>+T142-U142</f>
        <v/>
      </c>
      <c r="Y142" s="362">
        <f>+T142-V142</f>
        <v/>
      </c>
    </row>
    <row r="143">
      <c r="A143" s="586" t="n">
        <v>50131</v>
      </c>
      <c r="B143" s="430" t="n">
        <v>-900093.064406238</v>
      </c>
      <c r="C143" s="430" t="n">
        <v>19684504.90433917</v>
      </c>
      <c r="D143" s="430" t="n">
        <v>22165393.1959655</v>
      </c>
      <c r="E143" s="430" t="n"/>
      <c r="F143" s="430">
        <f>+B143-C143</f>
        <v/>
      </c>
      <c r="G143" s="430">
        <f>+B143-D143</f>
        <v/>
      </c>
      <c r="H143" s="362" t="n"/>
      <c r="I143" s="362" t="n"/>
      <c r="J143" s="586" t="n">
        <v>50131</v>
      </c>
      <c r="K143" s="362" t="n">
        <v>-500000</v>
      </c>
      <c r="L143" s="362" t="n">
        <v>-320000</v>
      </c>
      <c r="M143" s="362" t="n">
        <v>-40000</v>
      </c>
      <c r="N143" s="362" t="n"/>
      <c r="O143" s="362">
        <f>+K143-L143</f>
        <v/>
      </c>
      <c r="P143" s="362">
        <f>+K143-M143</f>
        <v/>
      </c>
      <c r="S143" s="586" t="n">
        <v>50131</v>
      </c>
      <c r="T143" s="362" t="n">
        <v>7644.34122668358</v>
      </c>
      <c r="U143" s="362" t="n">
        <v>3433.172021465667</v>
      </c>
      <c r="V143" s="362" t="n">
        <v>33688.54109502371</v>
      </c>
      <c r="W143" s="362" t="n"/>
      <c r="X143" s="362">
        <f>+T143-U143</f>
        <v/>
      </c>
      <c r="Y143" s="362">
        <f>+T143-V143</f>
        <v/>
      </c>
    </row>
    <row r="144">
      <c r="A144" s="586" t="n">
        <v>50161</v>
      </c>
      <c r="B144" s="430" t="n">
        <v>-710755.6860385006</v>
      </c>
      <c r="C144" s="430" t="n">
        <v>19952440.95554788</v>
      </c>
      <c r="D144" s="430" t="n">
        <v>22345370.14321557</v>
      </c>
      <c r="E144" s="430" t="n"/>
      <c r="F144" s="430">
        <f>+B144-C144</f>
        <v/>
      </c>
      <c r="G144" s="430">
        <f>+B144-D144</f>
        <v/>
      </c>
      <c r="H144" s="362" t="n"/>
      <c r="I144" s="362" t="n"/>
      <c r="J144" s="586" t="n">
        <v>50161</v>
      </c>
      <c r="K144" s="362" t="n">
        <v>-500000</v>
      </c>
      <c r="L144" s="362" t="n">
        <v>-180000</v>
      </c>
      <c r="M144" s="362" t="n">
        <v>-30000</v>
      </c>
      <c r="N144" s="362" t="n"/>
      <c r="O144" s="362">
        <f>+K144-L144</f>
        <v/>
      </c>
      <c r="P144" s="362">
        <f>+K144-M144</f>
        <v/>
      </c>
      <c r="S144" s="586" t="n">
        <v>50161</v>
      </c>
      <c r="T144" s="362" t="n">
        <v>-8549.6953796905</v>
      </c>
      <c r="U144" s="362" t="n">
        <v>130526.8277459374</v>
      </c>
      <c r="V144" s="362" t="n">
        <v>24449.47503978388</v>
      </c>
      <c r="W144" s="362" t="n"/>
      <c r="X144" s="362">
        <f>+T144-U144</f>
        <v/>
      </c>
      <c r="Y144" s="362">
        <f>+T144-V144</f>
        <v/>
      </c>
    </row>
    <row r="145">
      <c r="A145" s="586" t="n">
        <v>50192</v>
      </c>
      <c r="B145" s="430" t="n">
        <v>-537673.4990069508</v>
      </c>
      <c r="C145" s="430" t="n">
        <v>20209586.68551456</v>
      </c>
      <c r="D145" s="430" t="n">
        <v>22526725.13945965</v>
      </c>
      <c r="E145" s="430" t="n"/>
      <c r="F145" s="430">
        <f>+B145-C145</f>
        <v/>
      </c>
      <c r="G145" s="430">
        <f>+B145-D145</f>
        <v/>
      </c>
      <c r="H145" s="362" t="n"/>
      <c r="I145" s="362" t="n"/>
      <c r="J145" s="586" t="n">
        <v>50192</v>
      </c>
      <c r="K145" s="362" t="n">
        <v>-480000</v>
      </c>
      <c r="L145" s="362" t="n">
        <v>-180000</v>
      </c>
      <c r="M145" s="362" t="n">
        <v>-30000</v>
      </c>
      <c r="N145" s="362" t="n"/>
      <c r="O145" s="362">
        <f>+K145-L145</f>
        <v/>
      </c>
      <c r="P145" s="362">
        <f>+K145-M145</f>
        <v/>
      </c>
      <c r="S145" s="586" t="n">
        <v>50192</v>
      </c>
      <c r="T145" s="362" t="n">
        <v>-4873.284278915497</v>
      </c>
      <c r="U145" s="362" t="n">
        <v>118637.232716205</v>
      </c>
      <c r="V145" s="362" t="n">
        <v>4583.304256102161</v>
      </c>
      <c r="W145" s="362" t="n"/>
      <c r="X145" s="362">
        <f>+T145-U145</f>
        <v/>
      </c>
      <c r="Y145" s="362">
        <f>+T145-V145</f>
        <v/>
      </c>
    </row>
    <row r="146">
      <c r="A146" s="586" t="n">
        <v>50222</v>
      </c>
      <c r="B146" s="430" t="n">
        <v>-380846.5033115884</v>
      </c>
      <c r="C146" s="430" t="n">
        <v>20505855.77166928</v>
      </c>
      <c r="D146" s="430" t="n">
        <v>22690235.04956317</v>
      </c>
      <c r="E146" s="430" t="n"/>
      <c r="F146" s="430">
        <f>+B146-C146</f>
        <v/>
      </c>
      <c r="G146" s="430">
        <f>+B146-D146</f>
        <v/>
      </c>
      <c r="H146" s="362" t="n"/>
      <c r="I146" s="362" t="n"/>
      <c r="J146" s="586" t="n">
        <v>50222</v>
      </c>
      <c r="K146" s="362" t="n">
        <v>-500000</v>
      </c>
      <c r="L146" s="362" t="n">
        <v>-540000</v>
      </c>
      <c r="M146" s="362" t="n">
        <v>-38000</v>
      </c>
      <c r="N146" s="362" t="n"/>
      <c r="O146" s="362">
        <f>+K146-L146</f>
        <v/>
      </c>
      <c r="P146" s="362">
        <f>+K146-M146</f>
        <v/>
      </c>
      <c r="S146" s="586" t="n">
        <v>50222</v>
      </c>
      <c r="T146" s="362" t="n">
        <v>-41167.46188933431</v>
      </c>
      <c r="U146" s="362" t="n">
        <v>-253347.4790737653</v>
      </c>
      <c r="V146" s="362" t="n">
        <v>-23404.45542034903</v>
      </c>
      <c r="W146" s="362" t="n"/>
      <c r="X146" s="362">
        <f>+T146-U146</f>
        <v/>
      </c>
      <c r="Y146" s="362">
        <f>+T146-V146</f>
        <v/>
      </c>
    </row>
    <row r="147">
      <c r="A147" s="586" t="n">
        <v>50253</v>
      </c>
      <c r="B147" s="430" t="n">
        <v>-235443.0679874135</v>
      </c>
      <c r="C147" s="430" t="n">
        <v>20791561.20086153</v>
      </c>
      <c r="D147" s="430" t="n">
        <v>22870742.28745703</v>
      </c>
      <c r="E147" s="430" t="n"/>
      <c r="F147" s="430">
        <f>+B147-C147</f>
        <v/>
      </c>
      <c r="G147" s="430">
        <f>+B147-D147</f>
        <v/>
      </c>
      <c r="H147" s="362" t="n"/>
      <c r="I147" s="362" t="n"/>
      <c r="J147" s="586" t="n">
        <v>50253</v>
      </c>
      <c r="K147" s="362" t="n">
        <v>-500000</v>
      </c>
      <c r="L147" s="362" t="n">
        <v>-270000</v>
      </c>
      <c r="M147" s="362" t="n">
        <v>0</v>
      </c>
      <c r="N147" s="362" t="n"/>
      <c r="O147" s="362">
        <f>+K147-L147</f>
        <v/>
      </c>
      <c r="P147" s="362">
        <f>+K147-M147</f>
        <v/>
      </c>
      <c r="S147" s="586" t="n">
        <v>50253</v>
      </c>
      <c r="T147" s="362" t="n">
        <v>-52920.36195563647</v>
      </c>
      <c r="U147" s="362" t="n">
        <v>1691.931441944558</v>
      </c>
      <c r="V147" s="362" t="n">
        <v>826.0574457881742</v>
      </c>
      <c r="W147" s="362" t="n"/>
      <c r="X147" s="362">
        <f>+T147-U147</f>
        <v/>
      </c>
      <c r="Y147" s="362">
        <f>+T147-V147</f>
        <v/>
      </c>
    </row>
    <row r="148">
      <c r="A148" s="586" t="n">
        <v>50284</v>
      </c>
      <c r="B148" s="430" t="n">
        <v>-98568.2408145637</v>
      </c>
      <c r="C148" s="430" t="n">
        <v>21066618.46383562</v>
      </c>
      <c r="D148" s="430" t="n">
        <v>23053708.22575669</v>
      </c>
      <c r="E148" s="430" t="n"/>
      <c r="F148" s="430">
        <f>+B148-C148</f>
        <v/>
      </c>
      <c r="G148" s="430">
        <f>+B148-D148</f>
        <v/>
      </c>
      <c r="H148" s="362" t="n"/>
      <c r="I148" s="362" t="n"/>
      <c r="J148" s="586" t="n">
        <v>50284</v>
      </c>
      <c r="K148" s="362" t="n">
        <v>-500000</v>
      </c>
      <c r="L148" s="362" t="n">
        <v>-260000</v>
      </c>
      <c r="M148" s="362" t="n"/>
      <c r="N148" s="362" t="n"/>
      <c r="O148" s="362">
        <f>+K148-L148</f>
        <v/>
      </c>
      <c r="P148" s="362">
        <f>+K148-M148</f>
        <v/>
      </c>
      <c r="S148" s="586" t="n">
        <v>50284</v>
      </c>
      <c r="T148" s="362" t="n">
        <v>-61872.33300260664</v>
      </c>
      <c r="U148" s="362" t="n">
        <v>-1228.342758219922</v>
      </c>
      <c r="V148" s="362" t="n">
        <v>1847.30840800448</v>
      </c>
      <c r="W148" s="362" t="n"/>
      <c r="X148" s="362">
        <f>+T148-U148</f>
        <v/>
      </c>
      <c r="Y148" s="362">
        <f>+T148-V148</f>
        <v/>
      </c>
    </row>
    <row r="149">
      <c r="A149" s="586" t="n">
        <v>50314</v>
      </c>
      <c r="B149" s="430" t="n">
        <v>129560.5548135361</v>
      </c>
      <c r="C149" s="430" t="n">
        <v>21330942.37526181</v>
      </c>
      <c r="D149" s="430" t="n">
        <v>23238137.89156274</v>
      </c>
      <c r="E149" s="430" t="n"/>
      <c r="F149" s="430">
        <f>+B149-C149</f>
        <v/>
      </c>
      <c r="G149" s="430">
        <f>+B149-D149</f>
        <v/>
      </c>
      <c r="H149" s="362" t="n"/>
      <c r="I149" s="362" t="n"/>
      <c r="J149" s="586" t="n">
        <v>50314</v>
      </c>
      <c r="K149" s="362" t="n">
        <v>-200000</v>
      </c>
      <c r="L149" s="362" t="n">
        <v>-240000</v>
      </c>
      <c r="M149" s="362" t="n"/>
      <c r="N149" s="362" t="n"/>
      <c r="O149" s="362">
        <f>+K149-L149</f>
        <v/>
      </c>
      <c r="P149" s="362">
        <f>+K149-M149</f>
        <v/>
      </c>
      <c r="S149" s="586" t="n">
        <v>50314</v>
      </c>
      <c r="T149" s="362" t="n">
        <v>228886.6567886225</v>
      </c>
      <c r="U149" s="362" t="n">
        <v>5828.020848014479</v>
      </c>
      <c r="V149" s="362" t="n">
        <v>1862.086875268516</v>
      </c>
      <c r="W149" s="362" t="n"/>
      <c r="X149" s="362">
        <f>+T149-U149</f>
        <v/>
      </c>
      <c r="Y149" s="362">
        <f>+T149-V149</f>
        <v/>
      </c>
    </row>
    <row r="150">
      <c r="A150" s="586" t="n">
        <v>50345</v>
      </c>
      <c r="B150" s="430" t="n">
        <v>349728.3523353943</v>
      </c>
      <c r="C150" s="430" t="n">
        <v>21584059.83378771</v>
      </c>
      <c r="D150" s="430" t="n">
        <v>23424042.99469524</v>
      </c>
      <c r="E150" s="430" t="n"/>
      <c r="F150" s="430">
        <f>+B150-C150</f>
        <v/>
      </c>
      <c r="G150" s="430">
        <f>+B150-D150</f>
        <v/>
      </c>
      <c r="H150" s="362" t="n"/>
      <c r="I150" s="362" t="n"/>
      <c r="J150" s="586" t="n">
        <v>50345</v>
      </c>
      <c r="K150" s="362" t="n">
        <v>-600000</v>
      </c>
      <c r="L150" s="362" t="n">
        <v>-240000</v>
      </c>
      <c r="M150" s="362" t="n"/>
      <c r="N150" s="362" t="n"/>
      <c r="O150" s="362">
        <f>+K150-L150</f>
        <v/>
      </c>
      <c r="P150" s="362">
        <f>+K150-M150</f>
        <v/>
      </c>
      <c r="S150" s="586" t="n">
        <v>50345</v>
      </c>
      <c r="T150" s="362" t="n">
        <v>-178279.7325018183</v>
      </c>
      <c r="U150" s="362" t="n">
        <v>-7446.399176901556</v>
      </c>
      <c r="V150" s="362" t="n">
        <v>1876.983570270664</v>
      </c>
      <c r="W150" s="362" t="n"/>
      <c r="X150" s="362">
        <f>+T150-U150</f>
        <v/>
      </c>
      <c r="Y150" s="362">
        <f>+T150-V150</f>
        <v/>
      </c>
    </row>
    <row r="151">
      <c r="A151" s="586" t="n">
        <v>50375</v>
      </c>
      <c r="B151" s="430" t="n">
        <v>562676.9826351772</v>
      </c>
      <c r="C151" s="430" t="n">
        <v>21825907.32612156</v>
      </c>
      <c r="D151" s="430" t="n">
        <v>23611435.3386528</v>
      </c>
      <c r="E151" s="430" t="n"/>
      <c r="F151" s="430">
        <f>+B151-C151</f>
        <v/>
      </c>
      <c r="G151" s="430">
        <f>+B151-D151</f>
        <v/>
      </c>
      <c r="H151" s="362" t="n"/>
      <c r="I151" s="362" t="n"/>
      <c r="J151" s="586" t="n">
        <v>50375</v>
      </c>
      <c r="K151" s="362" t="n">
        <v>-200000</v>
      </c>
      <c r="L151" s="362" t="n">
        <v>-210000</v>
      </c>
      <c r="M151" s="362" t="n"/>
      <c r="N151" s="362" t="n"/>
      <c r="O151" s="362">
        <f>+K151-L151</f>
        <v/>
      </c>
      <c r="P151" s="362">
        <f>+K151-M151</f>
        <v/>
      </c>
      <c r="S151" s="586" t="n">
        <v>50375</v>
      </c>
      <c r="T151" s="362" t="n">
        <v>211313.5200359169</v>
      </c>
      <c r="U151" s="362" t="n">
        <v>9199.123769433354</v>
      </c>
      <c r="V151" s="362" t="n">
        <v>1891.999438832829</v>
      </c>
      <c r="W151" s="362" t="n"/>
      <c r="X151" s="362">
        <f>+T151-U151</f>
        <v/>
      </c>
      <c r="Y151" s="362">
        <f>+T151-V151</f>
        <v/>
      </c>
    </row>
    <row r="152">
      <c r="A152" s="586" t="n">
        <v>50406</v>
      </c>
      <c r="B152" s="430" t="n">
        <v>768348.6923751085</v>
      </c>
      <c r="C152" s="430" t="n">
        <v>22056394.69253383</v>
      </c>
      <c r="D152" s="430" t="n">
        <v>23800326.82136203</v>
      </c>
      <c r="E152" s="430" t="n"/>
      <c r="F152" s="430">
        <f>+B152-C152</f>
        <v/>
      </c>
      <c r="G152" s="430">
        <f>+B152-D152</f>
        <v/>
      </c>
      <c r="H152" s="362" t="n"/>
      <c r="I152" s="362" t="n"/>
      <c r="J152" s="586" t="n">
        <v>50406</v>
      </c>
      <c r="K152" s="362" t="n">
        <v>-600000</v>
      </c>
      <c r="L152" s="362" t="n">
        <v>-215000</v>
      </c>
      <c r="M152" s="362" t="n">
        <v>0</v>
      </c>
      <c r="N152" s="362" t="n"/>
      <c r="O152" s="362">
        <f>+K152-L152</f>
        <v/>
      </c>
      <c r="P152" s="362">
        <f>+K152-M152</f>
        <v/>
      </c>
      <c r="S152" s="586" t="n">
        <v>50406</v>
      </c>
      <c r="T152" s="362" t="n">
        <v>-195976.4814060457</v>
      </c>
      <c r="U152" s="362" t="n">
        <v>-9022.189100661228</v>
      </c>
      <c r="V152" s="362" t="n">
        <v>1907.135434343492</v>
      </c>
      <c r="W152" s="362" t="n"/>
      <c r="X152" s="362">
        <f>+T152-U152</f>
        <v/>
      </c>
      <c r="Y152" s="362">
        <f>+T152-V152</f>
        <v/>
      </c>
    </row>
    <row r="153">
      <c r="A153" s="586" t="n">
        <v>50437</v>
      </c>
      <c r="B153" s="430" t="n">
        <v>966685.2661907091</v>
      </c>
      <c r="C153" s="430" t="n">
        <v>22275431.05201715</v>
      </c>
      <c r="D153" s="430" t="n">
        <v>23990729.43593292</v>
      </c>
      <c r="E153" s="430" t="n"/>
      <c r="F153" s="430">
        <f>+B153-C153</f>
        <v/>
      </c>
      <c r="G153" s="430">
        <f>+B153-D153</f>
        <v/>
      </c>
      <c r="H153" s="362" t="n"/>
      <c r="I153" s="362" t="n"/>
      <c r="J153" s="586" t="n">
        <v>50437</v>
      </c>
      <c r="K153" s="362" t="n">
        <v>-200000</v>
      </c>
      <c r="L153" s="362" t="n">
        <v>-190000</v>
      </c>
      <c r="M153" s="362" t="n">
        <v>0</v>
      </c>
      <c r="N153" s="362" t="n"/>
      <c r="O153" s="362">
        <f>+K153-L153</f>
        <v/>
      </c>
      <c r="P153" s="362">
        <f>+K153-M153</f>
        <v/>
      </c>
      <c r="S153" s="586" t="n">
        <v>50437</v>
      </c>
      <c r="T153" s="362" t="n">
        <v>193475.1971404559</v>
      </c>
      <c r="U153" s="362" t="n">
        <v>2610.727526283532</v>
      </c>
      <c r="V153" s="362" t="n">
        <v>1922.39251781824</v>
      </c>
      <c r="W153" s="362" t="n"/>
      <c r="X153" s="362">
        <f>+T153-U153</f>
        <v/>
      </c>
      <c r="Y153" s="362">
        <f>+T153-V153</f>
        <v/>
      </c>
    </row>
    <row r="154">
      <c r="A154" s="586" t="n">
        <v>50465</v>
      </c>
      <c r="B154" s="430" t="n">
        <v>1157628.022994585</v>
      </c>
      <c r="C154" s="430" t="n">
        <v>22562924.79651609</v>
      </c>
      <c r="D154" s="430" t="n">
        <v>24182655.27142039</v>
      </c>
      <c r="E154" s="430" t="n"/>
      <c r="F154" s="430">
        <f>+B154-C154</f>
        <v/>
      </c>
      <c r="G154" s="430">
        <f>+B154-D154</f>
        <v/>
      </c>
      <c r="H154" s="362" t="n"/>
      <c r="I154" s="362" t="n"/>
      <c r="J154" s="586" t="n">
        <v>50465</v>
      </c>
      <c r="K154" s="362" t="n">
        <v>-500000</v>
      </c>
      <c r="L154" s="362" t="n">
        <v>-180000</v>
      </c>
      <c r="M154" s="362" t="n">
        <v>0</v>
      </c>
      <c r="N154" s="362" t="n"/>
      <c r="O154" s="362">
        <f>+K154-L154</f>
        <v/>
      </c>
      <c r="P154" s="362">
        <f>+K154-M154</f>
        <v/>
      </c>
      <c r="S154" s="586" t="n">
        <v>50465</v>
      </c>
      <c r="T154" s="362" t="n">
        <v>-113957.5108846705</v>
      </c>
      <c r="U154" s="362" t="n">
        <v>-663.2925137562561</v>
      </c>
      <c r="V154" s="362" t="n">
        <v>1937.771657960786</v>
      </c>
      <c r="W154" s="362" t="n"/>
      <c r="X154" s="362">
        <f>+T154-U154</f>
        <v/>
      </c>
      <c r="Y154" s="362">
        <f>+T154-V154</f>
        <v/>
      </c>
    </row>
    <row r="155">
      <c r="A155" s="586" t="n">
        <v>50496</v>
      </c>
      <c r="B155" s="430" t="n">
        <v>1341117.812250641</v>
      </c>
      <c r="C155" s="430" t="n">
        <v>22839423.58511076</v>
      </c>
      <c r="D155" s="430" t="n">
        <v>24376116.51359175</v>
      </c>
      <c r="E155" s="430" t="n"/>
      <c r="F155" s="430">
        <f>+B155-C155</f>
        <v/>
      </c>
      <c r="G155" s="430">
        <f>+B155-D155</f>
        <v/>
      </c>
      <c r="H155" s="362" t="n"/>
      <c r="I155" s="362" t="n"/>
      <c r="J155" s="586" t="n">
        <v>50496</v>
      </c>
      <c r="K155" s="362" t="n">
        <v>-500000</v>
      </c>
      <c r="L155" s="362" t="n">
        <v>-70000</v>
      </c>
      <c r="M155" s="362" t="n">
        <v>0</v>
      </c>
      <c r="N155" s="362" t="n"/>
      <c r="O155" s="362">
        <f>+K155-L155</f>
        <v/>
      </c>
      <c r="P155" s="362">
        <f>+K155-M155</f>
        <v/>
      </c>
      <c r="S155" s="586" t="n">
        <v>50496</v>
      </c>
      <c r="T155" s="362" t="n">
        <v>-123849.6805739978</v>
      </c>
      <c r="U155" s="362" t="n">
        <v>96036.49528588374</v>
      </c>
      <c r="V155" s="362" t="n">
        <v>1953.273831224472</v>
      </c>
      <c r="W155" s="362" t="n"/>
      <c r="X155" s="362">
        <f>+T155-U155</f>
        <v/>
      </c>
      <c r="Y155" s="362">
        <f>+T155-V155</f>
        <v/>
      </c>
    </row>
    <row r="156">
      <c r="A156" s="586" t="n">
        <v>50526</v>
      </c>
      <c r="B156" s="430" t="n">
        <v>1517095.010218496</v>
      </c>
      <c r="C156" s="430" t="n">
        <v>23104839.45815395</v>
      </c>
      <c r="D156" s="430" t="n">
        <v>24571125.44570048</v>
      </c>
      <c r="E156" s="430" t="n"/>
      <c r="F156" s="430">
        <f>+B156-C156</f>
        <v/>
      </c>
      <c r="G156" s="430">
        <f>+B156-D156</f>
        <v/>
      </c>
      <c r="H156" s="362" t="n"/>
      <c r="I156" s="362" t="n"/>
      <c r="J156" s="586" t="n">
        <v>50526</v>
      </c>
      <c r="K156" s="362" t="n">
        <v>-200000</v>
      </c>
      <c r="L156" s="362" t="n">
        <v>-70000</v>
      </c>
      <c r="M156" s="362" t="n">
        <v>0</v>
      </c>
      <c r="N156" s="362" t="n"/>
      <c r="O156" s="362">
        <f>+K156-L156</f>
        <v/>
      </c>
      <c r="P156" s="362">
        <f>+K156-M156</f>
        <v/>
      </c>
      <c r="S156" s="586" t="n">
        <v>50526</v>
      </c>
      <c r="T156" s="362" t="n">
        <v>166179.0123791601</v>
      </c>
      <c r="U156" s="362" t="n">
        <v>83509.8813879207</v>
      </c>
      <c r="V156" s="362" t="n">
        <v>1968.900021874268</v>
      </c>
      <c r="W156" s="362" t="n"/>
      <c r="X156" s="362">
        <f>+T156-U156</f>
        <v/>
      </c>
      <c r="Y156" s="362">
        <f>+T156-V156</f>
        <v/>
      </c>
    </row>
    <row r="157">
      <c r="A157" s="586" t="n">
        <v>50557</v>
      </c>
      <c r="B157" s="430" t="n">
        <v>1685499.516167844</v>
      </c>
      <c r="C157" s="430" t="n">
        <v>23358696.51778124</v>
      </c>
      <c r="D157" s="430" t="n">
        <v>24767694.44926608</v>
      </c>
      <c r="E157" s="430" t="n"/>
      <c r="F157" s="430">
        <f>+B157-C157</f>
        <v/>
      </c>
      <c r="G157" s="430">
        <f>+B157-D157</f>
        <v/>
      </c>
      <c r="H157" s="362" t="n"/>
      <c r="I157" s="362" t="n"/>
      <c r="J157" s="586" t="n">
        <v>50557</v>
      </c>
      <c r="K157" s="362" t="n">
        <v>-390000</v>
      </c>
      <c r="L157" s="362" t="n">
        <v>-70000</v>
      </c>
      <c r="M157" s="362" t="n">
        <v>0</v>
      </c>
      <c r="N157" s="362" t="n"/>
      <c r="O157" s="362">
        <f>+K157-L157</f>
        <v/>
      </c>
      <c r="P157" s="362">
        <f>+K157-M157</f>
        <v/>
      </c>
      <c r="S157" s="586" t="n">
        <v>50557</v>
      </c>
      <c r="T157" s="362" t="n">
        <v>-31472.06512405648</v>
      </c>
      <c r="U157" s="362" t="n">
        <v>70495.82003877407</v>
      </c>
      <c r="V157" s="362" t="n">
        <v>1984.651222049262</v>
      </c>
      <c r="W157" s="362" t="n"/>
      <c r="X157" s="362">
        <f>+T157-U157</f>
        <v/>
      </c>
      <c r="Y157" s="362">
        <f>+T157-V157</f>
        <v/>
      </c>
    </row>
    <row r="158">
      <c r="A158" s="586" t="n">
        <v>50587</v>
      </c>
      <c r="B158" s="430" t="n">
        <v>1846270.748562536</v>
      </c>
      <c r="C158" s="430" t="n">
        <v>23600928.43181673</v>
      </c>
      <c r="D158" s="430" t="n">
        <v>24965836.00486021</v>
      </c>
      <c r="E158" s="430" t="n"/>
      <c r="F158" s="430">
        <f>+B158-C158</f>
        <v/>
      </c>
      <c r="G158" s="430">
        <f>+B158-D158</f>
        <v/>
      </c>
      <c r="H158" s="362" t="n"/>
      <c r="I158" s="362" t="n"/>
      <c r="J158" s="586" t="n">
        <v>50587</v>
      </c>
      <c r="K158" s="362" t="n">
        <v>-200000</v>
      </c>
      <c r="L158" s="362" t="n">
        <v>-380000</v>
      </c>
      <c r="M158" s="362" t="n">
        <v>0</v>
      </c>
      <c r="N158" s="362" t="n"/>
      <c r="O158" s="362">
        <f>+K158-L158</f>
        <v/>
      </c>
      <c r="P158" s="362">
        <f>+K158-M158</f>
        <v/>
      </c>
      <c r="S158" s="586" t="n">
        <v>50587</v>
      </c>
      <c r="T158" s="362" t="n">
        <v>149295.648752701</v>
      </c>
      <c r="U158" s="362" t="n">
        <v>-252596.2154697157</v>
      </c>
      <c r="V158" s="362" t="n">
        <v>2000.528431825656</v>
      </c>
      <c r="W158" s="362" t="n"/>
      <c r="X158" s="362">
        <f>+T158-U158</f>
        <v/>
      </c>
      <c r="Y158" s="362">
        <f>+T158-V158</f>
        <v/>
      </c>
    </row>
    <row r="159">
      <c r="A159" s="586" t="n">
        <v>50618</v>
      </c>
      <c r="B159" s="430" t="n">
        <v>1999347.641214136</v>
      </c>
      <c r="C159" s="430" t="n">
        <v>23831442.19909572</v>
      </c>
      <c r="D159" s="430" t="n">
        <v>25165562.69289909</v>
      </c>
      <c r="E159" s="430" t="n"/>
      <c r="F159" s="430">
        <f>+B159-C159</f>
        <v/>
      </c>
      <c r="G159" s="430">
        <f>+B159-D159</f>
        <v/>
      </c>
      <c r="H159" s="362" t="n"/>
      <c r="I159" s="362" t="n"/>
      <c r="J159" s="586" t="n">
        <v>50618</v>
      </c>
      <c r="K159" s="362" t="n">
        <v>-200000</v>
      </c>
      <c r="L159" s="362" t="n">
        <v>-110000</v>
      </c>
      <c r="M159" s="362" t="n">
        <v>0</v>
      </c>
      <c r="N159" s="362" t="n"/>
      <c r="O159" s="362">
        <f>+K159-L159</f>
        <v/>
      </c>
      <c r="P159" s="362">
        <f>+K159-M159</f>
        <v/>
      </c>
      <c r="S159" s="586" t="n">
        <v>50618</v>
      </c>
      <c r="T159" s="362" t="n">
        <v>141509.5043404726</v>
      </c>
      <c r="U159" s="362" t="n">
        <v>1727.012737726545</v>
      </c>
      <c r="V159" s="362" t="n">
        <v>2016.532659280261</v>
      </c>
      <c r="W159" s="362" t="n"/>
      <c r="X159" s="362">
        <f>+T159-U159</f>
        <v/>
      </c>
      <c r="Y159" s="362">
        <f>+T159-V159</f>
        <v/>
      </c>
    </row>
    <row r="160">
      <c r="A160" s="586" t="n">
        <v>50649</v>
      </c>
      <c r="B160" s="430" t="n">
        <v>2144392.043304699</v>
      </c>
      <c r="C160" s="430" t="n">
        <v>24050144.07444413</v>
      </c>
      <c r="D160" s="430" t="n">
        <v>25366887.19444229</v>
      </c>
      <c r="E160" s="430" t="n"/>
      <c r="F160" s="430">
        <f>+B160-C160</f>
        <v/>
      </c>
      <c r="G160" s="430">
        <f>+B160-D160</f>
        <v/>
      </c>
      <c r="H160" s="362" t="n"/>
      <c r="I160" s="362" t="n"/>
      <c r="J160" s="586" t="n">
        <v>50649</v>
      </c>
      <c r="K160" s="362" t="n">
        <v>-200000</v>
      </c>
      <c r="L160" s="362" t="n">
        <v>-70000</v>
      </c>
      <c r="M160" s="362" t="n">
        <v>0</v>
      </c>
      <c r="N160" s="362" t="n"/>
      <c r="O160" s="362">
        <f>+K160-L160</f>
        <v/>
      </c>
      <c r="P160" s="362">
        <f>+K160-M160</f>
        <v/>
      </c>
      <c r="S160" s="586" t="n">
        <v>50649</v>
      </c>
      <c r="T160" s="362" t="n">
        <v>133384.4746729464</v>
      </c>
      <c r="U160" s="362" t="n">
        <v>28084.82677082835</v>
      </c>
      <c r="V160" s="362" t="n">
        <v>2032.664920554503</v>
      </c>
      <c r="W160" s="362" t="n"/>
      <c r="X160" s="362">
        <f>+T160-U160</f>
        <v/>
      </c>
      <c r="Y160" s="362">
        <f>+T160-V160</f>
        <v/>
      </c>
    </row>
    <row r="161">
      <c r="A161" s="586" t="n">
        <v>50679</v>
      </c>
      <c r="B161" s="430" t="n">
        <v>2281358.365146487</v>
      </c>
      <c r="C161" s="430" t="n">
        <v>24276939.56272654</v>
      </c>
      <c r="D161" s="430" t="n">
        <v>25569822.29199782</v>
      </c>
      <c r="E161" s="430" t="n"/>
      <c r="F161" s="430">
        <f>+B161-C161</f>
        <v/>
      </c>
      <c r="G161" s="430">
        <f>+B161-D161</f>
        <v/>
      </c>
      <c r="H161" s="362" t="n"/>
      <c r="I161" s="362" t="n"/>
      <c r="J161" s="586" t="n">
        <v>50679</v>
      </c>
      <c r="K161" s="362" t="n">
        <v>-700000</v>
      </c>
      <c r="L161" s="362" t="n">
        <v>-50000</v>
      </c>
      <c r="M161" s="362" t="n">
        <v>0</v>
      </c>
      <c r="N161" s="362" t="n"/>
      <c r="O161" s="362">
        <f>+K161-L161</f>
        <v/>
      </c>
      <c r="P161" s="362">
        <f>+K161-M161</f>
        <v/>
      </c>
      <c r="S161" s="586" t="n">
        <v>50679</v>
      </c>
      <c r="T161" s="362" t="n">
        <v>-374786.8849951701</v>
      </c>
      <c r="U161" s="362" t="n">
        <v>34653.50331619498</v>
      </c>
      <c r="V161" s="362" t="n">
        <v>2048.926239918939</v>
      </c>
      <c r="W161" s="362" t="n"/>
      <c r="X161" s="362">
        <f>+T161-U161</f>
        <v/>
      </c>
      <c r="Y161" s="362">
        <f>+T161-V161</f>
        <v/>
      </c>
    </row>
    <row r="162">
      <c r="A162" s="586" t="n">
        <v>50710</v>
      </c>
      <c r="B162" s="430" t="n">
        <v>2410181.982097508</v>
      </c>
      <c r="C162" s="430" t="n">
        <v>24491893.4128464</v>
      </c>
      <c r="D162" s="430" t="n">
        <v>25774380.87033381</v>
      </c>
      <c r="E162" s="430" t="n"/>
      <c r="F162" s="430">
        <f>+B162-C162</f>
        <v/>
      </c>
      <c r="G162" s="430">
        <f>+B162-D162</f>
        <v/>
      </c>
      <c r="H162" s="362" t="n"/>
      <c r="I162" s="362" t="n"/>
      <c r="J162" s="586" t="n">
        <v>50710</v>
      </c>
      <c r="K162" s="362" t="n">
        <v>-400000</v>
      </c>
      <c r="L162" s="362" t="n">
        <v>-10000</v>
      </c>
      <c r="M162" s="362" t="n">
        <v>0</v>
      </c>
      <c r="N162" s="362" t="n"/>
      <c r="O162" s="362">
        <f>+K162-L162</f>
        <v/>
      </c>
      <c r="P162" s="362">
        <f>+K162-M162</f>
        <v/>
      </c>
      <c r="S162" s="586" t="n">
        <v>50710</v>
      </c>
      <c r="T162" s="362" t="n">
        <v>-87023.61554063135</v>
      </c>
      <c r="U162" s="362" t="n">
        <v>61274.72927392452</v>
      </c>
      <c r="V162" s="362" t="n">
        <v>2065.317649838291</v>
      </c>
      <c r="W162" s="362" t="n"/>
      <c r="X162" s="362">
        <f>+T162-U162</f>
        <v/>
      </c>
      <c r="Y162" s="362">
        <f>+T162-V162</f>
        <v/>
      </c>
    </row>
    <row r="163">
      <c r="A163" s="586" t="n">
        <v>50740</v>
      </c>
      <c r="B163" s="430" t="n">
        <v>2530797.752518639</v>
      </c>
      <c r="C163" s="430" t="n">
        <v>24694910.89169842</v>
      </c>
      <c r="D163" s="430" t="n">
        <v>25980575.91729648</v>
      </c>
      <c r="E163" s="430" t="n"/>
      <c r="F163" s="430">
        <f>+B163-C163</f>
        <v/>
      </c>
      <c r="G163" s="430">
        <f>+B163-D163</f>
        <v/>
      </c>
      <c r="H163" s="362" t="n"/>
      <c r="I163" s="362" t="n"/>
      <c r="J163" s="586" t="n">
        <v>50740</v>
      </c>
      <c r="K163" s="362" t="n">
        <v>-300000</v>
      </c>
      <c r="L163" s="362" t="n">
        <v>-10000</v>
      </c>
      <c r="M163" s="362" t="n">
        <v>0</v>
      </c>
      <c r="N163" s="362" t="n"/>
      <c r="O163" s="362">
        <f>+K163-L163</f>
        <v/>
      </c>
      <c r="P163" s="362">
        <f>+K163-M163</f>
        <v/>
      </c>
      <c r="S163" s="586" t="n">
        <v>50740</v>
      </c>
      <c r="T163" s="362" t="n">
        <v>3041.76006954367</v>
      </c>
      <c r="U163" s="362" t="n">
        <v>48108.92503931592</v>
      </c>
      <c r="V163" s="362" t="n">
        <v>2081.840191036997</v>
      </c>
      <c r="W163" s="362" t="n"/>
      <c r="X163" s="362">
        <f>+T163-U163</f>
        <v/>
      </c>
      <c r="Y163" s="362">
        <f>+T163-V163</f>
        <v/>
      </c>
    </row>
    <row r="164">
      <c r="A164" s="586" t="n">
        <v>50771</v>
      </c>
      <c r="B164" s="430" t="n">
        <v>2643140.013637638</v>
      </c>
      <c r="C164" s="430" t="n">
        <v>24885509.27377246</v>
      </c>
      <c r="D164" s="430" t="n">
        <v>26188420.52463485</v>
      </c>
      <c r="E164" s="430" t="n"/>
      <c r="F164" s="430">
        <f>+B164-C164</f>
        <v/>
      </c>
      <c r="G164" s="430">
        <f>+B164-D164</f>
        <v/>
      </c>
      <c r="H164" s="362" t="n"/>
      <c r="I164" s="362" t="n"/>
      <c r="J164" s="586" t="n">
        <v>50771</v>
      </c>
      <c r="K164" s="362" t="n">
        <v>-200000</v>
      </c>
      <c r="L164" s="362" t="n">
        <v>-10000</v>
      </c>
      <c r="M164" s="362" t="n">
        <v>0</v>
      </c>
      <c r="N164" s="362" t="n"/>
      <c r="O164" s="362">
        <f>+K164-L164</f>
        <v/>
      </c>
      <c r="P164" s="362">
        <f>+K164-M164</f>
        <v/>
      </c>
      <c r="S164" s="586" t="n">
        <v>50771</v>
      </c>
      <c r="T164" s="362" t="n">
        <v>93827.6586846</v>
      </c>
      <c r="U164" s="362" t="n">
        <v>34450.55983083045</v>
      </c>
      <c r="V164" s="362" t="n">
        <v>2098.494912565293</v>
      </c>
      <c r="W164" s="362" t="n"/>
      <c r="X164" s="362">
        <f>+T164-U164</f>
        <v/>
      </c>
      <c r="Y164" s="362">
        <f>+T164-V164</f>
        <v/>
      </c>
    </row>
    <row r="165">
      <c r="A165" s="586" t="n">
        <v>50802</v>
      </c>
      <c r="B165" s="430" t="n">
        <v>2847142.577380089</v>
      </c>
      <c r="C165" s="430" t="n">
        <v>25063615.34462574</v>
      </c>
      <c r="D165" s="430" t="n">
        <v>26397927.88883193</v>
      </c>
      <c r="E165" s="430" t="n"/>
      <c r="F165" s="430">
        <f>+B165-C165</f>
        <v/>
      </c>
      <c r="G165" s="430">
        <f>+B165-D165</f>
        <v/>
      </c>
      <c r="H165" s="362" t="n"/>
      <c r="I165" s="362" t="n"/>
      <c r="J165" s="586" t="n">
        <v>50802</v>
      </c>
      <c r="K165" s="362" t="n">
        <v>-300000</v>
      </c>
      <c r="L165" s="362" t="n">
        <v>-10000</v>
      </c>
      <c r="M165" s="362" t="n">
        <v>0</v>
      </c>
      <c r="N165" s="362" t="n"/>
      <c r="O165" s="362">
        <f>+K165-L165</f>
        <v/>
      </c>
      <c r="P165" s="362">
        <f>+K165-M165</f>
        <v/>
      </c>
      <c r="S165" s="586" t="n">
        <v>50802</v>
      </c>
      <c r="T165" s="362" t="n">
        <v>-14660.15551142319</v>
      </c>
      <c r="U165" s="362" t="n">
        <v>20709.0660321271</v>
      </c>
      <c r="V165" s="362" t="n">
        <v>2115.282871865815</v>
      </c>
      <c r="W165" s="362" t="n"/>
      <c r="X165" s="362">
        <f>+T165-U165</f>
        <v/>
      </c>
      <c r="Y165" s="362">
        <f>+T165-V165</f>
        <v/>
      </c>
    </row>
    <row r="166">
      <c r="A166" s="586" t="n">
        <v>50830</v>
      </c>
      <c r="B166" s="430" t="n">
        <v>2943538.726166979</v>
      </c>
      <c r="C166" s="430" t="n">
        <v>25264129.16576849</v>
      </c>
      <c r="D166" s="430" t="n">
        <v>26609111.31194258</v>
      </c>
      <c r="E166" s="430" t="n"/>
      <c r="F166" s="430">
        <f>+B166-C166</f>
        <v/>
      </c>
      <c r="G166" s="430">
        <f>+B166-D166</f>
        <v/>
      </c>
      <c r="H166" s="362" t="n"/>
      <c r="I166" s="362" t="n"/>
      <c r="J166" s="586" t="n">
        <v>50830</v>
      </c>
      <c r="K166" s="362" t="n">
        <v>-200000</v>
      </c>
      <c r="L166" s="362" t="n">
        <v>0</v>
      </c>
      <c r="M166" s="362" t="n">
        <v>0</v>
      </c>
      <c r="N166" s="362" t="n"/>
      <c r="O166" s="362">
        <f>+K166-L166</f>
        <v/>
      </c>
      <c r="P166" s="362">
        <f>+K166-M166</f>
        <v/>
      </c>
      <c r="S166" s="586" t="n">
        <v>50830</v>
      </c>
      <c r="T166" s="362" t="n">
        <v>75984.12777898548</v>
      </c>
      <c r="U166" s="362" t="n">
        <v>16857.64028303411</v>
      </c>
      <c r="V166" s="362" t="n">
        <v>2132.205134840742</v>
      </c>
      <c r="W166" s="362" t="n"/>
      <c r="X166" s="362">
        <f>+T166-U166</f>
        <v/>
      </c>
      <c r="Y166" s="362">
        <f>+T166-V166</f>
        <v/>
      </c>
    </row>
    <row r="167">
      <c r="A167" s="586" t="n">
        <v>50861</v>
      </c>
      <c r="B167" s="430" t="n">
        <v>3131467.608678665</v>
      </c>
      <c r="C167" s="430" t="n">
        <v>25457719.99920304</v>
      </c>
      <c r="D167" s="430" t="n">
        <v>26821984.20243813</v>
      </c>
      <c r="E167" s="430" t="n"/>
      <c r="F167" s="430">
        <f>+B167-C167</f>
        <v/>
      </c>
      <c r="G167" s="430">
        <f>+B167-D167</f>
        <v/>
      </c>
      <c r="H167" s="362" t="n"/>
      <c r="I167" s="362" t="n"/>
      <c r="J167" s="586" t="n">
        <v>50861</v>
      </c>
      <c r="K167" s="362" t="n">
        <v>-500000</v>
      </c>
      <c r="L167" s="362" t="n"/>
      <c r="M167" s="362" t="n">
        <v>0</v>
      </c>
      <c r="N167" s="362" t="n"/>
      <c r="O167" s="362">
        <f>+K167-L167</f>
        <v/>
      </c>
      <c r="P167" s="362">
        <f>+K167-M167</f>
        <v/>
      </c>
      <c r="S167" s="586" t="n">
        <v>50861</v>
      </c>
      <c r="T167" s="362" t="n">
        <v>-232646.4346642825</v>
      </c>
      <c r="U167" s="362" t="n">
        <v>2975.403127948384</v>
      </c>
      <c r="V167" s="362" t="n">
        <v>2149.262775919468</v>
      </c>
      <c r="W167" s="362" t="n"/>
      <c r="X167" s="362">
        <f>+T167-U167</f>
        <v/>
      </c>
      <c r="Y167" s="362">
        <f>+T167-V167</f>
        <v/>
      </c>
    </row>
    <row r="168">
      <c r="A168" s="586" t="n">
        <v>50891</v>
      </c>
      <c r="B168" s="430" t="n">
        <v>3211661.486784945</v>
      </c>
      <c r="C168" s="430" t="n">
        <v>25661236.81026772</v>
      </c>
      <c r="D168" s="430" t="n">
        <v>27036560.07605763</v>
      </c>
      <c r="E168" s="430" t="n"/>
      <c r="F168" s="430">
        <f>+B168-C168</f>
        <v/>
      </c>
      <c r="G168" s="430">
        <f>+B168-D168</f>
        <v/>
      </c>
      <c r="H168" s="362" t="n"/>
      <c r="I168" s="362" t="n"/>
      <c r="J168" s="586" t="n">
        <v>50891</v>
      </c>
      <c r="K168" s="362" t="n">
        <v>-200000</v>
      </c>
      <c r="L168" s="362" t="n"/>
      <c r="M168" s="362" t="n">
        <v>0</v>
      </c>
      <c r="N168" s="362" t="n"/>
      <c r="O168" s="362">
        <f>+K168-L168</f>
        <v/>
      </c>
      <c r="P168" s="362">
        <f>+K168-M168</f>
        <v/>
      </c>
      <c r="S168" s="586" t="n">
        <v>50891</v>
      </c>
      <c r="T168" s="362" t="n">
        <v>56253.95839290315</v>
      </c>
      <c r="U168" s="362" t="n">
        <v>1866.457315621971</v>
      </c>
      <c r="V168" s="362" t="n">
        <v>2166.456878126824</v>
      </c>
      <c r="W168" s="362" t="n"/>
      <c r="X168" s="362">
        <f>+T168-U168</f>
        <v/>
      </c>
      <c r="Y168" s="362">
        <f>+T168-V168</f>
        <v/>
      </c>
    </row>
    <row r="169">
      <c r="A169" s="586" t="n">
        <v>50922</v>
      </c>
      <c r="B169" s="430" t="n">
        <v>3333258.480450574</v>
      </c>
      <c r="C169" s="430" t="n">
        <v>25866526.70474986</v>
      </c>
      <c r="D169" s="430" t="n">
        <v>27252852.55666609</v>
      </c>
      <c r="E169" s="430" t="n"/>
      <c r="F169" s="430">
        <f>+B169-C169</f>
        <v/>
      </c>
      <c r="G169" s="430">
        <f>+B169-D169</f>
        <v/>
      </c>
      <c r="H169" s="362" t="n"/>
      <c r="I169" s="362" t="n"/>
      <c r="J169" s="586" t="n">
        <v>50922</v>
      </c>
      <c r="K169" s="362" t="n">
        <v>-190000</v>
      </c>
      <c r="L169" s="362" t="n"/>
      <c r="M169" s="362" t="n">
        <v>-25000</v>
      </c>
      <c r="N169" s="362" t="n"/>
      <c r="O169" s="362">
        <f>+K169-L169</f>
        <v/>
      </c>
      <c r="P169" s="362">
        <f>+K169-M169</f>
        <v/>
      </c>
      <c r="S169" s="586" t="n">
        <v>50922</v>
      </c>
      <c r="T169" s="362" t="n">
        <v>57465.55459454635</v>
      </c>
      <c r="U169" s="362" t="n">
        <v>2026.337903096947</v>
      </c>
      <c r="V169" s="362" t="n">
        <v>-22816.21146684816</v>
      </c>
      <c r="W169" s="362" t="n"/>
      <c r="X169" s="362">
        <f>+T169-U169</f>
        <v/>
      </c>
      <c r="Y169" s="362">
        <f>+T169-V169</f>
        <v/>
      </c>
    </row>
    <row r="170">
      <c r="A170" s="586" t="n">
        <v>50952</v>
      </c>
      <c r="B170" s="430" t="n">
        <v>3396313.218500029</v>
      </c>
      <c r="C170" s="430" t="n">
        <v>26073458.91838786</v>
      </c>
      <c r="D170" s="430" t="n">
        <v>27470875.37711942</v>
      </c>
      <c r="E170" s="430" t="n"/>
      <c r="F170" s="430">
        <f>+B170-C170</f>
        <v/>
      </c>
      <c r="G170" s="430">
        <f>+B170-D170</f>
        <v/>
      </c>
      <c r="H170" s="362" t="n"/>
      <c r="I170" s="362" t="n"/>
      <c r="J170" s="586" t="n">
        <v>50952</v>
      </c>
      <c r="K170" s="362" t="n">
        <v>-250000</v>
      </c>
      <c r="L170" s="362" t="n">
        <v>-10000</v>
      </c>
      <c r="M170" s="362" t="n">
        <v>-23000</v>
      </c>
      <c r="N170" s="362" t="n"/>
      <c r="O170" s="362">
        <f>+K170-L170</f>
        <v/>
      </c>
      <c r="P170" s="362">
        <f>+K170-M170</f>
        <v/>
      </c>
      <c r="S170" s="586" t="n">
        <v>50952</v>
      </c>
      <c r="T170" s="362" t="n">
        <v>-11589.75253419727</v>
      </c>
      <c r="U170" s="362" t="n">
        <v>-7957.451393678277</v>
      </c>
      <c r="V170" s="362" t="n">
        <v>-20998.74115858295</v>
      </c>
      <c r="W170" s="362" t="n"/>
      <c r="X170" s="362">
        <f>+T170-U170</f>
        <v/>
      </c>
      <c r="Y170" s="362">
        <f>+T170-V170</f>
        <v/>
      </c>
    </row>
    <row r="171">
      <c r="A171" s="586" t="n">
        <v>50983</v>
      </c>
      <c r="B171" s="430" t="n">
        <v>3550376.033125129</v>
      </c>
      <c r="C171" s="430" t="n">
        <v>26282046.58973496</v>
      </c>
      <c r="D171" s="430" t="n">
        <v>27690642.38013637</v>
      </c>
      <c r="E171" s="430" t="n"/>
      <c r="F171" s="430">
        <f>+B171-C171</f>
        <v/>
      </c>
      <c r="G171" s="430">
        <f>+B171-D171</f>
        <v/>
      </c>
      <c r="H171" s="362" t="n"/>
      <c r="I171" s="362" t="n"/>
      <c r="J171" s="586" t="n">
        <v>50983</v>
      </c>
      <c r="K171" s="362" t="n">
        <v>-200000</v>
      </c>
      <c r="L171" s="362" t="n">
        <v>-10000</v>
      </c>
      <c r="M171" s="362" t="n"/>
      <c r="N171" s="362" t="n"/>
      <c r="O171" s="362">
        <f>+K171-L171</f>
        <v/>
      </c>
      <c r="P171" s="362">
        <f>+K171-M171</f>
        <v/>
      </c>
      <c r="S171" s="586" t="n">
        <v>50983</v>
      </c>
      <c r="T171" s="362" t="n">
        <v>28821.16811677915</v>
      </c>
      <c r="U171" s="362" t="n">
        <v>-8021.111004827703</v>
      </c>
      <c r="V171" s="362" t="n">
        <v>1833.268912148389</v>
      </c>
      <c r="W171" s="362" t="n"/>
      <c r="X171" s="362">
        <f>+T171-U171</f>
        <v/>
      </c>
      <c r="Y171" s="362">
        <f>+T171-V171</f>
        <v/>
      </c>
    </row>
    <row r="172">
      <c r="A172" s="586" t="n">
        <v>51014</v>
      </c>
      <c r="B172" s="430" t="n">
        <v>3696174.98893848</v>
      </c>
      <c r="C172" s="430" t="n">
        <v>26492302.96245284</v>
      </c>
      <c r="D172" s="430" t="n">
        <v>27912167.51917747</v>
      </c>
      <c r="E172" s="430" t="n"/>
      <c r="F172" s="430">
        <f>+B172-C172</f>
        <v/>
      </c>
      <c r="G172" s="430">
        <f>+B172-D172</f>
        <v/>
      </c>
      <c r="H172" s="362" t="n"/>
      <c r="I172" s="362" t="n"/>
      <c r="J172" s="586" t="n">
        <v>51014</v>
      </c>
      <c r="K172" s="362" t="n">
        <v>-100000</v>
      </c>
      <c r="L172" s="362" t="n">
        <v>0</v>
      </c>
      <c r="M172" s="362" t="n">
        <v>0</v>
      </c>
      <c r="N172" s="362" t="n"/>
      <c r="O172" s="362">
        <f>+K172-L172</f>
        <v/>
      </c>
      <c r="P172" s="362">
        <f>+K172-M172</f>
        <v/>
      </c>
      <c r="S172" s="586" t="n">
        <v>51014</v>
      </c>
      <c r="T172" s="362" t="n">
        <v>119555.3761329635</v>
      </c>
      <c r="U172" s="362" t="n">
        <v>1914.720107133675</v>
      </c>
      <c r="V172" s="362" t="n">
        <v>1847.935063445577</v>
      </c>
      <c r="W172" s="362" t="n"/>
      <c r="X172" s="362">
        <f>+T172-U172</f>
        <v/>
      </c>
      <c r="Y172" s="362">
        <f>+T172-V172</f>
        <v/>
      </c>
    </row>
    <row r="173">
      <c r="A173" s="586" t="n">
        <v>51044</v>
      </c>
      <c r="B173" s="430" t="n">
        <v>3783643.975069588</v>
      </c>
      <c r="C173" s="430" t="n">
        <v>26704241.38615246</v>
      </c>
      <c r="D173" s="430" t="n">
        <v>28135464.85933089</v>
      </c>
      <c r="E173" s="430" t="n"/>
      <c r="F173" s="430">
        <f>+B173-C173</f>
        <v/>
      </c>
      <c r="G173" s="430">
        <f>+B173-D173</f>
        <v/>
      </c>
      <c r="H173" s="362" t="n"/>
      <c r="I173" s="362" t="n"/>
      <c r="J173" s="586" t="n">
        <v>51044</v>
      </c>
      <c r="K173" s="362" t="n">
        <v>-150000</v>
      </c>
      <c r="L173" s="362" t="n">
        <v>0</v>
      </c>
      <c r="M173" s="362" t="n">
        <v>0</v>
      </c>
      <c r="N173" s="362" t="n"/>
      <c r="O173" s="362">
        <f>+K173-L173</f>
        <v/>
      </c>
      <c r="P173" s="362">
        <f>+K173-M173</f>
        <v/>
      </c>
      <c r="S173" s="586" t="n">
        <v>51044</v>
      </c>
      <c r="T173" s="362" t="n">
        <v>61015.45781327708</v>
      </c>
      <c r="U173" s="362" t="n">
        <v>1930.037867990745</v>
      </c>
      <c r="V173" s="362" t="n">
        <v>1862.718543953141</v>
      </c>
      <c r="W173" s="362" t="n"/>
      <c r="X173" s="362">
        <f>+T173-U173</f>
        <v/>
      </c>
      <c r="Y173" s="362">
        <f>+T173-V173</f>
        <v/>
      </c>
    </row>
    <row r="174">
      <c r="A174" s="586" t="n">
        <v>51075</v>
      </c>
      <c r="B174" s="430" t="n">
        <v>3912316.351760995</v>
      </c>
      <c r="C174" s="430" t="n">
        <v>26917875.31724168</v>
      </c>
      <c r="D174" s="430" t="n">
        <v>28360548.57820553</v>
      </c>
      <c r="E174" s="430" t="n"/>
      <c r="F174" s="430">
        <f>+B174-C174</f>
        <v/>
      </c>
      <c r="G174" s="430">
        <f>+B174-D174</f>
        <v/>
      </c>
      <c r="H174" s="362" t="n"/>
      <c r="I174" s="362" t="n"/>
      <c r="J174" s="586" t="n">
        <v>51075</v>
      </c>
      <c r="K174" s="362" t="n">
        <v>-100000</v>
      </c>
      <c r="L174" s="362" t="n">
        <v>0</v>
      </c>
      <c r="M174" s="362" t="n">
        <v>0</v>
      </c>
      <c r="N174" s="362" t="n"/>
      <c r="O174" s="362">
        <f>+K174-L174</f>
        <v/>
      </c>
      <c r="P174" s="362">
        <f>+K174-M174</f>
        <v/>
      </c>
      <c r="S174" s="586" t="n">
        <v>51075</v>
      </c>
      <c r="T174" s="362" t="n">
        <v>102007.2201470334</v>
      </c>
      <c r="U174" s="362" t="n">
        <v>1945.478170934671</v>
      </c>
      <c r="V174" s="362" t="n">
        <v>1877.620292304766</v>
      </c>
      <c r="W174" s="362" t="n"/>
      <c r="X174" s="362">
        <f>+T174-U174</f>
        <v/>
      </c>
      <c r="Y174" s="362">
        <f>+T174-V174</f>
        <v/>
      </c>
    </row>
    <row r="175">
      <c r="A175" s="586" t="n">
        <v>51105</v>
      </c>
      <c r="B175" s="430" t="n">
        <v>3982521.746137183</v>
      </c>
      <c r="C175" s="430" t="n">
        <v>27133218.31977962</v>
      </c>
      <c r="D175" s="430" t="n">
        <v>28587432.96683118</v>
      </c>
      <c r="E175" s="430" t="n"/>
      <c r="F175" s="430">
        <f>+B175-C175</f>
        <v/>
      </c>
      <c r="G175" s="430">
        <f>+B175-D175</f>
        <v/>
      </c>
      <c r="H175" s="362" t="n"/>
      <c r="I175" s="362" t="n"/>
      <c r="J175" s="586" t="n">
        <v>51105</v>
      </c>
      <c r="K175" s="362" t="n">
        <v>-150000</v>
      </c>
      <c r="L175" s="362" t="n">
        <v>0</v>
      </c>
      <c r="M175" s="362" t="n">
        <v>0</v>
      </c>
      <c r="N175" s="362" t="n"/>
      <c r="O175" s="362">
        <f>+K175-L175</f>
        <v/>
      </c>
      <c r="P175" s="362">
        <f>+K175-M175</f>
        <v/>
      </c>
      <c r="S175" s="586" t="n">
        <v>51105</v>
      </c>
      <c r="T175" s="362" t="n">
        <v>43326.91657945965</v>
      </c>
      <c r="U175" s="362" t="n">
        <v>1961.041996302148</v>
      </c>
      <c r="V175" s="362" t="n">
        <v>1892.641254643204</v>
      </c>
      <c r="W175" s="362" t="n"/>
      <c r="X175" s="362">
        <f>+T175-U175</f>
        <v/>
      </c>
      <c r="Y175" s="362">
        <f>+T175-V175</f>
        <v/>
      </c>
    </row>
    <row r="176">
      <c r="A176" s="586" t="n">
        <v>51136</v>
      </c>
      <c r="B176" s="430" t="n">
        <v>4093792.42233963</v>
      </c>
      <c r="C176" s="430" t="n">
        <v>27350284.06633785</v>
      </c>
      <c r="D176" s="430" t="n">
        <v>28816132.43056583</v>
      </c>
      <c r="E176" s="430" t="n"/>
      <c r="F176" s="430">
        <f>+B176-C176</f>
        <v/>
      </c>
      <c r="G176" s="430">
        <f>+B176-D176</f>
        <v/>
      </c>
      <c r="H176" s="362" t="n"/>
      <c r="I176" s="362" t="n"/>
      <c r="J176" s="586" t="n">
        <v>51136</v>
      </c>
      <c r="K176" s="362" t="n">
        <v>-500000</v>
      </c>
      <c r="L176" s="362" t="n">
        <v>0</v>
      </c>
      <c r="M176" s="362" t="n">
        <v>0</v>
      </c>
      <c r="N176" s="362" t="n"/>
      <c r="O176" s="362">
        <f>+K176-L176</f>
        <v/>
      </c>
      <c r="P176" s="362">
        <f>+K176-M176</f>
        <v/>
      </c>
      <c r="S176" s="586" t="n">
        <v>51136</v>
      </c>
      <c r="T176" s="362" t="n">
        <v>-315822.8294166547</v>
      </c>
      <c r="U176" s="362" t="n">
        <v>1976.730332272565</v>
      </c>
      <c r="V176" s="362" t="n">
        <v>1907.78238468035</v>
      </c>
      <c r="W176" s="362" t="n"/>
      <c r="X176" s="362">
        <f>+T176-U176</f>
        <v/>
      </c>
      <c r="Y176" s="362">
        <f>+T176-V176</f>
        <v/>
      </c>
    </row>
    <row r="177">
      <c r="A177" s="586" t="n">
        <v>51167</v>
      </c>
      <c r="B177" s="430" t="n">
        <v>4196456.902622947</v>
      </c>
      <c r="C177" s="430" t="n">
        <v>27569086.33886855</v>
      </c>
      <c r="D177" s="430" t="n">
        <v>29046661.49001035</v>
      </c>
      <c r="E177" s="430" t="n"/>
      <c r="F177" s="430">
        <f>+B177-C177</f>
        <v/>
      </c>
      <c r="G177" s="430">
        <f>+B177-D177</f>
        <v/>
      </c>
      <c r="H177" s="362" t="n"/>
      <c r="I177" s="362" t="n"/>
      <c r="J177" s="586" t="n">
        <v>51167</v>
      </c>
      <c r="K177" s="362" t="n">
        <v>-100000</v>
      </c>
      <c r="L177" s="362" t="n">
        <v>0</v>
      </c>
      <c r="M177" s="362" t="n">
        <v>0</v>
      </c>
      <c r="N177" s="362" t="n"/>
      <c r="O177" s="362">
        <f>+K177-L177</f>
        <v/>
      </c>
      <c r="P177" s="362">
        <f>+K177-M177</f>
        <v/>
      </c>
      <c r="S177" s="586" t="n">
        <v>51167</v>
      </c>
      <c r="T177" s="362" t="n">
        <v>72154.226619262</v>
      </c>
      <c r="U177" s="362" t="n">
        <v>1992.544174930746</v>
      </c>
      <c r="V177" s="362" t="n">
        <v>1923.044643757793</v>
      </c>
      <c r="W177" s="362" t="n"/>
      <c r="X177" s="362">
        <f>+T177-U177</f>
        <v/>
      </c>
      <c r="Y177" s="362">
        <f>+T177-V177</f>
        <v/>
      </c>
    </row>
    <row r="178">
      <c r="A178" s="586" t="n">
        <v>51196</v>
      </c>
      <c r="B178" s="430" t="n">
        <v>4290446.337419781</v>
      </c>
      <c r="C178" s="430" t="n">
        <v>27789639.0295795</v>
      </c>
      <c r="D178" s="430" t="n">
        <v>29279034.78193044</v>
      </c>
      <c r="E178" s="430" t="n"/>
      <c r="F178" s="430">
        <f>+B178-C178</f>
        <v/>
      </c>
      <c r="G178" s="430">
        <f>+B178-D178</f>
        <v/>
      </c>
      <c r="H178" s="362" t="n"/>
      <c r="I178" s="362" t="n"/>
      <c r="J178" s="586" t="n">
        <v>51196</v>
      </c>
      <c r="K178" s="362" t="n">
        <v>-100000</v>
      </c>
      <c r="L178" s="362" t="n">
        <v>0</v>
      </c>
      <c r="M178" s="362" t="n">
        <v>0</v>
      </c>
      <c r="N178" s="362" t="n"/>
      <c r="O178" s="362">
        <f>+K178-L178</f>
        <v/>
      </c>
      <c r="P178" s="362">
        <f>+K178-M178</f>
        <v/>
      </c>
      <c r="S178" s="586" t="n">
        <v>51196</v>
      </c>
      <c r="T178" s="362" t="n">
        <v>63235.09910346611</v>
      </c>
      <c r="U178" s="362" t="n">
        <v>2008.484528330192</v>
      </c>
      <c r="V178" s="362" t="n">
        <v>1938.429000907855</v>
      </c>
      <c r="W178" s="362" t="n"/>
      <c r="X178" s="362">
        <f>+T178-U178</f>
        <v/>
      </c>
      <c r="Y178" s="362">
        <f>+T178-V178</f>
        <v/>
      </c>
    </row>
    <row r="179">
      <c r="A179" s="586" t="n">
        <v>51227</v>
      </c>
      <c r="B179" s="430" t="n">
        <v>4375691.326366239</v>
      </c>
      <c r="C179" s="430" t="n">
        <v>28011956.14181614</v>
      </c>
      <c r="D179" s="430" t="n">
        <v>29513267.06018588</v>
      </c>
      <c r="E179" s="430" t="n"/>
      <c r="F179" s="430">
        <f>+B179-C179</f>
        <v/>
      </c>
      <c r="G179" s="430">
        <f>+B179-D179</f>
        <v/>
      </c>
      <c r="H179" s="362" t="n"/>
      <c r="I179" s="362" t="n"/>
      <c r="J179" s="586" t="n">
        <v>51227</v>
      </c>
      <c r="K179" s="362" t="n">
        <v>-100000</v>
      </c>
      <c r="L179" s="362" t="n">
        <v>0</v>
      </c>
      <c r="M179" s="362" t="n">
        <v>0</v>
      </c>
      <c r="N179" s="362" t="n"/>
      <c r="O179" s="362">
        <f>+K179-L179</f>
        <v/>
      </c>
      <c r="P179" s="362">
        <f>+K179-M179</f>
        <v/>
      </c>
      <c r="S179" s="586" t="n">
        <v>51227</v>
      </c>
      <c r="T179" s="362" t="n">
        <v>54244.61856754396</v>
      </c>
      <c r="U179" s="362" t="n">
        <v>2024.552404556833</v>
      </c>
      <c r="V179" s="362" t="n">
        <v>1953.936432915118</v>
      </c>
      <c r="W179" s="362" t="n"/>
      <c r="X179" s="362">
        <f>+T179-U179</f>
        <v/>
      </c>
      <c r="Y179" s="362">
        <f>+T179-V179</f>
        <v/>
      </c>
    </row>
    <row r="180">
      <c r="A180" s="586" t="n">
        <v>51257</v>
      </c>
      <c r="B180" s="430" t="n">
        <v>4461845.317795519</v>
      </c>
      <c r="C180" s="430" t="n">
        <v>28236051.79095067</v>
      </c>
      <c r="D180" s="430" t="n">
        <v>29749373.19666737</v>
      </c>
      <c r="E180" s="430" t="n"/>
      <c r="F180" s="430">
        <f>+B180-C180</f>
        <v/>
      </c>
      <c r="G180" s="430">
        <f>+B180-D180</f>
        <v/>
      </c>
      <c r="H180" s="362" t="n"/>
      <c r="I180" s="362" t="n"/>
      <c r="J180" s="586" t="n">
        <v>51257</v>
      </c>
      <c r="K180" s="362" t="n">
        <v>-90000</v>
      </c>
      <c r="L180" s="362" t="n">
        <v>0</v>
      </c>
      <c r="M180" s="362" t="n">
        <v>0</v>
      </c>
      <c r="N180" s="362" t="n"/>
      <c r="O180" s="362">
        <f>+K180-L180</f>
        <v/>
      </c>
      <c r="P180" s="362">
        <f>+K180-M180</f>
        <v/>
      </c>
      <c r="S180" s="586" t="n">
        <v>51257</v>
      </c>
      <c r="T180" s="362" t="n">
        <v>54905.6180873343</v>
      </c>
      <c r="U180" s="362" t="n">
        <v>2040.748823793288</v>
      </c>
      <c r="V180" s="362" t="n">
        <v>1969.567924378439</v>
      </c>
      <c r="W180" s="362" t="n"/>
      <c r="X180" s="362">
        <f>+T180-U180</f>
        <v/>
      </c>
      <c r="Y180" s="362">
        <f>+T180-V180</f>
        <v/>
      </c>
    </row>
    <row r="181">
      <c r="A181" s="586" t="n">
        <v>51288</v>
      </c>
      <c r="B181" s="430" t="n">
        <v>4528934.253964233</v>
      </c>
      <c r="C181" s="430" t="n">
        <v>28461940.20527827</v>
      </c>
      <c r="D181" s="430" t="n">
        <v>29987368.18224071</v>
      </c>
      <c r="E181" s="430" t="n"/>
      <c r="F181" s="430">
        <f>+B181-C181</f>
        <v/>
      </c>
      <c r="G181" s="430">
        <f>+B181-D181</f>
        <v/>
      </c>
      <c r="H181" s="362" t="n"/>
      <c r="I181" s="362" t="n"/>
      <c r="J181" s="586" t="n">
        <v>51288</v>
      </c>
      <c r="K181" s="362" t="n">
        <v>-400000</v>
      </c>
      <c r="L181" s="362" t="n">
        <v>0</v>
      </c>
      <c r="M181" s="362" t="n">
        <v>0</v>
      </c>
      <c r="N181" s="362" t="n"/>
      <c r="O181" s="362">
        <f>+K181-L181</f>
        <v/>
      </c>
      <c r="P181" s="362">
        <f>+K181-M181</f>
        <v/>
      </c>
      <c r="S181" s="586" t="n">
        <v>51288</v>
      </c>
      <c r="T181" s="362" t="n">
        <v>-264409.4241599671</v>
      </c>
      <c r="U181" s="362" t="n">
        <v>2057.074814383634</v>
      </c>
      <c r="V181" s="362" t="n">
        <v>1985.324467773467</v>
      </c>
      <c r="W181" s="362" t="n"/>
      <c r="X181" s="362">
        <f>+T181-U181</f>
        <v/>
      </c>
      <c r="Y181" s="362">
        <f>+T181-V181</f>
        <v/>
      </c>
    </row>
    <row r="182">
      <c r="A182" s="586" t="n">
        <v>51318</v>
      </c>
      <c r="B182" s="430" t="n">
        <v>4606805.614430297</v>
      </c>
      <c r="C182" s="430" t="n">
        <v>28689635.7269205</v>
      </c>
      <c r="D182" s="430" t="n">
        <v>30227267.12769863</v>
      </c>
      <c r="E182" s="430" t="n"/>
      <c r="F182" s="430">
        <f>+B182-C182</f>
        <v/>
      </c>
      <c r="G182" s="430">
        <f>+B182-D182</f>
        <v/>
      </c>
      <c r="H182" s="362" t="n"/>
      <c r="I182" s="362" t="n"/>
      <c r="J182" s="586" t="n">
        <v>51318</v>
      </c>
      <c r="K182" s="362" t="n">
        <v>-380000</v>
      </c>
      <c r="L182" s="362" t="n">
        <v>0</v>
      </c>
      <c r="M182" s="362" t="n">
        <v>-23000</v>
      </c>
      <c r="N182" s="362" t="n"/>
      <c r="O182" s="362">
        <f>+K182-L182</f>
        <v/>
      </c>
      <c r="P182" s="362">
        <f>+K182-M182</f>
        <v/>
      </c>
      <c r="S182" s="586" t="n">
        <v>51318</v>
      </c>
      <c r="T182" s="362" t="n">
        <v>-256278.9867452469</v>
      </c>
      <c r="U182" s="362" t="n">
        <v>2073.531412898703</v>
      </c>
      <c r="V182" s="362" t="n">
        <v>-20998.79293648434</v>
      </c>
      <c r="W182" s="362" t="n"/>
      <c r="X182" s="362">
        <f>+T182-U182</f>
        <v/>
      </c>
      <c r="Y182" s="362">
        <f>+T182-V182</f>
        <v/>
      </c>
    </row>
    <row r="183">
      <c r="A183" s="586" t="n">
        <v>51349</v>
      </c>
      <c r="B183" s="430" t="n">
        <v>4675545.65858809</v>
      </c>
      <c r="C183" s="430" t="n">
        <v>28919152.81273586</v>
      </c>
      <c r="D183" s="430" t="n">
        <v>30469085.26472022</v>
      </c>
      <c r="E183" s="430" t="n"/>
      <c r="F183" s="430">
        <f>+B183-C183</f>
        <v/>
      </c>
      <c r="G183" s="430">
        <f>+B183-D183</f>
        <v/>
      </c>
      <c r="H183" s="362" t="n"/>
      <c r="I183" s="362" t="n"/>
      <c r="J183" s="586" t="n">
        <v>51349</v>
      </c>
      <c r="K183" s="362" t="n">
        <v>-50000</v>
      </c>
      <c r="L183" s="362" t="n">
        <v>0</v>
      </c>
      <c r="M183" s="362" t="n">
        <v>0</v>
      </c>
      <c r="N183" s="362" t="n"/>
      <c r="O183" s="362">
        <f>+K183-L183</f>
        <v/>
      </c>
      <c r="P183" s="362">
        <f>+K183-M183</f>
        <v/>
      </c>
      <c r="S183" s="586" t="n">
        <v>51349</v>
      </c>
      <c r="T183" s="362" t="n">
        <v>61916.49416879116</v>
      </c>
      <c r="U183" s="362" t="n">
        <v>2090.119664201893</v>
      </c>
      <c r="V183" s="362" t="n">
        <v>1833.21672002378</v>
      </c>
      <c r="W183" s="362" t="n"/>
      <c r="X183" s="362">
        <f>+T183-U183</f>
        <v/>
      </c>
      <c r="Y183" s="362">
        <f>+T183-V183</f>
        <v/>
      </c>
    </row>
    <row r="184">
      <c r="A184" s="586" t="n">
        <v>51380</v>
      </c>
      <c r="B184" s="430" t="n">
        <v>4735081.335907144</v>
      </c>
      <c r="C184" s="430" t="n">
        <v>29150506.03523775</v>
      </c>
      <c r="D184" s="430" t="n">
        <v>30712837.94683798</v>
      </c>
      <c r="E184" s="430" t="n"/>
      <c r="F184" s="430">
        <f>+B184-C184</f>
        <v/>
      </c>
      <c r="G184" s="430">
        <f>+B184-D184</f>
        <v/>
      </c>
      <c r="H184" s="362" t="n"/>
      <c r="I184" s="362" t="n"/>
      <c r="J184" s="586" t="n">
        <v>51380</v>
      </c>
      <c r="K184" s="362" t="n">
        <v>-50000</v>
      </c>
      <c r="L184" s="362" t="n">
        <v>0</v>
      </c>
      <c r="M184" s="362" t="n">
        <v>0</v>
      </c>
      <c r="N184" s="362" t="n"/>
      <c r="O184" s="362">
        <f>+K184-L184</f>
        <v/>
      </c>
      <c r="P184" s="362">
        <f>+K184-M184</f>
        <v/>
      </c>
      <c r="S184" s="586" t="n">
        <v>51380</v>
      </c>
      <c r="T184" s="362" t="n">
        <v>52657.53893014149</v>
      </c>
      <c r="U184" s="362" t="n">
        <v>2106.840621515508</v>
      </c>
      <c r="V184" s="362" t="n">
        <v>1847.88245378397</v>
      </c>
      <c r="W184" s="362" t="n"/>
      <c r="X184" s="362">
        <f>+T184-U184</f>
        <v/>
      </c>
      <c r="Y184" s="362">
        <f>+T184-V184</f>
        <v/>
      </c>
    </row>
    <row r="185">
      <c r="A185" s="586" t="n">
        <v>51410</v>
      </c>
      <c r="B185" s="430" t="n">
        <v>4815339.011452751</v>
      </c>
      <c r="C185" s="430" t="n">
        <v>29383710.08351965</v>
      </c>
      <c r="D185" s="430" t="n">
        <v>30958540.65041269</v>
      </c>
      <c r="E185" s="430" t="n"/>
      <c r="F185" s="430">
        <f>+B185-C185</f>
        <v/>
      </c>
      <c r="G185" s="430">
        <f>+B185-D185</f>
        <v/>
      </c>
      <c r="H185" s="362" t="n"/>
      <c r="I185" s="362" t="n"/>
      <c r="J185" s="586" t="n">
        <v>51410</v>
      </c>
      <c r="K185" s="362" t="n">
        <v>-40000</v>
      </c>
      <c r="L185" s="362" t="n">
        <v>0</v>
      </c>
      <c r="M185" s="362" t="n">
        <v>0</v>
      </c>
      <c r="N185" s="362" t="n"/>
      <c r="O185" s="362">
        <f>+K185-L185</f>
        <v/>
      </c>
      <c r="P185" s="362">
        <f>+K185-M185</f>
        <v/>
      </c>
      <c r="S185" s="586" t="n">
        <v>51410</v>
      </c>
      <c r="T185" s="362" t="n">
        <v>53324.51204958265</v>
      </c>
      <c r="U185" s="362" t="n">
        <v>2123.695346487632</v>
      </c>
      <c r="V185" s="362" t="n">
        <v>1862.665513414242</v>
      </c>
      <c r="W185" s="362" t="n"/>
      <c r="X185" s="362">
        <f>+T185-U185</f>
        <v/>
      </c>
      <c r="Y185" s="362">
        <f>+T185-V185</f>
        <v/>
      </c>
    </row>
    <row r="186">
      <c r="A186" s="586" t="n">
        <v>51441</v>
      </c>
      <c r="B186" s="430" t="n">
        <v>4886484.461210723</v>
      </c>
      <c r="C186" s="430" t="n">
        <v>29618779.76418781</v>
      </c>
      <c r="D186" s="430" t="n">
        <v>31206208.97561599</v>
      </c>
      <c r="E186" s="430" t="n"/>
      <c r="F186" s="430">
        <f>+B186-C186</f>
        <v/>
      </c>
      <c r="G186" s="430">
        <f>+B186-D186</f>
        <v/>
      </c>
      <c r="H186" s="362" t="n"/>
      <c r="I186" s="362" t="n"/>
      <c r="J186" s="586" t="n">
        <v>51441</v>
      </c>
      <c r="K186" s="362" t="n">
        <v>-40000</v>
      </c>
      <c r="L186" s="362" t="n">
        <v>0</v>
      </c>
      <c r="M186" s="362" t="n">
        <v>0</v>
      </c>
      <c r="N186" s="362" t="n"/>
      <c r="O186" s="362">
        <f>+K186-L186</f>
        <v/>
      </c>
      <c r="P186" s="362">
        <f>+K186-M186</f>
        <v/>
      </c>
      <c r="S186" s="586" t="n">
        <v>51441</v>
      </c>
      <c r="T186" s="362" t="n">
        <v>43996.8209539793</v>
      </c>
      <c r="U186" s="362" t="n">
        <v>2140.684909259533</v>
      </c>
      <c r="V186" s="362" t="n">
        <v>1877.566837521556</v>
      </c>
      <c r="W186" s="362" t="n"/>
      <c r="X186" s="362">
        <f>+T186-U186</f>
        <v/>
      </c>
      <c r="Y186" s="362">
        <f>+T186-V186</f>
        <v/>
      </c>
    </row>
    <row r="187">
      <c r="A187" s="586" t="n">
        <v>51471</v>
      </c>
      <c r="B187" s="430" t="n">
        <v>4948444.787374759</v>
      </c>
      <c r="C187" s="430" t="n">
        <v>29855730.00230131</v>
      </c>
      <c r="D187" s="430" t="n">
        <v>31455858.64742092</v>
      </c>
      <c r="E187" s="430" t="n"/>
      <c r="F187" s="430">
        <f>+B187-C187</f>
        <v/>
      </c>
      <c r="G187" s="430">
        <f>+B187-D187</f>
        <v/>
      </c>
      <c r="H187" s="362" t="n"/>
      <c r="I187" s="362" t="n"/>
      <c r="J187" s="586" t="n">
        <v>51471</v>
      </c>
      <c r="K187" s="362" t="n">
        <v>-40000</v>
      </c>
      <c r="L187" s="362" t="n">
        <v>0</v>
      </c>
      <c r="M187" s="362" t="n">
        <v>0</v>
      </c>
      <c r="N187" s="362" t="n"/>
      <c r="O187" s="362">
        <f>+K187-L187</f>
        <v/>
      </c>
      <c r="P187" s="362">
        <f>+K187-M187</f>
        <v/>
      </c>
      <c r="S187" s="586" t="n">
        <v>51471</v>
      </c>
      <c r="T187" s="362" t="n">
        <v>34594.50832961111</v>
      </c>
      <c r="U187" s="362" t="n">
        <v>2157.81038853361</v>
      </c>
      <c r="V187" s="362" t="n">
        <v>1892.587372221728</v>
      </c>
      <c r="W187" s="362" t="n"/>
      <c r="X187" s="362">
        <f>+T187-U187</f>
        <v/>
      </c>
      <c r="Y187" s="362">
        <f>+T187-V187</f>
        <v/>
      </c>
    </row>
    <row r="188">
      <c r="A188" s="586" t="n">
        <v>51502</v>
      </c>
      <c r="B188" s="430" t="n">
        <v>5001146.508956107</v>
      </c>
      <c r="C188" s="430" t="n">
        <v>30094575.84231972</v>
      </c>
      <c r="D188" s="430" t="n">
        <v>31707505.51660028</v>
      </c>
      <c r="E188" s="430" t="n"/>
      <c r="F188" s="430">
        <f>+B188-C188</f>
        <v/>
      </c>
      <c r="G188" s="430">
        <f>+B188-D188</f>
        <v/>
      </c>
      <c r="H188" s="362" t="n"/>
      <c r="I188" s="362" t="n"/>
      <c r="J188" s="586" t="n">
        <v>51502</v>
      </c>
      <c r="K188" s="362" t="n">
        <v>-40000</v>
      </c>
      <c r="L188" s="362" t="n">
        <v>0</v>
      </c>
      <c r="M188" s="362" t="n">
        <v>0</v>
      </c>
      <c r="N188" s="362" t="n"/>
      <c r="O188" s="362">
        <f>+K188-L188</f>
        <v/>
      </c>
      <c r="P188" s="362">
        <f>+K188-M188</f>
        <v/>
      </c>
      <c r="S188" s="586" t="n">
        <v>51502</v>
      </c>
      <c r="T188" s="362" t="n">
        <v>25116.977204248</v>
      </c>
      <c r="U188" s="362" t="n">
        <v>2175.072871641878</v>
      </c>
      <c r="V188" s="362" t="n">
        <v>1907.728071199502</v>
      </c>
      <c r="W188" s="362" t="n"/>
      <c r="X188" s="362">
        <f>+T188-U188</f>
        <v/>
      </c>
      <c r="Y188" s="362">
        <f>+T188-V188</f>
        <v/>
      </c>
    </row>
    <row r="189">
      <c r="A189" s="586" t="n">
        <v>51533</v>
      </c>
      <c r="B189" s="430" t="n">
        <v>5044515.557118107</v>
      </c>
      <c r="C189" s="430" t="n">
        <v>30335332.44905828</v>
      </c>
      <c r="D189" s="430" t="n">
        <v>31961165.56073309</v>
      </c>
      <c r="E189" s="430" t="n"/>
      <c r="F189" s="430">
        <f>+B189-C189</f>
        <v/>
      </c>
      <c r="G189" s="430">
        <f>+B189-D189</f>
        <v/>
      </c>
      <c r="H189" s="362" t="n"/>
      <c r="I189" s="362" t="n"/>
      <c r="J189" s="586" t="n">
        <v>51533</v>
      </c>
      <c r="K189" s="362" t="n">
        <v>-40000</v>
      </c>
      <c r="L189" s="362" t="n">
        <v>0</v>
      </c>
      <c r="M189" s="362" t="n">
        <v>0</v>
      </c>
      <c r="N189" s="362" t="n"/>
      <c r="O189" s="362">
        <f>+K189-L189</f>
        <v/>
      </c>
      <c r="P189" s="362">
        <f>+K189-M189</f>
        <v/>
      </c>
      <c r="S189" s="586" t="n">
        <v>51533</v>
      </c>
      <c r="T189" s="362" t="n">
        <v>15563.625829882</v>
      </c>
      <c r="U189" s="362" t="n">
        <v>2192.473454615014</v>
      </c>
      <c r="V189" s="362" t="n">
        <v>1922.989895769098</v>
      </c>
      <c r="W189" s="362" t="n"/>
      <c r="X189" s="362">
        <f>+T189-U189</f>
        <v/>
      </c>
      <c r="Y189" s="362">
        <f>+T189-V189</f>
        <v/>
      </c>
    </row>
    <row r="190">
      <c r="A190" s="586" t="n">
        <v>51561</v>
      </c>
      <c r="B190" s="430" t="n">
        <v>5078200.674373401</v>
      </c>
      <c r="C190" s="430" t="n">
        <v>30578015.10865074</v>
      </c>
      <c r="D190" s="430" t="n">
        <v>32216854.88521895</v>
      </c>
      <c r="E190" s="430" t="n"/>
      <c r="F190" s="430">
        <f>+B190-C190</f>
        <v/>
      </c>
      <c r="G190" s="430">
        <f>+B190-D190</f>
        <v/>
      </c>
      <c r="H190" s="362" t="n"/>
      <c r="I190" s="362" t="n"/>
      <c r="J190" s="586" t="n">
        <v>51561</v>
      </c>
      <c r="K190" s="362" t="n">
        <v>-40000</v>
      </c>
      <c r="L190" s="362" t="n">
        <v>0</v>
      </c>
      <c r="M190" s="362" t="n">
        <v>0</v>
      </c>
      <c r="N190" s="362" t="n"/>
      <c r="O190" s="362">
        <f>+K190-L190</f>
        <v/>
      </c>
      <c r="P190" s="362">
        <f>+K190-M190</f>
        <v/>
      </c>
      <c r="S190" s="586" t="n">
        <v>51561</v>
      </c>
      <c r="T190" s="362" t="n">
        <v>5657.251544521045</v>
      </c>
      <c r="U190" s="362" t="n">
        <v>2210.013242251934</v>
      </c>
      <c r="V190" s="362" t="n">
        <v>1938.373814935251</v>
      </c>
      <c r="W190" s="362" t="n"/>
      <c r="X190" s="362">
        <f>+T190-U190</f>
        <v/>
      </c>
      <c r="Y190" s="362">
        <f>+T190-V190</f>
        <v/>
      </c>
    </row>
    <row r="191">
      <c r="A191" s="586" t="n">
        <v>51592</v>
      </c>
      <c r="B191" s="430" t="n">
        <v>5102143.059511488</v>
      </c>
      <c r="C191" s="430" t="n">
        <v>30822639.22951994</v>
      </c>
      <c r="D191" s="430" t="n">
        <v>32474589.7243007</v>
      </c>
      <c r="E191" s="430" t="n"/>
      <c r="F191" s="430">
        <f>+B191-C191</f>
        <v/>
      </c>
      <c r="G191" s="430">
        <f>+B191-D191</f>
        <v/>
      </c>
      <c r="H191" s="362" t="n"/>
      <c r="I191" s="362" t="n"/>
      <c r="J191" s="586" t="n">
        <v>51592</v>
      </c>
      <c r="K191" s="362" t="n">
        <v>-40000</v>
      </c>
      <c r="L191" s="362" t="n">
        <v>0</v>
      </c>
      <c r="M191" s="362" t="n">
        <v>0</v>
      </c>
      <c r="N191" s="362" t="n"/>
      <c r="O191" s="362">
        <f>+K191-L191</f>
        <v/>
      </c>
      <c r="P191" s="362">
        <f>+K191-M191</f>
        <v/>
      </c>
      <c r="S191" s="586" t="n">
        <v>51592</v>
      </c>
      <c r="T191" s="362" t="n">
        <v>-4309.703498372772</v>
      </c>
      <c r="U191" s="362" t="n">
        <v>2227.693348189949</v>
      </c>
      <c r="V191" s="362" t="n">
        <v>1953.880805454733</v>
      </c>
      <c r="W191" s="362" t="n"/>
      <c r="X191" s="362">
        <f>+T191-U191</f>
        <v/>
      </c>
      <c r="Y191" s="362">
        <f>+T191-V191</f>
        <v/>
      </c>
    </row>
    <row r="192">
      <c r="A192" s="586" t="n">
        <v>51622</v>
      </c>
      <c r="B192" s="430" t="n">
        <v>5116264.77067543</v>
      </c>
      <c r="C192" s="430" t="n">
        <v>31069220.3433561</v>
      </c>
      <c r="D192" s="430" t="n">
        <v>32734386.44209511</v>
      </c>
      <c r="E192" s="430" t="n"/>
      <c r="F192" s="430">
        <f>+B192-C192</f>
        <v/>
      </c>
      <c r="G192" s="430">
        <f>+B192-D192</f>
        <v/>
      </c>
      <c r="H192" s="362" t="n"/>
      <c r="I192" s="362" t="n"/>
      <c r="J192" s="586" t="n">
        <v>51622</v>
      </c>
      <c r="K192" s="362" t="n">
        <v>-40000</v>
      </c>
      <c r="L192" s="362" t="n">
        <v>0</v>
      </c>
      <c r="M192" s="362" t="n">
        <v>0</v>
      </c>
      <c r="N192" s="362" t="n"/>
      <c r="O192" s="362">
        <f>+K192-L192</f>
        <v/>
      </c>
      <c r="P192" s="362">
        <f>+K192-M192</f>
        <v/>
      </c>
      <c r="S192" s="586" t="n">
        <v>51622</v>
      </c>
      <c r="T192" s="362" t="n">
        <v>-14356.39418160976</v>
      </c>
      <c r="U192" s="362" t="n">
        <v>2245.514894975468</v>
      </c>
      <c r="V192" s="362" t="n">
        <v>1969.511851898371</v>
      </c>
      <c r="W192" s="362" t="n"/>
      <c r="X192" s="362">
        <f>+T192-U192</f>
        <v/>
      </c>
      <c r="Y192" s="362">
        <f>+T192-V192</f>
        <v/>
      </c>
    </row>
    <row r="193">
      <c r="A193" s="586" t="n">
        <v>51653</v>
      </c>
      <c r="B193" s="430" t="n">
        <v>5120487.242473434</v>
      </c>
      <c r="C193" s="430" t="n">
        <v>31317774.10610295</v>
      </c>
      <c r="D193" s="430" t="n">
        <v>32996261.53363187</v>
      </c>
      <c r="E193" s="430" t="n"/>
      <c r="F193" s="430">
        <f>+B193-C193</f>
        <v/>
      </c>
      <c r="G193" s="430">
        <f>+B193-D193</f>
        <v/>
      </c>
      <c r="H193" s="362" t="n"/>
      <c r="I193" s="362" t="n"/>
      <c r="J193" s="586" t="n">
        <v>51653</v>
      </c>
      <c r="K193" s="362" t="n">
        <v>-40000</v>
      </c>
      <c r="L193" s="362" t="n">
        <v>-30000</v>
      </c>
      <c r="M193" s="362" t="n">
        <v>0</v>
      </c>
      <c r="N193" s="362" t="n"/>
      <c r="O193" s="362">
        <f>+K193-L193</f>
        <v/>
      </c>
      <c r="P193" s="362">
        <f>+K193-M193</f>
        <v/>
      </c>
      <c r="S193" s="586" t="n">
        <v>51653</v>
      </c>
      <c r="T193" s="362" t="n">
        <v>-24483.45839031264</v>
      </c>
      <c r="U193" s="362" t="n">
        <v>-27736.52098586473</v>
      </c>
      <c r="V193" s="362" t="n">
        <v>1985.267946713557</v>
      </c>
      <c r="W193" s="362" t="n"/>
      <c r="X193" s="362">
        <f>+T193-U193</f>
        <v/>
      </c>
      <c r="Y193" s="362">
        <f>+T193-V193</f>
        <v/>
      </c>
    </row>
    <row r="194">
      <c r="A194" s="586" t="n">
        <v>51683</v>
      </c>
      <c r="B194" s="430" t="n">
        <v>5114731.280990571</v>
      </c>
      <c r="C194" s="430" t="n">
        <v>31568316.29895177</v>
      </c>
      <c r="D194" s="430" t="n">
        <v>33260231.62590093</v>
      </c>
      <c r="E194" s="430" t="n"/>
      <c r="F194" s="430">
        <f>+B194-C194</f>
        <v/>
      </c>
      <c r="G194" s="430">
        <f>+B194-D194</f>
        <v/>
      </c>
      <c r="H194" s="362" t="n"/>
      <c r="I194" s="362" t="n"/>
      <c r="J194" s="586" t="n">
        <v>51683</v>
      </c>
      <c r="K194" s="362" t="n"/>
      <c r="L194" s="362" t="n">
        <v>0</v>
      </c>
      <c r="M194" s="362" t="n">
        <v>0</v>
      </c>
      <c r="N194" s="362" t="n"/>
      <c r="O194" s="362">
        <f>+K194-L194</f>
        <v/>
      </c>
      <c r="P194" s="362">
        <f>+K194-M194</f>
        <v/>
      </c>
      <c r="S194" s="586" t="n">
        <v>51683</v>
      </c>
      <c r="T194" s="362" t="n">
        <v>5308.460887314856</v>
      </c>
      <c r="U194" s="362" t="n">
        <v>2041.586846248354</v>
      </c>
      <c r="V194" s="362" t="n">
        <v>2001.150090287266</v>
      </c>
      <c r="W194" s="362" t="n"/>
      <c r="X194" s="362">
        <f>+T194-U194</f>
        <v/>
      </c>
      <c r="Y194" s="362">
        <f>+T194-V194</f>
        <v/>
      </c>
    </row>
    <row r="195">
      <c r="A195" s="586" t="n">
        <v>51714</v>
      </c>
      <c r="B195" s="430" t="n">
        <v>5134830.233380595</v>
      </c>
      <c r="C195" s="430" t="n">
        <v>31820862.82934339</v>
      </c>
      <c r="D195" s="430" t="n">
        <v>33526313.47890814</v>
      </c>
      <c r="E195" s="430" t="n"/>
      <c r="F195" s="430">
        <f>+B195-C195</f>
        <v/>
      </c>
      <c r="G195" s="430">
        <f>+B195-D195</f>
        <v/>
      </c>
      <c r="H195" s="362" t="n"/>
      <c r="I195" s="362" t="n"/>
      <c r="J195" s="586" t="n">
        <v>51714</v>
      </c>
      <c r="K195" s="362" t="n"/>
      <c r="L195" s="362" t="n">
        <v>0</v>
      </c>
      <c r="M195" s="362" t="n">
        <v>0</v>
      </c>
      <c r="N195" s="362" t="n"/>
      <c r="O195" s="362">
        <f>+K195-L195</f>
        <v/>
      </c>
      <c r="P195" s="362">
        <f>+K195-M195</f>
        <v/>
      </c>
      <c r="S195" s="586" t="n">
        <v>51714</v>
      </c>
      <c r="T195" s="362" t="n">
        <v>1780.890139163375</v>
      </c>
      <c r="U195" s="362" t="n">
        <v>2057.919541018341</v>
      </c>
      <c r="V195" s="362" t="n">
        <v>2017.159291009564</v>
      </c>
      <c r="W195" s="362" t="n"/>
      <c r="X195" s="362">
        <f>+T195-U195</f>
        <v/>
      </c>
      <c r="Y195" s="362">
        <f>+T195-V195</f>
        <v/>
      </c>
    </row>
    <row r="196">
      <c r="A196" s="586" t="n">
        <v>51745</v>
      </c>
      <c r="B196" s="430" t="n">
        <v>5175908.87524764</v>
      </c>
      <c r="C196" s="430" t="n">
        <v>32075429.73197814</v>
      </c>
      <c r="D196" s="430" t="n">
        <v>33794523.9867394</v>
      </c>
      <c r="E196" s="430" t="n"/>
      <c r="F196" s="430">
        <f>+B196-C196</f>
        <v/>
      </c>
      <c r="G196" s="430">
        <f>+B196-D196</f>
        <v/>
      </c>
      <c r="H196" s="362" t="n"/>
      <c r="I196" s="362" t="n"/>
      <c r="J196" s="586" t="n">
        <v>51745</v>
      </c>
      <c r="K196" s="362" t="n"/>
      <c r="L196" s="362" t="n">
        <v>0</v>
      </c>
      <c r="M196" s="362" t="n">
        <v>0</v>
      </c>
      <c r="N196" s="362" t="n"/>
      <c r="O196" s="362">
        <f>+K196-L196</f>
        <v/>
      </c>
      <c r="P196" s="362">
        <f>+K196-M196</f>
        <v/>
      </c>
      <c r="S196" s="586" t="n">
        <v>51745</v>
      </c>
      <c r="T196" s="362" t="n">
        <v>2085.035118176682</v>
      </c>
      <c r="U196" s="362" t="n">
        <v>2074.382897346488</v>
      </c>
      <c r="V196" s="362" t="n">
        <v>2033.29656533764</v>
      </c>
      <c r="W196" s="362" t="n"/>
      <c r="X196" s="362">
        <f>+T196-U196</f>
        <v/>
      </c>
      <c r="Y196" s="362">
        <f>+T196-V196</f>
        <v/>
      </c>
    </row>
    <row r="197">
      <c r="B197" s="430" t="n"/>
      <c r="C197" s="430" t="n"/>
      <c r="D197" s="430" t="n"/>
      <c r="E197" s="430" t="n"/>
      <c r="F197" s="430" t="n"/>
      <c r="G197" s="430" t="n"/>
      <c r="H197" s="362" t="n"/>
      <c r="I197" s="362" t="n"/>
      <c r="K197" s="362" t="n"/>
      <c r="L197" s="362" t="n"/>
      <c r="M197" s="362" t="n"/>
      <c r="N197" s="362" t="n"/>
      <c r="O197" s="362" t="n"/>
      <c r="P197" s="362" t="n"/>
      <c r="T197" s="362" t="n"/>
      <c r="U197" s="362" t="n"/>
      <c r="V197" s="362" t="n"/>
      <c r="W197" s="362" t="n"/>
      <c r="X197" s="362" t="n"/>
      <c r="Y197" s="362" t="n"/>
    </row>
    <row r="198">
      <c r="B198" s="430" t="n"/>
      <c r="C198" s="430" t="n"/>
      <c r="D198" s="430" t="n"/>
      <c r="E198" s="430" t="n"/>
      <c r="F198" s="430" t="n"/>
      <c r="G198" s="430" t="n"/>
      <c r="H198" s="362" t="n"/>
      <c r="I198" s="362" t="n"/>
      <c r="K198" s="362" t="n"/>
      <c r="L198" s="362" t="n"/>
      <c r="M198" s="362" t="n"/>
      <c r="N198" s="362" t="n"/>
      <c r="O198" s="362" t="n"/>
      <c r="P198" s="362" t="n"/>
      <c r="T198" s="362" t="n"/>
      <c r="U198" s="362" t="n"/>
      <c r="V198" s="362" t="n"/>
      <c r="W198" s="362" t="n"/>
      <c r="X198" s="362" t="n"/>
      <c r="Y198" s="362" t="n"/>
    </row>
    <row r="199">
      <c r="B199" s="430" t="n"/>
      <c r="C199" s="430" t="n"/>
      <c r="D199" s="430" t="n"/>
      <c r="E199" s="430" t="n"/>
      <c r="F199" s="430" t="n"/>
      <c r="G199" s="430" t="n"/>
      <c r="H199" s="362" t="n"/>
      <c r="I199" s="362" t="n"/>
      <c r="K199" s="362">
        <f>SUM(K3:K196)</f>
        <v/>
      </c>
      <c r="L199" s="362">
        <f>SUM(L3:L196)</f>
        <v/>
      </c>
      <c r="M199" s="362">
        <f>SUM(M3:M196)</f>
        <v/>
      </c>
      <c r="N199" s="362" t="n"/>
      <c r="O199" s="362">
        <f>SUM(O3:O196)</f>
        <v/>
      </c>
      <c r="P199" s="362">
        <f>SUM(P3:P196)</f>
        <v/>
      </c>
      <c r="T199" s="362">
        <f>SUM(T3:T196)</f>
        <v/>
      </c>
      <c r="U199" s="362">
        <f>SUM(U3:U196)</f>
        <v/>
      </c>
      <c r="V199" s="362">
        <f>SUM(V3:V196)</f>
        <v/>
      </c>
      <c r="W199" s="362" t="n"/>
      <c r="X199" s="362">
        <f>SUM(X3:X196)</f>
        <v/>
      </c>
      <c r="Y199" s="362">
        <f>SUM(Y3:Y196)</f>
        <v/>
      </c>
    </row>
    <row r="200">
      <c r="B200" s="430" t="n"/>
      <c r="C200" s="430" t="n"/>
      <c r="D200" s="430" t="n"/>
      <c r="E200" s="430" t="n"/>
      <c r="F200" s="430" t="n"/>
      <c r="G200" s="430" t="n"/>
      <c r="H200" s="362" t="n"/>
      <c r="I200" s="362" t="n"/>
      <c r="K200" s="362" t="n"/>
      <c r="L200" s="362">
        <f>+L199-K199</f>
        <v/>
      </c>
      <c r="M200" s="362">
        <f>+M199-L199</f>
        <v/>
      </c>
      <c r="N200" s="362" t="n"/>
      <c r="O200" s="362" t="n"/>
      <c r="P200" s="362" t="n"/>
      <c r="T200" s="362" t="n"/>
      <c r="U200" s="362">
        <f>+U199-T199</f>
        <v/>
      </c>
      <c r="V200" s="362">
        <f>+V199-U199</f>
        <v/>
      </c>
      <c r="W200" s="362" t="n"/>
      <c r="X200" s="362" t="n"/>
      <c r="Y200" s="362" t="n"/>
    </row>
    <row r="201">
      <c r="B201" s="430" t="n"/>
      <c r="C201" s="430" t="n"/>
      <c r="D201" s="430" t="n"/>
      <c r="E201" s="430" t="n"/>
      <c r="F201" s="430" t="n"/>
      <c r="G201" s="430" t="n"/>
      <c r="H201" s="362" t="n"/>
      <c r="I201" s="362" t="n"/>
      <c r="K201" s="362" t="n"/>
      <c r="L201" s="362" t="n"/>
      <c r="M201" s="362">
        <f>+M199-K199</f>
        <v/>
      </c>
      <c r="N201" s="362" t="n"/>
      <c r="O201" s="362" t="n"/>
      <c r="P201" s="362" t="n"/>
      <c r="T201" s="362" t="n"/>
      <c r="U201" s="362" t="n"/>
      <c r="V201" s="362">
        <f>+V199-T199</f>
        <v/>
      </c>
      <c r="W201" s="362" t="n"/>
      <c r="X201" s="362" t="n"/>
      <c r="Y201" s="362" t="n"/>
    </row>
    <row r="202">
      <c r="B202" s="430" t="n"/>
      <c r="C202" s="430" t="n"/>
      <c r="D202" s="430" t="n"/>
      <c r="E202" s="430" t="n"/>
      <c r="F202" s="430" t="n"/>
      <c r="G202" s="430" t="n"/>
      <c r="H202" s="362" t="n"/>
      <c r="I202" s="362" t="n"/>
      <c r="K202" s="362" t="n"/>
      <c r="L202" s="362" t="n"/>
      <c r="M202" s="362" t="n"/>
      <c r="N202" s="362" t="n"/>
      <c r="O202" s="362" t="n"/>
      <c r="P202" s="362" t="n"/>
      <c r="T202" s="362" t="n"/>
      <c r="U202" s="362" t="n"/>
      <c r="V202" s="362" t="n"/>
      <c r="W202" s="362" t="n"/>
      <c r="X202" s="362" t="n"/>
      <c r="Y202" s="362" t="n"/>
    </row>
    <row r="203">
      <c r="B203" s="430" t="n"/>
      <c r="C203" s="430" t="n"/>
      <c r="D203" s="430" t="n"/>
      <c r="E203" s="430" t="n"/>
      <c r="F203" s="430" t="n"/>
      <c r="G203" s="430" t="n"/>
      <c r="H203" s="362" t="n"/>
      <c r="I203" s="362" t="n"/>
      <c r="K203" s="362" t="n"/>
      <c r="L203" s="362" t="n"/>
      <c r="M203" s="362" t="n"/>
      <c r="N203" s="362" t="n"/>
      <c r="O203" s="362" t="n"/>
      <c r="P203" s="362" t="n"/>
      <c r="T203" s="362" t="n"/>
      <c r="U203" s="362" t="n"/>
      <c r="V203" s="362" t="n"/>
      <c r="W203" s="362" t="n"/>
      <c r="X203" s="362" t="n"/>
      <c r="Y203" s="362" t="n"/>
    </row>
    <row r="204">
      <c r="B204" s="430" t="n"/>
      <c r="C204" s="430" t="n"/>
      <c r="D204" s="430" t="n"/>
      <c r="E204" s="430" t="n"/>
      <c r="F204" s="430" t="n"/>
      <c r="G204" s="430" t="n"/>
      <c r="H204" s="362" t="n"/>
      <c r="I204" s="362" t="n"/>
      <c r="K204" s="362" t="n"/>
      <c r="L204" s="362" t="n"/>
      <c r="M204" s="362" t="n"/>
      <c r="N204" s="362" t="n"/>
      <c r="O204" s="362" t="n"/>
      <c r="P204" s="362" t="n"/>
      <c r="T204" s="362" t="n"/>
      <c r="U204" s="362" t="n"/>
      <c r="V204" s="362" t="n"/>
      <c r="W204" s="362" t="n"/>
      <c r="X204" s="362" t="n"/>
      <c r="Y204" s="362" t="n"/>
    </row>
    <row r="205">
      <c r="B205" s="430" t="n"/>
      <c r="C205" s="430" t="n"/>
      <c r="D205" s="430" t="n"/>
      <c r="E205" s="430" t="n"/>
      <c r="F205" s="430" t="n"/>
      <c r="G205" s="430" t="n"/>
      <c r="H205" s="362" t="n"/>
      <c r="I205" s="362" t="n"/>
      <c r="K205" s="362" t="n"/>
      <c r="L205" s="362" t="n"/>
      <c r="M205" s="362" t="n"/>
      <c r="N205" s="362" t="n"/>
      <c r="O205" s="362" t="n"/>
      <c r="P205" s="362" t="n"/>
      <c r="T205" s="362" t="n"/>
      <c r="U205" s="362" t="n"/>
      <c r="V205" s="362" t="n"/>
      <c r="W205" s="362" t="n"/>
      <c r="X205" s="362" t="n"/>
      <c r="Y205" s="362" t="n"/>
    </row>
    <row r="206">
      <c r="B206" s="430" t="n"/>
      <c r="C206" s="430" t="n"/>
      <c r="D206" s="430" t="n"/>
      <c r="E206" s="430" t="n"/>
      <c r="F206" s="430" t="n"/>
      <c r="G206" s="430" t="n"/>
      <c r="H206" s="362" t="n"/>
      <c r="I206" s="362" t="n"/>
      <c r="K206" s="362">
        <f>SUM('FC Total (5 lotes)'!$AT$66:$HU$66)</f>
        <v/>
      </c>
      <c r="L206" s="362">
        <f>SUM(#REF!)</f>
        <v/>
      </c>
      <c r="M206" s="362">
        <f>SUM(#REF!)</f>
        <v/>
      </c>
      <c r="N206" s="362" t="n"/>
      <c r="O206" s="362" t="n"/>
      <c r="P206" s="362" t="n"/>
      <c r="T206" s="362" t="n"/>
      <c r="U206" s="362" t="n"/>
      <c r="V206" s="362" t="n"/>
      <c r="W206" s="362" t="n"/>
      <c r="X206" s="362" t="n"/>
      <c r="Y206" s="362" t="n"/>
    </row>
    <row r="207">
      <c r="B207" s="430" t="n"/>
      <c r="C207" s="430" t="n"/>
      <c r="D207" s="430" t="n"/>
      <c r="E207" s="430" t="n"/>
      <c r="F207" s="430" t="n"/>
      <c r="G207" s="430" t="n"/>
      <c r="H207" s="362" t="n"/>
      <c r="I207" s="362" t="n"/>
      <c r="K207" s="362" t="n"/>
      <c r="L207" s="362" t="n"/>
      <c r="M207" s="362" t="n"/>
      <c r="N207" s="362" t="n"/>
      <c r="O207" s="362" t="n"/>
      <c r="P207" s="362" t="n"/>
      <c r="T207" s="362" t="n"/>
      <c r="U207" s="362" t="n"/>
      <c r="V207" s="362" t="n"/>
      <c r="W207" s="362" t="n"/>
      <c r="X207" s="362" t="n"/>
      <c r="Y207" s="362" t="n"/>
    </row>
    <row r="208">
      <c r="B208" s="430" t="n"/>
      <c r="C208" s="430" t="n"/>
      <c r="D208" s="430" t="n"/>
      <c r="E208" s="430" t="n"/>
      <c r="F208" s="430" t="n"/>
      <c r="G208" s="430" t="n"/>
      <c r="H208" s="362" t="n"/>
      <c r="I208" s="362" t="n"/>
      <c r="K208" s="362" t="n"/>
      <c r="L208" s="362" t="n"/>
      <c r="M208" s="362" t="n"/>
      <c r="N208" s="362" t="n"/>
      <c r="O208" s="362" t="n"/>
      <c r="P208" s="362" t="n"/>
      <c r="T208" s="362" t="n"/>
      <c r="U208" s="362" t="n"/>
      <c r="V208" s="362" t="n"/>
      <c r="W208" s="362" t="n"/>
      <c r="X208" s="362" t="n"/>
      <c r="Y208" s="362" t="n"/>
    </row>
    <row r="209">
      <c r="B209" s="430" t="n"/>
      <c r="C209" s="430" t="n"/>
      <c r="D209" s="430" t="n"/>
      <c r="E209" s="430" t="n"/>
      <c r="F209" s="430" t="n"/>
      <c r="G209" s="430" t="n"/>
      <c r="H209" s="362" t="n"/>
      <c r="I209" s="362" t="n"/>
      <c r="K209" s="362" t="n"/>
      <c r="L209" s="362" t="n"/>
      <c r="M209" s="362" t="n"/>
      <c r="N209" s="362" t="n"/>
      <c r="O209" s="362" t="n"/>
      <c r="P209" s="362" t="n"/>
      <c r="T209" s="362" t="n"/>
      <c r="U209" s="362" t="n"/>
      <c r="V209" s="362" t="n"/>
      <c r="W209" s="362" t="n"/>
      <c r="X209" s="362" t="n"/>
      <c r="Y209" s="362" t="n"/>
    </row>
    <row r="210">
      <c r="B210" s="430" t="n"/>
      <c r="C210" s="430" t="n"/>
      <c r="D210" s="430" t="n"/>
      <c r="E210" s="430" t="n"/>
      <c r="F210" s="430" t="n"/>
      <c r="G210" s="430" t="n"/>
      <c r="H210" s="362" t="n"/>
      <c r="I210" s="362" t="n"/>
      <c r="K210" s="362">
        <f>K199=('Painel Aporte Dev Dist'!D9*1000000)</f>
        <v/>
      </c>
      <c r="L210" s="362">
        <f>L199=('Painel Aporte Dev Dist'!D16*1000000)</f>
        <v/>
      </c>
      <c r="M210" s="362">
        <f>M199=('Painel Aporte Dev Dist'!D23*1000000)</f>
        <v/>
      </c>
      <c r="N210" s="362" t="n"/>
      <c r="O210" s="362" t="n"/>
      <c r="P210" s="362" t="n"/>
      <c r="T210" s="362" t="n"/>
      <c r="U210" s="362" t="n"/>
      <c r="V210" s="362" t="n"/>
      <c r="W210" s="362" t="n"/>
      <c r="X210" s="362" t="n"/>
      <c r="Y210" s="362" t="n"/>
    </row>
    <row r="211">
      <c r="B211" s="430" t="n"/>
      <c r="C211" s="430" t="n"/>
      <c r="D211" s="430" t="n"/>
      <c r="E211" s="430" t="n"/>
      <c r="F211" s="430" t="n"/>
      <c r="G211" s="430" t="n"/>
      <c r="H211" s="362" t="n"/>
      <c r="I211" s="362" t="n"/>
      <c r="K211" s="362" t="n"/>
      <c r="L211" s="362" t="n"/>
      <c r="M211" s="362" t="n"/>
      <c r="N211" s="362" t="n"/>
      <c r="O211" s="362" t="n"/>
      <c r="P211" s="362" t="n"/>
      <c r="T211" s="362" t="n"/>
      <c r="U211" s="362" t="n"/>
      <c r="V211" s="362" t="n"/>
      <c r="W211" s="362" t="n"/>
      <c r="X211" s="362" t="n"/>
      <c r="Y211" s="362" t="n"/>
    </row>
    <row r="212">
      <c r="B212" s="430" t="n"/>
      <c r="C212" s="430" t="n"/>
      <c r="D212" s="430" t="n"/>
      <c r="E212" s="430" t="n"/>
      <c r="F212" s="430" t="n"/>
      <c r="G212" s="430" t="n"/>
      <c r="H212" s="362" t="n"/>
      <c r="I212" s="362" t="n"/>
      <c r="K212" s="362" t="n"/>
      <c r="L212" s="362" t="n"/>
      <c r="M212" s="362" t="n"/>
      <c r="N212" s="362" t="n"/>
      <c r="O212" s="362" t="n"/>
      <c r="P212" s="362" t="n"/>
      <c r="T212" s="362" t="n"/>
      <c r="U212" s="362" t="n"/>
      <c r="V212" s="362" t="n"/>
      <c r="W212" s="362" t="n"/>
      <c r="X212" s="362" t="n"/>
      <c r="Y212" s="362" t="n"/>
    </row>
    <row r="213">
      <c r="B213" s="430" t="n"/>
      <c r="C213" s="430" t="n"/>
      <c r="D213" s="430" t="n"/>
      <c r="E213" s="430" t="n"/>
      <c r="F213" s="430" t="n"/>
      <c r="G213" s="430" t="n"/>
      <c r="H213" s="362" t="n"/>
      <c r="I213" s="362" t="n"/>
      <c r="K213" s="362" t="n"/>
      <c r="L213" s="362" t="n"/>
      <c r="M213" s="362" t="n"/>
      <c r="N213" s="362" t="n"/>
      <c r="O213" s="362" t="n"/>
      <c r="P213" s="362" t="n"/>
      <c r="T213" s="362" t="n"/>
      <c r="U213" s="362" t="n"/>
      <c r="V213" s="362" t="n"/>
      <c r="W213" s="362" t="n"/>
      <c r="X213" s="362" t="n"/>
      <c r="Y213" s="362" t="n"/>
    </row>
    <row r="214">
      <c r="B214" s="430" t="n"/>
      <c r="C214" s="430" t="n"/>
      <c r="D214" s="430" t="n"/>
      <c r="E214" s="430" t="n"/>
      <c r="F214" s="430" t="n"/>
      <c r="G214" s="430" t="n"/>
      <c r="H214" s="362" t="n"/>
      <c r="I214" s="362" t="n"/>
      <c r="K214" s="362" t="n"/>
      <c r="L214" s="362" t="n"/>
      <c r="M214" s="362" t="n"/>
      <c r="N214" s="362" t="n"/>
      <c r="O214" s="362" t="n"/>
      <c r="P214" s="362" t="n"/>
      <c r="T214" s="362" t="n"/>
      <c r="U214" s="362" t="n"/>
      <c r="V214" s="362" t="n"/>
      <c r="W214" s="362" t="n"/>
      <c r="X214" s="362" t="n"/>
      <c r="Y214" s="362" t="n"/>
    </row>
    <row r="215">
      <c r="B215" s="430" t="n"/>
      <c r="C215" s="430" t="n"/>
      <c r="D215" s="430" t="n"/>
      <c r="E215" s="430" t="n"/>
      <c r="F215" s="430" t="n"/>
      <c r="G215" s="430" t="n"/>
      <c r="H215" s="362" t="n"/>
      <c r="I215" s="362" t="n"/>
      <c r="K215" s="362" t="n"/>
      <c r="L215" s="362" t="n"/>
      <c r="M215" s="362" t="n"/>
      <c r="N215" s="362" t="n"/>
      <c r="O215" s="362" t="n"/>
      <c r="P215" s="362" t="n"/>
      <c r="T215" s="362" t="n"/>
      <c r="U215" s="362" t="n"/>
      <c r="V215" s="362" t="n"/>
      <c r="W215" s="362" t="n"/>
      <c r="X215" s="362" t="n"/>
      <c r="Y215" s="362" t="n"/>
    </row>
    <row r="216">
      <c r="B216" s="430" t="n"/>
      <c r="C216" s="430" t="n"/>
      <c r="D216" s="430" t="n"/>
      <c r="E216" s="430" t="n"/>
      <c r="F216" s="430" t="n"/>
      <c r="G216" s="430" t="n"/>
      <c r="H216" s="362" t="n"/>
      <c r="I216" s="362" t="n"/>
      <c r="K216" s="362" t="n"/>
      <c r="L216" s="362" t="n"/>
      <c r="M216" s="362" t="n"/>
      <c r="N216" s="362" t="n"/>
      <c r="O216" s="362" t="n"/>
      <c r="P216" s="362" t="n"/>
      <c r="T216" s="362" t="n"/>
      <c r="U216" s="362" t="n"/>
      <c r="V216" s="362" t="n"/>
      <c r="W216" s="362" t="n"/>
      <c r="X216" s="362" t="n"/>
      <c r="Y216" s="362" t="n"/>
    </row>
    <row r="217">
      <c r="B217" s="430" t="n"/>
      <c r="C217" s="430" t="n"/>
      <c r="D217" s="430" t="n"/>
      <c r="E217" s="430" t="n"/>
      <c r="F217" s="430" t="n"/>
      <c r="G217" s="430" t="n"/>
      <c r="H217" s="362" t="n"/>
      <c r="I217" s="362" t="n"/>
      <c r="K217" s="362" t="n"/>
      <c r="L217" s="362" t="n"/>
      <c r="M217" s="362" t="n"/>
      <c r="N217" s="362" t="n"/>
      <c r="O217" s="362" t="n"/>
      <c r="P217" s="362" t="n"/>
      <c r="T217" s="362" t="n"/>
      <c r="U217" s="362" t="n"/>
      <c r="V217" s="362" t="n"/>
      <c r="W217" s="362" t="n"/>
      <c r="X217" s="362" t="n"/>
      <c r="Y217" s="362" t="n"/>
    </row>
    <row r="218">
      <c r="B218" s="430" t="n"/>
      <c r="C218" s="430" t="n"/>
      <c r="D218" s="430" t="n"/>
      <c r="E218" s="430" t="n"/>
      <c r="F218" s="430" t="n"/>
      <c r="G218" s="430" t="n"/>
      <c r="H218" s="362" t="n"/>
      <c r="I218" s="362" t="n"/>
      <c r="K218" s="362" t="n"/>
      <c r="L218" s="362" t="n"/>
      <c r="M218" s="362" t="n"/>
      <c r="N218" s="362" t="n"/>
      <c r="O218" s="362" t="n"/>
      <c r="P218" s="362" t="n"/>
      <c r="T218" s="362" t="n"/>
      <c r="U218" s="362" t="n"/>
      <c r="V218" s="362" t="n"/>
      <c r="W218" s="362" t="n"/>
      <c r="X218" s="362" t="n"/>
      <c r="Y218" s="362" t="n"/>
    </row>
    <row r="219">
      <c r="B219" s="430" t="n"/>
      <c r="C219" s="430" t="n"/>
      <c r="D219" s="430" t="n"/>
      <c r="E219" s="430" t="n"/>
      <c r="F219" s="430" t="n"/>
      <c r="G219" s="430" t="n"/>
      <c r="H219" s="362" t="n"/>
      <c r="I219" s="362" t="n"/>
      <c r="K219" s="362" t="n"/>
      <c r="L219" s="362" t="n"/>
      <c r="M219" s="362" t="n"/>
      <c r="N219" s="362" t="n"/>
      <c r="O219" s="362" t="n"/>
      <c r="P219" s="362" t="n"/>
      <c r="T219" s="362" t="n"/>
      <c r="U219" s="362" t="n"/>
      <c r="V219" s="362" t="n"/>
      <c r="W219" s="362" t="n"/>
      <c r="X219" s="362" t="n"/>
      <c r="Y219" s="362" t="n"/>
    </row>
    <row r="220">
      <c r="B220" s="430" t="n"/>
      <c r="C220" s="430" t="n"/>
      <c r="D220" s="430" t="n"/>
      <c r="E220" s="430" t="n"/>
      <c r="F220" s="430" t="n"/>
      <c r="G220" s="430" t="n"/>
      <c r="H220" s="362" t="n"/>
      <c r="I220" s="362" t="n"/>
      <c r="K220" s="362" t="n"/>
      <c r="L220" s="362" t="n"/>
      <c r="M220" s="362" t="n"/>
      <c r="N220" s="362" t="n"/>
      <c r="O220" s="362" t="n"/>
      <c r="P220" s="362" t="n"/>
      <c r="T220" s="362" t="n"/>
      <c r="U220" s="362" t="n"/>
      <c r="V220" s="362" t="n"/>
      <c r="W220" s="362" t="n"/>
      <c r="X220" s="362" t="n"/>
      <c r="Y220" s="362" t="n"/>
    </row>
    <row r="221">
      <c r="B221" s="430" t="n"/>
      <c r="C221" s="430" t="n"/>
      <c r="D221" s="430" t="n"/>
      <c r="E221" s="430" t="n"/>
      <c r="F221" s="430" t="n"/>
      <c r="G221" s="430" t="n"/>
      <c r="H221" s="362" t="n"/>
      <c r="I221" s="362" t="n"/>
      <c r="K221" s="362" t="n"/>
      <c r="L221" s="362" t="n"/>
      <c r="M221" s="362" t="n"/>
      <c r="N221" s="362" t="n"/>
      <c r="O221" s="362" t="n"/>
      <c r="P221" s="362" t="n"/>
      <c r="T221" s="362" t="n"/>
      <c r="U221" s="362" t="n"/>
      <c r="V221" s="362" t="n"/>
      <c r="W221" s="362" t="n"/>
      <c r="X221" s="362" t="n"/>
      <c r="Y221" s="362" t="n"/>
    </row>
    <row r="222">
      <c r="B222" s="430" t="n"/>
      <c r="C222" s="430" t="n"/>
      <c r="D222" s="430" t="n"/>
      <c r="E222" s="430" t="n"/>
      <c r="F222" s="430" t="n"/>
      <c r="G222" s="430" t="n"/>
      <c r="H222" s="362" t="n"/>
      <c r="I222" s="362" t="n"/>
      <c r="K222" s="362" t="n"/>
      <c r="L222" s="362" t="n"/>
      <c r="M222" s="362" t="n"/>
      <c r="N222" s="362" t="n"/>
      <c r="O222" s="362" t="n"/>
      <c r="P222" s="362" t="n"/>
      <c r="T222" s="362" t="n"/>
      <c r="U222" s="362" t="n"/>
      <c r="V222" s="362" t="n"/>
      <c r="W222" s="362" t="n"/>
      <c r="X222" s="362" t="n"/>
      <c r="Y222" s="362" t="n"/>
    </row>
    <row r="223">
      <c r="B223" s="430" t="n"/>
      <c r="C223" s="430" t="n"/>
      <c r="D223" s="430" t="n"/>
      <c r="E223" s="430" t="n"/>
      <c r="F223" s="430" t="n"/>
      <c r="G223" s="430" t="n"/>
      <c r="H223" s="362" t="n"/>
      <c r="I223" s="362" t="n"/>
      <c r="K223" s="362" t="n"/>
      <c r="L223" s="362" t="n"/>
      <c r="M223" s="362" t="n"/>
      <c r="N223" s="362" t="n"/>
      <c r="O223" s="362" t="n"/>
      <c r="P223" s="362" t="n"/>
      <c r="T223" s="362" t="n"/>
      <c r="U223" s="362" t="n"/>
      <c r="V223" s="362" t="n"/>
      <c r="W223" s="362" t="n"/>
      <c r="X223" s="362" t="n"/>
      <c r="Y223" s="362" t="n"/>
    </row>
    <row r="224">
      <c r="B224" s="430" t="n"/>
      <c r="C224" s="430" t="n"/>
      <c r="D224" s="430" t="n"/>
      <c r="E224" s="430" t="n"/>
      <c r="F224" s="430" t="n"/>
      <c r="G224" s="430" t="n"/>
      <c r="H224" s="362" t="n"/>
      <c r="I224" s="362" t="n"/>
      <c r="K224" s="362" t="n"/>
      <c r="L224" s="362" t="n"/>
      <c r="M224" s="362" t="n"/>
      <c r="N224" s="362" t="n"/>
      <c r="O224" s="362" t="n"/>
      <c r="P224" s="362" t="n"/>
      <c r="T224" s="362" t="n"/>
      <c r="U224" s="362" t="n"/>
      <c r="V224" s="362" t="n"/>
      <c r="W224" s="362" t="n"/>
      <c r="X224" s="362" t="n"/>
      <c r="Y224" s="362" t="n"/>
    </row>
    <row r="225">
      <c r="B225" s="430" t="n"/>
      <c r="C225" s="430" t="n"/>
      <c r="D225" s="430" t="n"/>
      <c r="E225" s="430" t="n"/>
      <c r="F225" s="430" t="n"/>
      <c r="G225" s="430" t="n"/>
      <c r="H225" s="362" t="n"/>
      <c r="I225" s="362" t="n"/>
      <c r="K225" s="362" t="n"/>
      <c r="L225" s="362" t="n"/>
      <c r="M225" s="362" t="n"/>
      <c r="N225" s="362" t="n"/>
      <c r="O225" s="362" t="n"/>
      <c r="P225" s="362" t="n"/>
      <c r="T225" s="362" t="n"/>
      <c r="U225" s="362" t="n"/>
      <c r="V225" s="362" t="n"/>
      <c r="W225" s="362" t="n"/>
      <c r="X225" s="362" t="n"/>
      <c r="Y225" s="362" t="n"/>
    </row>
    <row r="226">
      <c r="B226" s="430" t="n"/>
      <c r="C226" s="430" t="n"/>
      <c r="D226" s="430" t="n"/>
      <c r="E226" s="430" t="n"/>
      <c r="F226" s="430" t="n"/>
      <c r="G226" s="430" t="n"/>
      <c r="H226" s="362" t="n"/>
      <c r="I226" s="362" t="n"/>
      <c r="K226" s="362" t="n"/>
      <c r="L226" s="362" t="n"/>
      <c r="M226" s="362" t="n"/>
      <c r="N226" s="362" t="n"/>
      <c r="O226" s="362" t="n"/>
      <c r="P226" s="362" t="n"/>
      <c r="T226" s="362" t="n"/>
      <c r="U226" s="362" t="n"/>
      <c r="V226" s="362" t="n"/>
      <c r="W226" s="362" t="n"/>
      <c r="X226" s="362" t="n"/>
      <c r="Y226" s="362" t="n"/>
    </row>
    <row r="227">
      <c r="B227" s="430" t="n"/>
      <c r="C227" s="430" t="n"/>
      <c r="D227" s="430" t="n"/>
      <c r="E227" s="430" t="n"/>
      <c r="F227" s="430" t="n"/>
      <c r="G227" s="430" t="n"/>
      <c r="H227" s="362" t="n"/>
      <c r="I227" s="362" t="n"/>
      <c r="K227" s="362" t="n"/>
      <c r="L227" s="362" t="n"/>
      <c r="M227" s="362" t="n"/>
      <c r="N227" s="362" t="n"/>
      <c r="O227" s="362" t="n"/>
      <c r="P227" s="362" t="n"/>
      <c r="T227" s="362" t="n"/>
      <c r="U227" s="362" t="n"/>
      <c r="V227" s="362" t="n"/>
      <c r="W227" s="362" t="n"/>
      <c r="X227" s="362" t="n"/>
      <c r="Y227" s="362" t="n"/>
    </row>
    <row r="228">
      <c r="B228" s="430" t="n"/>
      <c r="C228" s="430" t="n"/>
      <c r="D228" s="430" t="n"/>
      <c r="E228" s="430" t="n"/>
      <c r="F228" s="430" t="n"/>
      <c r="G228" s="430" t="n"/>
      <c r="H228" s="362" t="n"/>
      <c r="I228" s="362" t="n"/>
      <c r="K228" s="362" t="n"/>
      <c r="L228" s="362" t="n"/>
      <c r="M228" s="362" t="n"/>
      <c r="N228" s="362" t="n"/>
      <c r="O228" s="362" t="n"/>
      <c r="P228" s="362" t="n"/>
      <c r="T228" s="362" t="n"/>
      <c r="U228" s="362" t="n"/>
      <c r="V228" s="362" t="n"/>
      <c r="W228" s="362" t="n"/>
      <c r="X228" s="362" t="n"/>
      <c r="Y228" s="362" t="n"/>
    </row>
    <row r="229">
      <c r="B229" s="430" t="n"/>
      <c r="C229" s="430" t="n"/>
      <c r="D229" s="430" t="n"/>
      <c r="E229" s="430" t="n"/>
      <c r="F229" s="430" t="n"/>
      <c r="G229" s="430" t="n"/>
      <c r="H229" s="362" t="n"/>
      <c r="I229" s="362" t="n"/>
      <c r="K229" s="362" t="n"/>
      <c r="L229" s="362" t="n"/>
      <c r="M229" s="362" t="n"/>
      <c r="N229" s="362" t="n"/>
      <c r="O229" s="362" t="n"/>
      <c r="P229" s="362" t="n"/>
      <c r="T229" s="362" t="n"/>
      <c r="U229" s="362" t="n"/>
      <c r="V229" s="362" t="n"/>
      <c r="W229" s="362" t="n"/>
      <c r="X229" s="362" t="n"/>
      <c r="Y229" s="362" t="n"/>
    </row>
    <row r="230">
      <c r="B230" s="430" t="n"/>
      <c r="C230" s="430" t="n"/>
      <c r="D230" s="430" t="n"/>
      <c r="E230" s="430" t="n"/>
      <c r="F230" s="430" t="n"/>
      <c r="G230" s="430" t="n"/>
      <c r="H230" s="362" t="n"/>
      <c r="I230" s="362" t="n"/>
      <c r="K230" s="362" t="n"/>
      <c r="L230" s="362" t="n"/>
      <c r="M230" s="362" t="n"/>
      <c r="N230" s="362" t="n"/>
      <c r="O230" s="362" t="n"/>
      <c r="P230" s="362" t="n"/>
      <c r="T230" s="362" t="n"/>
      <c r="U230" s="362" t="n"/>
      <c r="V230" s="362" t="n"/>
      <c r="W230" s="362" t="n"/>
      <c r="X230" s="362" t="n"/>
      <c r="Y230" s="362" t="n"/>
    </row>
    <row r="231">
      <c r="B231" s="430" t="n"/>
      <c r="C231" s="430" t="n"/>
      <c r="D231" s="430" t="n"/>
      <c r="E231" s="430" t="n"/>
      <c r="F231" s="430" t="n"/>
      <c r="G231" s="430" t="n"/>
      <c r="H231" s="362" t="n"/>
      <c r="I231" s="362" t="n"/>
      <c r="K231" s="362" t="n"/>
      <c r="L231" s="362" t="n"/>
      <c r="M231" s="362" t="n"/>
      <c r="N231" s="362" t="n"/>
      <c r="O231" s="362" t="n"/>
      <c r="P231" s="362" t="n"/>
      <c r="T231" s="362" t="n"/>
      <c r="U231" s="362" t="n"/>
      <c r="V231" s="362" t="n"/>
      <c r="W231" s="362" t="n"/>
      <c r="X231" s="362" t="n"/>
      <c r="Y231" s="362" t="n"/>
    </row>
    <row r="232">
      <c r="B232" s="430" t="n"/>
      <c r="C232" s="430" t="n"/>
      <c r="D232" s="430" t="n"/>
      <c r="E232" s="430" t="n"/>
      <c r="F232" s="430" t="n"/>
      <c r="G232" s="430" t="n"/>
      <c r="H232" s="362" t="n"/>
      <c r="I232" s="362" t="n"/>
      <c r="K232" s="362" t="n"/>
      <c r="L232" s="362" t="n"/>
      <c r="M232" s="362" t="n"/>
      <c r="N232" s="362" t="n"/>
      <c r="O232" s="362" t="n"/>
      <c r="P232" s="362" t="n"/>
      <c r="T232" s="362" t="n"/>
      <c r="U232" s="362" t="n"/>
      <c r="V232" s="362" t="n"/>
      <c r="W232" s="362" t="n"/>
      <c r="X232" s="362" t="n"/>
      <c r="Y232" s="362" t="n"/>
    </row>
    <row r="233">
      <c r="B233" s="430" t="n"/>
      <c r="C233" s="430" t="n"/>
      <c r="D233" s="430" t="n"/>
      <c r="E233" s="430" t="n"/>
      <c r="F233" s="430" t="n"/>
      <c r="G233" s="430" t="n"/>
      <c r="H233" s="362" t="n"/>
      <c r="I233" s="362" t="n"/>
      <c r="K233" s="362" t="n"/>
      <c r="L233" s="362" t="n"/>
      <c r="M233" s="362" t="n"/>
      <c r="N233" s="362" t="n"/>
      <c r="O233" s="362" t="n"/>
      <c r="P233" s="362" t="n"/>
      <c r="T233" s="362" t="n"/>
      <c r="U233" s="362" t="n"/>
      <c r="V233" s="362" t="n"/>
      <c r="W233" s="362" t="n"/>
      <c r="X233" s="362" t="n"/>
      <c r="Y233" s="362" t="n"/>
    </row>
    <row r="234">
      <c r="B234" s="430" t="n"/>
      <c r="C234" s="430" t="n"/>
      <c r="D234" s="430" t="n"/>
      <c r="E234" s="430" t="n"/>
      <c r="F234" s="430" t="n"/>
      <c r="G234" s="430" t="n"/>
      <c r="H234" s="362" t="n"/>
      <c r="I234" s="362" t="n"/>
      <c r="K234" s="362" t="n"/>
      <c r="L234" s="362" t="n"/>
      <c r="M234" s="362" t="n"/>
      <c r="N234" s="362" t="n"/>
      <c r="O234" s="362" t="n"/>
      <c r="P234" s="362" t="n"/>
      <c r="T234" s="362" t="n"/>
      <c r="U234" s="362" t="n"/>
      <c r="V234" s="362" t="n"/>
      <c r="W234" s="362" t="n"/>
      <c r="X234" s="362" t="n"/>
      <c r="Y234" s="362" t="n"/>
    </row>
    <row r="235">
      <c r="B235" s="430" t="n"/>
      <c r="C235" s="430" t="n"/>
      <c r="D235" s="430" t="n"/>
      <c r="E235" s="430" t="n"/>
      <c r="F235" s="430" t="n"/>
      <c r="G235" s="430" t="n"/>
      <c r="H235" s="362" t="n"/>
      <c r="I235" s="362" t="n"/>
      <c r="K235" s="362" t="n"/>
      <c r="L235" s="362" t="n"/>
      <c r="M235" s="362" t="n"/>
      <c r="N235" s="362" t="n"/>
      <c r="O235" s="362" t="n"/>
      <c r="P235" s="362" t="n"/>
      <c r="T235" s="362" t="n"/>
      <c r="U235" s="362" t="n"/>
      <c r="V235" s="362" t="n"/>
      <c r="W235" s="362" t="n"/>
      <c r="X235" s="362" t="n"/>
      <c r="Y235" s="362" t="n"/>
    </row>
    <row r="236">
      <c r="B236" s="430" t="n"/>
      <c r="C236" s="430" t="n"/>
      <c r="D236" s="430" t="n"/>
      <c r="E236" s="430" t="n"/>
      <c r="F236" s="430" t="n"/>
      <c r="G236" s="430" t="n"/>
      <c r="H236" s="362" t="n"/>
      <c r="I236" s="362" t="n"/>
      <c r="K236" s="362" t="n"/>
      <c r="L236" s="362" t="n"/>
      <c r="M236" s="362" t="n"/>
      <c r="N236" s="362" t="n"/>
      <c r="O236" s="362" t="n"/>
      <c r="P236" s="362" t="n"/>
      <c r="T236" s="362" t="n"/>
      <c r="U236" s="362" t="n"/>
      <c r="V236" s="362" t="n"/>
      <c r="W236" s="362" t="n"/>
      <c r="X236" s="362" t="n"/>
      <c r="Y236" s="362" t="n"/>
    </row>
    <row r="237">
      <c r="B237" s="430" t="n"/>
      <c r="C237" s="430" t="n"/>
      <c r="D237" s="430" t="n"/>
      <c r="E237" s="430" t="n"/>
      <c r="F237" s="430" t="n"/>
      <c r="G237" s="430" t="n"/>
      <c r="H237" s="362" t="n"/>
      <c r="I237" s="362" t="n"/>
      <c r="K237" s="362" t="n"/>
      <c r="L237" s="362" t="n"/>
      <c r="M237" s="362" t="n"/>
      <c r="N237" s="362" t="n"/>
      <c r="O237" s="362" t="n"/>
      <c r="P237" s="362" t="n"/>
      <c r="T237" s="362" t="n"/>
      <c r="U237" s="362" t="n"/>
      <c r="V237" s="362" t="n"/>
      <c r="W237" s="362" t="n"/>
      <c r="X237" s="362" t="n"/>
      <c r="Y237" s="362" t="n"/>
    </row>
    <row r="238">
      <c r="B238" s="430" t="n"/>
      <c r="C238" s="430" t="n"/>
      <c r="D238" s="430" t="n"/>
      <c r="E238" s="430" t="n"/>
      <c r="F238" s="430" t="n"/>
      <c r="G238" s="430" t="n"/>
      <c r="H238" s="362" t="n"/>
      <c r="I238" s="362" t="n"/>
      <c r="K238" s="362" t="n"/>
      <c r="L238" s="362" t="n"/>
      <c r="M238" s="362" t="n"/>
      <c r="N238" s="362" t="n"/>
      <c r="O238" s="362" t="n"/>
      <c r="P238" s="362" t="n"/>
      <c r="T238" s="362" t="n"/>
      <c r="U238" s="362" t="n"/>
      <c r="V238" s="362" t="n"/>
      <c r="W238" s="362" t="n"/>
      <c r="X238" s="362" t="n"/>
      <c r="Y238" s="362" t="n"/>
    </row>
    <row r="239">
      <c r="B239" s="430" t="n"/>
      <c r="C239" s="430" t="n"/>
      <c r="D239" s="430" t="n"/>
      <c r="E239" s="430" t="n"/>
      <c r="F239" s="430" t="n"/>
      <c r="G239" s="430" t="n"/>
      <c r="H239" s="362" t="n"/>
      <c r="I239" s="362" t="n"/>
      <c r="K239" s="362" t="n"/>
      <c r="L239" s="362" t="n"/>
      <c r="M239" s="362" t="n"/>
      <c r="N239" s="362" t="n"/>
      <c r="O239" s="362" t="n"/>
      <c r="P239" s="362" t="n"/>
      <c r="T239" s="362" t="n"/>
      <c r="U239" s="362" t="n"/>
      <c r="V239" s="362" t="n"/>
      <c r="W239" s="362" t="n"/>
      <c r="X239" s="362" t="n"/>
      <c r="Y239" s="362" t="n"/>
    </row>
    <row r="240">
      <c r="B240" s="430" t="n"/>
      <c r="C240" s="430" t="n"/>
      <c r="D240" s="430" t="n"/>
      <c r="E240" s="430" t="n"/>
      <c r="F240" s="430" t="n"/>
      <c r="G240" s="430" t="n"/>
      <c r="H240" s="362" t="n"/>
      <c r="I240" s="362" t="n"/>
      <c r="K240" s="362" t="n"/>
      <c r="L240" s="362" t="n"/>
      <c r="M240" s="362" t="n"/>
      <c r="N240" s="362" t="n"/>
      <c r="O240" s="362" t="n"/>
      <c r="P240" s="362" t="n"/>
      <c r="T240" s="362" t="n"/>
      <c r="U240" s="362" t="n"/>
      <c r="V240" s="362" t="n"/>
      <c r="W240" s="362" t="n"/>
      <c r="X240" s="362" t="n"/>
      <c r="Y240" s="362" t="n"/>
    </row>
    <row r="241">
      <c r="B241" s="430" t="n"/>
      <c r="C241" s="430" t="n"/>
      <c r="D241" s="430" t="n"/>
      <c r="E241" s="430" t="n"/>
      <c r="F241" s="430" t="n"/>
      <c r="G241" s="430" t="n"/>
      <c r="H241" s="362" t="n"/>
      <c r="I241" s="362" t="n"/>
      <c r="K241" s="362" t="n"/>
      <c r="L241" s="362" t="n"/>
      <c r="M241" s="362" t="n"/>
      <c r="N241" s="362" t="n"/>
      <c r="O241" s="362" t="n"/>
      <c r="P241" s="362" t="n"/>
      <c r="T241" s="362" t="n"/>
      <c r="U241" s="362" t="n"/>
      <c r="V241" s="362" t="n"/>
      <c r="W241" s="362" t="n"/>
      <c r="X241" s="362" t="n"/>
      <c r="Y241" s="362" t="n"/>
    </row>
    <row r="242">
      <c r="B242" s="430" t="n"/>
      <c r="C242" s="430" t="n"/>
      <c r="D242" s="430" t="n"/>
      <c r="E242" s="430" t="n"/>
      <c r="F242" s="430" t="n"/>
      <c r="G242" s="430" t="n"/>
      <c r="H242" s="362" t="n"/>
      <c r="I242" s="362" t="n"/>
      <c r="K242" s="362" t="n"/>
      <c r="L242" s="362" t="n"/>
      <c r="M242" s="362" t="n"/>
      <c r="N242" s="362" t="n"/>
      <c r="O242" s="362" t="n"/>
      <c r="P242" s="362" t="n"/>
      <c r="T242" s="362" t="n"/>
      <c r="U242" s="362" t="n"/>
      <c r="V242" s="362" t="n"/>
      <c r="W242" s="362" t="n"/>
      <c r="X242" s="362" t="n"/>
      <c r="Y242" s="362" t="n"/>
    </row>
    <row r="243">
      <c r="B243" s="430" t="n"/>
      <c r="C243" s="430" t="n"/>
      <c r="D243" s="430" t="n"/>
      <c r="E243" s="430" t="n"/>
      <c r="F243" s="430" t="n"/>
      <c r="G243" s="430" t="n"/>
      <c r="H243" s="362" t="n"/>
      <c r="I243" s="362" t="n"/>
      <c r="K243" s="362" t="n"/>
      <c r="L243" s="362" t="n"/>
      <c r="M243" s="362" t="n"/>
      <c r="N243" s="362" t="n"/>
      <c r="O243" s="362" t="n"/>
      <c r="P243" s="362" t="n"/>
      <c r="T243" s="362" t="n"/>
      <c r="U243" s="362" t="n"/>
      <c r="V243" s="362" t="n"/>
      <c r="W243" s="362" t="n"/>
      <c r="X243" s="362" t="n"/>
      <c r="Y243" s="362" t="n"/>
    </row>
    <row r="244">
      <c r="B244" s="430" t="n"/>
      <c r="C244" s="430" t="n"/>
      <c r="D244" s="430" t="n"/>
      <c r="E244" s="430" t="n"/>
      <c r="F244" s="430" t="n"/>
      <c r="G244" s="430" t="n"/>
      <c r="H244" s="362" t="n"/>
      <c r="I244" s="362" t="n"/>
      <c r="K244" s="362" t="n"/>
      <c r="L244" s="362" t="n"/>
      <c r="M244" s="362" t="n"/>
      <c r="N244" s="362" t="n"/>
      <c r="O244" s="362" t="n"/>
      <c r="P244" s="362" t="n"/>
      <c r="T244" s="362" t="n"/>
      <c r="U244" s="362" t="n"/>
      <c r="V244" s="362" t="n"/>
      <c r="W244" s="362" t="n"/>
      <c r="X244" s="362" t="n"/>
      <c r="Y244" s="362" t="n"/>
    </row>
    <row r="245">
      <c r="B245" s="430" t="n"/>
      <c r="C245" s="430" t="n"/>
      <c r="D245" s="430" t="n"/>
      <c r="E245" s="430" t="n"/>
      <c r="F245" s="430" t="n"/>
      <c r="G245" s="430" t="n"/>
      <c r="H245" s="362" t="n"/>
      <c r="I245" s="362" t="n"/>
      <c r="K245" s="362" t="n"/>
      <c r="L245" s="362" t="n"/>
      <c r="M245" s="362" t="n"/>
      <c r="N245" s="362" t="n"/>
      <c r="O245" s="362" t="n"/>
      <c r="P245" s="362" t="n"/>
      <c r="T245" s="362" t="n"/>
      <c r="U245" s="362" t="n"/>
      <c r="V245" s="362" t="n"/>
      <c r="W245" s="362" t="n"/>
      <c r="X245" s="362" t="n"/>
      <c r="Y245" s="362" t="n"/>
    </row>
    <row r="246">
      <c r="B246" s="430" t="n"/>
      <c r="C246" s="430" t="n"/>
      <c r="D246" s="430" t="n"/>
      <c r="E246" s="430" t="n"/>
      <c r="F246" s="430" t="n"/>
      <c r="G246" s="430" t="n"/>
      <c r="H246" s="362" t="n"/>
      <c r="I246" s="362" t="n"/>
      <c r="K246" s="362" t="n"/>
      <c r="L246" s="362" t="n"/>
      <c r="M246" s="362" t="n"/>
      <c r="N246" s="362" t="n"/>
      <c r="O246" s="362" t="n"/>
      <c r="P246" s="362" t="n"/>
      <c r="T246" s="362" t="n"/>
      <c r="U246" s="362" t="n"/>
      <c r="V246" s="362" t="n"/>
      <c r="W246" s="362" t="n"/>
      <c r="X246" s="362" t="n"/>
      <c r="Y246" s="362" t="n"/>
    </row>
    <row r="247">
      <c r="B247" s="430" t="n"/>
      <c r="C247" s="430" t="n"/>
      <c r="D247" s="430" t="n"/>
      <c r="E247" s="430" t="n"/>
      <c r="F247" s="430" t="n"/>
      <c r="G247" s="430" t="n"/>
      <c r="H247" s="362" t="n"/>
      <c r="I247" s="362" t="n"/>
      <c r="K247" s="362" t="n"/>
      <c r="L247" s="362" t="n"/>
      <c r="M247" s="362" t="n"/>
      <c r="N247" s="362" t="n"/>
      <c r="O247" s="362" t="n"/>
      <c r="P247" s="362" t="n"/>
      <c r="T247" s="362" t="n"/>
      <c r="U247" s="362" t="n"/>
      <c r="V247" s="362" t="n"/>
      <c r="W247" s="362" t="n"/>
      <c r="X247" s="362" t="n"/>
      <c r="Y247" s="362" t="n"/>
    </row>
    <row r="248">
      <c r="B248" s="430" t="n"/>
      <c r="C248" s="430" t="n"/>
      <c r="D248" s="430" t="n"/>
      <c r="E248" s="430" t="n"/>
      <c r="F248" s="430" t="n"/>
      <c r="G248" s="430" t="n"/>
      <c r="H248" s="362" t="n"/>
      <c r="I248" s="362" t="n"/>
      <c r="K248" s="362" t="n"/>
      <c r="L248" s="362" t="n"/>
      <c r="M248" s="362" t="n"/>
      <c r="N248" s="362" t="n"/>
      <c r="O248" s="362" t="n"/>
      <c r="P248" s="362" t="n"/>
      <c r="T248" s="362" t="n"/>
      <c r="U248" s="362" t="n"/>
      <c r="V248" s="362" t="n"/>
      <c r="W248" s="362" t="n"/>
      <c r="X248" s="362" t="n"/>
      <c r="Y248" s="362" t="n"/>
    </row>
    <row r="249">
      <c r="B249" s="430" t="n"/>
      <c r="C249" s="430" t="n"/>
      <c r="D249" s="430" t="n"/>
      <c r="E249" s="430" t="n"/>
      <c r="F249" s="430" t="n"/>
      <c r="G249" s="430" t="n"/>
      <c r="H249" s="362" t="n"/>
      <c r="I249" s="362" t="n"/>
      <c r="K249" s="362" t="n"/>
      <c r="L249" s="362" t="n"/>
      <c r="M249" s="362" t="n"/>
      <c r="N249" s="362" t="n"/>
      <c r="O249" s="362" t="n"/>
      <c r="P249" s="362" t="n"/>
      <c r="T249" s="362" t="n"/>
      <c r="U249" s="362" t="n"/>
      <c r="V249" s="362" t="n"/>
      <c r="W249" s="362" t="n"/>
      <c r="X249" s="362" t="n"/>
      <c r="Y249" s="362" t="n"/>
    </row>
    <row r="250">
      <c r="B250" s="430" t="n"/>
      <c r="C250" s="430" t="n"/>
      <c r="D250" s="430" t="n"/>
      <c r="E250" s="430" t="n"/>
      <c r="F250" s="430" t="n"/>
      <c r="G250" s="430" t="n"/>
      <c r="H250" s="362" t="n"/>
      <c r="I250" s="362" t="n"/>
      <c r="K250" s="362" t="n"/>
      <c r="L250" s="362" t="n"/>
      <c r="M250" s="362" t="n"/>
      <c r="N250" s="362" t="n"/>
      <c r="O250" s="362" t="n"/>
      <c r="P250" s="362" t="n"/>
      <c r="T250" s="362" t="n"/>
      <c r="U250" s="362" t="n"/>
      <c r="V250" s="362" t="n"/>
      <c r="W250" s="362" t="n"/>
      <c r="X250" s="362" t="n"/>
      <c r="Y250" s="362" t="n"/>
    </row>
    <row r="251">
      <c r="B251" s="430" t="n"/>
      <c r="C251" s="430" t="n"/>
      <c r="D251" s="430" t="n"/>
      <c r="E251" s="430" t="n"/>
      <c r="F251" s="430" t="n"/>
      <c r="G251" s="430" t="n"/>
      <c r="H251" s="362" t="n"/>
      <c r="I251" s="362" t="n"/>
      <c r="K251" s="362" t="n"/>
      <c r="L251" s="362" t="n"/>
      <c r="M251" s="362" t="n"/>
      <c r="N251" s="362" t="n"/>
      <c r="O251" s="362" t="n"/>
      <c r="P251" s="362" t="n"/>
      <c r="T251" s="362" t="n"/>
      <c r="U251" s="362" t="n"/>
      <c r="V251" s="362" t="n"/>
      <c r="W251" s="362" t="n"/>
      <c r="X251" s="362" t="n"/>
      <c r="Y251" s="362" t="n"/>
    </row>
    <row r="252">
      <c r="B252" s="430" t="n"/>
      <c r="C252" s="430" t="n"/>
      <c r="D252" s="430" t="n"/>
      <c r="E252" s="430" t="n"/>
      <c r="F252" s="430" t="n"/>
      <c r="G252" s="430" t="n"/>
      <c r="H252" s="362" t="n"/>
      <c r="I252" s="362" t="n"/>
      <c r="K252" s="362" t="n"/>
      <c r="L252" s="362" t="n"/>
      <c r="M252" s="362" t="n"/>
      <c r="N252" s="362" t="n"/>
      <c r="O252" s="362" t="n"/>
      <c r="P252" s="362" t="n"/>
      <c r="T252" s="362" t="n"/>
      <c r="U252" s="362" t="n"/>
      <c r="V252" s="362" t="n"/>
      <c r="W252" s="362" t="n"/>
      <c r="X252" s="362" t="n"/>
      <c r="Y252" s="362" t="n"/>
    </row>
    <row r="253">
      <c r="B253" s="430" t="n"/>
      <c r="C253" s="430" t="n"/>
      <c r="D253" s="430" t="n"/>
      <c r="E253" s="430" t="n"/>
      <c r="F253" s="430" t="n"/>
      <c r="G253" s="430" t="n"/>
      <c r="H253" s="362" t="n"/>
      <c r="I253" s="362" t="n"/>
      <c r="K253" s="362" t="n"/>
      <c r="L253" s="362" t="n"/>
      <c r="M253" s="362" t="n"/>
      <c r="N253" s="362" t="n"/>
      <c r="O253" s="362" t="n"/>
      <c r="P253" s="362" t="n"/>
      <c r="T253" s="362" t="n"/>
      <c r="U253" s="362" t="n"/>
      <c r="V253" s="362" t="n"/>
      <c r="W253" s="362" t="n"/>
      <c r="X253" s="362" t="n"/>
      <c r="Y253" s="362" t="n"/>
    </row>
    <row r="254">
      <c r="B254" s="430" t="n"/>
      <c r="C254" s="430" t="n"/>
      <c r="D254" s="430" t="n"/>
      <c r="E254" s="430" t="n"/>
      <c r="F254" s="430" t="n"/>
      <c r="G254" s="430" t="n"/>
      <c r="H254" s="362" t="n"/>
      <c r="I254" s="362" t="n"/>
      <c r="K254" s="362" t="n"/>
      <c r="L254" s="362" t="n"/>
      <c r="M254" s="362" t="n"/>
      <c r="N254" s="362" t="n"/>
      <c r="O254" s="362" t="n"/>
      <c r="P254" s="362" t="n"/>
      <c r="T254" s="362" t="n"/>
      <c r="U254" s="362" t="n"/>
      <c r="V254" s="362" t="n"/>
      <c r="W254" s="362" t="n"/>
      <c r="X254" s="362" t="n"/>
      <c r="Y254" s="362" t="n"/>
    </row>
    <row r="255">
      <c r="B255" s="430" t="n"/>
      <c r="C255" s="430" t="n"/>
      <c r="D255" s="430" t="n"/>
      <c r="E255" s="430" t="n"/>
      <c r="F255" s="430" t="n"/>
      <c r="G255" s="430" t="n"/>
      <c r="H255" s="362" t="n"/>
      <c r="I255" s="362" t="n"/>
      <c r="K255" s="362" t="n"/>
      <c r="L255" s="362" t="n"/>
      <c r="M255" s="362" t="n"/>
      <c r="N255" s="362" t="n"/>
      <c r="O255" s="362" t="n"/>
      <c r="P255" s="362" t="n"/>
      <c r="T255" s="362" t="n"/>
      <c r="U255" s="362" t="n"/>
      <c r="V255" s="362" t="n"/>
      <c r="W255" s="362" t="n"/>
      <c r="X255" s="362" t="n"/>
      <c r="Y255" s="362" t="n"/>
    </row>
    <row r="256">
      <c r="B256" s="430" t="n"/>
      <c r="C256" s="430" t="n"/>
      <c r="D256" s="430" t="n"/>
      <c r="E256" s="430" t="n"/>
      <c r="F256" s="430" t="n"/>
      <c r="G256" s="430" t="n"/>
      <c r="H256" s="362" t="n"/>
      <c r="I256" s="362" t="n"/>
      <c r="K256" s="362" t="n"/>
      <c r="L256" s="362" t="n"/>
      <c r="M256" s="362" t="n"/>
      <c r="N256" s="362" t="n"/>
      <c r="O256" s="362" t="n"/>
      <c r="P256" s="362" t="n"/>
      <c r="T256" s="362" t="n"/>
      <c r="U256" s="362" t="n"/>
      <c r="V256" s="362" t="n"/>
      <c r="W256" s="362" t="n"/>
      <c r="X256" s="362" t="n"/>
      <c r="Y256" s="362" t="n"/>
    </row>
    <row r="257">
      <c r="B257" s="430" t="n"/>
      <c r="C257" s="430" t="n"/>
      <c r="D257" s="430" t="n"/>
      <c r="E257" s="430" t="n"/>
      <c r="F257" s="430" t="n"/>
      <c r="G257" s="430" t="n"/>
      <c r="H257" s="362" t="n"/>
      <c r="I257" s="362" t="n"/>
      <c r="K257" s="362" t="n"/>
      <c r="L257" s="362" t="n"/>
      <c r="M257" s="362" t="n"/>
      <c r="N257" s="362" t="n"/>
      <c r="O257" s="362" t="n"/>
      <c r="P257" s="362" t="n"/>
      <c r="T257" s="362" t="n"/>
      <c r="U257" s="362" t="n"/>
      <c r="V257" s="362" t="n"/>
      <c r="W257" s="362" t="n"/>
      <c r="X257" s="362" t="n"/>
      <c r="Y257" s="362" t="n"/>
    </row>
    <row r="258">
      <c r="B258" s="430" t="n"/>
      <c r="C258" s="430" t="n"/>
      <c r="D258" s="430" t="n"/>
      <c r="E258" s="430" t="n"/>
      <c r="F258" s="430" t="n"/>
      <c r="G258" s="430" t="n"/>
      <c r="H258" s="362" t="n"/>
      <c r="I258" s="362" t="n"/>
      <c r="K258" s="362" t="n"/>
      <c r="L258" s="362" t="n"/>
      <c r="M258" s="362" t="n"/>
      <c r="N258" s="362" t="n"/>
      <c r="O258" s="362" t="n"/>
      <c r="P258" s="362" t="n"/>
      <c r="T258" s="362" t="n"/>
      <c r="U258" s="362" t="n"/>
      <c r="V258" s="362" t="n"/>
      <c r="W258" s="362" t="n"/>
      <c r="X258" s="362" t="n"/>
      <c r="Y258" s="362" t="n"/>
    </row>
    <row r="259">
      <c r="B259" s="430" t="n"/>
      <c r="C259" s="430" t="n"/>
      <c r="D259" s="430" t="n"/>
      <c r="E259" s="430" t="n"/>
      <c r="F259" s="430" t="n"/>
      <c r="G259" s="430" t="n"/>
      <c r="H259" s="362" t="n"/>
      <c r="I259" s="362" t="n"/>
      <c r="K259" s="362" t="n"/>
      <c r="L259" s="362" t="n"/>
      <c r="M259" s="362" t="n"/>
      <c r="N259" s="362" t="n"/>
      <c r="O259" s="362" t="n"/>
      <c r="P259" s="362" t="n"/>
      <c r="T259" s="362" t="n"/>
      <c r="U259" s="362" t="n"/>
      <c r="V259" s="362" t="n"/>
      <c r="W259" s="362" t="n"/>
      <c r="X259" s="362" t="n"/>
      <c r="Y259" s="362" t="n"/>
    </row>
    <row r="260">
      <c r="B260" s="430" t="n"/>
      <c r="C260" s="430" t="n"/>
      <c r="D260" s="430" t="n"/>
      <c r="E260" s="430" t="n"/>
      <c r="F260" s="430" t="n"/>
      <c r="G260" s="430" t="n"/>
      <c r="H260" s="362" t="n"/>
      <c r="I260" s="362" t="n"/>
      <c r="K260" s="362" t="n"/>
      <c r="L260" s="362" t="n"/>
      <c r="M260" s="362" t="n"/>
      <c r="N260" s="362" t="n"/>
      <c r="O260" s="362" t="n"/>
      <c r="P260" s="362" t="n"/>
      <c r="T260" s="362" t="n"/>
      <c r="U260" s="362" t="n"/>
      <c r="V260" s="362" t="n"/>
      <c r="W260" s="362" t="n"/>
      <c r="X260" s="362" t="n"/>
      <c r="Y260" s="362" t="n"/>
    </row>
    <row r="261">
      <c r="B261" s="430" t="n"/>
      <c r="C261" s="430" t="n"/>
      <c r="D261" s="430" t="n"/>
      <c r="E261" s="430" t="n"/>
      <c r="F261" s="430" t="n"/>
      <c r="G261" s="430" t="n"/>
      <c r="H261" s="362" t="n"/>
      <c r="I261" s="362" t="n"/>
      <c r="K261" s="362" t="n"/>
      <c r="L261" s="362" t="n"/>
      <c r="M261" s="362" t="n"/>
      <c r="N261" s="362" t="n"/>
      <c r="O261" s="362" t="n"/>
      <c r="P261" s="362" t="n"/>
      <c r="T261" s="362" t="n"/>
      <c r="U261" s="362" t="n"/>
      <c r="V261" s="362" t="n"/>
      <c r="W261" s="362" t="n"/>
      <c r="X261" s="362" t="n"/>
      <c r="Y261" s="362" t="n"/>
    </row>
    <row r="262">
      <c r="B262" s="430" t="n"/>
      <c r="C262" s="430" t="n"/>
      <c r="D262" s="430" t="n"/>
      <c r="E262" s="430" t="n"/>
      <c r="F262" s="430" t="n"/>
      <c r="G262" s="430" t="n"/>
      <c r="H262" s="362" t="n"/>
      <c r="I262" s="362" t="n"/>
      <c r="K262" s="362" t="n"/>
      <c r="L262" s="362" t="n"/>
      <c r="M262" s="362" t="n"/>
      <c r="N262" s="362" t="n"/>
      <c r="O262" s="362" t="n"/>
      <c r="P262" s="362" t="n"/>
      <c r="T262" s="362" t="n"/>
      <c r="U262" s="362" t="n"/>
      <c r="V262" s="362" t="n"/>
      <c r="W262" s="362" t="n"/>
      <c r="X262" s="362" t="n"/>
      <c r="Y262" s="362" t="n"/>
    </row>
    <row r="263">
      <c r="B263" s="430" t="n"/>
      <c r="C263" s="430" t="n"/>
      <c r="D263" s="430" t="n"/>
      <c r="E263" s="430" t="n"/>
      <c r="F263" s="430" t="n"/>
      <c r="G263" s="430" t="n"/>
      <c r="H263" s="362" t="n"/>
      <c r="I263" s="362" t="n"/>
      <c r="K263" s="362" t="n"/>
      <c r="L263" s="362" t="n"/>
      <c r="M263" s="362" t="n"/>
      <c r="N263" s="362" t="n"/>
      <c r="O263" s="362" t="n"/>
      <c r="P263" s="362" t="n"/>
      <c r="T263" s="362" t="n"/>
      <c r="U263" s="362" t="n"/>
      <c r="V263" s="362" t="n"/>
      <c r="W263" s="362" t="n"/>
      <c r="X263" s="362" t="n"/>
      <c r="Y263" s="362" t="n"/>
    </row>
    <row r="264">
      <c r="B264" s="430" t="n"/>
      <c r="C264" s="430" t="n"/>
      <c r="D264" s="430" t="n"/>
      <c r="E264" s="430" t="n"/>
      <c r="F264" s="430" t="n"/>
      <c r="G264" s="430" t="n"/>
      <c r="H264" s="362" t="n"/>
      <c r="I264" s="362" t="n"/>
      <c r="K264" s="362" t="n"/>
      <c r="L264" s="362" t="n"/>
      <c r="M264" s="362" t="n"/>
      <c r="N264" s="362" t="n"/>
      <c r="O264" s="362" t="n"/>
      <c r="P264" s="362" t="n"/>
      <c r="T264" s="362" t="n"/>
      <c r="U264" s="362" t="n"/>
      <c r="V264" s="362" t="n"/>
      <c r="W264" s="362" t="n"/>
      <c r="X264" s="362" t="n"/>
      <c r="Y264" s="362" t="n"/>
    </row>
    <row r="265">
      <c r="B265" s="430" t="n"/>
      <c r="C265" s="430" t="n"/>
      <c r="D265" s="430" t="n"/>
      <c r="E265" s="430" t="n"/>
      <c r="F265" s="430" t="n"/>
      <c r="G265" s="430" t="n"/>
      <c r="H265" s="362" t="n"/>
      <c r="I265" s="362" t="n"/>
      <c r="K265" s="362" t="n"/>
      <c r="L265" s="362" t="n"/>
      <c r="M265" s="362" t="n"/>
      <c r="N265" s="362" t="n"/>
      <c r="O265" s="362" t="n"/>
      <c r="P265" s="362" t="n"/>
      <c r="T265" s="362" t="n"/>
      <c r="U265" s="362" t="n"/>
      <c r="V265" s="362" t="n"/>
      <c r="W265" s="362" t="n"/>
      <c r="X265" s="362" t="n"/>
      <c r="Y265" s="362" t="n"/>
    </row>
    <row r="266">
      <c r="B266" s="430" t="n"/>
      <c r="C266" s="430" t="n"/>
      <c r="D266" s="430" t="n"/>
      <c r="E266" s="430" t="n"/>
      <c r="F266" s="430" t="n"/>
      <c r="G266" s="430" t="n"/>
      <c r="H266" s="362" t="n"/>
      <c r="I266" s="362" t="n"/>
      <c r="K266" s="362" t="n"/>
      <c r="L266" s="362" t="n"/>
      <c r="M266" s="362" t="n"/>
      <c r="N266" s="362" t="n"/>
      <c r="O266" s="362" t="n"/>
      <c r="P266" s="362" t="n"/>
      <c r="T266" s="362" t="n"/>
      <c r="U266" s="362" t="n"/>
      <c r="V266" s="362" t="n"/>
      <c r="W266" s="362" t="n"/>
      <c r="X266" s="362" t="n"/>
      <c r="Y266" s="362" t="n"/>
    </row>
    <row r="267">
      <c r="B267" s="430" t="n"/>
      <c r="C267" s="430" t="n"/>
      <c r="D267" s="430" t="n"/>
      <c r="E267" s="430" t="n"/>
      <c r="F267" s="430" t="n"/>
      <c r="G267" s="430" t="n"/>
      <c r="H267" s="362" t="n"/>
      <c r="I267" s="362" t="n"/>
      <c r="K267" s="362" t="n"/>
      <c r="L267" s="362" t="n"/>
      <c r="M267" s="362" t="n"/>
      <c r="N267" s="362" t="n"/>
      <c r="O267" s="362" t="n"/>
      <c r="P267" s="362" t="n"/>
      <c r="T267" s="362" t="n"/>
      <c r="U267" s="362" t="n"/>
      <c r="V267" s="362" t="n"/>
      <c r="W267" s="362" t="n"/>
      <c r="X267" s="362" t="n"/>
      <c r="Y267" s="362" t="n"/>
    </row>
    <row r="268">
      <c r="B268" s="430" t="n"/>
      <c r="C268" s="430" t="n"/>
      <c r="D268" s="430" t="n"/>
      <c r="E268" s="430" t="n"/>
      <c r="F268" s="430" t="n"/>
      <c r="G268" s="430" t="n"/>
      <c r="H268" s="362" t="n"/>
      <c r="I268" s="362" t="n"/>
      <c r="K268" s="362" t="n"/>
      <c r="L268" s="362" t="n"/>
      <c r="M268" s="362" t="n"/>
      <c r="N268" s="362" t="n"/>
      <c r="O268" s="362" t="n"/>
      <c r="P268" s="362" t="n"/>
      <c r="T268" s="362" t="n"/>
      <c r="U268" s="362" t="n"/>
      <c r="V268" s="362" t="n"/>
      <c r="W268" s="362" t="n"/>
      <c r="X268" s="362" t="n"/>
      <c r="Y268" s="362" t="n"/>
    </row>
    <row r="269">
      <c r="B269" s="430" t="n"/>
      <c r="C269" s="430" t="n"/>
      <c r="D269" s="430" t="n"/>
      <c r="E269" s="430" t="n"/>
      <c r="F269" s="430" t="n"/>
      <c r="G269" s="430" t="n"/>
      <c r="H269" s="362" t="n"/>
      <c r="I269" s="362" t="n"/>
      <c r="K269" s="362" t="n"/>
      <c r="L269" s="362" t="n"/>
      <c r="M269" s="362" t="n"/>
      <c r="N269" s="362" t="n"/>
      <c r="O269" s="362" t="n"/>
      <c r="P269" s="362" t="n"/>
      <c r="T269" s="362" t="n"/>
      <c r="U269" s="362" t="n"/>
      <c r="V269" s="362" t="n"/>
      <c r="W269" s="362" t="n"/>
      <c r="X269" s="362" t="n"/>
      <c r="Y269" s="362" t="n"/>
    </row>
    <row r="270">
      <c r="B270" s="430" t="n"/>
      <c r="C270" s="430" t="n"/>
      <c r="D270" s="430" t="n"/>
      <c r="E270" s="430" t="n"/>
      <c r="F270" s="430" t="n"/>
      <c r="G270" s="430" t="n"/>
      <c r="H270" s="362" t="n"/>
      <c r="I270" s="362" t="n"/>
      <c r="K270" s="362" t="n"/>
      <c r="L270" s="362" t="n"/>
      <c r="M270" s="362" t="n"/>
      <c r="N270" s="362" t="n"/>
      <c r="O270" s="362" t="n"/>
      <c r="P270" s="362" t="n"/>
      <c r="T270" s="362" t="n"/>
      <c r="U270" s="362" t="n"/>
      <c r="V270" s="362" t="n"/>
      <c r="W270" s="362" t="n"/>
      <c r="X270" s="362" t="n"/>
      <c r="Y270" s="362" t="n"/>
    </row>
    <row r="271">
      <c r="B271" s="430" t="n"/>
      <c r="C271" s="430" t="n"/>
      <c r="D271" s="430" t="n"/>
      <c r="E271" s="430" t="n"/>
      <c r="F271" s="430" t="n"/>
      <c r="G271" s="430" t="n"/>
      <c r="H271" s="362" t="n"/>
      <c r="I271" s="362" t="n"/>
      <c r="K271" s="362" t="n"/>
      <c r="L271" s="362" t="n"/>
      <c r="M271" s="362" t="n"/>
      <c r="N271" s="362" t="n"/>
      <c r="O271" s="362" t="n"/>
      <c r="P271" s="362" t="n"/>
      <c r="T271" s="362" t="n"/>
      <c r="U271" s="362" t="n"/>
      <c r="V271" s="362" t="n"/>
      <c r="W271" s="362" t="n"/>
      <c r="X271" s="362" t="n"/>
      <c r="Y271" s="362" t="n"/>
    </row>
    <row r="272">
      <c r="B272" s="430" t="n"/>
      <c r="C272" s="430" t="n"/>
      <c r="D272" s="430" t="n"/>
      <c r="E272" s="430" t="n"/>
      <c r="F272" s="430" t="n"/>
      <c r="G272" s="430" t="n"/>
      <c r="H272" s="362" t="n"/>
      <c r="I272" s="362" t="n"/>
      <c r="K272" s="362" t="n"/>
      <c r="L272" s="362" t="n"/>
      <c r="M272" s="362" t="n"/>
      <c r="N272" s="362" t="n"/>
      <c r="O272" s="362" t="n"/>
      <c r="P272" s="362" t="n"/>
      <c r="T272" s="362" t="n"/>
      <c r="U272" s="362" t="n"/>
      <c r="V272" s="362" t="n"/>
      <c r="W272" s="362" t="n"/>
      <c r="X272" s="362" t="n"/>
      <c r="Y272" s="362" t="n"/>
    </row>
    <row r="273">
      <c r="B273" s="430" t="n"/>
      <c r="C273" s="430" t="n"/>
      <c r="D273" s="430" t="n"/>
      <c r="E273" s="430" t="n"/>
      <c r="F273" s="430" t="n"/>
      <c r="G273" s="430" t="n"/>
      <c r="H273" s="362" t="n"/>
      <c r="I273" s="362" t="n"/>
      <c r="K273" s="362" t="n"/>
      <c r="L273" s="362" t="n"/>
      <c r="M273" s="362" t="n"/>
      <c r="N273" s="362" t="n"/>
      <c r="O273" s="362" t="n"/>
      <c r="P273" s="362" t="n"/>
      <c r="T273" s="362" t="n"/>
      <c r="U273" s="362" t="n"/>
      <c r="V273" s="362" t="n"/>
      <c r="W273" s="362" t="n"/>
      <c r="X273" s="362" t="n"/>
      <c r="Y273" s="362" t="n"/>
    </row>
    <row r="274">
      <c r="B274" s="430" t="n"/>
      <c r="C274" s="430" t="n"/>
      <c r="D274" s="430" t="n"/>
      <c r="E274" s="430" t="n"/>
      <c r="F274" s="430" t="n"/>
      <c r="G274" s="430" t="n"/>
      <c r="H274" s="362" t="n"/>
      <c r="I274" s="362" t="n"/>
      <c r="K274" s="362" t="n"/>
      <c r="L274" s="362" t="n"/>
      <c r="M274" s="362" t="n"/>
      <c r="N274" s="362" t="n"/>
      <c r="O274" s="362" t="n"/>
      <c r="P274" s="362" t="n"/>
      <c r="T274" s="362" t="n"/>
      <c r="U274" s="362" t="n"/>
      <c r="V274" s="362" t="n"/>
      <c r="W274" s="362" t="n"/>
      <c r="X274" s="362" t="n"/>
      <c r="Y274" s="362" t="n"/>
    </row>
    <row r="275">
      <c r="B275" s="430" t="n"/>
      <c r="C275" s="430" t="n"/>
      <c r="D275" s="430" t="n"/>
      <c r="E275" s="430" t="n"/>
      <c r="F275" s="430" t="n"/>
      <c r="G275" s="430" t="n"/>
      <c r="H275" s="362" t="n"/>
      <c r="I275" s="362" t="n"/>
      <c r="K275" s="362" t="n"/>
      <c r="L275" s="362" t="n"/>
      <c r="M275" s="362" t="n"/>
      <c r="N275" s="362" t="n"/>
      <c r="O275" s="362" t="n"/>
      <c r="P275" s="362" t="n"/>
      <c r="T275" s="362" t="n"/>
      <c r="U275" s="362" t="n"/>
      <c r="V275" s="362" t="n"/>
      <c r="W275" s="362" t="n"/>
      <c r="X275" s="362" t="n"/>
      <c r="Y275" s="362" t="n"/>
    </row>
    <row r="276">
      <c r="B276" s="430" t="n"/>
      <c r="C276" s="430" t="n"/>
      <c r="D276" s="430" t="n"/>
      <c r="E276" s="430" t="n"/>
      <c r="F276" s="430" t="n"/>
      <c r="G276" s="430" t="n"/>
      <c r="H276" s="362" t="n"/>
      <c r="I276" s="362" t="n"/>
      <c r="K276" s="362" t="n"/>
      <c r="L276" s="362" t="n"/>
      <c r="M276" s="362" t="n"/>
      <c r="N276" s="362" t="n"/>
      <c r="O276" s="362" t="n"/>
      <c r="P276" s="362" t="n"/>
      <c r="T276" s="362" t="n"/>
      <c r="U276" s="362" t="n"/>
      <c r="V276" s="362" t="n"/>
      <c r="W276" s="362" t="n"/>
      <c r="X276" s="362" t="n"/>
      <c r="Y276" s="362" t="n"/>
    </row>
    <row r="277">
      <c r="B277" s="430" t="n"/>
      <c r="C277" s="430" t="n"/>
      <c r="D277" s="430" t="n"/>
      <c r="E277" s="430" t="n"/>
      <c r="F277" s="430" t="n"/>
      <c r="G277" s="430" t="n"/>
      <c r="H277" s="362" t="n"/>
      <c r="I277" s="362" t="n"/>
      <c r="K277" s="362" t="n"/>
      <c r="L277" s="362" t="n"/>
      <c r="M277" s="362" t="n"/>
      <c r="N277" s="362" t="n"/>
      <c r="O277" s="362" t="n"/>
      <c r="P277" s="362" t="n"/>
      <c r="T277" s="362" t="n"/>
      <c r="U277" s="362" t="n"/>
      <c r="V277" s="362" t="n"/>
      <c r="W277" s="362" t="n"/>
      <c r="X277" s="362" t="n"/>
      <c r="Y277" s="362" t="n"/>
    </row>
    <row r="278">
      <c r="B278" s="430" t="n"/>
      <c r="C278" s="430" t="n"/>
      <c r="D278" s="430" t="n"/>
      <c r="E278" s="430" t="n"/>
      <c r="F278" s="430" t="n"/>
      <c r="G278" s="430" t="n"/>
      <c r="H278" s="362" t="n"/>
      <c r="I278" s="362" t="n"/>
      <c r="K278" s="362" t="n"/>
      <c r="L278" s="362" t="n"/>
      <c r="M278" s="362" t="n"/>
      <c r="N278" s="362" t="n"/>
      <c r="O278" s="362" t="n"/>
      <c r="P278" s="362" t="n"/>
      <c r="T278" s="362" t="n"/>
      <c r="U278" s="362" t="n"/>
      <c r="V278" s="362" t="n"/>
      <c r="W278" s="362" t="n"/>
      <c r="X278" s="362" t="n"/>
      <c r="Y278" s="362" t="n"/>
    </row>
    <row r="279">
      <c r="B279" s="430" t="n"/>
      <c r="C279" s="430" t="n"/>
      <c r="D279" s="430" t="n"/>
      <c r="E279" s="430" t="n"/>
      <c r="F279" s="430" t="n"/>
      <c r="G279" s="430" t="n"/>
      <c r="H279" s="362" t="n"/>
      <c r="I279" s="362" t="n"/>
      <c r="K279" s="362" t="n"/>
      <c r="L279" s="362" t="n"/>
      <c r="M279" s="362" t="n"/>
      <c r="N279" s="362" t="n"/>
      <c r="O279" s="362" t="n"/>
      <c r="P279" s="362" t="n"/>
      <c r="T279" s="362" t="n"/>
      <c r="U279" s="362" t="n"/>
      <c r="V279" s="362" t="n"/>
      <c r="W279" s="362" t="n"/>
      <c r="X279" s="362" t="n"/>
      <c r="Y279" s="362" t="n"/>
    </row>
    <row r="280">
      <c r="B280" s="430" t="n"/>
      <c r="C280" s="430" t="n"/>
      <c r="D280" s="430" t="n"/>
      <c r="E280" s="430" t="n"/>
      <c r="F280" s="430" t="n"/>
      <c r="G280" s="430" t="n"/>
      <c r="H280" s="362" t="n"/>
      <c r="I280" s="362" t="n"/>
      <c r="K280" s="362" t="n"/>
      <c r="L280" s="362" t="n"/>
      <c r="M280" s="362" t="n"/>
      <c r="N280" s="362" t="n"/>
      <c r="O280" s="362" t="n"/>
      <c r="P280" s="362" t="n"/>
      <c r="T280" s="362" t="n"/>
      <c r="U280" s="362" t="n"/>
      <c r="V280" s="362" t="n"/>
      <c r="W280" s="362" t="n"/>
      <c r="X280" s="362" t="n"/>
      <c r="Y280" s="362" t="n"/>
    </row>
    <row r="281">
      <c r="B281" s="430" t="n"/>
      <c r="C281" s="430" t="n"/>
      <c r="D281" s="430" t="n"/>
      <c r="E281" s="430" t="n"/>
      <c r="F281" s="430" t="n"/>
      <c r="G281" s="430" t="n"/>
      <c r="H281" s="362" t="n"/>
      <c r="I281" s="362" t="n"/>
      <c r="K281" s="362" t="n"/>
      <c r="L281" s="362" t="n"/>
      <c r="M281" s="362" t="n"/>
      <c r="N281" s="362" t="n"/>
      <c r="O281" s="362" t="n"/>
      <c r="P281" s="362" t="n"/>
      <c r="T281" s="362" t="n"/>
      <c r="U281" s="362" t="n"/>
      <c r="V281" s="362" t="n"/>
      <c r="W281" s="362" t="n"/>
      <c r="X281" s="362" t="n"/>
      <c r="Y281" s="362" t="n"/>
    </row>
    <row r="282">
      <c r="B282" s="430" t="n"/>
      <c r="C282" s="430" t="n"/>
      <c r="D282" s="430" t="n"/>
      <c r="E282" s="430" t="n"/>
      <c r="F282" s="430" t="n"/>
      <c r="G282" s="430" t="n"/>
      <c r="H282" s="362" t="n"/>
      <c r="I282" s="362" t="n"/>
      <c r="K282" s="362" t="n"/>
      <c r="L282" s="362" t="n"/>
      <c r="M282" s="362" t="n"/>
      <c r="N282" s="362" t="n"/>
      <c r="O282" s="362" t="n"/>
      <c r="P282" s="362" t="n"/>
      <c r="T282" s="362" t="n"/>
      <c r="U282" s="362" t="n"/>
      <c r="V282" s="362" t="n"/>
      <c r="W282" s="362" t="n"/>
      <c r="X282" s="362" t="n"/>
      <c r="Y282" s="362" t="n"/>
    </row>
    <row r="283">
      <c r="B283" s="430" t="n"/>
      <c r="C283" s="430" t="n"/>
      <c r="D283" s="430" t="n"/>
      <c r="E283" s="430" t="n"/>
      <c r="F283" s="430" t="n"/>
      <c r="G283" s="430" t="n"/>
      <c r="H283" s="362" t="n"/>
      <c r="I283" s="362" t="n"/>
      <c r="K283" s="362" t="n"/>
      <c r="L283" s="362" t="n"/>
      <c r="M283" s="362" t="n"/>
      <c r="N283" s="362" t="n"/>
      <c r="O283" s="362" t="n"/>
      <c r="P283" s="362" t="n"/>
      <c r="T283" s="362" t="n"/>
      <c r="U283" s="362" t="n"/>
      <c r="V283" s="362" t="n"/>
      <c r="W283" s="362" t="n"/>
      <c r="X283" s="362" t="n"/>
      <c r="Y283" s="362" t="n"/>
    </row>
    <row r="284">
      <c r="B284" s="430" t="n"/>
      <c r="C284" s="430" t="n"/>
      <c r="D284" s="430" t="n"/>
      <c r="E284" s="430" t="n"/>
      <c r="F284" s="430" t="n"/>
      <c r="G284" s="430" t="n"/>
      <c r="H284" s="362" t="n"/>
      <c r="I284" s="362" t="n"/>
      <c r="K284" s="362" t="n"/>
      <c r="L284" s="362" t="n"/>
      <c r="M284" s="362" t="n"/>
      <c r="N284" s="362" t="n"/>
      <c r="O284" s="362" t="n"/>
      <c r="P284" s="362" t="n"/>
      <c r="T284" s="362" t="n"/>
      <c r="U284" s="362" t="n"/>
      <c r="V284" s="362" t="n"/>
      <c r="W284" s="362" t="n"/>
      <c r="X284" s="362" t="n"/>
      <c r="Y284" s="362" t="n"/>
    </row>
    <row r="285">
      <c r="B285" s="430" t="n"/>
      <c r="C285" s="430" t="n"/>
      <c r="D285" s="430" t="n"/>
      <c r="E285" s="430" t="n"/>
      <c r="F285" s="430" t="n"/>
      <c r="G285" s="430" t="n"/>
      <c r="H285" s="362" t="n"/>
      <c r="I285" s="362" t="n"/>
      <c r="K285" s="362" t="n"/>
      <c r="L285" s="362" t="n"/>
      <c r="M285" s="362" t="n"/>
      <c r="N285" s="362" t="n"/>
      <c r="O285" s="362" t="n"/>
      <c r="P285" s="362" t="n"/>
      <c r="T285" s="362" t="n"/>
      <c r="U285" s="362" t="n"/>
      <c r="V285" s="362" t="n"/>
      <c r="W285" s="362" t="n"/>
      <c r="X285" s="362" t="n"/>
      <c r="Y285" s="362" t="n"/>
    </row>
    <row r="286">
      <c r="B286" s="430" t="n"/>
      <c r="C286" s="430" t="n"/>
      <c r="D286" s="430" t="n"/>
      <c r="E286" s="430" t="n"/>
      <c r="F286" s="430" t="n"/>
      <c r="G286" s="430" t="n"/>
      <c r="H286" s="362" t="n"/>
      <c r="I286" s="362" t="n"/>
      <c r="K286" s="362" t="n"/>
      <c r="L286" s="362" t="n"/>
      <c r="M286" s="362" t="n"/>
      <c r="N286" s="362" t="n"/>
      <c r="O286" s="362" t="n"/>
      <c r="P286" s="362" t="n"/>
      <c r="T286" s="362" t="n"/>
      <c r="U286" s="362" t="n"/>
      <c r="V286" s="362" t="n"/>
      <c r="W286" s="362" t="n"/>
      <c r="X286" s="362" t="n"/>
      <c r="Y286" s="362" t="n"/>
    </row>
    <row r="287">
      <c r="B287" s="430" t="n"/>
      <c r="C287" s="430" t="n"/>
      <c r="D287" s="430" t="n"/>
      <c r="E287" s="430" t="n"/>
      <c r="F287" s="430" t="n"/>
      <c r="G287" s="430" t="n"/>
      <c r="H287" s="362" t="n"/>
      <c r="I287" s="362" t="n"/>
      <c r="K287" s="362" t="n"/>
      <c r="L287" s="362" t="n"/>
      <c r="M287" s="362" t="n"/>
      <c r="N287" s="362" t="n"/>
      <c r="O287" s="362" t="n"/>
      <c r="P287" s="362" t="n"/>
      <c r="T287" s="362" t="n"/>
      <c r="U287" s="362" t="n"/>
      <c r="V287" s="362" t="n"/>
      <c r="W287" s="362" t="n"/>
      <c r="X287" s="362" t="n"/>
      <c r="Y287" s="362" t="n"/>
    </row>
    <row r="288">
      <c r="B288" s="430" t="n"/>
      <c r="C288" s="430" t="n"/>
      <c r="D288" s="430" t="n"/>
      <c r="E288" s="430" t="n"/>
      <c r="F288" s="430" t="n"/>
      <c r="G288" s="430" t="n"/>
      <c r="H288" s="362" t="n"/>
      <c r="I288" s="362" t="n"/>
      <c r="K288" s="362" t="n"/>
      <c r="L288" s="362" t="n"/>
      <c r="M288" s="362" t="n"/>
      <c r="N288" s="362" t="n"/>
      <c r="O288" s="362" t="n"/>
      <c r="P288" s="362" t="n"/>
      <c r="T288" s="362" t="n"/>
      <c r="U288" s="362" t="n"/>
      <c r="V288" s="362" t="n"/>
      <c r="W288" s="362" t="n"/>
      <c r="X288" s="362" t="n"/>
      <c r="Y288" s="362" t="n"/>
    </row>
    <row r="289">
      <c r="B289" s="430" t="n"/>
      <c r="C289" s="430" t="n"/>
      <c r="D289" s="430" t="n"/>
      <c r="E289" s="430" t="n"/>
      <c r="F289" s="430" t="n"/>
      <c r="G289" s="430" t="n"/>
      <c r="H289" s="362" t="n"/>
      <c r="I289" s="362" t="n"/>
      <c r="K289" s="362" t="n"/>
      <c r="L289" s="362" t="n"/>
      <c r="M289" s="362" t="n"/>
      <c r="N289" s="362" t="n"/>
      <c r="O289" s="362" t="n"/>
      <c r="P289" s="362" t="n"/>
      <c r="T289" s="362" t="n"/>
      <c r="U289" s="362" t="n"/>
      <c r="V289" s="362" t="n"/>
      <c r="W289" s="362" t="n"/>
      <c r="X289" s="362" t="n"/>
      <c r="Y289" s="362" t="n"/>
    </row>
    <row r="290">
      <c r="B290" s="430" t="n"/>
      <c r="C290" s="430" t="n"/>
      <c r="D290" s="430" t="n"/>
      <c r="E290" s="430" t="n"/>
      <c r="F290" s="430" t="n"/>
      <c r="G290" s="430" t="n"/>
      <c r="H290" s="362" t="n"/>
      <c r="I290" s="362" t="n"/>
      <c r="K290" s="362" t="n"/>
      <c r="L290" s="362" t="n"/>
      <c r="M290" s="362" t="n"/>
      <c r="N290" s="362" t="n"/>
      <c r="O290" s="362" t="n"/>
      <c r="P290" s="362" t="n"/>
      <c r="T290" s="362" t="n"/>
      <c r="U290" s="362" t="n"/>
      <c r="V290" s="362" t="n"/>
      <c r="W290" s="362" t="n"/>
      <c r="X290" s="362" t="n"/>
      <c r="Y290" s="362" t="n"/>
    </row>
    <row r="291">
      <c r="B291" s="430" t="n"/>
      <c r="C291" s="430" t="n"/>
      <c r="D291" s="430" t="n"/>
      <c r="E291" s="430" t="n"/>
      <c r="F291" s="430" t="n"/>
      <c r="G291" s="430" t="n"/>
      <c r="H291" s="362" t="n"/>
      <c r="I291" s="362" t="n"/>
      <c r="K291" s="362" t="n"/>
      <c r="L291" s="362" t="n"/>
      <c r="M291" s="362" t="n"/>
      <c r="N291" s="362" t="n"/>
      <c r="O291" s="362" t="n"/>
      <c r="P291" s="362" t="n"/>
      <c r="T291" s="362" t="n"/>
      <c r="U291" s="362" t="n"/>
      <c r="V291" s="362" t="n"/>
      <c r="W291" s="362" t="n"/>
      <c r="X291" s="362" t="n"/>
      <c r="Y291" s="362" t="n"/>
    </row>
    <row r="292">
      <c r="B292" s="430" t="n"/>
      <c r="C292" s="430" t="n"/>
      <c r="D292" s="430" t="n"/>
      <c r="E292" s="430" t="n"/>
      <c r="F292" s="430" t="n"/>
      <c r="G292" s="430" t="n"/>
      <c r="H292" s="362" t="n"/>
      <c r="I292" s="362" t="n"/>
      <c r="K292" s="362" t="n"/>
      <c r="L292" s="362" t="n"/>
      <c r="M292" s="362" t="n"/>
      <c r="N292" s="362" t="n"/>
      <c r="O292" s="362" t="n"/>
      <c r="P292" s="362" t="n"/>
      <c r="T292" s="362" t="n"/>
      <c r="U292" s="362" t="n"/>
      <c r="V292" s="362" t="n"/>
      <c r="W292" s="362" t="n"/>
      <c r="X292" s="362" t="n"/>
      <c r="Y292" s="362" t="n"/>
    </row>
    <row r="293">
      <c r="B293" s="430" t="n"/>
      <c r="C293" s="430" t="n"/>
      <c r="D293" s="430" t="n"/>
      <c r="E293" s="430" t="n"/>
      <c r="F293" s="430" t="n"/>
      <c r="G293" s="430" t="n"/>
      <c r="H293" s="362" t="n"/>
      <c r="I293" s="362" t="n"/>
      <c r="K293" s="362" t="n"/>
      <c r="L293" s="362" t="n"/>
      <c r="M293" s="362" t="n"/>
      <c r="N293" s="362" t="n"/>
      <c r="O293" s="362" t="n"/>
      <c r="P293" s="362" t="n"/>
      <c r="T293" s="362" t="n"/>
      <c r="U293" s="362" t="n"/>
      <c r="V293" s="362" t="n"/>
      <c r="W293" s="362" t="n"/>
      <c r="X293" s="362" t="n"/>
      <c r="Y293" s="362" t="n"/>
    </row>
    <row r="294">
      <c r="B294" s="430" t="n"/>
      <c r="C294" s="430" t="n"/>
      <c r="D294" s="430" t="n"/>
      <c r="E294" s="430" t="n"/>
      <c r="F294" s="430" t="n"/>
      <c r="G294" s="430" t="n"/>
      <c r="H294" s="362" t="n"/>
      <c r="I294" s="362" t="n"/>
      <c r="K294" s="362" t="n"/>
      <c r="L294" s="362" t="n"/>
      <c r="M294" s="362" t="n"/>
      <c r="N294" s="362" t="n"/>
      <c r="O294" s="362" t="n"/>
      <c r="P294" s="362" t="n"/>
      <c r="T294" s="362" t="n"/>
      <c r="U294" s="362" t="n"/>
      <c r="V294" s="362" t="n"/>
      <c r="W294" s="362" t="n"/>
      <c r="X294" s="362" t="n"/>
      <c r="Y294" s="362" t="n"/>
    </row>
    <row r="295">
      <c r="B295" s="430" t="n"/>
      <c r="C295" s="430" t="n"/>
      <c r="D295" s="430" t="n"/>
      <c r="E295" s="430" t="n"/>
      <c r="F295" s="430" t="n"/>
      <c r="G295" s="430" t="n"/>
      <c r="H295" s="362" t="n"/>
      <c r="I295" s="362" t="n"/>
      <c r="K295" s="362" t="n"/>
      <c r="L295" s="362" t="n"/>
      <c r="M295" s="362" t="n"/>
      <c r="N295" s="362" t="n"/>
      <c r="O295" s="362" t="n"/>
      <c r="P295" s="362" t="n"/>
      <c r="T295" s="362" t="n"/>
      <c r="U295" s="362" t="n"/>
      <c r="V295" s="362" t="n"/>
      <c r="W295" s="362" t="n"/>
      <c r="X295" s="362" t="n"/>
      <c r="Y295" s="362" t="n"/>
    </row>
    <row r="296">
      <c r="B296" s="430" t="n"/>
      <c r="C296" s="430" t="n"/>
      <c r="D296" s="430" t="n"/>
      <c r="E296" s="430" t="n"/>
      <c r="F296" s="430" t="n"/>
      <c r="G296" s="430" t="n"/>
      <c r="H296" s="362" t="n"/>
      <c r="I296" s="362" t="n"/>
      <c r="K296" s="362" t="n"/>
      <c r="L296" s="362" t="n"/>
      <c r="M296" s="362" t="n"/>
      <c r="N296" s="362" t="n"/>
      <c r="O296" s="362" t="n"/>
      <c r="P296" s="362" t="n"/>
      <c r="T296" s="362" t="n"/>
      <c r="U296" s="362" t="n"/>
      <c r="V296" s="362" t="n"/>
      <c r="W296" s="362" t="n"/>
      <c r="X296" s="362" t="n"/>
      <c r="Y296" s="362" t="n"/>
    </row>
    <row r="297">
      <c r="B297" s="430" t="n"/>
      <c r="C297" s="430" t="n"/>
      <c r="D297" s="430" t="n"/>
      <c r="E297" s="430" t="n"/>
      <c r="F297" s="430" t="n"/>
      <c r="G297" s="430" t="n"/>
      <c r="H297" s="362" t="n"/>
      <c r="I297" s="362" t="n"/>
      <c r="K297" s="362" t="n"/>
      <c r="L297" s="362" t="n"/>
      <c r="M297" s="362" t="n"/>
      <c r="N297" s="362" t="n"/>
      <c r="O297" s="362" t="n"/>
      <c r="P297" s="362" t="n"/>
      <c r="T297" s="362" t="n"/>
      <c r="U297" s="362" t="n"/>
      <c r="V297" s="362" t="n"/>
      <c r="W297" s="362" t="n"/>
      <c r="X297" s="362" t="n"/>
      <c r="Y297" s="362" t="n"/>
    </row>
    <row r="298">
      <c r="B298" s="430" t="n"/>
      <c r="C298" s="430" t="n"/>
      <c r="D298" s="430" t="n"/>
      <c r="E298" s="430" t="n"/>
      <c r="F298" s="430" t="n"/>
      <c r="G298" s="430" t="n"/>
      <c r="H298" s="362" t="n"/>
      <c r="I298" s="362" t="n"/>
      <c r="K298" s="362" t="n"/>
      <c r="L298" s="362" t="n"/>
      <c r="M298" s="362" t="n"/>
      <c r="N298" s="362" t="n"/>
      <c r="O298" s="362" t="n"/>
      <c r="P298" s="362" t="n"/>
      <c r="T298" s="362" t="n"/>
      <c r="U298" s="362" t="n"/>
      <c r="V298" s="362" t="n"/>
      <c r="W298" s="362" t="n"/>
      <c r="X298" s="362" t="n"/>
      <c r="Y298" s="362" t="n"/>
    </row>
    <row r="299">
      <c r="B299" s="430" t="n"/>
      <c r="C299" s="430" t="n"/>
      <c r="D299" s="430" t="n"/>
      <c r="E299" s="430" t="n"/>
      <c r="F299" s="430" t="n"/>
      <c r="G299" s="430" t="n"/>
      <c r="H299" s="362" t="n"/>
      <c r="I299" s="362" t="n"/>
      <c r="K299" s="362" t="n"/>
      <c r="L299" s="362" t="n"/>
      <c r="M299" s="362" t="n"/>
      <c r="N299" s="362" t="n"/>
      <c r="O299" s="362" t="n"/>
      <c r="P299" s="362" t="n"/>
      <c r="T299" s="362" t="n"/>
      <c r="U299" s="362" t="n"/>
      <c r="V299" s="362" t="n"/>
      <c r="W299" s="362" t="n"/>
      <c r="X299" s="362" t="n"/>
      <c r="Y299" s="362" t="n"/>
    </row>
    <row r="300">
      <c r="B300" s="430" t="n"/>
      <c r="C300" s="430" t="n"/>
      <c r="D300" s="430" t="n"/>
      <c r="E300" s="430" t="n"/>
      <c r="F300" s="430" t="n"/>
      <c r="G300" s="430" t="n"/>
      <c r="H300" s="362" t="n"/>
      <c r="I300" s="362" t="n"/>
      <c r="K300" s="362" t="n"/>
      <c r="L300" s="362" t="n"/>
      <c r="M300" s="362" t="n"/>
      <c r="N300" s="362" t="n"/>
      <c r="O300" s="362" t="n"/>
      <c r="P300" s="362" t="n"/>
      <c r="T300" s="362" t="n"/>
      <c r="U300" s="362" t="n"/>
      <c r="V300" s="362" t="n"/>
      <c r="W300" s="362" t="n"/>
      <c r="X300" s="362" t="n"/>
      <c r="Y300" s="362" t="n"/>
    </row>
    <row r="301">
      <c r="B301" s="430" t="n"/>
      <c r="C301" s="430" t="n"/>
      <c r="D301" s="430" t="n"/>
      <c r="E301" s="430" t="n"/>
      <c r="F301" s="430" t="n"/>
      <c r="G301" s="430" t="n"/>
      <c r="H301" s="362" t="n"/>
      <c r="I301" s="362" t="n"/>
      <c r="K301" s="362" t="n"/>
      <c r="L301" s="362" t="n"/>
      <c r="M301" s="362" t="n"/>
      <c r="N301" s="362" t="n"/>
      <c r="O301" s="362" t="n"/>
      <c r="P301" s="362" t="n"/>
      <c r="T301" s="362" t="n"/>
      <c r="U301" s="362" t="n"/>
      <c r="V301" s="362" t="n"/>
      <c r="W301" s="362" t="n"/>
      <c r="X301" s="362" t="n"/>
      <c r="Y301" s="362" t="n"/>
    </row>
    <row r="302">
      <c r="B302" s="430" t="n"/>
      <c r="C302" s="430" t="n"/>
      <c r="D302" s="430" t="n"/>
      <c r="E302" s="430" t="n"/>
      <c r="F302" s="430" t="n"/>
      <c r="G302" s="430" t="n"/>
      <c r="H302" s="362" t="n"/>
      <c r="I302" s="362" t="n"/>
      <c r="K302" s="362" t="n"/>
      <c r="L302" s="362" t="n"/>
      <c r="M302" s="362" t="n"/>
      <c r="N302" s="362" t="n"/>
      <c r="O302" s="362" t="n"/>
      <c r="P302" s="362" t="n"/>
      <c r="T302" s="362" t="n"/>
      <c r="U302" s="362" t="n"/>
      <c r="V302" s="362" t="n"/>
      <c r="W302" s="362" t="n"/>
      <c r="X302" s="362" t="n"/>
      <c r="Y302" s="362" t="n"/>
    </row>
    <row r="303">
      <c r="B303" s="430" t="n"/>
      <c r="C303" s="430" t="n"/>
      <c r="D303" s="430" t="n"/>
      <c r="E303" s="430" t="n"/>
      <c r="F303" s="430" t="n"/>
      <c r="G303" s="430" t="n"/>
      <c r="H303" s="362" t="n"/>
      <c r="I303" s="362" t="n"/>
      <c r="K303" s="362" t="n"/>
      <c r="L303" s="362" t="n"/>
      <c r="M303" s="362" t="n"/>
      <c r="N303" s="362" t="n"/>
      <c r="O303" s="362" t="n"/>
      <c r="P303" s="362" t="n"/>
      <c r="T303" s="362" t="n"/>
      <c r="U303" s="362" t="n"/>
      <c r="V303" s="362" t="n"/>
      <c r="W303" s="362" t="n"/>
      <c r="X303" s="362" t="n"/>
      <c r="Y303" s="362" t="n"/>
    </row>
    <row r="304">
      <c r="B304" s="430" t="n"/>
      <c r="C304" s="430" t="n"/>
      <c r="D304" s="430" t="n"/>
      <c r="E304" s="430" t="n"/>
      <c r="F304" s="430" t="n"/>
      <c r="G304" s="430" t="n"/>
      <c r="H304" s="362" t="n"/>
      <c r="I304" s="362" t="n"/>
      <c r="K304" s="362" t="n"/>
      <c r="L304" s="362" t="n"/>
      <c r="M304" s="362" t="n"/>
      <c r="N304" s="362" t="n"/>
      <c r="O304" s="362" t="n"/>
      <c r="P304" s="362" t="n"/>
      <c r="T304" s="362" t="n"/>
      <c r="U304" s="362" t="n"/>
      <c r="V304" s="362" t="n"/>
      <c r="W304" s="362" t="n"/>
      <c r="X304" s="362" t="n"/>
      <c r="Y304" s="362" t="n"/>
    </row>
    <row r="305">
      <c r="B305" s="430" t="n"/>
      <c r="C305" s="430" t="n"/>
      <c r="D305" s="430" t="n"/>
      <c r="E305" s="430" t="n"/>
      <c r="F305" s="430" t="n"/>
      <c r="G305" s="430" t="n"/>
      <c r="H305" s="362" t="n"/>
      <c r="I305" s="362" t="n"/>
      <c r="K305" s="362" t="n"/>
      <c r="L305" s="362" t="n"/>
      <c r="M305" s="362" t="n"/>
      <c r="N305" s="362" t="n"/>
      <c r="O305" s="362" t="n"/>
      <c r="P305" s="362" t="n"/>
      <c r="T305" s="362" t="n"/>
      <c r="U305" s="362" t="n"/>
      <c r="V305" s="362" t="n"/>
      <c r="W305" s="362" t="n"/>
      <c r="X305" s="362" t="n"/>
      <c r="Y305" s="362" t="n"/>
    </row>
    <row r="306">
      <c r="B306" s="430" t="n"/>
      <c r="C306" s="430" t="n"/>
      <c r="D306" s="430" t="n"/>
      <c r="E306" s="430" t="n"/>
      <c r="F306" s="430" t="n"/>
      <c r="G306" s="430" t="n"/>
      <c r="H306" s="362" t="n"/>
      <c r="I306" s="362" t="n"/>
      <c r="K306" s="362" t="n"/>
      <c r="L306" s="362" t="n"/>
      <c r="M306" s="362" t="n"/>
      <c r="N306" s="362" t="n"/>
      <c r="O306" s="362" t="n"/>
      <c r="P306" s="362" t="n"/>
      <c r="T306" s="362" t="n"/>
      <c r="U306" s="362" t="n"/>
      <c r="V306" s="362" t="n"/>
      <c r="W306" s="362" t="n"/>
      <c r="X306" s="362" t="n"/>
      <c r="Y306" s="362" t="n"/>
    </row>
    <row r="307">
      <c r="B307" s="430" t="n"/>
      <c r="C307" s="430" t="n"/>
      <c r="D307" s="430" t="n"/>
      <c r="E307" s="430" t="n"/>
      <c r="F307" s="430" t="n"/>
      <c r="G307" s="430" t="n"/>
      <c r="H307" s="362" t="n"/>
      <c r="I307" s="362" t="n"/>
      <c r="K307" s="362" t="n"/>
      <c r="L307" s="362" t="n"/>
      <c r="M307" s="362" t="n"/>
      <c r="N307" s="362" t="n"/>
      <c r="O307" s="362" t="n"/>
      <c r="P307" s="362" t="n"/>
      <c r="T307" s="362" t="n"/>
      <c r="U307" s="362" t="n"/>
      <c r="V307" s="362" t="n"/>
      <c r="W307" s="362" t="n"/>
      <c r="X307" s="362" t="n"/>
      <c r="Y307" s="362" t="n"/>
    </row>
    <row r="308">
      <c r="B308" s="430" t="n"/>
      <c r="C308" s="430" t="n"/>
      <c r="D308" s="430" t="n"/>
      <c r="E308" s="430" t="n"/>
      <c r="F308" s="430" t="n"/>
      <c r="G308" s="430" t="n"/>
      <c r="H308" s="362" t="n"/>
      <c r="I308" s="362" t="n"/>
      <c r="K308" s="362" t="n"/>
      <c r="L308" s="362" t="n"/>
      <c r="M308" s="362" t="n"/>
      <c r="N308" s="362" t="n"/>
      <c r="O308" s="362" t="n"/>
      <c r="P308" s="362" t="n"/>
      <c r="T308" s="362" t="n"/>
      <c r="U308" s="362" t="n"/>
      <c r="V308" s="362" t="n"/>
      <c r="W308" s="362" t="n"/>
      <c r="X308" s="362" t="n"/>
      <c r="Y308" s="362" t="n"/>
    </row>
    <row r="309">
      <c r="B309" s="430" t="n"/>
      <c r="C309" s="430" t="n"/>
      <c r="D309" s="430" t="n"/>
      <c r="E309" s="430" t="n"/>
      <c r="F309" s="430" t="n"/>
      <c r="G309" s="430" t="n"/>
      <c r="H309" s="362" t="n"/>
      <c r="I309" s="362" t="n"/>
      <c r="K309" s="362" t="n"/>
      <c r="L309" s="362" t="n"/>
      <c r="M309" s="362" t="n"/>
      <c r="N309" s="362" t="n"/>
      <c r="O309" s="362" t="n"/>
      <c r="P309" s="362" t="n"/>
      <c r="T309" s="362" t="n"/>
      <c r="U309" s="362" t="n"/>
      <c r="V309" s="362" t="n"/>
      <c r="W309" s="362" t="n"/>
      <c r="X309" s="362" t="n"/>
      <c r="Y309" s="362" t="n"/>
    </row>
    <row r="310">
      <c r="B310" s="430" t="n"/>
      <c r="C310" s="430" t="n"/>
      <c r="D310" s="430" t="n"/>
      <c r="E310" s="430" t="n"/>
      <c r="F310" s="430" t="n"/>
      <c r="G310" s="430" t="n"/>
      <c r="H310" s="362" t="n"/>
      <c r="I310" s="362" t="n"/>
      <c r="K310" s="362" t="n"/>
      <c r="L310" s="362" t="n"/>
      <c r="M310" s="362" t="n"/>
      <c r="N310" s="362" t="n"/>
      <c r="O310" s="362" t="n"/>
      <c r="P310" s="362" t="n"/>
      <c r="T310" s="362" t="n"/>
      <c r="U310" s="362" t="n"/>
      <c r="V310" s="362" t="n"/>
      <c r="W310" s="362" t="n"/>
      <c r="X310" s="362" t="n"/>
      <c r="Y310" s="362" t="n"/>
    </row>
    <row r="311">
      <c r="B311" s="430" t="n"/>
      <c r="C311" s="430" t="n"/>
      <c r="D311" s="430" t="n"/>
      <c r="E311" s="430" t="n"/>
      <c r="F311" s="430" t="n"/>
      <c r="G311" s="430" t="n"/>
      <c r="H311" s="362" t="n"/>
      <c r="I311" s="362" t="n"/>
      <c r="K311" s="362" t="n"/>
      <c r="L311" s="362" t="n"/>
      <c r="M311" s="362" t="n"/>
      <c r="N311" s="362" t="n"/>
      <c r="O311" s="362" t="n"/>
      <c r="P311" s="362" t="n"/>
      <c r="T311" s="362" t="n"/>
      <c r="U311" s="362" t="n"/>
      <c r="V311" s="362" t="n"/>
      <c r="W311" s="362" t="n"/>
      <c r="X311" s="362" t="n"/>
      <c r="Y311" s="362" t="n"/>
    </row>
    <row r="312">
      <c r="B312" s="430" t="n"/>
      <c r="C312" s="430" t="n"/>
      <c r="D312" s="430" t="n"/>
      <c r="E312" s="430" t="n"/>
      <c r="F312" s="430" t="n"/>
      <c r="G312" s="430" t="n"/>
      <c r="H312" s="362" t="n"/>
      <c r="I312" s="362" t="n"/>
      <c r="K312" s="362" t="n"/>
      <c r="L312" s="362" t="n"/>
      <c r="M312" s="362" t="n"/>
      <c r="N312" s="362" t="n"/>
      <c r="O312" s="362" t="n"/>
      <c r="P312" s="362" t="n"/>
      <c r="T312" s="362" t="n"/>
      <c r="U312" s="362" t="n"/>
      <c r="V312" s="362" t="n"/>
      <c r="W312" s="362" t="n"/>
      <c r="X312" s="362" t="n"/>
      <c r="Y312" s="362" t="n"/>
    </row>
    <row r="313">
      <c r="B313" s="430" t="n"/>
      <c r="C313" s="430" t="n"/>
      <c r="D313" s="430" t="n"/>
      <c r="E313" s="430" t="n"/>
      <c r="F313" s="430" t="n"/>
      <c r="G313" s="430" t="n"/>
      <c r="H313" s="362" t="n"/>
      <c r="I313" s="362" t="n"/>
      <c r="K313" s="362" t="n"/>
      <c r="L313" s="362" t="n"/>
      <c r="M313" s="362" t="n"/>
      <c r="N313" s="362" t="n"/>
      <c r="O313" s="362" t="n"/>
      <c r="P313" s="362" t="n"/>
      <c r="T313" s="362" t="n"/>
      <c r="U313" s="362" t="n"/>
      <c r="V313" s="362" t="n"/>
      <c r="W313" s="362" t="n"/>
      <c r="X313" s="362" t="n"/>
      <c r="Y313" s="362" t="n"/>
    </row>
    <row r="314">
      <c r="B314" s="430" t="n"/>
      <c r="C314" s="430" t="n"/>
      <c r="D314" s="430" t="n"/>
      <c r="E314" s="430" t="n"/>
      <c r="F314" s="430" t="n"/>
      <c r="G314" s="430" t="n"/>
      <c r="H314" s="362" t="n"/>
      <c r="I314" s="362" t="n"/>
      <c r="K314" s="362" t="n"/>
      <c r="L314" s="362" t="n"/>
      <c r="M314" s="362" t="n"/>
      <c r="N314" s="362" t="n"/>
      <c r="O314" s="362" t="n"/>
      <c r="P314" s="362" t="n"/>
      <c r="T314" s="362" t="n"/>
      <c r="U314" s="362" t="n"/>
      <c r="V314" s="362" t="n"/>
      <c r="W314" s="362" t="n"/>
      <c r="X314" s="362" t="n"/>
      <c r="Y314" s="362" t="n"/>
    </row>
    <row r="315">
      <c r="B315" s="430" t="n"/>
      <c r="C315" s="430" t="n"/>
      <c r="D315" s="430" t="n"/>
      <c r="E315" s="430" t="n"/>
      <c r="F315" s="430" t="n"/>
      <c r="G315" s="430" t="n"/>
      <c r="H315" s="362" t="n"/>
      <c r="I315" s="362" t="n"/>
      <c r="K315" s="362" t="n"/>
      <c r="L315" s="362" t="n"/>
      <c r="M315" s="362" t="n"/>
      <c r="N315" s="362" t="n"/>
      <c r="O315" s="362" t="n"/>
      <c r="P315" s="362" t="n"/>
      <c r="T315" s="362" t="n"/>
      <c r="U315" s="362" t="n"/>
      <c r="V315" s="362" t="n"/>
      <c r="W315" s="362" t="n"/>
      <c r="X315" s="362" t="n"/>
      <c r="Y315" s="362" t="n"/>
    </row>
    <row r="316">
      <c r="B316" s="430" t="n"/>
      <c r="C316" s="430" t="n"/>
      <c r="D316" s="430" t="n"/>
      <c r="E316" s="430" t="n"/>
      <c r="F316" s="430" t="n"/>
      <c r="G316" s="430" t="n"/>
      <c r="H316" s="362" t="n"/>
      <c r="I316" s="362" t="n"/>
      <c r="K316" s="362" t="n"/>
      <c r="L316" s="362" t="n"/>
      <c r="M316" s="362" t="n"/>
      <c r="N316" s="362" t="n"/>
      <c r="O316" s="362" t="n"/>
      <c r="P316" s="362" t="n"/>
      <c r="T316" s="362" t="n"/>
      <c r="U316" s="362" t="n"/>
      <c r="V316" s="362" t="n"/>
      <c r="W316" s="362" t="n"/>
      <c r="X316" s="362" t="n"/>
      <c r="Y316" s="362" t="n"/>
    </row>
    <row r="317">
      <c r="B317" s="430" t="n"/>
      <c r="C317" s="430" t="n"/>
      <c r="D317" s="430" t="n"/>
      <c r="E317" s="430" t="n"/>
      <c r="F317" s="430" t="n"/>
      <c r="G317" s="430" t="n"/>
      <c r="H317" s="362" t="n"/>
      <c r="I317" s="362" t="n"/>
      <c r="K317" s="362" t="n"/>
      <c r="L317" s="362" t="n"/>
      <c r="M317" s="362" t="n"/>
      <c r="N317" s="362" t="n"/>
      <c r="O317" s="362" t="n"/>
      <c r="P317" s="362" t="n"/>
      <c r="T317" s="362" t="n"/>
      <c r="U317" s="362" t="n"/>
      <c r="V317" s="362" t="n"/>
      <c r="W317" s="362" t="n"/>
      <c r="X317" s="362" t="n"/>
      <c r="Y317" s="362" t="n"/>
    </row>
    <row r="318">
      <c r="B318" s="430" t="n"/>
      <c r="C318" s="430" t="n"/>
      <c r="D318" s="430" t="n"/>
      <c r="E318" s="430" t="n"/>
      <c r="F318" s="430" t="n"/>
      <c r="G318" s="430" t="n"/>
      <c r="H318" s="362" t="n"/>
      <c r="I318" s="362" t="n"/>
      <c r="K318" s="362" t="n"/>
      <c r="L318" s="362" t="n"/>
      <c r="M318" s="362" t="n"/>
      <c r="N318" s="362" t="n"/>
      <c r="O318" s="362" t="n"/>
      <c r="P318" s="362" t="n"/>
      <c r="T318" s="362" t="n"/>
      <c r="U318" s="362" t="n"/>
      <c r="V318" s="362" t="n"/>
      <c r="W318" s="362" t="n"/>
      <c r="X318" s="362" t="n"/>
      <c r="Y318" s="362" t="n"/>
    </row>
    <row r="319">
      <c r="B319" s="430" t="n"/>
      <c r="C319" s="430" t="n"/>
      <c r="D319" s="430" t="n"/>
      <c r="E319" s="430" t="n"/>
      <c r="F319" s="430" t="n"/>
      <c r="G319" s="430" t="n"/>
      <c r="H319" s="362" t="n"/>
      <c r="I319" s="362" t="n"/>
      <c r="K319" s="362" t="n"/>
      <c r="L319" s="362" t="n"/>
      <c r="M319" s="362" t="n"/>
      <c r="N319" s="362" t="n"/>
      <c r="O319" s="362" t="n"/>
      <c r="P319" s="362" t="n"/>
      <c r="T319" s="362" t="n"/>
      <c r="U319" s="362" t="n"/>
      <c r="V319" s="362" t="n"/>
      <c r="W319" s="362" t="n"/>
      <c r="X319" s="362" t="n"/>
      <c r="Y319" s="362" t="n"/>
    </row>
    <row r="320">
      <c r="B320" s="430" t="n"/>
      <c r="C320" s="430" t="n"/>
      <c r="D320" s="430" t="n"/>
      <c r="E320" s="430" t="n"/>
      <c r="F320" s="430" t="n"/>
      <c r="G320" s="430" t="n"/>
      <c r="H320" s="362" t="n"/>
      <c r="I320" s="362" t="n"/>
      <c r="K320" s="362" t="n"/>
      <c r="L320" s="362" t="n"/>
      <c r="M320" s="362" t="n"/>
      <c r="N320" s="362" t="n"/>
      <c r="O320" s="362" t="n"/>
      <c r="P320" s="362" t="n"/>
      <c r="T320" s="362" t="n"/>
      <c r="U320" s="362" t="n"/>
      <c r="V320" s="362" t="n"/>
      <c r="W320" s="362" t="n"/>
      <c r="X320" s="362" t="n"/>
      <c r="Y320" s="362" t="n"/>
    </row>
    <row r="321">
      <c r="B321" s="430" t="n"/>
      <c r="C321" s="430" t="n"/>
      <c r="D321" s="430" t="n"/>
      <c r="E321" s="430" t="n"/>
      <c r="F321" s="430" t="n"/>
      <c r="G321" s="430" t="n"/>
      <c r="H321" s="362" t="n"/>
      <c r="I321" s="362" t="n"/>
      <c r="K321" s="362" t="n"/>
      <c r="L321" s="362" t="n"/>
      <c r="M321" s="362" t="n"/>
      <c r="N321" s="362" t="n"/>
      <c r="O321" s="362" t="n"/>
      <c r="P321" s="362" t="n"/>
      <c r="T321" s="362" t="n"/>
      <c r="U321" s="362" t="n"/>
      <c r="V321" s="362" t="n"/>
      <c r="W321" s="362" t="n"/>
      <c r="X321" s="362" t="n"/>
      <c r="Y321" s="362" t="n"/>
    </row>
    <row r="322">
      <c r="B322" s="430" t="n"/>
      <c r="C322" s="430" t="n"/>
      <c r="D322" s="430" t="n"/>
      <c r="E322" s="430" t="n"/>
      <c r="F322" s="430" t="n"/>
      <c r="G322" s="430" t="n"/>
      <c r="H322" s="362" t="n"/>
      <c r="I322" s="362" t="n"/>
      <c r="K322" s="362" t="n"/>
      <c r="L322" s="362" t="n"/>
      <c r="M322" s="362" t="n"/>
      <c r="N322" s="362" t="n"/>
      <c r="O322" s="362" t="n"/>
      <c r="P322" s="362" t="n"/>
      <c r="T322" s="362" t="n"/>
      <c r="U322" s="362" t="n"/>
      <c r="V322" s="362" t="n"/>
      <c r="W322" s="362" t="n"/>
      <c r="X322" s="362" t="n"/>
      <c r="Y322" s="362" t="n"/>
    </row>
    <row r="323">
      <c r="B323" s="430" t="n"/>
      <c r="C323" s="430" t="n"/>
      <c r="D323" s="430" t="n"/>
      <c r="E323" s="430" t="n"/>
      <c r="F323" s="430" t="n"/>
      <c r="G323" s="430" t="n"/>
      <c r="H323" s="362" t="n"/>
      <c r="I323" s="362" t="n"/>
      <c r="K323" s="362" t="n"/>
      <c r="L323" s="362" t="n"/>
      <c r="M323" s="362" t="n"/>
      <c r="N323" s="362" t="n"/>
      <c r="O323" s="362" t="n"/>
      <c r="P323" s="362" t="n"/>
      <c r="T323" s="362" t="n"/>
      <c r="U323" s="362" t="n"/>
      <c r="V323" s="362" t="n"/>
      <c r="W323" s="362" t="n"/>
      <c r="X323" s="362" t="n"/>
      <c r="Y323" s="362" t="n"/>
    </row>
    <row r="324">
      <c r="B324" s="430" t="n"/>
      <c r="C324" s="430" t="n"/>
      <c r="D324" s="430" t="n"/>
      <c r="E324" s="430" t="n"/>
      <c r="F324" s="430" t="n"/>
      <c r="G324" s="430" t="n"/>
      <c r="H324" s="362" t="n"/>
      <c r="I324" s="362" t="n"/>
      <c r="K324" s="362" t="n"/>
      <c r="L324" s="362" t="n"/>
      <c r="M324" s="362" t="n"/>
      <c r="N324" s="362" t="n"/>
      <c r="O324" s="362" t="n"/>
      <c r="P324" s="362" t="n"/>
      <c r="T324" s="362" t="n"/>
      <c r="U324" s="362" t="n"/>
      <c r="V324" s="362" t="n"/>
      <c r="W324" s="362" t="n"/>
      <c r="X324" s="362" t="n"/>
      <c r="Y324" s="362" t="n"/>
    </row>
    <row r="325">
      <c r="B325" s="430" t="n"/>
      <c r="C325" s="430" t="n"/>
      <c r="D325" s="430" t="n"/>
      <c r="E325" s="430" t="n"/>
      <c r="F325" s="430" t="n"/>
      <c r="G325" s="430" t="n"/>
      <c r="H325" s="362" t="n"/>
      <c r="I325" s="362" t="n"/>
      <c r="K325" s="362" t="n"/>
      <c r="L325" s="362" t="n"/>
      <c r="M325" s="362" t="n"/>
      <c r="N325" s="362" t="n"/>
      <c r="O325" s="362" t="n"/>
      <c r="P325" s="362" t="n"/>
      <c r="T325" s="362" t="n"/>
      <c r="U325" s="362" t="n"/>
      <c r="V325" s="362" t="n"/>
      <c r="W325" s="362" t="n"/>
      <c r="X325" s="362" t="n"/>
      <c r="Y325" s="362" t="n"/>
    </row>
    <row r="326">
      <c r="B326" s="430" t="n"/>
      <c r="C326" s="430" t="n"/>
      <c r="D326" s="430" t="n"/>
      <c r="E326" s="430" t="n"/>
      <c r="F326" s="430" t="n"/>
      <c r="G326" s="430" t="n"/>
      <c r="H326" s="362" t="n"/>
      <c r="I326" s="362" t="n"/>
      <c r="K326" s="362" t="n"/>
      <c r="L326" s="362" t="n"/>
      <c r="M326" s="362" t="n"/>
      <c r="N326" s="362" t="n"/>
      <c r="O326" s="362" t="n"/>
      <c r="P326" s="362" t="n"/>
      <c r="T326" s="362" t="n"/>
      <c r="U326" s="362" t="n"/>
      <c r="V326" s="362" t="n"/>
      <c r="W326" s="362" t="n"/>
      <c r="X326" s="362" t="n"/>
      <c r="Y326" s="362" t="n"/>
    </row>
    <row r="327">
      <c r="B327" s="430" t="n"/>
      <c r="C327" s="430" t="n"/>
      <c r="D327" s="430" t="n"/>
      <c r="E327" s="430" t="n"/>
      <c r="F327" s="430" t="n"/>
      <c r="G327" s="430" t="n"/>
      <c r="H327" s="362" t="n"/>
      <c r="I327" s="362" t="n"/>
      <c r="K327" s="362" t="n"/>
      <c r="L327" s="362" t="n"/>
      <c r="M327" s="362" t="n"/>
      <c r="N327" s="362" t="n"/>
      <c r="O327" s="362" t="n"/>
      <c r="P327" s="362" t="n"/>
      <c r="T327" s="362" t="n"/>
      <c r="U327" s="362" t="n"/>
      <c r="V327" s="362" t="n"/>
      <c r="W327" s="362" t="n"/>
      <c r="X327" s="362" t="n"/>
      <c r="Y327" s="362" t="n"/>
    </row>
    <row r="328">
      <c r="B328" s="430" t="n"/>
      <c r="C328" s="430" t="n"/>
      <c r="D328" s="430" t="n"/>
      <c r="E328" s="430" t="n"/>
      <c r="F328" s="430" t="n"/>
      <c r="G328" s="430" t="n"/>
      <c r="H328" s="362" t="n"/>
      <c r="I328" s="362" t="n"/>
      <c r="K328" s="362" t="n"/>
      <c r="L328" s="362" t="n"/>
      <c r="M328" s="362" t="n"/>
      <c r="N328" s="362" t="n"/>
      <c r="O328" s="362" t="n"/>
      <c r="P328" s="362" t="n"/>
      <c r="T328" s="362" t="n"/>
      <c r="U328" s="362" t="n"/>
      <c r="V328" s="362" t="n"/>
      <c r="W328" s="362" t="n"/>
      <c r="X328" s="362" t="n"/>
      <c r="Y328" s="362" t="n"/>
    </row>
    <row r="329">
      <c r="B329" s="430" t="n"/>
      <c r="C329" s="430" t="n"/>
      <c r="D329" s="430" t="n"/>
      <c r="E329" s="430" t="n"/>
      <c r="F329" s="430" t="n"/>
      <c r="G329" s="430" t="n"/>
      <c r="H329" s="362" t="n"/>
      <c r="I329" s="362" t="n"/>
      <c r="K329" s="362" t="n"/>
      <c r="L329" s="362" t="n"/>
      <c r="M329" s="362" t="n"/>
      <c r="N329" s="362" t="n"/>
      <c r="O329" s="362" t="n"/>
      <c r="P329" s="362" t="n"/>
      <c r="T329" s="362" t="n"/>
      <c r="U329" s="362" t="n"/>
      <c r="V329" s="362" t="n"/>
      <c r="W329" s="362" t="n"/>
      <c r="X329" s="362" t="n"/>
      <c r="Y329" s="362" t="n"/>
    </row>
    <row r="330">
      <c r="B330" s="430" t="n"/>
      <c r="C330" s="430" t="n"/>
      <c r="D330" s="430" t="n"/>
      <c r="E330" s="430" t="n"/>
      <c r="F330" s="430" t="n"/>
      <c r="G330" s="430" t="n"/>
      <c r="H330" s="362" t="n"/>
      <c r="I330" s="362" t="n"/>
      <c r="K330" s="362" t="n"/>
      <c r="L330" s="362" t="n"/>
      <c r="M330" s="362" t="n"/>
      <c r="N330" s="362" t="n"/>
      <c r="O330" s="362" t="n"/>
      <c r="P330" s="362" t="n"/>
      <c r="T330" s="362" t="n"/>
      <c r="U330" s="362" t="n"/>
      <c r="V330" s="362" t="n"/>
      <c r="W330" s="362" t="n"/>
      <c r="X330" s="362" t="n"/>
      <c r="Y330" s="362" t="n"/>
    </row>
    <row r="331">
      <c r="B331" s="430" t="n"/>
      <c r="C331" s="430" t="n"/>
      <c r="D331" s="430" t="n"/>
      <c r="E331" s="430" t="n"/>
      <c r="F331" s="430" t="n"/>
      <c r="G331" s="430" t="n"/>
      <c r="H331" s="362" t="n"/>
      <c r="I331" s="362" t="n"/>
      <c r="K331" s="362" t="n"/>
      <c r="L331" s="362" t="n"/>
      <c r="M331" s="362" t="n"/>
      <c r="N331" s="362" t="n"/>
      <c r="O331" s="362" t="n"/>
      <c r="P331" s="362" t="n"/>
      <c r="T331" s="362" t="n"/>
      <c r="U331" s="362" t="n"/>
      <c r="V331" s="362" t="n"/>
      <c r="W331" s="362" t="n"/>
      <c r="X331" s="362" t="n"/>
      <c r="Y331" s="362" t="n"/>
    </row>
    <row r="332">
      <c r="B332" s="430" t="n"/>
      <c r="C332" s="430" t="n"/>
      <c r="D332" s="430" t="n"/>
      <c r="E332" s="430" t="n"/>
      <c r="F332" s="430" t="n"/>
      <c r="G332" s="430" t="n"/>
      <c r="H332" s="362" t="n"/>
      <c r="I332" s="362" t="n"/>
      <c r="K332" s="362" t="n"/>
      <c r="L332" s="362" t="n"/>
      <c r="M332" s="362" t="n"/>
      <c r="N332" s="362" t="n"/>
      <c r="O332" s="362" t="n"/>
      <c r="P332" s="362" t="n"/>
      <c r="T332" s="362" t="n"/>
      <c r="U332" s="362" t="n"/>
      <c r="V332" s="362" t="n"/>
      <c r="W332" s="362" t="n"/>
      <c r="X332" s="362" t="n"/>
      <c r="Y332" s="362" t="n"/>
    </row>
    <row r="333">
      <c r="B333" s="430" t="n"/>
      <c r="C333" s="430" t="n"/>
      <c r="D333" s="430" t="n"/>
      <c r="E333" s="430" t="n"/>
      <c r="F333" s="430" t="n"/>
      <c r="G333" s="430" t="n"/>
      <c r="H333" s="362" t="n"/>
      <c r="I333" s="362" t="n"/>
      <c r="K333" s="362" t="n"/>
      <c r="L333" s="362" t="n"/>
      <c r="M333" s="362" t="n"/>
      <c r="N333" s="362" t="n"/>
      <c r="O333" s="362" t="n"/>
      <c r="P333" s="362" t="n"/>
      <c r="T333" s="362" t="n"/>
      <c r="U333" s="362" t="n"/>
      <c r="V333" s="362" t="n"/>
      <c r="W333" s="362" t="n"/>
      <c r="X333" s="362" t="n"/>
      <c r="Y333" s="362" t="n"/>
    </row>
    <row r="334">
      <c r="B334" s="430" t="n"/>
      <c r="C334" s="430" t="n"/>
      <c r="D334" s="430" t="n"/>
      <c r="E334" s="430" t="n"/>
      <c r="F334" s="430" t="n"/>
      <c r="G334" s="430" t="n"/>
      <c r="H334" s="362" t="n"/>
      <c r="I334" s="362" t="n"/>
      <c r="K334" s="362" t="n"/>
      <c r="L334" s="362" t="n"/>
      <c r="M334" s="362" t="n"/>
      <c r="N334" s="362" t="n"/>
      <c r="O334" s="362" t="n"/>
      <c r="P334" s="362" t="n"/>
      <c r="T334" s="362" t="n"/>
      <c r="U334" s="362" t="n"/>
      <c r="V334" s="362" t="n"/>
      <c r="W334" s="362" t="n"/>
      <c r="X334" s="362" t="n"/>
      <c r="Y334" s="362" t="n"/>
    </row>
    <row r="335">
      <c r="B335" s="430" t="n"/>
      <c r="C335" s="430" t="n"/>
      <c r="D335" s="430" t="n"/>
      <c r="E335" s="430" t="n"/>
      <c r="F335" s="430" t="n"/>
      <c r="G335" s="430" t="n"/>
      <c r="H335" s="362" t="n"/>
      <c r="I335" s="362" t="n"/>
      <c r="K335" s="362" t="n"/>
      <c r="L335" s="362" t="n"/>
      <c r="M335" s="362" t="n"/>
      <c r="N335" s="362" t="n"/>
      <c r="O335" s="362" t="n"/>
      <c r="P335" s="362" t="n"/>
      <c r="T335" s="362" t="n"/>
      <c r="U335" s="362" t="n"/>
      <c r="V335" s="362" t="n"/>
      <c r="W335" s="362" t="n"/>
      <c r="X335" s="362" t="n"/>
      <c r="Y335" s="362" t="n"/>
    </row>
    <row r="336">
      <c r="B336" s="430" t="n"/>
      <c r="C336" s="430" t="n"/>
      <c r="D336" s="430" t="n"/>
      <c r="E336" s="430" t="n"/>
      <c r="F336" s="430" t="n"/>
      <c r="G336" s="430" t="n"/>
      <c r="H336" s="362" t="n"/>
      <c r="I336" s="362" t="n"/>
      <c r="K336" s="362" t="n"/>
      <c r="L336" s="362" t="n"/>
      <c r="M336" s="362" t="n"/>
      <c r="N336" s="362" t="n"/>
      <c r="O336" s="362" t="n"/>
      <c r="P336" s="362" t="n"/>
      <c r="T336" s="362" t="n"/>
      <c r="U336" s="362" t="n"/>
      <c r="V336" s="362" t="n"/>
      <c r="W336" s="362" t="n"/>
      <c r="X336" s="362" t="n"/>
      <c r="Y336" s="362" t="n"/>
    </row>
    <row r="337">
      <c r="B337" s="430" t="n"/>
      <c r="C337" s="430" t="n"/>
      <c r="D337" s="430" t="n"/>
      <c r="E337" s="430" t="n"/>
      <c r="F337" s="430" t="n"/>
      <c r="G337" s="430" t="n"/>
      <c r="H337" s="362" t="n"/>
      <c r="I337" s="362" t="n"/>
      <c r="K337" s="362" t="n"/>
      <c r="L337" s="362" t="n"/>
      <c r="M337" s="362" t="n"/>
      <c r="N337" s="362" t="n"/>
      <c r="O337" s="362" t="n"/>
      <c r="P337" s="362" t="n"/>
      <c r="T337" s="362" t="n"/>
      <c r="U337" s="362" t="n"/>
      <c r="V337" s="362" t="n"/>
      <c r="W337" s="362" t="n"/>
      <c r="X337" s="362" t="n"/>
      <c r="Y337" s="362" t="n"/>
    </row>
    <row r="338">
      <c r="B338" s="430" t="n"/>
      <c r="C338" s="430" t="n"/>
      <c r="D338" s="430" t="n"/>
      <c r="E338" s="430" t="n"/>
      <c r="F338" s="430" t="n"/>
      <c r="G338" s="430" t="n"/>
      <c r="H338" s="362" t="n"/>
      <c r="I338" s="362" t="n"/>
      <c r="K338" s="362" t="n"/>
      <c r="L338" s="362" t="n"/>
      <c r="M338" s="362" t="n"/>
      <c r="N338" s="362" t="n"/>
      <c r="O338" s="362" t="n"/>
      <c r="P338" s="362" t="n"/>
      <c r="T338" s="362" t="n"/>
      <c r="U338" s="362" t="n"/>
      <c r="V338" s="362" t="n"/>
      <c r="W338" s="362" t="n"/>
      <c r="X338" s="362" t="n"/>
      <c r="Y338" s="362" t="n"/>
    </row>
    <row r="339">
      <c r="B339" s="430" t="n"/>
      <c r="C339" s="430" t="n"/>
      <c r="D339" s="430" t="n"/>
      <c r="E339" s="430" t="n"/>
      <c r="F339" s="430" t="n"/>
      <c r="G339" s="430" t="n"/>
      <c r="H339" s="362" t="n"/>
      <c r="I339" s="362" t="n"/>
      <c r="K339" s="362" t="n"/>
      <c r="L339" s="362" t="n"/>
      <c r="M339" s="362" t="n"/>
      <c r="N339" s="362" t="n"/>
      <c r="O339" s="362" t="n"/>
      <c r="P339" s="362" t="n"/>
      <c r="T339" s="362" t="n"/>
      <c r="U339" s="362" t="n"/>
      <c r="V339" s="362" t="n"/>
      <c r="W339" s="362" t="n"/>
      <c r="X339" s="362" t="n"/>
      <c r="Y339" s="362" t="n"/>
    </row>
    <row r="340">
      <c r="B340" s="430" t="n"/>
      <c r="C340" s="430" t="n"/>
      <c r="D340" s="430" t="n"/>
      <c r="E340" s="430" t="n"/>
      <c r="F340" s="430" t="n"/>
      <c r="G340" s="430" t="n"/>
      <c r="H340" s="362" t="n"/>
      <c r="I340" s="362" t="n"/>
      <c r="K340" s="362" t="n"/>
      <c r="L340" s="362" t="n"/>
      <c r="M340" s="362" t="n"/>
      <c r="N340" s="362" t="n"/>
      <c r="O340" s="362" t="n"/>
      <c r="P340" s="362" t="n"/>
      <c r="T340" s="362" t="n"/>
      <c r="U340" s="362" t="n"/>
      <c r="V340" s="362" t="n"/>
      <c r="W340" s="362" t="n"/>
      <c r="X340" s="362" t="n"/>
      <c r="Y340" s="362" t="n"/>
    </row>
    <row r="341">
      <c r="B341" s="430" t="n"/>
      <c r="C341" s="430" t="n"/>
      <c r="D341" s="430" t="n"/>
      <c r="E341" s="430" t="n"/>
      <c r="F341" s="430" t="n"/>
      <c r="G341" s="430" t="n"/>
      <c r="H341" s="362" t="n"/>
      <c r="I341" s="362" t="n"/>
      <c r="K341" s="362" t="n"/>
      <c r="L341" s="362" t="n"/>
      <c r="M341" s="362" t="n"/>
      <c r="N341" s="362" t="n"/>
      <c r="O341" s="362" t="n"/>
      <c r="P341" s="362" t="n"/>
      <c r="T341" s="362" t="n"/>
      <c r="U341" s="362" t="n"/>
      <c r="V341" s="362" t="n"/>
      <c r="W341" s="362" t="n"/>
      <c r="X341" s="362" t="n"/>
      <c r="Y341" s="362" t="n"/>
    </row>
    <row r="342">
      <c r="B342" s="430" t="n"/>
      <c r="C342" s="430" t="n"/>
      <c r="D342" s="430" t="n"/>
      <c r="E342" s="430" t="n"/>
      <c r="F342" s="430" t="n"/>
      <c r="G342" s="430" t="n"/>
      <c r="H342" s="362" t="n"/>
      <c r="I342" s="362" t="n"/>
      <c r="K342" s="362" t="n"/>
      <c r="L342" s="362" t="n"/>
      <c r="M342" s="362" t="n"/>
      <c r="N342" s="362" t="n"/>
      <c r="O342" s="362" t="n"/>
      <c r="P342" s="362" t="n"/>
      <c r="T342" s="362" t="n"/>
      <c r="U342" s="362" t="n"/>
      <c r="V342" s="362" t="n"/>
      <c r="W342" s="362" t="n"/>
      <c r="X342" s="362" t="n"/>
      <c r="Y342" s="362" t="n"/>
    </row>
    <row r="343">
      <c r="B343" s="430" t="n"/>
      <c r="C343" s="430" t="n"/>
      <c r="D343" s="430" t="n"/>
      <c r="E343" s="430" t="n"/>
      <c r="F343" s="430" t="n"/>
      <c r="G343" s="430" t="n"/>
      <c r="H343" s="362" t="n"/>
      <c r="I343" s="362" t="n"/>
      <c r="K343" s="362" t="n"/>
      <c r="L343" s="362" t="n"/>
      <c r="M343" s="362" t="n"/>
      <c r="N343" s="362" t="n"/>
      <c r="O343" s="362" t="n"/>
      <c r="P343" s="362" t="n"/>
      <c r="T343" s="362" t="n"/>
      <c r="U343" s="362" t="n"/>
      <c r="V343" s="362" t="n"/>
      <c r="W343" s="362" t="n"/>
      <c r="X343" s="362" t="n"/>
      <c r="Y343" s="362" t="n"/>
    </row>
    <row r="344">
      <c r="B344" s="430" t="n"/>
      <c r="C344" s="430" t="n"/>
      <c r="D344" s="430" t="n"/>
      <c r="E344" s="430" t="n"/>
      <c r="F344" s="430" t="n"/>
      <c r="G344" s="430" t="n"/>
      <c r="H344" s="362" t="n"/>
      <c r="I344" s="362" t="n"/>
      <c r="K344" s="362" t="n"/>
      <c r="L344" s="362" t="n"/>
      <c r="M344" s="362" t="n"/>
      <c r="N344" s="362" t="n"/>
      <c r="O344" s="362" t="n"/>
      <c r="P344" s="362" t="n"/>
      <c r="T344" s="362" t="n"/>
      <c r="U344" s="362" t="n"/>
      <c r="V344" s="362" t="n"/>
      <c r="W344" s="362" t="n"/>
      <c r="X344" s="362" t="n"/>
      <c r="Y344" s="362" t="n"/>
    </row>
    <row r="345">
      <c r="B345" s="430" t="n"/>
      <c r="C345" s="430" t="n"/>
      <c r="D345" s="430" t="n"/>
      <c r="E345" s="430" t="n"/>
      <c r="F345" s="430" t="n"/>
      <c r="G345" s="430" t="n"/>
      <c r="H345" s="362" t="n"/>
      <c r="I345" s="362" t="n"/>
      <c r="K345" s="362" t="n"/>
      <c r="L345" s="362" t="n"/>
      <c r="M345" s="362" t="n"/>
      <c r="N345" s="362" t="n"/>
      <c r="O345" s="362" t="n"/>
      <c r="P345" s="362" t="n"/>
      <c r="T345" s="362" t="n"/>
      <c r="U345" s="362" t="n"/>
      <c r="V345" s="362" t="n"/>
      <c r="W345" s="362" t="n"/>
      <c r="X345" s="362" t="n"/>
      <c r="Y345" s="362" t="n"/>
    </row>
    <row r="346">
      <c r="B346" s="430" t="n"/>
      <c r="C346" s="430" t="n"/>
      <c r="D346" s="430" t="n"/>
      <c r="E346" s="430" t="n"/>
      <c r="F346" s="430" t="n"/>
      <c r="G346" s="430" t="n"/>
      <c r="H346" s="362" t="n"/>
      <c r="I346" s="362" t="n"/>
      <c r="K346" s="362" t="n"/>
      <c r="L346" s="362" t="n"/>
      <c r="M346" s="362" t="n"/>
      <c r="N346" s="362" t="n"/>
      <c r="O346" s="362" t="n"/>
      <c r="P346" s="362" t="n"/>
      <c r="T346" s="362" t="n"/>
      <c r="U346" s="362" t="n"/>
      <c r="V346" s="362" t="n"/>
      <c r="W346" s="362" t="n"/>
      <c r="X346" s="362" t="n"/>
      <c r="Y346" s="362" t="n"/>
    </row>
    <row r="347">
      <c r="B347" s="430" t="n"/>
      <c r="C347" s="430" t="n"/>
      <c r="D347" s="430" t="n"/>
      <c r="E347" s="430" t="n"/>
      <c r="F347" s="430" t="n"/>
      <c r="G347" s="430" t="n"/>
      <c r="H347" s="362" t="n"/>
      <c r="I347" s="362" t="n"/>
      <c r="K347" s="362" t="n"/>
      <c r="L347" s="362" t="n"/>
      <c r="M347" s="362" t="n"/>
      <c r="N347" s="362" t="n"/>
      <c r="O347" s="362" t="n"/>
      <c r="P347" s="362" t="n"/>
      <c r="T347" s="362" t="n"/>
      <c r="U347" s="362" t="n"/>
      <c r="V347" s="362" t="n"/>
      <c r="W347" s="362" t="n"/>
      <c r="X347" s="362" t="n"/>
      <c r="Y347" s="362" t="n"/>
    </row>
    <row r="348">
      <c r="B348" s="430" t="n"/>
      <c r="C348" s="430" t="n"/>
      <c r="D348" s="430" t="n"/>
      <c r="E348" s="430" t="n"/>
      <c r="F348" s="430" t="n"/>
      <c r="G348" s="430" t="n"/>
      <c r="H348" s="362" t="n"/>
      <c r="I348" s="362" t="n"/>
      <c r="K348" s="362" t="n"/>
      <c r="L348" s="362" t="n"/>
      <c r="M348" s="362" t="n"/>
      <c r="N348" s="362" t="n"/>
      <c r="O348" s="362" t="n"/>
      <c r="P348" s="362" t="n"/>
      <c r="T348" s="362" t="n"/>
      <c r="U348" s="362" t="n"/>
      <c r="V348" s="362" t="n"/>
      <c r="W348" s="362" t="n"/>
      <c r="X348" s="362" t="n"/>
      <c r="Y348" s="362" t="n"/>
    </row>
    <row r="349">
      <c r="B349" s="430" t="n"/>
      <c r="C349" s="430" t="n"/>
      <c r="D349" s="430" t="n"/>
      <c r="E349" s="430" t="n"/>
      <c r="F349" s="430" t="n"/>
      <c r="G349" s="430" t="n"/>
      <c r="H349" s="362" t="n"/>
      <c r="I349" s="362" t="n"/>
      <c r="K349" s="362" t="n"/>
      <c r="L349" s="362" t="n"/>
      <c r="M349" s="362" t="n"/>
      <c r="N349" s="362" t="n"/>
      <c r="O349" s="362" t="n"/>
      <c r="P349" s="362" t="n"/>
      <c r="T349" s="362" t="n"/>
      <c r="U349" s="362" t="n"/>
      <c r="V349" s="362" t="n"/>
      <c r="W349" s="362" t="n"/>
      <c r="X349" s="362" t="n"/>
      <c r="Y349" s="362" t="n"/>
    </row>
    <row r="350">
      <c r="B350" s="430" t="n"/>
      <c r="C350" s="430" t="n"/>
      <c r="D350" s="430" t="n"/>
      <c r="E350" s="430" t="n"/>
      <c r="F350" s="430" t="n"/>
      <c r="G350" s="430" t="n"/>
      <c r="H350" s="362" t="n"/>
      <c r="I350" s="362" t="n"/>
      <c r="K350" s="362" t="n"/>
      <c r="L350" s="362" t="n"/>
      <c r="M350" s="362" t="n"/>
      <c r="N350" s="362" t="n"/>
      <c r="O350" s="362" t="n"/>
      <c r="P350" s="362" t="n"/>
      <c r="T350" s="362" t="n"/>
      <c r="U350" s="362" t="n"/>
      <c r="V350" s="362" t="n"/>
      <c r="W350" s="362" t="n"/>
      <c r="X350" s="362" t="n"/>
      <c r="Y350" s="362" t="n"/>
    </row>
    <row r="351">
      <c r="B351" s="430" t="n"/>
      <c r="C351" s="430" t="n"/>
      <c r="D351" s="430" t="n"/>
      <c r="E351" s="430" t="n"/>
      <c r="F351" s="430" t="n"/>
      <c r="G351" s="430" t="n"/>
      <c r="H351" s="362" t="n"/>
      <c r="I351" s="362" t="n"/>
      <c r="K351" s="362" t="n"/>
      <c r="L351" s="362" t="n"/>
      <c r="M351" s="362" t="n"/>
      <c r="N351" s="362" t="n"/>
      <c r="O351" s="362" t="n"/>
      <c r="P351" s="362" t="n"/>
      <c r="T351" s="362" t="n"/>
      <c r="U351" s="362" t="n"/>
      <c r="V351" s="362" t="n"/>
      <c r="W351" s="362" t="n"/>
      <c r="X351" s="362" t="n"/>
      <c r="Y351" s="362" t="n"/>
    </row>
    <row r="352">
      <c r="B352" s="430" t="n"/>
      <c r="C352" s="430" t="n"/>
      <c r="D352" s="430" t="n"/>
      <c r="E352" s="430" t="n"/>
      <c r="F352" s="430" t="n"/>
      <c r="G352" s="430" t="n"/>
      <c r="H352" s="362" t="n"/>
      <c r="I352" s="362" t="n"/>
      <c r="K352" s="362" t="n"/>
      <c r="L352" s="362" t="n"/>
      <c r="M352" s="362" t="n"/>
      <c r="N352" s="362" t="n"/>
      <c r="O352" s="362" t="n"/>
      <c r="P352" s="362" t="n"/>
      <c r="T352" s="362" t="n"/>
      <c r="U352" s="362" t="n"/>
      <c r="V352" s="362" t="n"/>
      <c r="W352" s="362" t="n"/>
      <c r="X352" s="362" t="n"/>
      <c r="Y352" s="362" t="n"/>
    </row>
    <row r="353">
      <c r="B353" s="430" t="n"/>
      <c r="C353" s="430" t="n"/>
      <c r="D353" s="430" t="n"/>
      <c r="E353" s="430" t="n"/>
      <c r="F353" s="430" t="n"/>
      <c r="G353" s="430" t="n"/>
      <c r="H353" s="362" t="n"/>
      <c r="I353" s="362" t="n"/>
      <c r="K353" s="362" t="n"/>
      <c r="L353" s="362" t="n"/>
      <c r="M353" s="362" t="n"/>
      <c r="N353" s="362" t="n"/>
      <c r="O353" s="362" t="n"/>
      <c r="P353" s="362" t="n"/>
      <c r="T353" s="362" t="n"/>
      <c r="U353" s="362" t="n"/>
      <c r="V353" s="362" t="n"/>
      <c r="W353" s="362" t="n"/>
      <c r="X353" s="362" t="n"/>
      <c r="Y353" s="362" t="n"/>
    </row>
    <row r="354">
      <c r="B354" s="430" t="n"/>
      <c r="C354" s="430" t="n"/>
      <c r="D354" s="430" t="n"/>
      <c r="E354" s="430" t="n"/>
      <c r="F354" s="430" t="n"/>
      <c r="G354" s="430" t="n"/>
      <c r="H354" s="362" t="n"/>
      <c r="I354" s="362" t="n"/>
      <c r="K354" s="362" t="n"/>
      <c r="L354" s="362" t="n"/>
      <c r="M354" s="362" t="n"/>
      <c r="N354" s="362" t="n"/>
      <c r="O354" s="362" t="n"/>
      <c r="P354" s="362" t="n"/>
      <c r="T354" s="362" t="n"/>
      <c r="U354" s="362" t="n"/>
      <c r="V354" s="362" t="n"/>
      <c r="W354" s="362" t="n"/>
      <c r="X354" s="362" t="n"/>
      <c r="Y354" s="362" t="n"/>
    </row>
    <row r="355">
      <c r="B355" s="430" t="n"/>
      <c r="C355" s="430" t="n"/>
      <c r="D355" s="430" t="n"/>
      <c r="E355" s="430" t="n"/>
      <c r="F355" s="430" t="n"/>
      <c r="G355" s="430" t="n"/>
      <c r="H355" s="362" t="n"/>
      <c r="I355" s="362" t="n"/>
      <c r="K355" s="362" t="n"/>
      <c r="L355" s="362" t="n"/>
      <c r="M355" s="362" t="n"/>
      <c r="N355" s="362" t="n"/>
      <c r="O355" s="362" t="n"/>
      <c r="P355" s="362" t="n"/>
      <c r="T355" s="362" t="n"/>
      <c r="U355" s="362" t="n"/>
      <c r="V355" s="362" t="n"/>
      <c r="W355" s="362" t="n"/>
      <c r="X355" s="362" t="n"/>
      <c r="Y355" s="362" t="n"/>
    </row>
    <row r="356">
      <c r="B356" s="430" t="n"/>
      <c r="C356" s="430" t="n"/>
      <c r="D356" s="430" t="n"/>
      <c r="E356" s="430" t="n"/>
      <c r="F356" s="430" t="n"/>
      <c r="G356" s="430" t="n"/>
      <c r="H356" s="362" t="n"/>
      <c r="I356" s="362" t="n"/>
      <c r="K356" s="362" t="n"/>
      <c r="L356" s="362" t="n"/>
      <c r="M356" s="362" t="n"/>
      <c r="N356" s="362" t="n"/>
      <c r="O356" s="362" t="n"/>
      <c r="P356" s="362" t="n"/>
      <c r="T356" s="362" t="n"/>
      <c r="U356" s="362" t="n"/>
      <c r="V356" s="362" t="n"/>
      <c r="W356" s="362" t="n"/>
      <c r="X356" s="362" t="n"/>
      <c r="Y356" s="362" t="n"/>
    </row>
    <row r="357">
      <c r="B357" s="430" t="n"/>
      <c r="C357" s="430" t="n"/>
      <c r="D357" s="430" t="n"/>
      <c r="E357" s="430" t="n"/>
      <c r="F357" s="430" t="n"/>
      <c r="G357" s="430" t="n"/>
      <c r="H357" s="362" t="n"/>
      <c r="I357" s="362" t="n"/>
      <c r="K357" s="362" t="n"/>
      <c r="L357" s="362" t="n"/>
      <c r="M357" s="362" t="n"/>
      <c r="N357" s="362" t="n"/>
      <c r="O357" s="362" t="n"/>
      <c r="P357" s="362" t="n"/>
      <c r="T357" s="362" t="n"/>
      <c r="U357" s="362" t="n"/>
      <c r="V357" s="362" t="n"/>
      <c r="W357" s="362" t="n"/>
      <c r="X357" s="362" t="n"/>
      <c r="Y357" s="362" t="n"/>
    </row>
    <row r="358">
      <c r="B358" s="430" t="n"/>
      <c r="C358" s="430" t="n"/>
      <c r="D358" s="430" t="n"/>
      <c r="E358" s="430" t="n"/>
      <c r="F358" s="430" t="n"/>
      <c r="G358" s="430" t="n"/>
      <c r="H358" s="362" t="n"/>
      <c r="I358" s="362" t="n"/>
      <c r="K358" s="362" t="n"/>
      <c r="L358" s="362" t="n"/>
      <c r="M358" s="362" t="n"/>
      <c r="N358" s="362" t="n"/>
      <c r="O358" s="362" t="n"/>
      <c r="P358" s="362" t="n"/>
      <c r="T358" s="362" t="n"/>
      <c r="U358" s="362" t="n"/>
      <c r="V358" s="362" t="n"/>
      <c r="W358" s="362" t="n"/>
      <c r="X358" s="362" t="n"/>
      <c r="Y358" s="362" t="n"/>
    </row>
    <row r="359">
      <c r="B359" s="430" t="n"/>
      <c r="C359" s="430" t="n"/>
      <c r="D359" s="430" t="n"/>
      <c r="E359" s="430" t="n"/>
      <c r="F359" s="430" t="n"/>
      <c r="G359" s="430" t="n"/>
      <c r="H359" s="362" t="n"/>
      <c r="I359" s="362" t="n"/>
      <c r="K359" s="362" t="n"/>
      <c r="L359" s="362" t="n"/>
      <c r="M359" s="362" t="n"/>
      <c r="N359" s="362" t="n"/>
      <c r="O359" s="362" t="n"/>
      <c r="P359" s="362" t="n"/>
      <c r="T359" s="362" t="n"/>
      <c r="U359" s="362" t="n"/>
      <c r="V359" s="362" t="n"/>
      <c r="W359" s="362" t="n"/>
      <c r="X359" s="362" t="n"/>
      <c r="Y359" s="362" t="n"/>
    </row>
    <row r="360">
      <c r="B360" s="430" t="n"/>
      <c r="C360" s="430" t="n"/>
      <c r="D360" s="430" t="n"/>
      <c r="E360" s="430" t="n"/>
      <c r="F360" s="430" t="n"/>
      <c r="G360" s="430" t="n"/>
      <c r="H360" s="362" t="n"/>
      <c r="I360" s="362" t="n"/>
      <c r="K360" s="362" t="n"/>
      <c r="L360" s="362" t="n"/>
      <c r="M360" s="362" t="n"/>
      <c r="N360" s="362" t="n"/>
      <c r="O360" s="362" t="n"/>
      <c r="P360" s="362" t="n"/>
      <c r="T360" s="362" t="n"/>
      <c r="U360" s="362" t="n"/>
      <c r="V360" s="362" t="n"/>
      <c r="W360" s="362" t="n"/>
      <c r="X360" s="362" t="n"/>
      <c r="Y360" s="362" t="n"/>
    </row>
    <row r="361">
      <c r="B361" s="430" t="n"/>
      <c r="C361" s="430" t="n"/>
      <c r="D361" s="430" t="n"/>
      <c r="E361" s="430" t="n"/>
      <c r="F361" s="430" t="n"/>
      <c r="G361" s="430" t="n"/>
      <c r="H361" s="362" t="n"/>
      <c r="I361" s="362" t="n"/>
      <c r="K361" s="362" t="n"/>
      <c r="L361" s="362" t="n"/>
      <c r="M361" s="362" t="n"/>
      <c r="N361" s="362" t="n"/>
      <c r="O361" s="362" t="n"/>
      <c r="P361" s="362" t="n"/>
      <c r="T361" s="362" t="n"/>
      <c r="U361" s="362" t="n"/>
      <c r="V361" s="362" t="n"/>
      <c r="W361" s="362" t="n"/>
      <c r="X361" s="362" t="n"/>
      <c r="Y361" s="362" t="n"/>
    </row>
    <row r="362">
      <c r="B362" s="430" t="n"/>
      <c r="C362" s="430" t="n"/>
      <c r="D362" s="430" t="n"/>
      <c r="E362" s="430" t="n"/>
      <c r="F362" s="430" t="n"/>
      <c r="G362" s="430" t="n"/>
      <c r="H362" s="362" t="n"/>
      <c r="I362" s="362" t="n"/>
      <c r="K362" s="362" t="n"/>
      <c r="L362" s="362" t="n"/>
      <c r="M362" s="362" t="n"/>
      <c r="N362" s="362" t="n"/>
      <c r="O362" s="362" t="n"/>
      <c r="P362" s="362" t="n"/>
      <c r="T362" s="362" t="n"/>
      <c r="U362" s="362" t="n"/>
      <c r="V362" s="362" t="n"/>
      <c r="W362" s="362" t="n"/>
      <c r="X362" s="362" t="n"/>
      <c r="Y362" s="362" t="n"/>
    </row>
    <row r="363">
      <c r="B363" s="430" t="n"/>
      <c r="C363" s="430" t="n"/>
      <c r="D363" s="430" t="n"/>
      <c r="E363" s="430" t="n"/>
      <c r="F363" s="430" t="n"/>
      <c r="G363" s="430" t="n"/>
      <c r="H363" s="362" t="n"/>
      <c r="I363" s="362" t="n"/>
      <c r="K363" s="362" t="n"/>
      <c r="L363" s="362" t="n"/>
      <c r="M363" s="362" t="n"/>
      <c r="N363" s="362" t="n"/>
      <c r="O363" s="362" t="n"/>
      <c r="P363" s="362" t="n"/>
      <c r="T363" s="362" t="n"/>
      <c r="U363" s="362" t="n"/>
      <c r="V363" s="362" t="n"/>
      <c r="W363" s="362" t="n"/>
      <c r="X363" s="362" t="n"/>
      <c r="Y363" s="362" t="n"/>
    </row>
    <row r="364">
      <c r="B364" s="430" t="n"/>
      <c r="C364" s="430" t="n"/>
      <c r="D364" s="430" t="n"/>
      <c r="E364" s="430" t="n"/>
      <c r="F364" s="430" t="n"/>
      <c r="G364" s="430" t="n"/>
      <c r="H364" s="362" t="n"/>
      <c r="I364" s="362" t="n"/>
      <c r="K364" s="362" t="n"/>
      <c r="L364" s="362" t="n"/>
      <c r="M364" s="362" t="n"/>
      <c r="N364" s="362" t="n"/>
      <c r="O364" s="362" t="n"/>
      <c r="P364" s="362" t="n"/>
      <c r="T364" s="362" t="n"/>
      <c r="U364" s="362" t="n"/>
      <c r="V364" s="362" t="n"/>
      <c r="W364" s="362" t="n"/>
      <c r="X364" s="362" t="n"/>
      <c r="Y364" s="362" t="n"/>
    </row>
    <row r="365">
      <c r="B365" s="430" t="n"/>
      <c r="C365" s="430" t="n"/>
      <c r="D365" s="430" t="n"/>
      <c r="E365" s="430" t="n"/>
      <c r="F365" s="430" t="n"/>
      <c r="G365" s="430" t="n"/>
      <c r="H365" s="362" t="n"/>
      <c r="I365" s="362" t="n"/>
      <c r="K365" s="362" t="n"/>
      <c r="L365" s="362" t="n"/>
      <c r="M365" s="362" t="n"/>
      <c r="N365" s="362" t="n"/>
      <c r="O365" s="362" t="n"/>
      <c r="P365" s="362" t="n"/>
      <c r="T365" s="362" t="n"/>
      <c r="U365" s="362" t="n"/>
      <c r="V365" s="362" t="n"/>
      <c r="W365" s="362" t="n"/>
      <c r="X365" s="362" t="n"/>
      <c r="Y365" s="362" t="n"/>
    </row>
    <row r="366">
      <c r="B366" s="430" t="n"/>
      <c r="C366" s="430" t="n"/>
      <c r="D366" s="430" t="n"/>
      <c r="E366" s="430" t="n"/>
      <c r="F366" s="430" t="n"/>
      <c r="G366" s="430" t="n"/>
      <c r="H366" s="362" t="n"/>
      <c r="I366" s="362" t="n"/>
      <c r="K366" s="362" t="n"/>
      <c r="L366" s="362" t="n"/>
      <c r="M366" s="362" t="n"/>
      <c r="N366" s="362" t="n"/>
      <c r="O366" s="362" t="n"/>
      <c r="P366" s="362" t="n"/>
      <c r="T366" s="362" t="n"/>
      <c r="U366" s="362" t="n"/>
      <c r="V366" s="362" t="n"/>
      <c r="W366" s="362" t="n"/>
      <c r="X366" s="362" t="n"/>
      <c r="Y366" s="362" t="n"/>
    </row>
    <row r="367">
      <c r="B367" s="430" t="n"/>
      <c r="C367" s="430" t="n"/>
      <c r="D367" s="430" t="n"/>
      <c r="E367" s="430" t="n"/>
      <c r="F367" s="430" t="n"/>
      <c r="G367" s="430" t="n"/>
      <c r="H367" s="362" t="n"/>
      <c r="I367" s="362" t="n"/>
      <c r="K367" s="362" t="n"/>
      <c r="L367" s="362" t="n"/>
      <c r="M367" s="362" t="n"/>
      <c r="N367" s="362" t="n"/>
      <c r="O367" s="362" t="n"/>
      <c r="P367" s="362" t="n"/>
      <c r="T367" s="362" t="n"/>
      <c r="U367" s="362" t="n"/>
      <c r="V367" s="362" t="n"/>
      <c r="W367" s="362" t="n"/>
      <c r="X367" s="362" t="n"/>
      <c r="Y367" s="362" t="n"/>
    </row>
    <row r="368">
      <c r="B368" s="430" t="n"/>
      <c r="C368" s="430" t="n"/>
      <c r="D368" s="430" t="n"/>
      <c r="E368" s="430" t="n"/>
      <c r="F368" s="430" t="n"/>
      <c r="G368" s="430" t="n"/>
      <c r="H368" s="362" t="n"/>
      <c r="I368" s="362" t="n"/>
      <c r="K368" s="362" t="n"/>
      <c r="L368" s="362" t="n"/>
      <c r="M368" s="362" t="n"/>
      <c r="N368" s="362" t="n"/>
      <c r="O368" s="362" t="n"/>
      <c r="P368" s="362" t="n"/>
      <c r="T368" s="362" t="n"/>
      <c r="U368" s="362" t="n"/>
      <c r="V368" s="362" t="n"/>
      <c r="W368" s="362" t="n"/>
      <c r="X368" s="362" t="n"/>
      <c r="Y368" s="362" t="n"/>
    </row>
    <row r="369">
      <c r="B369" s="430" t="n"/>
      <c r="C369" s="430" t="n"/>
      <c r="D369" s="430" t="n"/>
      <c r="E369" s="430" t="n"/>
      <c r="F369" s="430" t="n"/>
      <c r="G369" s="430" t="n"/>
      <c r="H369" s="362" t="n"/>
      <c r="I369" s="362" t="n"/>
      <c r="K369" s="362" t="n"/>
      <c r="L369" s="362" t="n"/>
      <c r="M369" s="362" t="n"/>
      <c r="N369" s="362" t="n"/>
      <c r="O369" s="362" t="n"/>
      <c r="P369" s="362" t="n"/>
      <c r="T369" s="362" t="n"/>
      <c r="U369" s="362" t="n"/>
      <c r="V369" s="362" t="n"/>
      <c r="W369" s="362" t="n"/>
      <c r="X369" s="362" t="n"/>
      <c r="Y369" s="362" t="n"/>
    </row>
    <row r="370">
      <c r="B370" s="430" t="n"/>
      <c r="C370" s="430" t="n"/>
      <c r="D370" s="430" t="n"/>
      <c r="E370" s="430" t="n"/>
      <c r="F370" s="430" t="n"/>
      <c r="G370" s="430" t="n"/>
      <c r="H370" s="362" t="n"/>
      <c r="I370" s="362" t="n"/>
      <c r="K370" s="362" t="n"/>
      <c r="L370" s="362" t="n"/>
      <c r="M370" s="362" t="n"/>
      <c r="N370" s="362" t="n"/>
      <c r="O370" s="362" t="n"/>
      <c r="P370" s="362" t="n"/>
      <c r="T370" s="362" t="n"/>
      <c r="U370" s="362" t="n"/>
      <c r="V370" s="362" t="n"/>
      <c r="W370" s="362" t="n"/>
      <c r="X370" s="362" t="n"/>
      <c r="Y370" s="362" t="n"/>
    </row>
    <row r="371">
      <c r="B371" s="430" t="n"/>
      <c r="C371" s="430" t="n"/>
      <c r="D371" s="430" t="n"/>
      <c r="E371" s="430" t="n"/>
      <c r="F371" s="430" t="n"/>
      <c r="G371" s="430" t="n"/>
      <c r="H371" s="362" t="n"/>
      <c r="I371" s="362" t="n"/>
      <c r="K371" s="362" t="n"/>
      <c r="L371" s="362" t="n"/>
      <c r="M371" s="362" t="n"/>
      <c r="N371" s="362" t="n"/>
      <c r="O371" s="362" t="n"/>
      <c r="P371" s="362" t="n"/>
      <c r="T371" s="362" t="n"/>
      <c r="U371" s="362" t="n"/>
      <c r="V371" s="362" t="n"/>
      <c r="W371" s="362" t="n"/>
      <c r="X371" s="362" t="n"/>
      <c r="Y371" s="362" t="n"/>
    </row>
    <row r="372">
      <c r="B372" s="430" t="n"/>
      <c r="C372" s="430" t="n"/>
      <c r="D372" s="430" t="n"/>
      <c r="E372" s="430" t="n"/>
      <c r="F372" s="430" t="n"/>
      <c r="G372" s="430" t="n"/>
      <c r="H372" s="362" t="n"/>
      <c r="I372" s="362" t="n"/>
      <c r="K372" s="362" t="n"/>
      <c r="L372" s="362" t="n"/>
      <c r="M372" s="362" t="n"/>
      <c r="N372" s="362" t="n"/>
      <c r="O372" s="362" t="n"/>
      <c r="P372" s="362" t="n"/>
      <c r="T372" s="362" t="n"/>
      <c r="U372" s="362" t="n"/>
      <c r="V372" s="362" t="n"/>
      <c r="W372" s="362" t="n"/>
      <c r="X372" s="362" t="n"/>
      <c r="Y372" s="362" t="n"/>
    </row>
    <row r="373">
      <c r="B373" s="430" t="n"/>
      <c r="C373" s="430" t="n"/>
      <c r="D373" s="430" t="n"/>
      <c r="E373" s="430" t="n"/>
      <c r="F373" s="430" t="n"/>
      <c r="G373" s="430" t="n"/>
      <c r="H373" s="362" t="n"/>
      <c r="I373" s="362" t="n"/>
      <c r="K373" s="362" t="n"/>
      <c r="L373" s="362" t="n"/>
      <c r="M373" s="362" t="n"/>
      <c r="N373" s="362" t="n"/>
      <c r="O373" s="362" t="n"/>
      <c r="P373" s="362" t="n"/>
      <c r="T373" s="362" t="n"/>
      <c r="U373" s="362" t="n"/>
      <c r="V373" s="362" t="n"/>
      <c r="W373" s="362" t="n"/>
      <c r="X373" s="362" t="n"/>
      <c r="Y373" s="362" t="n"/>
    </row>
    <row r="374">
      <c r="B374" s="430" t="n"/>
      <c r="C374" s="430" t="n"/>
      <c r="D374" s="430" t="n"/>
      <c r="E374" s="430" t="n"/>
      <c r="F374" s="430" t="n"/>
      <c r="G374" s="430" t="n"/>
      <c r="H374" s="362" t="n"/>
      <c r="I374" s="362" t="n"/>
      <c r="K374" s="362" t="n"/>
      <c r="L374" s="362" t="n"/>
      <c r="M374" s="362" t="n"/>
      <c r="N374" s="362" t="n"/>
      <c r="O374" s="362" t="n"/>
      <c r="P374" s="362" t="n"/>
      <c r="T374" s="362" t="n"/>
      <c r="U374" s="362" t="n"/>
      <c r="V374" s="362" t="n"/>
      <c r="W374" s="362" t="n"/>
      <c r="X374" s="362" t="n"/>
      <c r="Y374" s="362" t="n"/>
    </row>
    <row r="375">
      <c r="B375" s="430" t="n"/>
      <c r="C375" s="430" t="n"/>
      <c r="D375" s="430" t="n"/>
      <c r="E375" s="430" t="n"/>
      <c r="F375" s="430" t="n"/>
      <c r="G375" s="430" t="n"/>
      <c r="H375" s="362" t="n"/>
      <c r="I375" s="362" t="n"/>
      <c r="K375" s="362" t="n"/>
      <c r="L375" s="362" t="n"/>
      <c r="M375" s="362" t="n"/>
      <c r="N375" s="362" t="n"/>
      <c r="O375" s="362" t="n"/>
      <c r="P375" s="362" t="n"/>
      <c r="T375" s="362" t="n"/>
      <c r="U375" s="362" t="n"/>
      <c r="V375" s="362" t="n"/>
      <c r="W375" s="362" t="n"/>
      <c r="X375" s="362" t="n"/>
      <c r="Y375" s="362" t="n"/>
    </row>
    <row r="376">
      <c r="B376" s="430" t="n"/>
      <c r="C376" s="430" t="n"/>
      <c r="D376" s="430" t="n"/>
      <c r="E376" s="430" t="n"/>
      <c r="F376" s="430" t="n"/>
      <c r="G376" s="430" t="n"/>
      <c r="H376" s="362" t="n"/>
      <c r="I376" s="362" t="n"/>
      <c r="K376" s="362" t="n"/>
      <c r="L376" s="362" t="n"/>
      <c r="M376" s="362" t="n"/>
      <c r="N376" s="362" t="n"/>
      <c r="O376" s="362" t="n"/>
      <c r="P376" s="362" t="n"/>
      <c r="T376" s="362" t="n"/>
      <c r="U376" s="362" t="n"/>
      <c r="V376" s="362" t="n"/>
      <c r="W376" s="362" t="n"/>
      <c r="X376" s="362" t="n"/>
      <c r="Y376" s="362" t="n"/>
    </row>
    <row r="377">
      <c r="B377" s="430" t="n"/>
      <c r="C377" s="430" t="n"/>
      <c r="D377" s="430" t="n"/>
      <c r="E377" s="430" t="n"/>
      <c r="F377" s="430" t="n"/>
      <c r="G377" s="430" t="n"/>
      <c r="H377" s="362" t="n"/>
      <c r="I377" s="362" t="n"/>
      <c r="K377" s="362" t="n"/>
      <c r="L377" s="362" t="n"/>
      <c r="M377" s="362" t="n"/>
      <c r="N377" s="362" t="n"/>
      <c r="O377" s="362" t="n"/>
      <c r="P377" s="362" t="n"/>
      <c r="T377" s="362" t="n"/>
      <c r="U377" s="362" t="n"/>
      <c r="V377" s="362" t="n"/>
      <c r="W377" s="362" t="n"/>
      <c r="X377" s="362" t="n"/>
      <c r="Y377" s="362" t="n"/>
    </row>
    <row r="378">
      <c r="B378" s="430" t="n"/>
      <c r="C378" s="430" t="n"/>
      <c r="D378" s="430" t="n"/>
      <c r="E378" s="430" t="n"/>
      <c r="F378" s="430" t="n"/>
      <c r="G378" s="430" t="n"/>
      <c r="H378" s="362" t="n"/>
      <c r="I378" s="362" t="n"/>
      <c r="K378" s="362" t="n"/>
      <c r="L378" s="362" t="n"/>
      <c r="M378" s="362" t="n"/>
      <c r="N378" s="362" t="n"/>
      <c r="O378" s="362" t="n"/>
      <c r="P378" s="362" t="n"/>
      <c r="T378" s="362" t="n"/>
      <c r="U378" s="362" t="n"/>
      <c r="V378" s="362" t="n"/>
      <c r="W378" s="362" t="n"/>
      <c r="X378" s="362" t="n"/>
      <c r="Y378" s="362" t="n"/>
    </row>
    <row r="379">
      <c r="B379" s="430" t="n"/>
      <c r="C379" s="430" t="n"/>
      <c r="D379" s="430" t="n"/>
      <c r="E379" s="430" t="n"/>
      <c r="F379" s="430" t="n"/>
      <c r="G379" s="430" t="n"/>
      <c r="H379" s="362" t="n"/>
      <c r="I379" s="362" t="n"/>
      <c r="K379" s="362" t="n"/>
      <c r="L379" s="362" t="n"/>
      <c r="M379" s="362" t="n"/>
      <c r="N379" s="362" t="n"/>
      <c r="O379" s="362" t="n"/>
      <c r="P379" s="362" t="n"/>
      <c r="T379" s="362" t="n"/>
      <c r="U379" s="362" t="n"/>
      <c r="V379" s="362" t="n"/>
      <c r="W379" s="362" t="n"/>
      <c r="X379" s="362" t="n"/>
      <c r="Y379" s="362" t="n"/>
    </row>
    <row r="380">
      <c r="B380" s="430" t="n"/>
      <c r="C380" s="430" t="n"/>
      <c r="D380" s="430" t="n"/>
      <c r="E380" s="430" t="n"/>
      <c r="F380" s="430" t="n"/>
      <c r="G380" s="430" t="n"/>
      <c r="H380" s="362" t="n"/>
      <c r="I380" s="362" t="n"/>
      <c r="K380" s="362" t="n"/>
      <c r="L380" s="362" t="n"/>
      <c r="M380" s="362" t="n"/>
      <c r="N380" s="362" t="n"/>
      <c r="O380" s="362" t="n"/>
      <c r="P380" s="362" t="n"/>
      <c r="T380" s="362" t="n"/>
      <c r="U380" s="362" t="n"/>
      <c r="V380" s="362" t="n"/>
      <c r="W380" s="362" t="n"/>
      <c r="X380" s="362" t="n"/>
      <c r="Y380" s="362" t="n"/>
    </row>
    <row r="381">
      <c r="B381" s="430" t="n"/>
      <c r="C381" s="430" t="n"/>
      <c r="D381" s="430" t="n"/>
      <c r="E381" s="430" t="n"/>
      <c r="F381" s="430" t="n"/>
      <c r="G381" s="430" t="n"/>
      <c r="H381" s="362" t="n"/>
      <c r="I381" s="362" t="n"/>
      <c r="K381" s="362" t="n"/>
      <c r="L381" s="362" t="n"/>
      <c r="M381" s="362" t="n"/>
      <c r="N381" s="362" t="n"/>
      <c r="O381" s="362" t="n"/>
      <c r="P381" s="362" t="n"/>
      <c r="T381" s="362" t="n"/>
      <c r="U381" s="362" t="n"/>
      <c r="V381" s="362" t="n"/>
      <c r="W381" s="362" t="n"/>
      <c r="X381" s="362" t="n"/>
      <c r="Y381" s="362" t="n"/>
    </row>
    <row r="382">
      <c r="B382" s="430" t="n"/>
      <c r="C382" s="430" t="n"/>
      <c r="D382" s="430" t="n"/>
      <c r="E382" s="430" t="n"/>
      <c r="F382" s="430" t="n"/>
      <c r="G382" s="430" t="n"/>
      <c r="H382" s="362" t="n"/>
      <c r="I382" s="362" t="n"/>
      <c r="K382" s="362" t="n"/>
      <c r="L382" s="362" t="n"/>
      <c r="M382" s="362" t="n"/>
      <c r="N382" s="362" t="n"/>
      <c r="O382" s="362" t="n"/>
      <c r="P382" s="362" t="n"/>
      <c r="T382" s="362" t="n"/>
      <c r="U382" s="362" t="n"/>
      <c r="V382" s="362" t="n"/>
      <c r="W382" s="362" t="n"/>
      <c r="X382" s="362" t="n"/>
      <c r="Y382" s="362" t="n"/>
    </row>
    <row r="383">
      <c r="B383" s="430" t="n"/>
      <c r="C383" s="430" t="n"/>
      <c r="D383" s="430" t="n"/>
      <c r="E383" s="430" t="n"/>
      <c r="F383" s="430" t="n"/>
      <c r="G383" s="430" t="n"/>
      <c r="H383" s="362" t="n"/>
      <c r="I383" s="362" t="n"/>
      <c r="K383" s="362" t="n"/>
      <c r="L383" s="362" t="n"/>
      <c r="M383" s="362" t="n"/>
      <c r="N383" s="362" t="n"/>
      <c r="O383" s="362" t="n"/>
      <c r="P383" s="362" t="n"/>
      <c r="T383" s="362" t="n"/>
      <c r="U383" s="362" t="n"/>
      <c r="V383" s="362" t="n"/>
      <c r="W383" s="362" t="n"/>
      <c r="X383" s="362" t="n"/>
      <c r="Y383" s="362" t="n"/>
    </row>
    <row r="384">
      <c r="B384" s="430" t="n"/>
      <c r="C384" s="430" t="n"/>
      <c r="D384" s="430" t="n"/>
      <c r="E384" s="430" t="n"/>
      <c r="F384" s="430" t="n"/>
      <c r="G384" s="430" t="n"/>
      <c r="H384" s="362" t="n"/>
      <c r="I384" s="362" t="n"/>
      <c r="K384" s="362" t="n"/>
      <c r="L384" s="362" t="n"/>
      <c r="M384" s="362" t="n"/>
      <c r="N384" s="362" t="n"/>
      <c r="O384" s="362" t="n"/>
      <c r="P384" s="362" t="n"/>
      <c r="T384" s="362" t="n"/>
      <c r="U384" s="362" t="n"/>
      <c r="V384" s="362" t="n"/>
      <c r="W384" s="362" t="n"/>
      <c r="X384" s="362" t="n"/>
      <c r="Y384" s="362" t="n"/>
    </row>
    <row r="385">
      <c r="B385" s="430" t="n"/>
      <c r="C385" s="430" t="n"/>
      <c r="D385" s="430" t="n"/>
      <c r="E385" s="430" t="n"/>
      <c r="F385" s="430" t="n"/>
      <c r="G385" s="430" t="n"/>
      <c r="H385" s="362" t="n"/>
      <c r="I385" s="362" t="n"/>
      <c r="K385" s="362" t="n"/>
      <c r="L385" s="362" t="n"/>
      <c r="M385" s="362" t="n"/>
      <c r="N385" s="362" t="n"/>
      <c r="O385" s="362" t="n"/>
      <c r="P385" s="362" t="n"/>
      <c r="T385" s="362" t="n"/>
      <c r="U385" s="362" t="n"/>
      <c r="V385" s="362" t="n"/>
      <c r="W385" s="362" t="n"/>
      <c r="X385" s="362" t="n"/>
      <c r="Y385" s="362" t="n"/>
    </row>
    <row r="386">
      <c r="B386" s="430" t="n"/>
      <c r="C386" s="430" t="n"/>
      <c r="D386" s="430" t="n"/>
      <c r="E386" s="430" t="n"/>
      <c r="F386" s="430" t="n"/>
      <c r="G386" s="430" t="n"/>
      <c r="H386" s="362" t="n"/>
      <c r="I386" s="362" t="n"/>
      <c r="K386" s="362" t="n"/>
      <c r="L386" s="362" t="n"/>
      <c r="M386" s="362" t="n"/>
      <c r="N386" s="362" t="n"/>
      <c r="O386" s="362" t="n"/>
      <c r="P386" s="362" t="n"/>
      <c r="T386" s="362" t="n"/>
      <c r="U386" s="362" t="n"/>
      <c r="V386" s="362" t="n"/>
      <c r="W386" s="362" t="n"/>
      <c r="X386" s="362" t="n"/>
      <c r="Y386" s="362" t="n"/>
    </row>
    <row r="387">
      <c r="B387" s="430" t="n"/>
      <c r="C387" s="430" t="n"/>
      <c r="D387" s="430" t="n"/>
      <c r="E387" s="430" t="n"/>
      <c r="F387" s="430" t="n"/>
      <c r="G387" s="430" t="n"/>
      <c r="H387" s="362" t="n"/>
      <c r="I387" s="362" t="n"/>
      <c r="K387" s="362" t="n"/>
      <c r="L387" s="362" t="n"/>
      <c r="M387" s="362" t="n"/>
      <c r="N387" s="362" t="n"/>
      <c r="O387" s="362" t="n"/>
      <c r="P387" s="362" t="n"/>
      <c r="T387" s="362" t="n"/>
      <c r="U387" s="362" t="n"/>
      <c r="V387" s="362" t="n"/>
      <c r="W387" s="362" t="n"/>
      <c r="X387" s="362" t="n"/>
      <c r="Y387" s="362" t="n"/>
    </row>
    <row r="388">
      <c r="B388" s="430" t="n"/>
      <c r="C388" s="430" t="n"/>
      <c r="D388" s="430" t="n"/>
      <c r="E388" s="430" t="n"/>
      <c r="F388" s="430" t="n"/>
      <c r="G388" s="430" t="n"/>
      <c r="H388" s="362" t="n"/>
      <c r="I388" s="362" t="n"/>
      <c r="K388" s="362" t="n"/>
      <c r="L388" s="362" t="n"/>
      <c r="M388" s="362" t="n"/>
      <c r="N388" s="362" t="n"/>
      <c r="O388" s="362" t="n"/>
      <c r="P388" s="362" t="n"/>
      <c r="T388" s="362" t="n"/>
      <c r="U388" s="362" t="n"/>
      <c r="V388" s="362" t="n"/>
      <c r="W388" s="362" t="n"/>
      <c r="X388" s="362" t="n"/>
      <c r="Y388" s="362" t="n"/>
    </row>
    <row r="389">
      <c r="B389" s="430" t="n"/>
      <c r="C389" s="430" t="n"/>
      <c r="D389" s="430" t="n"/>
      <c r="E389" s="430" t="n"/>
      <c r="F389" s="430" t="n"/>
      <c r="G389" s="430" t="n"/>
      <c r="H389" s="362" t="n"/>
      <c r="I389" s="362" t="n"/>
      <c r="K389" s="362" t="n"/>
      <c r="L389" s="362" t="n"/>
      <c r="M389" s="362" t="n"/>
      <c r="N389" s="362" t="n"/>
      <c r="O389" s="362" t="n"/>
      <c r="P389" s="362" t="n"/>
      <c r="T389" s="362" t="n"/>
      <c r="U389" s="362" t="n"/>
      <c r="V389" s="362" t="n"/>
      <c r="W389" s="362" t="n"/>
      <c r="X389" s="362" t="n"/>
      <c r="Y389" s="362" t="n"/>
    </row>
    <row r="390">
      <c r="B390" s="430" t="n"/>
      <c r="C390" s="430" t="n"/>
      <c r="D390" s="430" t="n"/>
      <c r="E390" s="430" t="n"/>
      <c r="F390" s="430" t="n"/>
      <c r="G390" s="430" t="n"/>
      <c r="H390" s="362" t="n"/>
      <c r="I390" s="362" t="n"/>
      <c r="K390" s="362" t="n"/>
      <c r="L390" s="362" t="n"/>
      <c r="M390" s="362" t="n"/>
      <c r="N390" s="362" t="n"/>
      <c r="O390" s="362" t="n"/>
      <c r="P390" s="362" t="n"/>
      <c r="T390" s="362" t="n"/>
      <c r="U390" s="362" t="n"/>
      <c r="V390" s="362" t="n"/>
      <c r="W390" s="362" t="n"/>
      <c r="X390" s="362" t="n"/>
      <c r="Y390" s="362" t="n"/>
    </row>
    <row r="391">
      <c r="B391" s="430" t="n"/>
      <c r="C391" s="430" t="n"/>
      <c r="D391" s="430" t="n"/>
      <c r="E391" s="430" t="n"/>
      <c r="F391" s="430" t="n"/>
      <c r="G391" s="430" t="n"/>
      <c r="H391" s="362" t="n"/>
      <c r="I391" s="362" t="n"/>
      <c r="K391" s="362" t="n"/>
      <c r="L391" s="362" t="n"/>
      <c r="M391" s="362" t="n"/>
      <c r="N391" s="362" t="n"/>
      <c r="O391" s="362" t="n"/>
      <c r="P391" s="362" t="n"/>
      <c r="T391" s="362" t="n"/>
      <c r="U391" s="362" t="n"/>
      <c r="V391" s="362" t="n"/>
      <c r="W391" s="362" t="n"/>
      <c r="X391" s="362" t="n"/>
      <c r="Y391" s="362" t="n"/>
    </row>
    <row r="392">
      <c r="B392" s="430" t="n"/>
      <c r="C392" s="430" t="n"/>
      <c r="D392" s="430" t="n"/>
      <c r="E392" s="430" t="n"/>
      <c r="F392" s="430" t="n"/>
      <c r="G392" s="430" t="n"/>
      <c r="H392" s="362" t="n"/>
      <c r="I392" s="362" t="n"/>
      <c r="K392" s="362" t="n"/>
      <c r="L392" s="362" t="n"/>
      <c r="M392" s="362" t="n"/>
      <c r="N392" s="362" t="n"/>
      <c r="O392" s="362" t="n"/>
      <c r="P392" s="362" t="n"/>
      <c r="T392" s="362" t="n"/>
      <c r="U392" s="362" t="n"/>
      <c r="V392" s="362" t="n"/>
      <c r="W392" s="362" t="n"/>
      <c r="X392" s="362" t="n"/>
      <c r="Y392" s="362" t="n"/>
    </row>
    <row r="393">
      <c r="B393" s="430" t="n"/>
      <c r="C393" s="430" t="n"/>
      <c r="D393" s="430" t="n"/>
      <c r="E393" s="430" t="n"/>
      <c r="F393" s="430" t="n"/>
      <c r="G393" s="430" t="n"/>
      <c r="H393" s="362" t="n"/>
      <c r="I393" s="362" t="n"/>
      <c r="K393" s="362" t="n"/>
      <c r="L393" s="362" t="n"/>
      <c r="M393" s="362" t="n"/>
      <c r="N393" s="362" t="n"/>
      <c r="O393" s="362" t="n"/>
      <c r="P393" s="362" t="n"/>
      <c r="T393" s="362" t="n"/>
      <c r="U393" s="362" t="n"/>
      <c r="V393" s="362" t="n"/>
      <c r="W393" s="362" t="n"/>
      <c r="X393" s="362" t="n"/>
      <c r="Y393" s="362" t="n"/>
    </row>
    <row r="394">
      <c r="B394" s="430" t="n"/>
      <c r="C394" s="430" t="n"/>
      <c r="D394" s="430" t="n"/>
      <c r="E394" s="430" t="n"/>
      <c r="F394" s="430" t="n"/>
      <c r="G394" s="430" t="n"/>
      <c r="H394" s="362" t="n"/>
      <c r="I394" s="362" t="n"/>
      <c r="K394" s="362" t="n"/>
      <c r="L394" s="362" t="n"/>
      <c r="M394" s="362" t="n"/>
      <c r="N394" s="362" t="n"/>
      <c r="O394" s="362" t="n"/>
      <c r="P394" s="362" t="n"/>
      <c r="T394" s="362" t="n"/>
      <c r="U394" s="362" t="n"/>
      <c r="V394" s="362" t="n"/>
      <c r="W394" s="362" t="n"/>
      <c r="X394" s="362" t="n"/>
      <c r="Y394" s="362" t="n"/>
    </row>
    <row r="395">
      <c r="B395" s="430" t="n"/>
      <c r="C395" s="430" t="n"/>
      <c r="D395" s="430" t="n"/>
      <c r="E395" s="430" t="n"/>
      <c r="F395" s="430" t="n"/>
      <c r="G395" s="430" t="n"/>
      <c r="H395" s="362" t="n"/>
      <c r="I395" s="362" t="n"/>
      <c r="K395" s="362" t="n"/>
      <c r="L395" s="362" t="n"/>
      <c r="M395" s="362" t="n"/>
      <c r="N395" s="362" t="n"/>
      <c r="O395" s="362" t="n"/>
      <c r="P395" s="362" t="n"/>
      <c r="T395" s="362" t="n"/>
      <c r="U395" s="362" t="n"/>
      <c r="V395" s="362" t="n"/>
      <c r="W395" s="362" t="n"/>
      <c r="X395" s="362" t="n"/>
      <c r="Y395" s="362" t="n"/>
    </row>
    <row r="396">
      <c r="B396" s="430" t="n"/>
      <c r="C396" s="430" t="n"/>
      <c r="D396" s="430" t="n"/>
      <c r="E396" s="430" t="n"/>
      <c r="F396" s="430" t="n"/>
      <c r="G396" s="430" t="n"/>
      <c r="H396" s="362" t="n"/>
      <c r="I396" s="362" t="n"/>
      <c r="K396" s="362" t="n"/>
      <c r="L396" s="362" t="n"/>
      <c r="M396" s="362" t="n"/>
      <c r="N396" s="362" t="n"/>
      <c r="O396" s="362" t="n"/>
      <c r="P396" s="362" t="n"/>
      <c r="T396" s="362" t="n"/>
      <c r="U396" s="362" t="n"/>
      <c r="V396" s="362" t="n"/>
      <c r="W396" s="362" t="n"/>
      <c r="X396" s="362" t="n"/>
      <c r="Y396" s="362" t="n"/>
    </row>
    <row r="397">
      <c r="B397" s="430" t="n"/>
      <c r="C397" s="430" t="n"/>
      <c r="D397" s="430" t="n"/>
      <c r="E397" s="430" t="n"/>
      <c r="F397" s="430" t="n"/>
      <c r="G397" s="430" t="n"/>
      <c r="H397" s="362" t="n"/>
      <c r="I397" s="362" t="n"/>
      <c r="K397" s="362" t="n"/>
      <c r="L397" s="362" t="n"/>
      <c r="M397" s="362" t="n"/>
      <c r="N397" s="362" t="n"/>
      <c r="O397" s="362" t="n"/>
      <c r="P397" s="362" t="n"/>
      <c r="T397" s="362" t="n"/>
      <c r="U397" s="362" t="n"/>
      <c r="V397" s="362" t="n"/>
      <c r="W397" s="362" t="n"/>
      <c r="X397" s="362" t="n"/>
      <c r="Y397" s="362" t="n"/>
    </row>
    <row r="398">
      <c r="B398" s="430" t="n"/>
      <c r="C398" s="430" t="n"/>
      <c r="D398" s="430" t="n"/>
      <c r="E398" s="430" t="n"/>
      <c r="F398" s="430" t="n"/>
      <c r="G398" s="430" t="n"/>
      <c r="H398" s="362" t="n"/>
      <c r="I398" s="362" t="n"/>
      <c r="K398" s="362" t="n"/>
      <c r="L398" s="362" t="n"/>
      <c r="M398" s="362" t="n"/>
      <c r="N398" s="362" t="n"/>
      <c r="O398" s="362" t="n"/>
      <c r="P398" s="362" t="n"/>
      <c r="T398" s="362" t="n"/>
      <c r="U398" s="362" t="n"/>
      <c r="V398" s="362" t="n"/>
      <c r="W398" s="362" t="n"/>
      <c r="X398" s="362" t="n"/>
      <c r="Y398" s="362" t="n"/>
    </row>
    <row r="399">
      <c r="B399" s="430" t="n"/>
      <c r="C399" s="430" t="n"/>
      <c r="D399" s="430" t="n"/>
      <c r="E399" s="430" t="n"/>
      <c r="F399" s="430" t="n"/>
      <c r="G399" s="430" t="n"/>
      <c r="H399" s="362" t="n"/>
      <c r="I399" s="362" t="n"/>
      <c r="K399" s="362" t="n"/>
      <c r="L399" s="362" t="n"/>
      <c r="M399" s="362" t="n"/>
      <c r="N399" s="362" t="n"/>
      <c r="O399" s="362" t="n"/>
      <c r="P399" s="362" t="n"/>
      <c r="T399" s="362" t="n"/>
      <c r="U399" s="362" t="n"/>
      <c r="V399" s="362" t="n"/>
      <c r="W399" s="362" t="n"/>
      <c r="X399" s="362" t="n"/>
      <c r="Y399" s="362" t="n"/>
    </row>
    <row r="400">
      <c r="B400" s="430" t="n"/>
      <c r="C400" s="430" t="n"/>
      <c r="D400" s="430" t="n"/>
      <c r="E400" s="430" t="n"/>
      <c r="F400" s="430" t="n"/>
      <c r="G400" s="430" t="n"/>
      <c r="H400" s="362" t="n"/>
      <c r="I400" s="362" t="n"/>
      <c r="K400" s="362" t="n"/>
      <c r="L400" s="362" t="n"/>
      <c r="M400" s="362" t="n"/>
      <c r="N400" s="362" t="n"/>
      <c r="O400" s="362" t="n"/>
      <c r="P400" s="362" t="n"/>
      <c r="T400" s="362" t="n"/>
      <c r="U400" s="362" t="n"/>
      <c r="V400" s="362" t="n"/>
      <c r="W400" s="362" t="n"/>
      <c r="X400" s="362" t="n"/>
      <c r="Y400" s="362" t="n"/>
    </row>
    <row r="401">
      <c r="B401" s="430" t="n"/>
      <c r="C401" s="430" t="n"/>
      <c r="D401" s="430" t="n"/>
      <c r="E401" s="430" t="n"/>
      <c r="F401" s="430" t="n"/>
      <c r="G401" s="430" t="n"/>
      <c r="H401" s="362" t="n"/>
      <c r="I401" s="362" t="n"/>
      <c r="K401" s="362" t="n"/>
      <c r="L401" s="362" t="n"/>
      <c r="M401" s="362" t="n"/>
      <c r="N401" s="362" t="n"/>
      <c r="O401" s="362" t="n"/>
      <c r="P401" s="362" t="n"/>
      <c r="T401" s="362" t="n"/>
      <c r="U401" s="362" t="n"/>
      <c r="V401" s="362" t="n"/>
      <c r="W401" s="362" t="n"/>
      <c r="X401" s="362" t="n"/>
      <c r="Y401" s="362" t="n"/>
    </row>
    <row r="402">
      <c r="B402" s="430" t="n"/>
      <c r="C402" s="430" t="n"/>
      <c r="D402" s="430" t="n"/>
      <c r="E402" s="430" t="n"/>
      <c r="F402" s="430" t="n"/>
      <c r="G402" s="430" t="n"/>
      <c r="H402" s="362" t="n"/>
      <c r="I402" s="362" t="n"/>
      <c r="K402" s="362" t="n"/>
      <c r="L402" s="362" t="n"/>
      <c r="M402" s="362" t="n"/>
      <c r="N402" s="362" t="n"/>
      <c r="O402" s="362" t="n"/>
      <c r="P402" s="362" t="n"/>
      <c r="T402" s="362" t="n"/>
      <c r="U402" s="362" t="n"/>
      <c r="V402" s="362" t="n"/>
      <c r="W402" s="362" t="n"/>
      <c r="X402" s="362" t="n"/>
      <c r="Y402" s="362" t="n"/>
    </row>
    <row r="403">
      <c r="B403" s="430" t="n"/>
      <c r="C403" s="430" t="n"/>
      <c r="D403" s="430" t="n"/>
      <c r="E403" s="430" t="n"/>
      <c r="F403" s="430" t="n"/>
      <c r="G403" s="430" t="n"/>
      <c r="H403" s="362" t="n"/>
      <c r="I403" s="362" t="n"/>
      <c r="K403" s="362" t="n"/>
      <c r="L403" s="362" t="n"/>
      <c r="M403" s="362" t="n"/>
      <c r="N403" s="362" t="n"/>
      <c r="O403" s="362" t="n"/>
      <c r="P403" s="362" t="n"/>
      <c r="T403" s="362" t="n"/>
      <c r="U403" s="362" t="n"/>
      <c r="V403" s="362" t="n"/>
      <c r="W403" s="362" t="n"/>
      <c r="X403" s="362" t="n"/>
      <c r="Y403" s="362" t="n"/>
    </row>
    <row r="404">
      <c r="B404" s="430" t="n"/>
      <c r="C404" s="430" t="n"/>
      <c r="D404" s="430" t="n"/>
      <c r="E404" s="430" t="n"/>
      <c r="F404" s="430" t="n"/>
      <c r="G404" s="430" t="n"/>
      <c r="H404" s="362" t="n"/>
      <c r="I404" s="362" t="n"/>
      <c r="K404" s="362" t="n"/>
      <c r="L404" s="362" t="n"/>
      <c r="M404" s="362" t="n"/>
      <c r="N404" s="362" t="n"/>
      <c r="O404" s="362" t="n"/>
      <c r="P404" s="362" t="n"/>
      <c r="T404" s="362" t="n"/>
      <c r="U404" s="362" t="n"/>
      <c r="V404" s="362" t="n"/>
      <c r="W404" s="362" t="n"/>
      <c r="X404" s="362" t="n"/>
      <c r="Y404" s="362" t="n"/>
    </row>
    <row r="405">
      <c r="B405" s="430" t="n"/>
      <c r="C405" s="430" t="n"/>
      <c r="D405" s="430" t="n"/>
      <c r="E405" s="430" t="n"/>
      <c r="F405" s="430" t="n"/>
      <c r="G405" s="430" t="n"/>
      <c r="H405" s="362" t="n"/>
      <c r="I405" s="362" t="n"/>
      <c r="K405" s="362" t="n"/>
      <c r="L405" s="362" t="n"/>
      <c r="M405" s="362" t="n"/>
      <c r="N405" s="362" t="n"/>
      <c r="O405" s="362" t="n"/>
      <c r="P405" s="362" t="n"/>
      <c r="T405" s="362" t="n"/>
      <c r="U405" s="362" t="n"/>
      <c r="V405" s="362" t="n"/>
      <c r="W405" s="362" t="n"/>
      <c r="X405" s="362" t="n"/>
      <c r="Y405" s="362" t="n"/>
    </row>
    <row r="406">
      <c r="B406" s="430" t="n"/>
      <c r="C406" s="430" t="n"/>
      <c r="D406" s="430" t="n"/>
      <c r="E406" s="430" t="n"/>
      <c r="F406" s="430" t="n"/>
      <c r="G406" s="430" t="n"/>
      <c r="H406" s="362" t="n"/>
      <c r="I406" s="362" t="n"/>
      <c r="K406" s="362" t="n"/>
      <c r="L406" s="362" t="n"/>
      <c r="M406" s="362" t="n"/>
      <c r="N406" s="362" t="n"/>
      <c r="O406" s="362" t="n"/>
      <c r="P406" s="362" t="n"/>
      <c r="T406" s="362" t="n"/>
      <c r="U406" s="362" t="n"/>
      <c r="V406" s="362" t="n"/>
      <c r="W406" s="362" t="n"/>
      <c r="X406" s="362" t="n"/>
      <c r="Y406" s="362" t="n"/>
    </row>
    <row r="407">
      <c r="B407" s="430" t="n"/>
      <c r="C407" s="430" t="n"/>
      <c r="D407" s="430" t="n"/>
      <c r="E407" s="430" t="n"/>
      <c r="F407" s="430" t="n"/>
      <c r="G407" s="430" t="n"/>
      <c r="H407" s="362" t="n"/>
      <c r="I407" s="362" t="n"/>
      <c r="K407" s="362" t="n"/>
      <c r="L407" s="362" t="n"/>
      <c r="M407" s="362" t="n"/>
      <c r="N407" s="362" t="n"/>
      <c r="O407" s="362" t="n"/>
      <c r="P407" s="362" t="n"/>
      <c r="T407" s="362" t="n"/>
      <c r="U407" s="362" t="n"/>
      <c r="V407" s="362" t="n"/>
      <c r="W407" s="362" t="n"/>
      <c r="X407" s="362" t="n"/>
      <c r="Y407" s="362" t="n"/>
    </row>
    <row r="408">
      <c r="B408" s="430" t="n"/>
      <c r="C408" s="430" t="n"/>
      <c r="D408" s="430" t="n"/>
      <c r="E408" s="430" t="n"/>
      <c r="F408" s="430" t="n"/>
      <c r="G408" s="430" t="n"/>
      <c r="H408" s="362" t="n"/>
      <c r="I408" s="362" t="n"/>
      <c r="K408" s="362" t="n"/>
      <c r="L408" s="362" t="n"/>
      <c r="M408" s="362" t="n"/>
      <c r="N408" s="362" t="n"/>
      <c r="O408" s="362" t="n"/>
      <c r="P408" s="362" t="n"/>
      <c r="T408" s="362" t="n"/>
      <c r="U408" s="362" t="n"/>
      <c r="V408" s="362" t="n"/>
      <c r="W408" s="362" t="n"/>
      <c r="X408" s="362" t="n"/>
      <c r="Y408" s="362" t="n"/>
    </row>
    <row r="409">
      <c r="B409" s="430" t="n"/>
      <c r="C409" s="430" t="n"/>
      <c r="D409" s="430" t="n"/>
      <c r="E409" s="430" t="n"/>
      <c r="F409" s="430" t="n"/>
      <c r="G409" s="430" t="n"/>
      <c r="H409" s="362" t="n"/>
      <c r="I409" s="362" t="n"/>
      <c r="K409" s="362" t="n"/>
      <c r="L409" s="362" t="n"/>
      <c r="M409" s="362" t="n"/>
      <c r="N409" s="362" t="n"/>
      <c r="O409" s="362" t="n"/>
      <c r="P409" s="362" t="n"/>
      <c r="T409" s="362" t="n"/>
      <c r="U409" s="362" t="n"/>
      <c r="V409" s="362" t="n"/>
      <c r="W409" s="362" t="n"/>
      <c r="X409" s="362" t="n"/>
      <c r="Y409" s="362" t="n"/>
    </row>
    <row r="410">
      <c r="B410" s="430" t="n"/>
      <c r="C410" s="430" t="n"/>
      <c r="D410" s="430" t="n"/>
      <c r="E410" s="430" t="n"/>
      <c r="F410" s="430" t="n"/>
      <c r="G410" s="430" t="n"/>
      <c r="H410" s="362" t="n"/>
      <c r="I410" s="362" t="n"/>
      <c r="K410" s="362" t="n"/>
      <c r="L410" s="362" t="n"/>
      <c r="M410" s="362" t="n"/>
      <c r="N410" s="362" t="n"/>
      <c r="O410" s="362" t="n"/>
      <c r="P410" s="362" t="n"/>
      <c r="T410" s="362" t="n"/>
      <c r="U410" s="362" t="n"/>
      <c r="V410" s="362" t="n"/>
      <c r="W410" s="362" t="n"/>
      <c r="X410" s="362" t="n"/>
      <c r="Y410" s="362" t="n"/>
    </row>
    <row r="411">
      <c r="B411" s="430" t="n"/>
      <c r="C411" s="430" t="n"/>
      <c r="D411" s="430" t="n"/>
      <c r="E411" s="430" t="n"/>
      <c r="F411" s="430" t="n"/>
      <c r="G411" s="430" t="n"/>
      <c r="H411" s="362" t="n"/>
      <c r="I411" s="362" t="n"/>
      <c r="K411" s="362" t="n"/>
      <c r="L411" s="362" t="n"/>
      <c r="M411" s="362" t="n"/>
      <c r="N411" s="362" t="n"/>
      <c r="O411" s="362" t="n"/>
      <c r="P411" s="362" t="n"/>
      <c r="T411" s="362" t="n"/>
      <c r="U411" s="362" t="n"/>
      <c r="V411" s="362" t="n"/>
      <c r="W411" s="362" t="n"/>
      <c r="X411" s="362" t="n"/>
      <c r="Y411" s="362" t="n"/>
    </row>
    <row r="412">
      <c r="B412" s="430" t="n"/>
      <c r="C412" s="430" t="n"/>
      <c r="D412" s="430" t="n"/>
      <c r="E412" s="430" t="n"/>
      <c r="F412" s="430" t="n"/>
      <c r="G412" s="430" t="n"/>
      <c r="H412" s="362" t="n"/>
      <c r="I412" s="362" t="n"/>
      <c r="K412" s="362" t="n"/>
      <c r="L412" s="362" t="n"/>
      <c r="M412" s="362" t="n"/>
      <c r="N412" s="362" t="n"/>
      <c r="O412" s="362" t="n"/>
      <c r="P412" s="362" t="n"/>
      <c r="T412" s="362" t="n"/>
      <c r="U412" s="362" t="n"/>
      <c r="V412" s="362" t="n"/>
      <c r="W412" s="362" t="n"/>
      <c r="X412" s="362" t="n"/>
      <c r="Y412" s="362" t="n"/>
    </row>
    <row r="413">
      <c r="B413" s="430" t="n"/>
      <c r="C413" s="430" t="n"/>
      <c r="D413" s="430" t="n"/>
      <c r="E413" s="430" t="n"/>
      <c r="F413" s="430" t="n"/>
      <c r="G413" s="430" t="n"/>
      <c r="H413" s="362" t="n"/>
      <c r="I413" s="362" t="n"/>
      <c r="K413" s="362" t="n"/>
      <c r="L413" s="362" t="n"/>
      <c r="M413" s="362" t="n"/>
      <c r="N413" s="362" t="n"/>
      <c r="O413" s="362" t="n"/>
      <c r="P413" s="362" t="n"/>
      <c r="T413" s="362" t="n"/>
      <c r="U413" s="362" t="n"/>
      <c r="V413" s="362" t="n"/>
      <c r="W413" s="362" t="n"/>
      <c r="X413" s="362" t="n"/>
      <c r="Y413" s="362" t="n"/>
    </row>
    <row r="414">
      <c r="B414" s="430" t="n"/>
      <c r="C414" s="430" t="n"/>
      <c r="D414" s="430" t="n"/>
      <c r="E414" s="430" t="n"/>
      <c r="F414" s="430" t="n"/>
      <c r="G414" s="430" t="n"/>
      <c r="H414" s="362" t="n"/>
      <c r="I414" s="362" t="n"/>
      <c r="K414" s="362" t="n"/>
      <c r="L414" s="362" t="n"/>
      <c r="M414" s="362" t="n"/>
      <c r="N414" s="362" t="n"/>
      <c r="O414" s="362" t="n"/>
      <c r="P414" s="362" t="n"/>
      <c r="T414" s="362" t="n"/>
      <c r="U414" s="362" t="n"/>
      <c r="V414" s="362" t="n"/>
      <c r="W414" s="362" t="n"/>
      <c r="X414" s="362" t="n"/>
      <c r="Y414" s="362" t="n"/>
    </row>
    <row r="415">
      <c r="B415" s="430" t="n"/>
      <c r="C415" s="430" t="n"/>
      <c r="D415" s="430" t="n"/>
      <c r="E415" s="430" t="n"/>
      <c r="F415" s="430" t="n"/>
      <c r="G415" s="430" t="n"/>
      <c r="H415" s="362" t="n"/>
      <c r="I415" s="362" t="n"/>
      <c r="K415" s="362" t="n"/>
      <c r="L415" s="362" t="n"/>
      <c r="M415" s="362" t="n"/>
      <c r="N415" s="362" t="n"/>
      <c r="O415" s="362" t="n"/>
      <c r="P415" s="362" t="n"/>
      <c r="T415" s="362" t="n"/>
      <c r="U415" s="362" t="n"/>
      <c r="V415" s="362" t="n"/>
      <c r="W415" s="362" t="n"/>
      <c r="X415" s="362" t="n"/>
      <c r="Y415" s="362" t="n"/>
    </row>
    <row r="416">
      <c r="B416" s="430" t="n"/>
      <c r="C416" s="430" t="n"/>
      <c r="D416" s="430" t="n"/>
      <c r="E416" s="430" t="n"/>
      <c r="F416" s="430" t="n"/>
      <c r="G416" s="430" t="n"/>
      <c r="H416" s="362" t="n"/>
      <c r="I416" s="362" t="n"/>
      <c r="K416" s="362" t="n"/>
      <c r="L416" s="362" t="n"/>
      <c r="M416" s="362" t="n"/>
      <c r="N416" s="362" t="n"/>
      <c r="O416" s="362" t="n"/>
      <c r="P416" s="362" t="n"/>
      <c r="T416" s="362" t="n"/>
      <c r="U416" s="362" t="n"/>
      <c r="V416" s="362" t="n"/>
      <c r="W416" s="362" t="n"/>
      <c r="X416" s="362" t="n"/>
      <c r="Y416" s="362" t="n"/>
    </row>
    <row r="417">
      <c r="B417" s="430" t="n"/>
      <c r="C417" s="430" t="n"/>
      <c r="D417" s="430" t="n"/>
      <c r="E417" s="430" t="n"/>
      <c r="F417" s="430" t="n"/>
      <c r="G417" s="430" t="n"/>
      <c r="H417" s="362" t="n"/>
      <c r="I417" s="362" t="n"/>
      <c r="K417" s="362" t="n"/>
      <c r="L417" s="362" t="n"/>
      <c r="M417" s="362" t="n"/>
      <c r="N417" s="362" t="n"/>
      <c r="O417" s="362" t="n"/>
      <c r="P417" s="362" t="n"/>
      <c r="T417" s="362" t="n"/>
      <c r="U417" s="362" t="n"/>
      <c r="V417" s="362" t="n"/>
      <c r="W417" s="362" t="n"/>
      <c r="X417" s="362" t="n"/>
      <c r="Y417" s="362" t="n"/>
    </row>
    <row r="418">
      <c r="B418" s="430" t="n"/>
      <c r="C418" s="430" t="n"/>
      <c r="D418" s="430" t="n"/>
      <c r="E418" s="430" t="n"/>
      <c r="F418" s="430" t="n"/>
      <c r="G418" s="430" t="n"/>
      <c r="H418" s="362" t="n"/>
      <c r="I418" s="362" t="n"/>
      <c r="K418" s="362" t="n"/>
      <c r="L418" s="362" t="n"/>
      <c r="M418" s="362" t="n"/>
      <c r="N418" s="362" t="n"/>
      <c r="O418" s="362" t="n"/>
      <c r="P418" s="362" t="n"/>
      <c r="T418" s="362" t="n"/>
      <c r="U418" s="362" t="n"/>
      <c r="V418" s="362" t="n"/>
      <c r="W418" s="362" t="n"/>
      <c r="X418" s="362" t="n"/>
      <c r="Y418" s="362" t="n"/>
    </row>
    <row r="419">
      <c r="B419" s="430" t="n"/>
      <c r="C419" s="430" t="n"/>
      <c r="D419" s="430" t="n"/>
      <c r="E419" s="430" t="n"/>
      <c r="F419" s="430" t="n"/>
      <c r="G419" s="430" t="n"/>
      <c r="H419" s="362" t="n"/>
      <c r="I419" s="362" t="n"/>
      <c r="K419" s="362" t="n"/>
      <c r="L419" s="362" t="n"/>
      <c r="M419" s="362" t="n"/>
      <c r="N419" s="362" t="n"/>
      <c r="O419" s="362" t="n"/>
      <c r="P419" s="362" t="n"/>
      <c r="T419" s="362" t="n"/>
      <c r="U419" s="362" t="n"/>
      <c r="V419" s="362" t="n"/>
      <c r="W419" s="362" t="n"/>
      <c r="X419" s="362" t="n"/>
      <c r="Y419" s="362" t="n"/>
    </row>
    <row r="420">
      <c r="B420" s="430" t="n"/>
      <c r="C420" s="430" t="n"/>
      <c r="D420" s="430" t="n"/>
      <c r="E420" s="430" t="n"/>
      <c r="F420" s="430" t="n"/>
      <c r="G420" s="430" t="n"/>
      <c r="H420" s="362" t="n"/>
      <c r="I420" s="362" t="n"/>
      <c r="K420" s="362" t="n"/>
      <c r="L420" s="362" t="n"/>
      <c r="M420" s="362" t="n"/>
      <c r="N420" s="362" t="n"/>
      <c r="O420" s="362" t="n"/>
      <c r="P420" s="362" t="n"/>
      <c r="T420" s="362" t="n"/>
      <c r="U420" s="362" t="n"/>
      <c r="V420" s="362" t="n"/>
      <c r="W420" s="362" t="n"/>
      <c r="X420" s="362" t="n"/>
      <c r="Y420" s="362" t="n"/>
    </row>
    <row r="421">
      <c r="B421" s="430" t="n"/>
      <c r="C421" s="430" t="n"/>
      <c r="D421" s="430" t="n"/>
      <c r="E421" s="430" t="n"/>
      <c r="F421" s="430" t="n"/>
      <c r="G421" s="430" t="n"/>
      <c r="H421" s="362" t="n"/>
      <c r="I421" s="362" t="n"/>
      <c r="K421" s="362" t="n"/>
      <c r="L421" s="362" t="n"/>
      <c r="M421" s="362" t="n"/>
      <c r="N421" s="362" t="n"/>
      <c r="O421" s="362" t="n"/>
      <c r="P421" s="362" t="n"/>
      <c r="T421" s="362" t="n"/>
      <c r="U421" s="362" t="n"/>
      <c r="V421" s="362" t="n"/>
      <c r="W421" s="362" t="n"/>
      <c r="X421" s="362" t="n"/>
      <c r="Y421" s="362" t="n"/>
    </row>
    <row r="422">
      <c r="B422" s="430" t="n"/>
      <c r="C422" s="430" t="n"/>
      <c r="D422" s="430" t="n"/>
      <c r="E422" s="430" t="n"/>
      <c r="F422" s="430" t="n"/>
      <c r="G422" s="430" t="n"/>
      <c r="H422" s="362" t="n"/>
      <c r="I422" s="362" t="n"/>
      <c r="K422" s="362" t="n"/>
      <c r="L422" s="362" t="n"/>
      <c r="M422" s="362" t="n"/>
      <c r="N422" s="362" t="n"/>
      <c r="O422" s="362" t="n"/>
      <c r="P422" s="362" t="n"/>
      <c r="T422" s="362" t="n"/>
      <c r="U422" s="362" t="n"/>
      <c r="V422" s="362" t="n"/>
      <c r="W422" s="362" t="n"/>
      <c r="X422" s="362" t="n"/>
      <c r="Y422" s="362" t="n"/>
    </row>
    <row r="423">
      <c r="B423" s="430" t="n"/>
      <c r="C423" s="430" t="n"/>
      <c r="D423" s="430" t="n"/>
      <c r="E423" s="430" t="n"/>
      <c r="F423" s="430" t="n"/>
      <c r="G423" s="430" t="n"/>
      <c r="H423" s="362" t="n"/>
      <c r="I423" s="362" t="n"/>
      <c r="K423" s="362" t="n"/>
      <c r="L423" s="362" t="n"/>
      <c r="M423" s="362" t="n"/>
      <c r="N423" s="362" t="n"/>
      <c r="O423" s="362" t="n"/>
      <c r="P423" s="362" t="n"/>
      <c r="T423" s="362" t="n"/>
      <c r="U423" s="362" t="n"/>
      <c r="V423" s="362" t="n"/>
      <c r="W423" s="362" t="n"/>
      <c r="X423" s="362" t="n"/>
      <c r="Y423" s="362" t="n"/>
    </row>
    <row r="424">
      <c r="B424" s="430" t="n"/>
      <c r="C424" s="430" t="n"/>
      <c r="D424" s="430" t="n"/>
      <c r="E424" s="430" t="n"/>
      <c r="F424" s="430" t="n"/>
      <c r="G424" s="430" t="n"/>
      <c r="H424" s="362" t="n"/>
      <c r="I424" s="362" t="n"/>
      <c r="K424" s="362" t="n"/>
      <c r="L424" s="362" t="n"/>
      <c r="M424" s="362" t="n"/>
      <c r="N424" s="362" t="n"/>
      <c r="O424" s="362" t="n"/>
      <c r="P424" s="362" t="n"/>
      <c r="T424" s="362" t="n"/>
      <c r="U424" s="362" t="n"/>
      <c r="V424" s="362" t="n"/>
      <c r="W424" s="362" t="n"/>
      <c r="X424" s="362" t="n"/>
      <c r="Y424" s="362" t="n"/>
    </row>
    <row r="425">
      <c r="B425" s="430" t="n"/>
      <c r="C425" s="430" t="n"/>
      <c r="D425" s="430" t="n"/>
      <c r="E425" s="430" t="n"/>
      <c r="F425" s="430" t="n"/>
      <c r="G425" s="430" t="n"/>
      <c r="H425" s="362" t="n"/>
      <c r="I425" s="362" t="n"/>
      <c r="K425" s="362" t="n"/>
      <c r="L425" s="362" t="n"/>
      <c r="M425" s="362" t="n"/>
      <c r="N425" s="362" t="n"/>
      <c r="O425" s="362" t="n"/>
      <c r="P425" s="362" t="n"/>
      <c r="T425" s="362" t="n"/>
      <c r="U425" s="362" t="n"/>
      <c r="V425" s="362" t="n"/>
      <c r="W425" s="362" t="n"/>
      <c r="X425" s="362" t="n"/>
      <c r="Y425" s="362" t="n"/>
    </row>
    <row r="426">
      <c r="B426" s="430" t="n"/>
      <c r="C426" s="430" t="n"/>
      <c r="D426" s="430" t="n"/>
      <c r="E426" s="430" t="n"/>
      <c r="F426" s="430" t="n"/>
      <c r="G426" s="430" t="n"/>
      <c r="H426" s="362" t="n"/>
      <c r="I426" s="362" t="n"/>
      <c r="K426" s="362" t="n"/>
      <c r="L426" s="362" t="n"/>
      <c r="M426" s="362" t="n"/>
      <c r="N426" s="362" t="n"/>
      <c r="O426" s="362" t="n"/>
      <c r="P426" s="362" t="n"/>
      <c r="T426" s="362" t="n"/>
      <c r="U426" s="362" t="n"/>
      <c r="V426" s="362" t="n"/>
      <c r="W426" s="362" t="n"/>
      <c r="X426" s="362" t="n"/>
      <c r="Y426" s="362" t="n"/>
    </row>
    <row r="427">
      <c r="B427" s="430" t="n"/>
      <c r="C427" s="430" t="n"/>
      <c r="D427" s="430" t="n"/>
      <c r="E427" s="430" t="n"/>
      <c r="F427" s="430" t="n"/>
      <c r="G427" s="430" t="n"/>
      <c r="H427" s="362" t="n"/>
      <c r="I427" s="362" t="n"/>
      <c r="K427" s="362" t="n"/>
      <c r="L427" s="362" t="n"/>
      <c r="M427" s="362" t="n"/>
      <c r="N427" s="362" t="n"/>
      <c r="O427" s="362" t="n"/>
      <c r="P427" s="362" t="n"/>
      <c r="T427" s="362" t="n"/>
      <c r="U427" s="362" t="n"/>
      <c r="V427" s="362" t="n"/>
      <c r="W427" s="362" t="n"/>
      <c r="X427" s="362" t="n"/>
      <c r="Y427" s="362" t="n"/>
    </row>
    <row r="428">
      <c r="B428" s="430" t="n"/>
      <c r="C428" s="430" t="n"/>
      <c r="D428" s="430" t="n"/>
      <c r="E428" s="430" t="n"/>
      <c r="F428" s="430" t="n"/>
      <c r="G428" s="430" t="n"/>
      <c r="H428" s="362" t="n"/>
      <c r="I428" s="362" t="n"/>
      <c r="K428" s="362" t="n"/>
      <c r="L428" s="362" t="n"/>
      <c r="M428" s="362" t="n"/>
      <c r="N428" s="362" t="n"/>
      <c r="O428" s="362" t="n"/>
      <c r="P428" s="362" t="n"/>
      <c r="T428" s="362" t="n"/>
      <c r="U428" s="362" t="n"/>
      <c r="V428" s="362" t="n"/>
      <c r="W428" s="362" t="n"/>
      <c r="X428" s="362" t="n"/>
      <c r="Y428" s="362" t="n"/>
    </row>
    <row r="429">
      <c r="B429" s="430" t="n"/>
      <c r="C429" s="430" t="n"/>
      <c r="D429" s="430" t="n"/>
      <c r="E429" s="430" t="n"/>
      <c r="F429" s="430" t="n"/>
      <c r="G429" s="430" t="n"/>
      <c r="H429" s="362" t="n"/>
      <c r="I429" s="362" t="n"/>
      <c r="K429" s="362" t="n"/>
      <c r="L429" s="362" t="n"/>
      <c r="M429" s="362" t="n"/>
      <c r="N429" s="362" t="n"/>
      <c r="O429" s="362" t="n"/>
      <c r="P429" s="362" t="n"/>
      <c r="T429" s="362" t="n"/>
      <c r="U429" s="362" t="n"/>
      <c r="V429" s="362" t="n"/>
      <c r="W429" s="362" t="n"/>
      <c r="X429" s="362" t="n"/>
      <c r="Y429" s="362" t="n"/>
    </row>
    <row r="430">
      <c r="B430" s="430" t="n"/>
      <c r="C430" s="430" t="n"/>
      <c r="D430" s="430" t="n"/>
      <c r="E430" s="430" t="n"/>
      <c r="F430" s="430" t="n"/>
      <c r="G430" s="430" t="n"/>
      <c r="H430" s="362" t="n"/>
      <c r="I430" s="362" t="n"/>
      <c r="K430" s="362" t="n"/>
      <c r="L430" s="362" t="n"/>
      <c r="M430" s="362" t="n"/>
      <c r="N430" s="362" t="n"/>
      <c r="O430" s="362" t="n"/>
      <c r="P430" s="362" t="n"/>
      <c r="T430" s="362" t="n"/>
      <c r="U430" s="362" t="n"/>
      <c r="V430" s="362" t="n"/>
      <c r="W430" s="362" t="n"/>
      <c r="X430" s="362" t="n"/>
      <c r="Y430" s="362" t="n"/>
    </row>
    <row r="431">
      <c r="B431" s="430" t="n"/>
      <c r="C431" s="430" t="n"/>
      <c r="D431" s="430" t="n"/>
      <c r="E431" s="430" t="n"/>
      <c r="F431" s="430" t="n"/>
      <c r="G431" s="430" t="n"/>
      <c r="H431" s="362" t="n"/>
      <c r="I431" s="362" t="n"/>
      <c r="K431" s="362" t="n"/>
      <c r="L431" s="362" t="n"/>
      <c r="M431" s="362" t="n"/>
      <c r="N431" s="362" t="n"/>
      <c r="O431" s="362" t="n"/>
      <c r="P431" s="362" t="n"/>
      <c r="T431" s="362" t="n"/>
      <c r="U431" s="362" t="n"/>
      <c r="V431" s="362" t="n"/>
      <c r="W431" s="362" t="n"/>
      <c r="X431" s="362" t="n"/>
      <c r="Y431" s="362" t="n"/>
    </row>
    <row r="432">
      <c r="B432" s="430" t="n"/>
      <c r="C432" s="430" t="n"/>
      <c r="D432" s="430" t="n"/>
      <c r="E432" s="430" t="n"/>
      <c r="F432" s="430" t="n"/>
      <c r="G432" s="430" t="n"/>
      <c r="H432" s="362" t="n"/>
      <c r="I432" s="362" t="n"/>
      <c r="K432" s="362" t="n"/>
      <c r="L432" s="362" t="n"/>
      <c r="M432" s="362" t="n"/>
      <c r="N432" s="362" t="n"/>
      <c r="O432" s="362" t="n"/>
      <c r="P432" s="362" t="n"/>
      <c r="T432" s="362" t="n"/>
      <c r="U432" s="362" t="n"/>
      <c r="V432" s="362" t="n"/>
      <c r="W432" s="362" t="n"/>
      <c r="X432" s="362" t="n"/>
      <c r="Y432" s="362" t="n"/>
    </row>
    <row r="433">
      <c r="B433" s="430" t="n"/>
      <c r="C433" s="430" t="n"/>
      <c r="D433" s="430" t="n"/>
      <c r="E433" s="430" t="n"/>
      <c r="F433" s="430" t="n"/>
      <c r="G433" s="430" t="n"/>
      <c r="H433" s="362" t="n"/>
      <c r="I433" s="362" t="n"/>
      <c r="K433" s="362" t="n"/>
      <c r="L433" s="362" t="n"/>
      <c r="M433" s="362" t="n"/>
      <c r="N433" s="362" t="n"/>
      <c r="O433" s="362" t="n"/>
      <c r="P433" s="362" t="n"/>
      <c r="T433" s="362" t="n"/>
      <c r="U433" s="362" t="n"/>
      <c r="V433" s="362" t="n"/>
      <c r="W433" s="362" t="n"/>
      <c r="X433" s="362" t="n"/>
      <c r="Y433" s="362" t="n"/>
    </row>
    <row r="434">
      <c r="B434" s="430" t="n"/>
      <c r="C434" s="430" t="n"/>
      <c r="D434" s="430" t="n"/>
      <c r="E434" s="430" t="n"/>
      <c r="F434" s="430" t="n"/>
      <c r="G434" s="430" t="n"/>
      <c r="H434" s="362" t="n"/>
      <c r="I434" s="362" t="n"/>
      <c r="K434" s="362" t="n"/>
      <c r="L434" s="362" t="n"/>
      <c r="M434" s="362" t="n"/>
      <c r="N434" s="362" t="n"/>
      <c r="O434" s="362" t="n"/>
      <c r="P434" s="362" t="n"/>
      <c r="T434" s="362" t="n"/>
      <c r="U434" s="362" t="n"/>
      <c r="V434" s="362" t="n"/>
      <c r="W434" s="362" t="n"/>
      <c r="X434" s="362" t="n"/>
      <c r="Y434" s="362" t="n"/>
    </row>
    <row r="435">
      <c r="B435" s="430" t="n"/>
      <c r="C435" s="430" t="n"/>
      <c r="D435" s="430" t="n"/>
      <c r="E435" s="430" t="n"/>
      <c r="F435" s="430" t="n"/>
      <c r="G435" s="430" t="n"/>
      <c r="H435" s="362" t="n"/>
      <c r="I435" s="362" t="n"/>
      <c r="K435" s="362" t="n"/>
      <c r="L435" s="362" t="n"/>
      <c r="M435" s="362" t="n"/>
      <c r="N435" s="362" t="n"/>
      <c r="O435" s="362" t="n"/>
      <c r="P435" s="362" t="n"/>
      <c r="T435" s="362" t="n"/>
      <c r="U435" s="362" t="n"/>
      <c r="V435" s="362" t="n"/>
      <c r="W435" s="362" t="n"/>
      <c r="X435" s="362" t="n"/>
      <c r="Y435" s="362" t="n"/>
    </row>
    <row r="436">
      <c r="B436" s="430" t="n"/>
      <c r="C436" s="430" t="n"/>
      <c r="D436" s="430" t="n"/>
      <c r="E436" s="430" t="n"/>
      <c r="F436" s="430" t="n"/>
      <c r="G436" s="430" t="n"/>
      <c r="H436" s="362" t="n"/>
      <c r="I436" s="362" t="n"/>
      <c r="K436" s="362" t="n"/>
      <c r="L436" s="362" t="n"/>
      <c r="M436" s="362" t="n"/>
      <c r="N436" s="362" t="n"/>
      <c r="O436" s="362" t="n"/>
      <c r="P436" s="362" t="n"/>
      <c r="T436" s="362" t="n"/>
      <c r="U436" s="362" t="n"/>
      <c r="V436" s="362" t="n"/>
      <c r="W436" s="362" t="n"/>
      <c r="X436" s="362" t="n"/>
      <c r="Y436" s="362" t="n"/>
    </row>
    <row r="437">
      <c r="B437" s="430" t="n"/>
      <c r="C437" s="430" t="n"/>
      <c r="D437" s="430" t="n"/>
      <c r="E437" s="430" t="n"/>
      <c r="F437" s="430" t="n"/>
      <c r="G437" s="430" t="n"/>
      <c r="H437" s="362" t="n"/>
      <c r="I437" s="362" t="n"/>
      <c r="K437" s="362" t="n"/>
      <c r="L437" s="362" t="n"/>
      <c r="M437" s="362" t="n"/>
      <c r="N437" s="362" t="n"/>
      <c r="O437" s="362" t="n"/>
      <c r="P437" s="362" t="n"/>
      <c r="T437" s="362" t="n"/>
      <c r="U437" s="362" t="n"/>
      <c r="V437" s="362" t="n"/>
      <c r="W437" s="362" t="n"/>
      <c r="X437" s="362" t="n"/>
      <c r="Y437" s="362" t="n"/>
    </row>
    <row r="438">
      <c r="B438" s="430" t="n"/>
      <c r="C438" s="430" t="n"/>
      <c r="D438" s="430" t="n"/>
      <c r="E438" s="430" t="n"/>
      <c r="F438" s="430" t="n"/>
      <c r="G438" s="430" t="n"/>
      <c r="H438" s="362" t="n"/>
      <c r="I438" s="362" t="n"/>
      <c r="K438" s="362" t="n"/>
      <c r="L438" s="362" t="n"/>
      <c r="M438" s="362" t="n"/>
      <c r="N438" s="362" t="n"/>
      <c r="O438" s="362" t="n"/>
      <c r="P438" s="362" t="n"/>
      <c r="T438" s="362" t="n"/>
      <c r="U438" s="362" t="n"/>
      <c r="V438" s="362" t="n"/>
      <c r="W438" s="362" t="n"/>
      <c r="X438" s="362" t="n"/>
      <c r="Y438" s="362" t="n"/>
    </row>
    <row r="439">
      <c r="B439" s="430" t="n"/>
      <c r="C439" s="430" t="n"/>
      <c r="D439" s="430" t="n"/>
      <c r="E439" s="430" t="n"/>
      <c r="F439" s="430" t="n"/>
      <c r="G439" s="430" t="n"/>
      <c r="H439" s="362" t="n"/>
      <c r="I439" s="362" t="n"/>
      <c r="K439" s="362" t="n"/>
      <c r="L439" s="362" t="n"/>
      <c r="M439" s="362" t="n"/>
      <c r="N439" s="362" t="n"/>
      <c r="O439" s="362" t="n"/>
      <c r="P439" s="362" t="n"/>
      <c r="T439" s="362" t="n"/>
      <c r="U439" s="362" t="n"/>
      <c r="V439" s="362" t="n"/>
      <c r="W439" s="362" t="n"/>
      <c r="X439" s="362" t="n"/>
      <c r="Y439" s="362" t="n"/>
    </row>
    <row r="440">
      <c r="B440" s="430" t="n"/>
      <c r="C440" s="430" t="n"/>
      <c r="D440" s="430" t="n"/>
      <c r="E440" s="430" t="n"/>
      <c r="F440" s="430" t="n"/>
      <c r="G440" s="430" t="n"/>
      <c r="H440" s="362" t="n"/>
      <c r="I440" s="362" t="n"/>
      <c r="K440" s="362" t="n"/>
      <c r="L440" s="362" t="n"/>
      <c r="M440" s="362" t="n"/>
      <c r="N440" s="362" t="n"/>
      <c r="O440" s="362" t="n"/>
      <c r="P440" s="362" t="n"/>
      <c r="T440" s="362" t="n"/>
      <c r="U440" s="362" t="n"/>
      <c r="V440" s="362" t="n"/>
      <c r="W440" s="362" t="n"/>
      <c r="X440" s="362" t="n"/>
      <c r="Y440" s="362" t="n"/>
    </row>
    <row r="441">
      <c r="B441" s="430" t="n"/>
      <c r="C441" s="430" t="n"/>
      <c r="D441" s="430" t="n"/>
      <c r="E441" s="430" t="n"/>
      <c r="F441" s="430" t="n"/>
      <c r="G441" s="430" t="n"/>
      <c r="H441" s="362" t="n"/>
      <c r="I441" s="362" t="n"/>
      <c r="K441" s="362" t="n"/>
      <c r="L441" s="362" t="n"/>
      <c r="M441" s="362" t="n"/>
      <c r="N441" s="362" t="n"/>
      <c r="O441" s="362" t="n"/>
      <c r="P441" s="362" t="n"/>
      <c r="T441" s="362" t="n"/>
      <c r="U441" s="362" t="n"/>
      <c r="V441" s="362" t="n"/>
      <c r="W441" s="362" t="n"/>
      <c r="X441" s="362" t="n"/>
      <c r="Y441" s="362" t="n"/>
    </row>
    <row r="442">
      <c r="B442" s="430" t="n"/>
      <c r="C442" s="430" t="n"/>
      <c r="D442" s="430" t="n"/>
      <c r="E442" s="430" t="n"/>
      <c r="F442" s="430" t="n"/>
      <c r="G442" s="430" t="n"/>
      <c r="H442" s="362" t="n"/>
      <c r="I442" s="362" t="n"/>
      <c r="K442" s="362" t="n"/>
      <c r="L442" s="362" t="n"/>
      <c r="M442" s="362" t="n"/>
      <c r="N442" s="362" t="n"/>
      <c r="O442" s="362" t="n"/>
      <c r="P442" s="362" t="n"/>
      <c r="T442" s="362" t="n"/>
      <c r="U442" s="362" t="n"/>
      <c r="V442" s="362" t="n"/>
      <c r="W442" s="362" t="n"/>
      <c r="X442" s="362" t="n"/>
      <c r="Y442" s="362" t="n"/>
    </row>
    <row r="443">
      <c r="B443" s="430" t="n"/>
      <c r="C443" s="430" t="n"/>
      <c r="D443" s="430" t="n"/>
      <c r="E443" s="430" t="n"/>
      <c r="F443" s="430" t="n"/>
      <c r="G443" s="430" t="n"/>
      <c r="H443" s="362" t="n"/>
      <c r="I443" s="362" t="n"/>
      <c r="K443" s="362" t="n"/>
      <c r="L443" s="362" t="n"/>
      <c r="M443" s="362" t="n"/>
      <c r="N443" s="362" t="n"/>
      <c r="O443" s="362" t="n"/>
      <c r="P443" s="362" t="n"/>
      <c r="T443" s="362" t="n"/>
      <c r="U443" s="362" t="n"/>
      <c r="V443" s="362" t="n"/>
      <c r="W443" s="362" t="n"/>
      <c r="X443" s="362" t="n"/>
      <c r="Y443" s="362" t="n"/>
    </row>
    <row r="444">
      <c r="B444" s="430" t="n"/>
      <c r="C444" s="430" t="n"/>
      <c r="D444" s="430" t="n"/>
      <c r="E444" s="430" t="n"/>
      <c r="F444" s="430" t="n"/>
      <c r="G444" s="430" t="n"/>
      <c r="H444" s="362" t="n"/>
      <c r="I444" s="362" t="n"/>
      <c r="K444" s="362" t="n"/>
      <c r="L444" s="362" t="n"/>
      <c r="M444" s="362" t="n"/>
      <c r="N444" s="362" t="n"/>
      <c r="O444" s="362" t="n"/>
      <c r="P444" s="362" t="n"/>
      <c r="T444" s="362" t="n"/>
      <c r="U444" s="362" t="n"/>
      <c r="V444" s="362" t="n"/>
      <c r="W444" s="362" t="n"/>
      <c r="X444" s="362" t="n"/>
      <c r="Y444" s="362" t="n"/>
    </row>
    <row r="445">
      <c r="B445" s="430" t="n"/>
      <c r="C445" s="430" t="n"/>
      <c r="D445" s="430" t="n"/>
      <c r="E445" s="430" t="n"/>
      <c r="F445" s="430" t="n"/>
      <c r="G445" s="430" t="n"/>
      <c r="H445" s="362" t="n"/>
      <c r="I445" s="362" t="n"/>
      <c r="K445" s="362" t="n"/>
      <c r="L445" s="362" t="n"/>
      <c r="M445" s="362" t="n"/>
      <c r="N445" s="362" t="n"/>
      <c r="O445" s="362" t="n"/>
      <c r="P445" s="362" t="n"/>
      <c r="T445" s="362" t="n"/>
      <c r="U445" s="362" t="n"/>
      <c r="V445" s="362" t="n"/>
      <c r="W445" s="362" t="n"/>
      <c r="X445" s="362" t="n"/>
      <c r="Y445" s="362" t="n"/>
    </row>
    <row r="446">
      <c r="B446" s="430" t="n"/>
      <c r="C446" s="430" t="n"/>
      <c r="D446" s="430" t="n"/>
      <c r="E446" s="430" t="n"/>
      <c r="F446" s="430" t="n"/>
      <c r="G446" s="430" t="n"/>
      <c r="H446" s="362" t="n"/>
      <c r="I446" s="362" t="n"/>
      <c r="K446" s="362" t="n"/>
      <c r="L446" s="362" t="n"/>
      <c r="M446" s="362" t="n"/>
      <c r="N446" s="362" t="n"/>
      <c r="O446" s="362" t="n"/>
      <c r="P446" s="362" t="n"/>
      <c r="T446" s="362" t="n"/>
      <c r="U446" s="362" t="n"/>
      <c r="V446" s="362" t="n"/>
      <c r="W446" s="362" t="n"/>
      <c r="X446" s="362" t="n"/>
      <c r="Y446" s="362" t="n"/>
    </row>
    <row r="447">
      <c r="B447" s="430" t="n"/>
      <c r="C447" s="430" t="n"/>
      <c r="D447" s="430" t="n"/>
      <c r="E447" s="430" t="n"/>
      <c r="F447" s="430" t="n"/>
      <c r="G447" s="430" t="n"/>
      <c r="H447" s="362" t="n"/>
      <c r="I447" s="362" t="n"/>
      <c r="K447" s="362" t="n"/>
      <c r="L447" s="362" t="n"/>
      <c r="M447" s="362" t="n"/>
      <c r="N447" s="362" t="n"/>
      <c r="O447" s="362" t="n"/>
      <c r="P447" s="362" t="n"/>
      <c r="T447" s="362" t="n"/>
      <c r="U447" s="362" t="n"/>
      <c r="V447" s="362" t="n"/>
      <c r="W447" s="362" t="n"/>
      <c r="X447" s="362" t="n"/>
      <c r="Y447" s="362" t="n"/>
    </row>
    <row r="448">
      <c r="B448" s="430" t="n"/>
      <c r="C448" s="430" t="n"/>
      <c r="D448" s="430" t="n"/>
      <c r="E448" s="430" t="n"/>
      <c r="F448" s="430" t="n"/>
      <c r="G448" s="430" t="n"/>
      <c r="H448" s="362" t="n"/>
      <c r="I448" s="362" t="n"/>
      <c r="K448" s="362" t="n"/>
      <c r="L448" s="362" t="n"/>
      <c r="M448" s="362" t="n"/>
      <c r="N448" s="362" t="n"/>
      <c r="O448" s="362" t="n"/>
      <c r="P448" s="362" t="n"/>
      <c r="T448" s="362" t="n"/>
      <c r="U448" s="362" t="n"/>
      <c r="V448" s="362" t="n"/>
      <c r="W448" s="362" t="n"/>
      <c r="X448" s="362" t="n"/>
      <c r="Y448" s="362" t="n"/>
    </row>
    <row r="449">
      <c r="B449" s="430" t="n"/>
      <c r="C449" s="430" t="n"/>
      <c r="D449" s="430" t="n"/>
      <c r="E449" s="430" t="n"/>
      <c r="F449" s="430" t="n"/>
      <c r="G449" s="430" t="n"/>
      <c r="H449" s="362" t="n"/>
      <c r="I449" s="362" t="n"/>
      <c r="K449" s="362" t="n"/>
      <c r="L449" s="362" t="n"/>
      <c r="M449" s="362" t="n"/>
      <c r="N449" s="362" t="n"/>
      <c r="O449" s="362" t="n"/>
      <c r="P449" s="362" t="n"/>
      <c r="T449" s="362" t="n"/>
      <c r="U449" s="362" t="n"/>
      <c r="V449" s="362" t="n"/>
      <c r="W449" s="362" t="n"/>
      <c r="X449" s="362" t="n"/>
      <c r="Y449" s="362" t="n"/>
    </row>
    <row r="450">
      <c r="B450" s="430" t="n"/>
      <c r="C450" s="430" t="n"/>
      <c r="D450" s="430" t="n"/>
      <c r="E450" s="430" t="n"/>
      <c r="F450" s="430" t="n"/>
      <c r="G450" s="430" t="n"/>
      <c r="H450" s="362" t="n"/>
      <c r="I450" s="362" t="n"/>
      <c r="K450" s="362" t="n"/>
      <c r="L450" s="362" t="n"/>
      <c r="M450" s="362" t="n"/>
      <c r="N450" s="362" t="n"/>
      <c r="O450" s="362" t="n"/>
      <c r="P450" s="362" t="n"/>
      <c r="T450" s="362" t="n"/>
      <c r="U450" s="362" t="n"/>
      <c r="V450" s="362" t="n"/>
      <c r="W450" s="362" t="n"/>
      <c r="X450" s="362" t="n"/>
      <c r="Y450" s="362" t="n"/>
    </row>
    <row r="451">
      <c r="B451" s="430" t="n"/>
      <c r="C451" s="430" t="n"/>
      <c r="D451" s="430" t="n"/>
      <c r="E451" s="430" t="n"/>
      <c r="F451" s="430" t="n"/>
      <c r="G451" s="430" t="n"/>
      <c r="H451" s="362" t="n"/>
      <c r="I451" s="362" t="n"/>
      <c r="K451" s="362" t="n"/>
      <c r="L451" s="362" t="n"/>
      <c r="M451" s="362" t="n"/>
      <c r="N451" s="362" t="n"/>
      <c r="O451" s="362" t="n"/>
      <c r="P451" s="362" t="n"/>
      <c r="T451" s="362" t="n"/>
      <c r="U451" s="362" t="n"/>
      <c r="V451" s="362" t="n"/>
      <c r="W451" s="362" t="n"/>
      <c r="X451" s="362" t="n"/>
      <c r="Y451" s="362" t="n"/>
    </row>
    <row r="452">
      <c r="B452" s="430" t="n"/>
      <c r="C452" s="430" t="n"/>
      <c r="D452" s="430" t="n"/>
      <c r="E452" s="430" t="n"/>
      <c r="F452" s="430" t="n"/>
      <c r="G452" s="430" t="n"/>
      <c r="H452" s="362" t="n"/>
      <c r="I452" s="362" t="n"/>
      <c r="K452" s="362" t="n"/>
      <c r="L452" s="362" t="n"/>
      <c r="M452" s="362" t="n"/>
      <c r="N452" s="362" t="n"/>
      <c r="O452" s="362" t="n"/>
      <c r="P452" s="362" t="n"/>
      <c r="T452" s="362" t="n"/>
      <c r="U452" s="362" t="n"/>
      <c r="V452" s="362" t="n"/>
      <c r="W452" s="362" t="n"/>
      <c r="X452" s="362" t="n"/>
      <c r="Y452" s="362" t="n"/>
    </row>
    <row r="453">
      <c r="B453" s="430" t="n"/>
      <c r="C453" s="430" t="n"/>
      <c r="D453" s="430" t="n"/>
      <c r="E453" s="430" t="n"/>
      <c r="F453" s="430" t="n"/>
      <c r="G453" s="430" t="n"/>
      <c r="H453" s="362" t="n"/>
      <c r="I453" s="362" t="n"/>
      <c r="K453" s="362" t="n"/>
      <c r="L453" s="362" t="n"/>
      <c r="M453" s="362" t="n"/>
      <c r="N453" s="362" t="n"/>
      <c r="O453" s="362" t="n"/>
      <c r="P453" s="362" t="n"/>
      <c r="T453" s="362" t="n"/>
      <c r="U453" s="362" t="n"/>
      <c r="V453" s="362" t="n"/>
      <c r="W453" s="362" t="n"/>
      <c r="X453" s="362" t="n"/>
      <c r="Y453" s="362" t="n"/>
    </row>
    <row r="454">
      <c r="B454" s="430" t="n"/>
      <c r="C454" s="430" t="n"/>
      <c r="D454" s="430" t="n"/>
      <c r="E454" s="430" t="n"/>
      <c r="F454" s="430" t="n"/>
      <c r="G454" s="430" t="n"/>
      <c r="H454" s="362" t="n"/>
      <c r="I454" s="362" t="n"/>
      <c r="K454" s="362" t="n"/>
      <c r="L454" s="362" t="n"/>
      <c r="M454" s="362" t="n"/>
      <c r="N454" s="362" t="n"/>
      <c r="O454" s="362" t="n"/>
      <c r="P454" s="362" t="n"/>
      <c r="T454" s="362" t="n"/>
      <c r="U454" s="362" t="n"/>
      <c r="V454" s="362" t="n"/>
      <c r="W454" s="362" t="n"/>
      <c r="X454" s="362" t="n"/>
      <c r="Y454" s="362" t="n"/>
    </row>
    <row r="455">
      <c r="B455" s="430" t="n"/>
      <c r="C455" s="430" t="n"/>
      <c r="D455" s="430" t="n"/>
      <c r="E455" s="430" t="n"/>
      <c r="F455" s="430" t="n"/>
      <c r="G455" s="430" t="n"/>
      <c r="H455" s="362" t="n"/>
      <c r="I455" s="362" t="n"/>
      <c r="K455" s="362" t="n"/>
      <c r="L455" s="362" t="n"/>
      <c r="M455" s="362" t="n"/>
      <c r="N455" s="362" t="n"/>
      <c r="O455" s="362" t="n"/>
      <c r="P455" s="362" t="n"/>
      <c r="T455" s="362" t="n"/>
      <c r="U455" s="362" t="n"/>
      <c r="V455" s="362" t="n"/>
      <c r="W455" s="362" t="n"/>
      <c r="X455" s="362" t="n"/>
      <c r="Y455" s="362" t="n"/>
    </row>
    <row r="456">
      <c r="B456" s="430" t="n"/>
      <c r="C456" s="430" t="n"/>
      <c r="D456" s="430" t="n"/>
      <c r="E456" s="430" t="n"/>
      <c r="F456" s="430" t="n"/>
      <c r="G456" s="430" t="n"/>
      <c r="H456" s="362" t="n"/>
      <c r="I456" s="362" t="n"/>
      <c r="K456" s="362" t="n"/>
      <c r="L456" s="362" t="n"/>
      <c r="M456" s="362" t="n"/>
      <c r="N456" s="362" t="n"/>
      <c r="O456" s="362" t="n"/>
      <c r="P456" s="362" t="n"/>
      <c r="T456" s="362" t="n"/>
      <c r="U456" s="362" t="n"/>
      <c r="V456" s="362" t="n"/>
      <c r="W456" s="362" t="n"/>
      <c r="X456" s="362" t="n"/>
      <c r="Y456" s="362" t="n"/>
    </row>
    <row r="457">
      <c r="B457" s="430" t="n"/>
      <c r="C457" s="430" t="n"/>
      <c r="D457" s="430" t="n"/>
      <c r="E457" s="430" t="n"/>
      <c r="F457" s="430" t="n"/>
      <c r="G457" s="430" t="n"/>
      <c r="H457" s="362" t="n"/>
      <c r="I457" s="362" t="n"/>
      <c r="K457" s="362" t="n"/>
      <c r="L457" s="362" t="n"/>
      <c r="M457" s="362" t="n"/>
      <c r="N457" s="362" t="n"/>
      <c r="O457" s="362" t="n"/>
      <c r="P457" s="362" t="n"/>
      <c r="T457" s="362" t="n"/>
      <c r="U457" s="362" t="n"/>
      <c r="V457" s="362" t="n"/>
      <c r="W457" s="362" t="n"/>
      <c r="X457" s="362" t="n"/>
      <c r="Y457" s="362" t="n"/>
    </row>
    <row r="458">
      <c r="B458" s="430" t="n"/>
      <c r="C458" s="430" t="n"/>
      <c r="D458" s="430" t="n"/>
      <c r="E458" s="430" t="n"/>
      <c r="F458" s="430" t="n"/>
      <c r="G458" s="430" t="n"/>
      <c r="H458" s="362" t="n"/>
      <c r="I458" s="362" t="n"/>
      <c r="K458" s="362" t="n"/>
      <c r="L458" s="362" t="n"/>
      <c r="M458" s="362" t="n"/>
      <c r="N458" s="362" t="n"/>
      <c r="O458" s="362" t="n"/>
      <c r="P458" s="362" t="n"/>
      <c r="T458" s="362" t="n"/>
      <c r="U458" s="362" t="n"/>
      <c r="V458" s="362" t="n"/>
      <c r="W458" s="362" t="n"/>
      <c r="X458" s="362" t="n"/>
      <c r="Y458" s="362" t="n"/>
    </row>
    <row r="459">
      <c r="B459" s="430" t="n"/>
      <c r="C459" s="430" t="n"/>
      <c r="D459" s="430" t="n"/>
      <c r="E459" s="430" t="n"/>
      <c r="F459" s="430" t="n"/>
      <c r="G459" s="430" t="n"/>
      <c r="H459" s="362" t="n"/>
      <c r="I459" s="362" t="n"/>
      <c r="K459" s="362" t="n"/>
      <c r="L459" s="362" t="n"/>
      <c r="M459" s="362" t="n"/>
      <c r="N459" s="362" t="n"/>
      <c r="O459" s="362" t="n"/>
      <c r="P459" s="362" t="n"/>
      <c r="T459" s="362" t="n"/>
      <c r="U459" s="362" t="n"/>
      <c r="V459" s="362" t="n"/>
      <c r="W459" s="362" t="n"/>
      <c r="X459" s="362" t="n"/>
      <c r="Y459" s="362" t="n"/>
    </row>
    <row r="460">
      <c r="B460" s="430" t="n"/>
      <c r="C460" s="430" t="n"/>
      <c r="D460" s="430" t="n"/>
      <c r="E460" s="430" t="n"/>
      <c r="F460" s="430" t="n"/>
      <c r="G460" s="430" t="n"/>
      <c r="H460" s="362" t="n"/>
      <c r="I460" s="362" t="n"/>
      <c r="K460" s="362" t="n"/>
      <c r="L460" s="362" t="n"/>
      <c r="M460" s="362" t="n"/>
      <c r="N460" s="362" t="n"/>
      <c r="O460" s="362" t="n"/>
      <c r="P460" s="362" t="n"/>
      <c r="T460" s="362" t="n"/>
      <c r="U460" s="362" t="n"/>
      <c r="V460" s="362" t="n"/>
      <c r="W460" s="362" t="n"/>
      <c r="X460" s="362" t="n"/>
      <c r="Y460" s="362" t="n"/>
    </row>
    <row r="461">
      <c r="B461" s="430" t="n"/>
      <c r="C461" s="430" t="n"/>
      <c r="D461" s="430" t="n"/>
      <c r="E461" s="430" t="n"/>
      <c r="F461" s="430" t="n"/>
      <c r="G461" s="430" t="n"/>
      <c r="H461" s="362" t="n"/>
      <c r="I461" s="362" t="n"/>
      <c r="K461" s="362" t="n"/>
      <c r="L461" s="362" t="n"/>
      <c r="M461" s="362" t="n"/>
      <c r="N461" s="362" t="n"/>
      <c r="O461" s="362" t="n"/>
      <c r="P461" s="362" t="n"/>
      <c r="T461" s="362" t="n"/>
      <c r="U461" s="362" t="n"/>
      <c r="V461" s="362" t="n"/>
      <c r="W461" s="362" t="n"/>
      <c r="X461" s="362" t="n"/>
      <c r="Y461" s="362" t="n"/>
    </row>
    <row r="462">
      <c r="B462" s="430" t="n"/>
      <c r="C462" s="430" t="n"/>
      <c r="D462" s="430" t="n"/>
      <c r="E462" s="430" t="n"/>
      <c r="F462" s="430" t="n"/>
      <c r="G462" s="430" t="n"/>
      <c r="H462" s="362" t="n"/>
      <c r="I462" s="362" t="n"/>
      <c r="K462" s="362" t="n"/>
      <c r="L462" s="362" t="n"/>
      <c r="M462" s="362" t="n"/>
      <c r="N462" s="362" t="n"/>
      <c r="O462" s="362" t="n"/>
      <c r="P462" s="362" t="n"/>
      <c r="T462" s="362" t="n"/>
      <c r="U462" s="362" t="n"/>
      <c r="V462" s="362" t="n"/>
      <c r="W462" s="362" t="n"/>
      <c r="X462" s="362" t="n"/>
      <c r="Y462" s="362" t="n"/>
    </row>
    <row r="463">
      <c r="B463" s="430" t="n"/>
      <c r="C463" s="430" t="n"/>
      <c r="D463" s="430" t="n"/>
      <c r="E463" s="430" t="n"/>
      <c r="F463" s="430" t="n"/>
      <c r="G463" s="430" t="n"/>
      <c r="H463" s="362" t="n"/>
      <c r="I463" s="362" t="n"/>
      <c r="K463" s="362" t="n"/>
      <c r="L463" s="362" t="n"/>
      <c r="M463" s="362" t="n"/>
      <c r="N463" s="362" t="n"/>
      <c r="O463" s="362" t="n"/>
      <c r="P463" s="362" t="n"/>
      <c r="T463" s="362" t="n"/>
      <c r="U463" s="362" t="n"/>
      <c r="V463" s="362" t="n"/>
      <c r="W463" s="362" t="n"/>
      <c r="X463" s="362" t="n"/>
      <c r="Y463" s="362" t="n"/>
    </row>
    <row r="464">
      <c r="B464" s="430" t="n"/>
      <c r="C464" s="430" t="n"/>
      <c r="D464" s="430" t="n"/>
      <c r="E464" s="430" t="n"/>
      <c r="F464" s="430" t="n"/>
      <c r="G464" s="430" t="n"/>
      <c r="H464" s="362" t="n"/>
      <c r="I464" s="362" t="n"/>
      <c r="K464" s="362" t="n"/>
      <c r="L464" s="362" t="n"/>
      <c r="M464" s="362" t="n"/>
      <c r="N464" s="362" t="n"/>
      <c r="O464" s="362" t="n"/>
      <c r="P464" s="362" t="n"/>
      <c r="T464" s="362" t="n"/>
      <c r="U464" s="362" t="n"/>
      <c r="V464" s="362" t="n"/>
      <c r="W464" s="362" t="n"/>
      <c r="X464" s="362" t="n"/>
      <c r="Y464" s="362" t="n"/>
    </row>
    <row r="465">
      <c r="B465" s="430" t="n"/>
      <c r="C465" s="430" t="n"/>
      <c r="D465" s="430" t="n"/>
      <c r="E465" s="430" t="n"/>
      <c r="F465" s="430" t="n"/>
      <c r="G465" s="430" t="n"/>
      <c r="H465" s="362" t="n"/>
      <c r="I465" s="362" t="n"/>
      <c r="K465" s="362" t="n"/>
      <c r="L465" s="362" t="n"/>
      <c r="M465" s="362" t="n"/>
      <c r="N465" s="362" t="n"/>
      <c r="O465" s="362" t="n"/>
      <c r="P465" s="362" t="n"/>
      <c r="T465" s="362" t="n"/>
      <c r="U465" s="362" t="n"/>
      <c r="V465" s="362" t="n"/>
      <c r="W465" s="362" t="n"/>
      <c r="X465" s="362" t="n"/>
      <c r="Y465" s="362" t="n"/>
    </row>
    <row r="466">
      <c r="B466" s="430" t="n"/>
      <c r="C466" s="430" t="n"/>
      <c r="D466" s="430" t="n"/>
      <c r="E466" s="430" t="n"/>
      <c r="F466" s="430" t="n"/>
      <c r="G466" s="430" t="n"/>
      <c r="H466" s="362" t="n"/>
      <c r="I466" s="362" t="n"/>
      <c r="K466" s="362" t="n"/>
      <c r="L466" s="362" t="n"/>
      <c r="M466" s="362" t="n"/>
      <c r="N466" s="362" t="n"/>
      <c r="O466" s="362" t="n"/>
      <c r="P466" s="362" t="n"/>
      <c r="T466" s="362" t="n"/>
      <c r="U466" s="362" t="n"/>
      <c r="V466" s="362" t="n"/>
      <c r="W466" s="362" t="n"/>
      <c r="X466" s="362" t="n"/>
      <c r="Y466" s="362" t="n"/>
    </row>
    <row r="467">
      <c r="B467" s="430" t="n"/>
      <c r="C467" s="430" t="n"/>
      <c r="D467" s="430" t="n"/>
      <c r="E467" s="430" t="n"/>
      <c r="F467" s="430" t="n"/>
      <c r="G467" s="430" t="n"/>
      <c r="H467" s="362" t="n"/>
      <c r="I467" s="362" t="n"/>
      <c r="K467" s="362" t="n"/>
      <c r="L467" s="362" t="n"/>
      <c r="M467" s="362" t="n"/>
      <c r="N467" s="362" t="n"/>
      <c r="O467" s="362" t="n"/>
      <c r="P467" s="362" t="n"/>
      <c r="T467" s="362" t="n"/>
      <c r="U467" s="362" t="n"/>
      <c r="V467" s="362" t="n"/>
      <c r="W467" s="362" t="n"/>
      <c r="X467" s="362" t="n"/>
      <c r="Y467" s="362" t="n"/>
    </row>
    <row r="468">
      <c r="B468" s="430" t="n"/>
      <c r="C468" s="430" t="n"/>
      <c r="D468" s="430" t="n"/>
      <c r="E468" s="430" t="n"/>
      <c r="F468" s="430" t="n"/>
      <c r="G468" s="430" t="n"/>
      <c r="H468" s="362" t="n"/>
      <c r="I468" s="362" t="n"/>
      <c r="K468" s="362" t="n"/>
      <c r="L468" s="362" t="n"/>
      <c r="M468" s="362" t="n"/>
      <c r="N468" s="362" t="n"/>
      <c r="O468" s="362" t="n"/>
      <c r="P468" s="362" t="n"/>
      <c r="T468" s="362" t="n"/>
      <c r="U468" s="362" t="n"/>
      <c r="V468" s="362" t="n"/>
      <c r="W468" s="362" t="n"/>
      <c r="X468" s="362" t="n"/>
      <c r="Y468" s="362" t="n"/>
    </row>
    <row r="469">
      <c r="B469" s="430" t="n"/>
      <c r="C469" s="430" t="n"/>
      <c r="D469" s="430" t="n"/>
      <c r="E469" s="430" t="n"/>
      <c r="F469" s="430" t="n"/>
      <c r="G469" s="430" t="n"/>
      <c r="H469" s="362" t="n"/>
      <c r="I469" s="362" t="n"/>
      <c r="K469" s="362" t="n"/>
      <c r="L469" s="362" t="n"/>
      <c r="M469" s="362" t="n"/>
      <c r="N469" s="362" t="n"/>
      <c r="O469" s="362" t="n"/>
      <c r="P469" s="362" t="n"/>
      <c r="T469" s="362" t="n"/>
      <c r="U469" s="362" t="n"/>
      <c r="V469" s="362" t="n"/>
      <c r="W469" s="362" t="n"/>
      <c r="X469" s="362" t="n"/>
      <c r="Y469" s="362" t="n"/>
    </row>
    <row r="470">
      <c r="B470" s="430" t="n"/>
      <c r="C470" s="430" t="n"/>
      <c r="D470" s="430" t="n"/>
      <c r="E470" s="430" t="n"/>
      <c r="F470" s="430" t="n"/>
      <c r="G470" s="430" t="n"/>
      <c r="H470" s="362" t="n"/>
      <c r="I470" s="362" t="n"/>
      <c r="K470" s="362" t="n"/>
      <c r="L470" s="362" t="n"/>
      <c r="M470" s="362" t="n"/>
      <c r="N470" s="362" t="n"/>
      <c r="O470" s="362" t="n"/>
      <c r="P470" s="362" t="n"/>
      <c r="T470" s="362" t="n"/>
      <c r="U470" s="362" t="n"/>
      <c r="V470" s="362" t="n"/>
      <c r="W470" s="362" t="n"/>
      <c r="X470" s="362" t="n"/>
      <c r="Y470" s="362" t="n"/>
    </row>
    <row r="471">
      <c r="B471" s="430" t="n"/>
      <c r="C471" s="430" t="n"/>
      <c r="D471" s="430" t="n"/>
      <c r="E471" s="430" t="n"/>
      <c r="F471" s="430" t="n"/>
      <c r="G471" s="430" t="n"/>
      <c r="H471" s="362" t="n"/>
      <c r="I471" s="362" t="n"/>
      <c r="K471" s="362" t="n"/>
      <c r="L471" s="362" t="n"/>
      <c r="M471" s="362" t="n"/>
      <c r="N471" s="362" t="n"/>
      <c r="O471" s="362" t="n"/>
      <c r="P471" s="362" t="n"/>
      <c r="T471" s="362" t="n"/>
      <c r="U471" s="362" t="n"/>
      <c r="V471" s="362" t="n"/>
      <c r="W471" s="362" t="n"/>
      <c r="X471" s="362" t="n"/>
      <c r="Y471" s="362" t="n"/>
    </row>
    <row r="472">
      <c r="B472" s="430" t="n"/>
      <c r="C472" s="430" t="n"/>
      <c r="D472" s="430" t="n"/>
      <c r="E472" s="430" t="n"/>
      <c r="F472" s="430" t="n"/>
      <c r="G472" s="430" t="n"/>
      <c r="H472" s="362" t="n"/>
      <c r="I472" s="362" t="n"/>
      <c r="K472" s="362" t="n"/>
      <c r="L472" s="362" t="n"/>
      <c r="M472" s="362" t="n"/>
      <c r="N472" s="362" t="n"/>
      <c r="O472" s="362" t="n"/>
      <c r="P472" s="362" t="n"/>
      <c r="T472" s="362" t="n"/>
      <c r="U472" s="362" t="n"/>
      <c r="V472" s="362" t="n"/>
      <c r="W472" s="362" t="n"/>
      <c r="X472" s="362" t="n"/>
      <c r="Y472" s="362" t="n"/>
    </row>
    <row r="473">
      <c r="B473" s="430" t="n"/>
      <c r="C473" s="430" t="n"/>
      <c r="D473" s="430" t="n"/>
      <c r="E473" s="430" t="n"/>
      <c r="F473" s="430" t="n"/>
      <c r="G473" s="430" t="n"/>
      <c r="H473" s="362" t="n"/>
      <c r="I473" s="362" t="n"/>
      <c r="K473" s="362" t="n"/>
      <c r="L473" s="362" t="n"/>
      <c r="M473" s="362" t="n"/>
      <c r="N473" s="362" t="n"/>
      <c r="O473" s="362" t="n"/>
      <c r="P473" s="362" t="n"/>
      <c r="T473" s="362" t="n"/>
      <c r="U473" s="362" t="n"/>
      <c r="V473" s="362" t="n"/>
      <c r="W473" s="362" t="n"/>
      <c r="X473" s="362" t="n"/>
      <c r="Y473" s="362" t="n"/>
    </row>
    <row r="474">
      <c r="B474" s="430" t="n"/>
      <c r="C474" s="430" t="n"/>
      <c r="D474" s="430" t="n"/>
      <c r="E474" s="430" t="n"/>
      <c r="F474" s="430" t="n"/>
      <c r="G474" s="430" t="n"/>
      <c r="H474" s="362" t="n"/>
      <c r="I474" s="362" t="n"/>
      <c r="K474" s="362" t="n"/>
      <c r="L474" s="362" t="n"/>
      <c r="M474" s="362" t="n"/>
      <c r="N474" s="362" t="n"/>
      <c r="O474" s="362" t="n"/>
      <c r="P474" s="362" t="n"/>
      <c r="T474" s="362" t="n"/>
      <c r="U474" s="362" t="n"/>
      <c r="V474" s="362" t="n"/>
      <c r="W474" s="362" t="n"/>
      <c r="X474" s="362" t="n"/>
      <c r="Y474" s="362" t="n"/>
    </row>
    <row r="475">
      <c r="B475" s="430" t="n"/>
      <c r="C475" s="430" t="n"/>
      <c r="D475" s="430" t="n"/>
      <c r="E475" s="430" t="n"/>
      <c r="F475" s="430" t="n"/>
      <c r="G475" s="430" t="n"/>
      <c r="H475" s="362" t="n"/>
      <c r="I475" s="362" t="n"/>
      <c r="K475" s="362" t="n"/>
      <c r="L475" s="362" t="n"/>
      <c r="M475" s="362" t="n"/>
      <c r="N475" s="362" t="n"/>
      <c r="O475" s="362" t="n"/>
      <c r="P475" s="362" t="n"/>
      <c r="T475" s="362" t="n"/>
      <c r="U475" s="362" t="n"/>
      <c r="V475" s="362" t="n"/>
      <c r="W475" s="362" t="n"/>
      <c r="X475" s="362" t="n"/>
      <c r="Y475" s="362" t="n"/>
    </row>
    <row r="476">
      <c r="B476" s="430" t="n"/>
      <c r="C476" s="430" t="n"/>
      <c r="D476" s="430" t="n"/>
      <c r="E476" s="430" t="n"/>
      <c r="F476" s="430" t="n"/>
      <c r="G476" s="430" t="n"/>
      <c r="H476" s="362" t="n"/>
      <c r="I476" s="362" t="n"/>
      <c r="K476" s="362" t="n"/>
      <c r="L476" s="362" t="n"/>
      <c r="M476" s="362" t="n"/>
      <c r="N476" s="362" t="n"/>
      <c r="O476" s="362" t="n"/>
      <c r="P476" s="362" t="n"/>
      <c r="T476" s="362" t="n"/>
      <c r="U476" s="362" t="n"/>
      <c r="V476" s="362" t="n"/>
      <c r="W476" s="362" t="n"/>
      <c r="X476" s="362" t="n"/>
      <c r="Y476" s="362" t="n"/>
    </row>
    <row r="477">
      <c r="B477" s="430" t="n"/>
      <c r="C477" s="430" t="n"/>
      <c r="D477" s="430" t="n"/>
      <c r="E477" s="430" t="n"/>
      <c r="F477" s="430" t="n"/>
      <c r="G477" s="430" t="n"/>
      <c r="H477" s="362" t="n"/>
      <c r="I477" s="362" t="n"/>
      <c r="K477" s="362" t="n"/>
      <c r="L477" s="362" t="n"/>
      <c r="M477" s="362" t="n"/>
      <c r="N477" s="362" t="n"/>
      <c r="O477" s="362" t="n"/>
      <c r="P477" s="362" t="n"/>
      <c r="T477" s="362" t="n"/>
      <c r="U477" s="362" t="n"/>
      <c r="V477" s="362" t="n"/>
      <c r="W477" s="362" t="n"/>
      <c r="X477" s="362" t="n"/>
      <c r="Y477" s="362" t="n"/>
    </row>
    <row r="478">
      <c r="B478" s="430" t="n"/>
      <c r="C478" s="430" t="n"/>
      <c r="D478" s="430" t="n"/>
      <c r="E478" s="430" t="n"/>
      <c r="F478" s="430" t="n"/>
      <c r="G478" s="430" t="n"/>
      <c r="H478" s="362" t="n"/>
      <c r="I478" s="362" t="n"/>
      <c r="K478" s="362" t="n"/>
      <c r="L478" s="362" t="n"/>
      <c r="M478" s="362" t="n"/>
      <c r="N478" s="362" t="n"/>
      <c r="O478" s="362" t="n"/>
      <c r="P478" s="362" t="n"/>
      <c r="T478" s="362" t="n"/>
      <c r="U478" s="362" t="n"/>
      <c r="V478" s="362" t="n"/>
      <c r="W478" s="362" t="n"/>
      <c r="X478" s="362" t="n"/>
      <c r="Y478" s="362" t="n"/>
    </row>
    <row r="479">
      <c r="B479" s="430" t="n"/>
      <c r="C479" s="430" t="n"/>
      <c r="D479" s="430" t="n"/>
      <c r="E479" s="430" t="n"/>
      <c r="F479" s="430" t="n"/>
      <c r="G479" s="430" t="n"/>
      <c r="H479" s="362" t="n"/>
      <c r="I479" s="362" t="n"/>
      <c r="K479" s="362" t="n"/>
      <c r="L479" s="362" t="n"/>
      <c r="M479" s="362" t="n"/>
      <c r="N479" s="362" t="n"/>
      <c r="O479" s="362" t="n"/>
      <c r="P479" s="362" t="n"/>
      <c r="T479" s="362" t="n"/>
      <c r="U479" s="362" t="n"/>
      <c r="V479" s="362" t="n"/>
      <c r="W479" s="362" t="n"/>
      <c r="X479" s="362" t="n"/>
      <c r="Y479" s="362" t="n"/>
    </row>
    <row r="480">
      <c r="B480" s="430" t="n"/>
      <c r="C480" s="430" t="n"/>
      <c r="D480" s="430" t="n"/>
      <c r="E480" s="430" t="n"/>
      <c r="F480" s="430" t="n"/>
      <c r="G480" s="430" t="n"/>
      <c r="H480" s="362" t="n"/>
      <c r="I480" s="362" t="n"/>
      <c r="K480" s="362" t="n"/>
      <c r="L480" s="362" t="n"/>
      <c r="M480" s="362" t="n"/>
      <c r="N480" s="362" t="n"/>
      <c r="O480" s="362" t="n"/>
      <c r="P480" s="362" t="n"/>
      <c r="T480" s="362" t="n"/>
      <c r="U480" s="362" t="n"/>
      <c r="V480" s="362" t="n"/>
      <c r="W480" s="362" t="n"/>
      <c r="X480" s="362" t="n"/>
      <c r="Y480" s="362" t="n"/>
    </row>
    <row r="481">
      <c r="B481" s="430" t="n"/>
      <c r="C481" s="430" t="n"/>
      <c r="D481" s="430" t="n"/>
      <c r="E481" s="430" t="n"/>
      <c r="F481" s="430" t="n"/>
      <c r="G481" s="430" t="n"/>
      <c r="H481" s="362" t="n"/>
      <c r="I481" s="362" t="n"/>
      <c r="K481" s="362" t="n"/>
      <c r="L481" s="362" t="n"/>
      <c r="M481" s="362" t="n"/>
      <c r="N481" s="362" t="n"/>
      <c r="O481" s="362" t="n"/>
      <c r="P481" s="362" t="n"/>
      <c r="T481" s="362" t="n"/>
      <c r="U481" s="362" t="n"/>
      <c r="V481" s="362" t="n"/>
      <c r="W481" s="362" t="n"/>
      <c r="X481" s="362" t="n"/>
      <c r="Y481" s="362" t="n"/>
    </row>
    <row r="482">
      <c r="B482" s="430" t="n"/>
      <c r="C482" s="430" t="n"/>
      <c r="D482" s="430" t="n"/>
      <c r="E482" s="430" t="n"/>
      <c r="F482" s="430" t="n"/>
      <c r="G482" s="430" t="n"/>
      <c r="H482" s="362" t="n"/>
      <c r="I482" s="362" t="n"/>
      <c r="K482" s="362" t="n"/>
      <c r="L482" s="362" t="n"/>
      <c r="M482" s="362" t="n"/>
      <c r="N482" s="362" t="n"/>
      <c r="O482" s="362" t="n"/>
      <c r="P482" s="362" t="n"/>
      <c r="T482" s="362" t="n"/>
      <c r="U482" s="362" t="n"/>
      <c r="V482" s="362" t="n"/>
      <c r="W482" s="362" t="n"/>
      <c r="X482" s="362" t="n"/>
      <c r="Y482" s="362" t="n"/>
    </row>
    <row r="483">
      <c r="B483" s="430" t="n"/>
      <c r="C483" s="430" t="n"/>
      <c r="D483" s="430" t="n"/>
      <c r="E483" s="430" t="n"/>
      <c r="F483" s="430" t="n"/>
      <c r="G483" s="430" t="n"/>
      <c r="H483" s="362" t="n"/>
      <c r="I483" s="362" t="n"/>
      <c r="K483" s="362" t="n"/>
      <c r="L483" s="362" t="n"/>
      <c r="M483" s="362" t="n"/>
      <c r="N483" s="362" t="n"/>
      <c r="O483" s="362" t="n"/>
      <c r="P483" s="362" t="n"/>
      <c r="T483" s="362" t="n"/>
      <c r="U483" s="362" t="n"/>
      <c r="V483" s="362" t="n"/>
      <c r="W483" s="362" t="n"/>
      <c r="X483" s="362" t="n"/>
      <c r="Y483" s="362" t="n"/>
    </row>
    <row r="484">
      <c r="B484" s="430" t="n"/>
      <c r="C484" s="430" t="n"/>
      <c r="D484" s="430" t="n"/>
      <c r="E484" s="430" t="n"/>
      <c r="F484" s="430" t="n"/>
      <c r="G484" s="430" t="n"/>
      <c r="H484" s="362" t="n"/>
      <c r="I484" s="362" t="n"/>
      <c r="K484" s="362" t="n"/>
      <c r="L484" s="362" t="n"/>
      <c r="M484" s="362" t="n"/>
      <c r="N484" s="362" t="n"/>
      <c r="O484" s="362" t="n"/>
      <c r="P484" s="362" t="n"/>
      <c r="T484" s="362" t="n"/>
      <c r="U484" s="362" t="n"/>
      <c r="V484" s="362" t="n"/>
      <c r="W484" s="362" t="n"/>
      <c r="X484" s="362" t="n"/>
      <c r="Y484" s="362" t="n"/>
    </row>
    <row r="485">
      <c r="B485" s="430" t="n"/>
      <c r="C485" s="430" t="n"/>
      <c r="D485" s="430" t="n"/>
      <c r="E485" s="430" t="n"/>
      <c r="F485" s="430" t="n"/>
      <c r="G485" s="430" t="n"/>
      <c r="H485" s="362" t="n"/>
      <c r="I485" s="362" t="n"/>
      <c r="K485" s="362" t="n"/>
      <c r="L485" s="362" t="n"/>
      <c r="M485" s="362" t="n"/>
      <c r="N485" s="362" t="n"/>
      <c r="O485" s="362" t="n"/>
      <c r="P485" s="362" t="n"/>
      <c r="T485" s="362" t="n"/>
      <c r="U485" s="362" t="n"/>
      <c r="V485" s="362" t="n"/>
      <c r="W485" s="362" t="n"/>
      <c r="X485" s="362" t="n"/>
      <c r="Y485" s="362" t="n"/>
    </row>
    <row r="486">
      <c r="B486" s="430" t="n"/>
      <c r="C486" s="430" t="n"/>
      <c r="D486" s="430" t="n"/>
      <c r="E486" s="430" t="n"/>
      <c r="F486" s="430" t="n"/>
      <c r="G486" s="430" t="n"/>
      <c r="H486" s="362" t="n"/>
      <c r="I486" s="362" t="n"/>
      <c r="K486" s="362" t="n"/>
      <c r="L486" s="362" t="n"/>
      <c r="M486" s="362" t="n"/>
      <c r="N486" s="362" t="n"/>
      <c r="O486" s="362" t="n"/>
      <c r="P486" s="362" t="n"/>
      <c r="T486" s="362" t="n"/>
      <c r="U486" s="362" t="n"/>
      <c r="V486" s="362" t="n"/>
      <c r="W486" s="362" t="n"/>
      <c r="X486" s="362" t="n"/>
      <c r="Y486" s="362" t="n"/>
    </row>
    <row r="487">
      <c r="B487" s="430" t="n"/>
      <c r="C487" s="430" t="n"/>
      <c r="D487" s="430" t="n"/>
      <c r="E487" s="430" t="n"/>
      <c r="F487" s="430" t="n"/>
      <c r="G487" s="430" t="n"/>
      <c r="H487" s="362" t="n"/>
      <c r="I487" s="362" t="n"/>
      <c r="K487" s="362" t="n"/>
      <c r="L487" s="362" t="n"/>
      <c r="M487" s="362" t="n"/>
      <c r="N487" s="362" t="n"/>
      <c r="O487" s="362" t="n"/>
      <c r="P487" s="362" t="n"/>
      <c r="T487" s="362" t="n"/>
      <c r="U487" s="362" t="n"/>
      <c r="V487" s="362" t="n"/>
      <c r="W487" s="362" t="n"/>
      <c r="X487" s="362" t="n"/>
      <c r="Y487" s="362" t="n"/>
    </row>
    <row r="488">
      <c r="B488" s="430" t="n"/>
      <c r="C488" s="430" t="n"/>
      <c r="D488" s="430" t="n"/>
      <c r="E488" s="430" t="n"/>
      <c r="F488" s="430" t="n"/>
      <c r="G488" s="430" t="n"/>
      <c r="H488" s="362" t="n"/>
      <c r="I488" s="362" t="n"/>
      <c r="K488" s="362" t="n"/>
      <c r="L488" s="362" t="n"/>
      <c r="M488" s="362" t="n"/>
      <c r="N488" s="362" t="n"/>
      <c r="O488" s="362" t="n"/>
      <c r="P488" s="362" t="n"/>
      <c r="T488" s="362" t="n"/>
      <c r="U488" s="362" t="n"/>
      <c r="V488" s="362" t="n"/>
      <c r="W488" s="362" t="n"/>
      <c r="X488" s="362" t="n"/>
      <c r="Y488" s="362" t="n"/>
    </row>
    <row r="489">
      <c r="B489" s="430" t="n"/>
      <c r="C489" s="430" t="n"/>
      <c r="D489" s="430" t="n"/>
      <c r="E489" s="430" t="n"/>
      <c r="F489" s="430" t="n"/>
      <c r="G489" s="430" t="n"/>
      <c r="H489" s="362" t="n"/>
      <c r="I489" s="362" t="n"/>
      <c r="K489" s="362" t="n"/>
      <c r="L489" s="362" t="n"/>
      <c r="M489" s="362" t="n"/>
      <c r="N489" s="362" t="n"/>
      <c r="O489" s="362" t="n"/>
      <c r="P489" s="362" t="n"/>
      <c r="T489" s="362" t="n"/>
      <c r="U489" s="362" t="n"/>
      <c r="V489" s="362" t="n"/>
      <c r="W489" s="362" t="n"/>
      <c r="X489" s="362" t="n"/>
      <c r="Y489" s="362" t="n"/>
    </row>
    <row r="490">
      <c r="B490" s="430" t="n"/>
      <c r="C490" s="430" t="n"/>
      <c r="D490" s="430" t="n"/>
      <c r="E490" s="430" t="n"/>
      <c r="F490" s="430" t="n"/>
      <c r="G490" s="430" t="n"/>
      <c r="H490" s="362" t="n"/>
      <c r="I490" s="362" t="n"/>
      <c r="K490" s="362" t="n"/>
      <c r="L490" s="362" t="n"/>
      <c r="M490" s="362" t="n"/>
      <c r="N490" s="362" t="n"/>
      <c r="O490" s="362" t="n"/>
      <c r="P490" s="362" t="n"/>
      <c r="T490" s="362" t="n"/>
      <c r="U490" s="362" t="n"/>
      <c r="V490" s="362" t="n"/>
      <c r="W490" s="362" t="n"/>
      <c r="X490" s="362" t="n"/>
      <c r="Y490" s="362" t="n"/>
    </row>
    <row r="491">
      <c r="B491" s="430" t="n"/>
      <c r="C491" s="430" t="n"/>
      <c r="D491" s="430" t="n"/>
      <c r="E491" s="430" t="n"/>
      <c r="F491" s="430" t="n"/>
      <c r="G491" s="430" t="n"/>
      <c r="H491" s="362" t="n"/>
      <c r="I491" s="362" t="n"/>
      <c r="K491" s="362" t="n"/>
      <c r="L491" s="362" t="n"/>
      <c r="M491" s="362" t="n"/>
      <c r="N491" s="362" t="n"/>
      <c r="O491" s="362" t="n"/>
      <c r="P491" s="362" t="n"/>
      <c r="T491" s="362" t="n"/>
      <c r="U491" s="362" t="n"/>
      <c r="V491" s="362" t="n"/>
      <c r="W491" s="362" t="n"/>
      <c r="X491" s="362" t="n"/>
      <c r="Y491" s="362" t="n"/>
    </row>
    <row r="492">
      <c r="B492" s="430" t="n"/>
      <c r="C492" s="430" t="n"/>
      <c r="D492" s="430" t="n"/>
      <c r="E492" s="430" t="n"/>
      <c r="F492" s="430" t="n"/>
      <c r="G492" s="430" t="n"/>
      <c r="H492" s="362" t="n"/>
      <c r="I492" s="362" t="n"/>
      <c r="K492" s="362" t="n"/>
      <c r="L492" s="362" t="n"/>
      <c r="M492" s="362" t="n"/>
      <c r="N492" s="362" t="n"/>
      <c r="O492" s="362" t="n"/>
      <c r="P492" s="362" t="n"/>
      <c r="T492" s="362" t="n"/>
      <c r="U492" s="362" t="n"/>
      <c r="V492" s="362" t="n"/>
      <c r="W492" s="362" t="n"/>
      <c r="X492" s="362" t="n"/>
      <c r="Y492" s="362" t="n"/>
    </row>
    <row r="493">
      <c r="B493" s="430" t="n"/>
      <c r="C493" s="430" t="n"/>
      <c r="D493" s="430" t="n"/>
      <c r="E493" s="430" t="n"/>
      <c r="F493" s="430" t="n"/>
      <c r="G493" s="430" t="n"/>
      <c r="H493" s="362" t="n"/>
      <c r="I493" s="362" t="n"/>
      <c r="K493" s="362" t="n"/>
      <c r="L493" s="362" t="n"/>
      <c r="M493" s="362" t="n"/>
      <c r="N493" s="362" t="n"/>
      <c r="O493" s="362" t="n"/>
      <c r="P493" s="362" t="n"/>
      <c r="T493" s="362" t="n"/>
      <c r="U493" s="362" t="n"/>
      <c r="V493" s="362" t="n"/>
      <c r="W493" s="362" t="n"/>
      <c r="X493" s="362" t="n"/>
      <c r="Y493" s="362" t="n"/>
    </row>
    <row r="494">
      <c r="B494" s="430" t="n"/>
      <c r="C494" s="430" t="n"/>
      <c r="D494" s="430" t="n"/>
      <c r="E494" s="430" t="n"/>
      <c r="F494" s="430" t="n"/>
      <c r="G494" s="430" t="n"/>
      <c r="H494" s="362" t="n"/>
      <c r="I494" s="362" t="n"/>
      <c r="K494" s="362" t="n"/>
      <c r="L494" s="362" t="n"/>
      <c r="M494" s="362" t="n"/>
      <c r="N494" s="362" t="n"/>
      <c r="O494" s="362" t="n"/>
      <c r="P494" s="362" t="n"/>
      <c r="T494" s="362" t="n"/>
      <c r="U494" s="362" t="n"/>
      <c r="V494" s="362" t="n"/>
      <c r="W494" s="362" t="n"/>
      <c r="X494" s="362" t="n"/>
      <c r="Y494" s="362" t="n"/>
    </row>
    <row r="495">
      <c r="B495" s="430" t="n"/>
      <c r="C495" s="430" t="n"/>
      <c r="D495" s="430" t="n"/>
      <c r="E495" s="430" t="n"/>
      <c r="F495" s="430" t="n"/>
      <c r="G495" s="430" t="n"/>
      <c r="H495" s="362" t="n"/>
      <c r="I495" s="362" t="n"/>
      <c r="K495" s="362" t="n"/>
      <c r="L495" s="362" t="n"/>
      <c r="M495" s="362" t="n"/>
      <c r="N495" s="362" t="n"/>
      <c r="O495" s="362" t="n"/>
      <c r="P495" s="362" t="n"/>
      <c r="T495" s="362" t="n"/>
      <c r="U495" s="362" t="n"/>
      <c r="V495" s="362" t="n"/>
      <c r="W495" s="362" t="n"/>
      <c r="X495" s="362" t="n"/>
      <c r="Y495" s="362" t="n"/>
    </row>
    <row r="496">
      <c r="B496" s="430" t="n"/>
      <c r="C496" s="430" t="n"/>
      <c r="D496" s="430" t="n"/>
      <c r="E496" s="430" t="n"/>
      <c r="F496" s="430" t="n"/>
      <c r="G496" s="430" t="n"/>
      <c r="H496" s="362" t="n"/>
      <c r="I496" s="362" t="n"/>
      <c r="K496" s="362" t="n"/>
      <c r="L496" s="362" t="n"/>
      <c r="M496" s="362" t="n"/>
      <c r="N496" s="362" t="n"/>
      <c r="O496" s="362" t="n"/>
      <c r="P496" s="362" t="n"/>
      <c r="T496" s="362" t="n"/>
      <c r="U496" s="362" t="n"/>
      <c r="V496" s="362" t="n"/>
      <c r="W496" s="362" t="n"/>
      <c r="X496" s="362" t="n"/>
      <c r="Y496" s="362" t="n"/>
    </row>
    <row r="497">
      <c r="B497" s="430" t="n"/>
      <c r="C497" s="430" t="n"/>
      <c r="D497" s="430" t="n"/>
      <c r="E497" s="430" t="n"/>
      <c r="F497" s="430" t="n"/>
      <c r="G497" s="430" t="n"/>
      <c r="H497" s="362" t="n"/>
      <c r="I497" s="362" t="n"/>
      <c r="K497" s="362" t="n"/>
      <c r="L497" s="362" t="n"/>
      <c r="M497" s="362" t="n"/>
      <c r="N497" s="362" t="n"/>
      <c r="O497" s="362" t="n"/>
      <c r="P497" s="362" t="n"/>
      <c r="T497" s="362" t="n"/>
      <c r="U497" s="362" t="n"/>
      <c r="V497" s="362" t="n"/>
      <c r="W497" s="362" t="n"/>
      <c r="X497" s="362" t="n"/>
      <c r="Y497" s="362" t="n"/>
    </row>
    <row r="498">
      <c r="B498" s="430" t="n"/>
      <c r="C498" s="430" t="n"/>
      <c r="D498" s="430" t="n"/>
      <c r="E498" s="430" t="n"/>
      <c r="F498" s="430" t="n"/>
      <c r="G498" s="430" t="n"/>
      <c r="H498" s="362" t="n"/>
      <c r="I498" s="362" t="n"/>
      <c r="K498" s="362" t="n"/>
      <c r="L498" s="362" t="n"/>
      <c r="M498" s="362" t="n"/>
      <c r="N498" s="362" t="n"/>
      <c r="O498" s="362" t="n"/>
      <c r="P498" s="362" t="n"/>
      <c r="T498" s="362" t="n"/>
      <c r="U498" s="362" t="n"/>
      <c r="V498" s="362" t="n"/>
      <c r="W498" s="362" t="n"/>
      <c r="X498" s="362" t="n"/>
      <c r="Y498" s="362" t="n"/>
    </row>
    <row r="499">
      <c r="B499" s="430" t="n"/>
      <c r="C499" s="430" t="n"/>
      <c r="D499" s="430" t="n"/>
      <c r="E499" s="430" t="n"/>
      <c r="F499" s="430" t="n"/>
      <c r="G499" s="430" t="n"/>
      <c r="H499" s="362" t="n"/>
      <c r="I499" s="362" t="n"/>
      <c r="K499" s="362" t="n"/>
      <c r="L499" s="362" t="n"/>
      <c r="M499" s="362" t="n"/>
      <c r="N499" s="362" t="n"/>
      <c r="O499" s="362" t="n"/>
      <c r="P499" s="362" t="n"/>
      <c r="T499" s="362" t="n"/>
      <c r="U499" s="362" t="n"/>
      <c r="V499" s="362" t="n"/>
      <c r="W499" s="362" t="n"/>
      <c r="X499" s="362" t="n"/>
      <c r="Y499" s="362" t="n"/>
    </row>
    <row r="500">
      <c r="B500" s="430" t="n"/>
      <c r="C500" s="430" t="n"/>
      <c r="D500" s="430" t="n"/>
      <c r="E500" s="430" t="n"/>
      <c r="F500" s="430" t="n"/>
      <c r="G500" s="430" t="n"/>
      <c r="H500" s="362" t="n"/>
      <c r="I500" s="362" t="n"/>
      <c r="K500" s="362" t="n"/>
      <c r="L500" s="362" t="n"/>
      <c r="M500" s="362" t="n"/>
      <c r="N500" s="362" t="n"/>
      <c r="O500" s="362" t="n"/>
      <c r="P500" s="362" t="n"/>
      <c r="T500" s="362" t="n"/>
      <c r="U500" s="362" t="n"/>
      <c r="V500" s="362" t="n"/>
      <c r="W500" s="362" t="n"/>
      <c r="X500" s="362" t="n"/>
      <c r="Y500" s="362" t="n"/>
    </row>
    <row r="501">
      <c r="B501" s="430" t="n"/>
      <c r="C501" s="430" t="n"/>
      <c r="D501" s="430" t="n"/>
      <c r="E501" s="430" t="n"/>
      <c r="F501" s="430" t="n"/>
      <c r="G501" s="430" t="n"/>
      <c r="H501" s="362" t="n"/>
      <c r="I501" s="362" t="n"/>
      <c r="K501" s="362" t="n"/>
      <c r="L501" s="362" t="n"/>
      <c r="M501" s="362" t="n"/>
      <c r="N501" s="362" t="n"/>
      <c r="O501" s="362" t="n"/>
      <c r="P501" s="362" t="n"/>
      <c r="T501" s="362" t="n"/>
      <c r="U501" s="362" t="n"/>
      <c r="V501" s="362" t="n"/>
      <c r="W501" s="362" t="n"/>
      <c r="X501" s="362" t="n"/>
      <c r="Y501" s="362" t="n"/>
    </row>
    <row r="502">
      <c r="B502" s="430" t="n"/>
      <c r="C502" s="430" t="n"/>
      <c r="D502" s="430" t="n"/>
      <c r="E502" s="430" t="n"/>
      <c r="F502" s="430" t="n"/>
      <c r="G502" s="430" t="n"/>
      <c r="H502" s="362" t="n"/>
      <c r="I502" s="362" t="n"/>
      <c r="K502" s="362" t="n"/>
      <c r="L502" s="362" t="n"/>
      <c r="M502" s="362" t="n"/>
      <c r="N502" s="362" t="n"/>
      <c r="O502" s="362" t="n"/>
      <c r="P502" s="362" t="n"/>
      <c r="T502" s="362" t="n"/>
      <c r="U502" s="362" t="n"/>
      <c r="V502" s="362" t="n"/>
      <c r="W502" s="362" t="n"/>
      <c r="X502" s="362" t="n"/>
      <c r="Y502" s="362" t="n"/>
    </row>
    <row r="503">
      <c r="B503" s="430" t="n"/>
      <c r="C503" s="430" t="n"/>
      <c r="D503" s="430" t="n"/>
      <c r="E503" s="430" t="n"/>
      <c r="F503" s="430" t="n"/>
      <c r="G503" s="430" t="n"/>
      <c r="H503" s="362" t="n"/>
      <c r="I503" s="362" t="n"/>
      <c r="K503" s="362" t="n"/>
      <c r="L503" s="362" t="n"/>
      <c r="M503" s="362" t="n"/>
      <c r="N503" s="362" t="n"/>
      <c r="O503" s="362" t="n"/>
      <c r="P503" s="362" t="n"/>
      <c r="T503" s="362" t="n"/>
      <c r="U503" s="362" t="n"/>
      <c r="V503" s="362" t="n"/>
      <c r="W503" s="362" t="n"/>
      <c r="X503" s="362" t="n"/>
      <c r="Y503" s="362" t="n"/>
    </row>
    <row r="504">
      <c r="B504" s="430" t="n"/>
      <c r="C504" s="430" t="n"/>
      <c r="D504" s="430" t="n"/>
      <c r="E504" s="430" t="n"/>
      <c r="F504" s="430" t="n"/>
      <c r="G504" s="430" t="n"/>
      <c r="H504" s="362" t="n"/>
      <c r="I504" s="362" t="n"/>
      <c r="K504" s="362" t="n"/>
      <c r="L504" s="362" t="n"/>
      <c r="M504" s="362" t="n"/>
      <c r="N504" s="362" t="n"/>
      <c r="O504" s="362" t="n"/>
      <c r="P504" s="362" t="n"/>
      <c r="T504" s="362" t="n"/>
      <c r="U504" s="362" t="n"/>
      <c r="V504" s="362" t="n"/>
      <c r="W504" s="362" t="n"/>
      <c r="X504" s="362" t="n"/>
      <c r="Y504" s="362" t="n"/>
    </row>
    <row r="505">
      <c r="B505" s="430" t="n"/>
      <c r="C505" s="430" t="n"/>
      <c r="D505" s="430" t="n"/>
      <c r="E505" s="430" t="n"/>
      <c r="F505" s="430" t="n"/>
      <c r="G505" s="430" t="n"/>
      <c r="H505" s="362" t="n"/>
      <c r="I505" s="362" t="n"/>
      <c r="K505" s="362" t="n"/>
      <c r="L505" s="362" t="n"/>
      <c r="M505" s="362" t="n"/>
      <c r="N505" s="362" t="n"/>
      <c r="O505" s="362" t="n"/>
      <c r="P505" s="362" t="n"/>
      <c r="T505" s="362" t="n"/>
      <c r="U505" s="362" t="n"/>
      <c r="V505" s="362" t="n"/>
      <c r="W505" s="362" t="n"/>
      <c r="X505" s="362" t="n"/>
      <c r="Y505" s="362" t="n"/>
    </row>
    <row r="506">
      <c r="B506" s="430" t="n"/>
      <c r="C506" s="430" t="n"/>
      <c r="D506" s="430" t="n"/>
      <c r="E506" s="430" t="n"/>
      <c r="F506" s="430" t="n"/>
      <c r="G506" s="430" t="n"/>
      <c r="H506" s="362" t="n"/>
      <c r="I506" s="362" t="n"/>
      <c r="K506" s="362" t="n"/>
      <c r="L506" s="362" t="n"/>
      <c r="M506" s="362" t="n"/>
      <c r="N506" s="362" t="n"/>
      <c r="O506" s="362" t="n"/>
      <c r="P506" s="362" t="n"/>
      <c r="T506" s="362" t="n"/>
      <c r="U506" s="362" t="n"/>
      <c r="V506" s="362" t="n"/>
      <c r="W506" s="362" t="n"/>
      <c r="X506" s="362" t="n"/>
      <c r="Y506" s="362" t="n"/>
    </row>
    <row r="507">
      <c r="B507" s="430" t="n"/>
      <c r="C507" s="430" t="n"/>
      <c r="D507" s="430" t="n"/>
      <c r="E507" s="430" t="n"/>
      <c r="F507" s="430" t="n"/>
      <c r="G507" s="430" t="n"/>
      <c r="H507" s="362" t="n"/>
      <c r="I507" s="362" t="n"/>
      <c r="K507" s="362" t="n"/>
      <c r="L507" s="362" t="n"/>
      <c r="M507" s="362" t="n"/>
      <c r="N507" s="362" t="n"/>
      <c r="O507" s="362" t="n"/>
      <c r="P507" s="362" t="n"/>
      <c r="T507" s="362" t="n"/>
      <c r="U507" s="362" t="n"/>
      <c r="V507" s="362" t="n"/>
      <c r="W507" s="362" t="n"/>
      <c r="X507" s="362" t="n"/>
      <c r="Y507" s="362" t="n"/>
    </row>
    <row r="508">
      <c r="B508" s="430" t="n"/>
      <c r="C508" s="430" t="n"/>
      <c r="D508" s="430" t="n"/>
      <c r="E508" s="430" t="n"/>
      <c r="F508" s="430" t="n"/>
      <c r="G508" s="430" t="n"/>
      <c r="H508" s="362" t="n"/>
      <c r="I508" s="362" t="n"/>
      <c r="K508" s="362" t="n"/>
      <c r="L508" s="362" t="n"/>
      <c r="M508" s="362" t="n"/>
      <c r="N508" s="362" t="n"/>
      <c r="O508" s="362" t="n"/>
      <c r="P508" s="362" t="n"/>
      <c r="T508" s="362" t="n"/>
      <c r="U508" s="362" t="n"/>
      <c r="V508" s="362" t="n"/>
      <c r="W508" s="362" t="n"/>
      <c r="X508" s="362" t="n"/>
      <c r="Y508" s="362" t="n"/>
    </row>
    <row r="509">
      <c r="B509" s="430" t="n"/>
      <c r="C509" s="430" t="n"/>
      <c r="D509" s="430" t="n"/>
      <c r="E509" s="430" t="n"/>
      <c r="F509" s="430" t="n"/>
      <c r="G509" s="430" t="n"/>
      <c r="H509" s="362" t="n"/>
      <c r="I509" s="362" t="n"/>
      <c r="K509" s="362" t="n"/>
      <c r="L509" s="362" t="n"/>
      <c r="M509" s="362" t="n"/>
      <c r="N509" s="362" t="n"/>
      <c r="O509" s="362" t="n"/>
      <c r="P509" s="362" t="n"/>
      <c r="T509" s="362" t="n"/>
      <c r="U509" s="362" t="n"/>
      <c r="V509" s="362" t="n"/>
      <c r="W509" s="362" t="n"/>
      <c r="X509" s="362" t="n"/>
      <c r="Y509" s="362" t="n"/>
    </row>
    <row r="510">
      <c r="B510" s="430" t="n"/>
      <c r="C510" s="430" t="n"/>
      <c r="D510" s="430" t="n"/>
      <c r="E510" s="430" t="n"/>
      <c r="F510" s="430" t="n"/>
      <c r="G510" s="430" t="n"/>
      <c r="H510" s="362" t="n"/>
      <c r="I510" s="362" t="n"/>
      <c r="K510" s="362" t="n"/>
      <c r="L510" s="362" t="n"/>
      <c r="M510" s="362" t="n"/>
      <c r="N510" s="362" t="n"/>
      <c r="O510" s="362" t="n"/>
      <c r="P510" s="362" t="n"/>
      <c r="T510" s="362" t="n"/>
      <c r="U510" s="362" t="n"/>
      <c r="V510" s="362" t="n"/>
      <c r="W510" s="362" t="n"/>
      <c r="X510" s="362" t="n"/>
      <c r="Y510" s="362" t="n"/>
    </row>
    <row r="511">
      <c r="B511" s="430" t="n"/>
      <c r="C511" s="430" t="n"/>
      <c r="D511" s="430" t="n"/>
      <c r="E511" s="430" t="n"/>
      <c r="F511" s="430" t="n"/>
      <c r="G511" s="430" t="n"/>
      <c r="H511" s="362" t="n"/>
      <c r="I511" s="362" t="n"/>
      <c r="K511" s="362" t="n"/>
      <c r="L511" s="362" t="n"/>
      <c r="M511" s="362" t="n"/>
      <c r="N511" s="362" t="n"/>
      <c r="O511" s="362" t="n"/>
      <c r="P511" s="362" t="n"/>
      <c r="T511" s="362" t="n"/>
      <c r="U511" s="362" t="n"/>
      <c r="V511" s="362" t="n"/>
      <c r="W511" s="362" t="n"/>
      <c r="X511" s="362" t="n"/>
      <c r="Y511" s="362" t="n"/>
    </row>
    <row r="512">
      <c r="B512" s="430" t="n"/>
      <c r="C512" s="430" t="n"/>
      <c r="D512" s="430" t="n"/>
      <c r="E512" s="430" t="n"/>
      <c r="F512" s="430" t="n"/>
      <c r="G512" s="430" t="n"/>
      <c r="H512" s="362" t="n"/>
      <c r="I512" s="362" t="n"/>
      <c r="K512" s="362" t="n"/>
      <c r="L512" s="362" t="n"/>
      <c r="M512" s="362" t="n"/>
      <c r="N512" s="362" t="n"/>
      <c r="O512" s="362" t="n"/>
      <c r="P512" s="362" t="n"/>
      <c r="T512" s="362" t="n"/>
      <c r="U512" s="362" t="n"/>
      <c r="V512" s="362" t="n"/>
      <c r="W512" s="362" t="n"/>
      <c r="X512" s="362" t="n"/>
      <c r="Y512" s="362" t="n"/>
    </row>
    <row r="513">
      <c r="B513" s="430" t="n"/>
      <c r="C513" s="430" t="n"/>
      <c r="D513" s="430" t="n"/>
      <c r="E513" s="430" t="n"/>
      <c r="F513" s="430" t="n"/>
      <c r="G513" s="430" t="n"/>
      <c r="H513" s="362" t="n"/>
      <c r="I513" s="362" t="n"/>
      <c r="K513" s="362" t="n"/>
      <c r="L513" s="362" t="n"/>
      <c r="M513" s="362" t="n"/>
      <c r="N513" s="362" t="n"/>
      <c r="O513" s="362" t="n"/>
      <c r="P513" s="362" t="n"/>
      <c r="T513" s="362" t="n"/>
      <c r="U513" s="362" t="n"/>
      <c r="V513" s="362" t="n"/>
      <c r="W513" s="362" t="n"/>
      <c r="X513" s="362" t="n"/>
      <c r="Y513" s="362" t="n"/>
    </row>
    <row r="514">
      <c r="B514" s="430" t="n"/>
      <c r="C514" s="430" t="n"/>
      <c r="D514" s="430" t="n"/>
      <c r="E514" s="430" t="n"/>
      <c r="F514" s="430" t="n"/>
      <c r="G514" s="430" t="n"/>
      <c r="H514" s="362" t="n"/>
      <c r="I514" s="362" t="n"/>
      <c r="K514" s="362" t="n"/>
      <c r="L514" s="362" t="n"/>
      <c r="M514" s="362" t="n"/>
      <c r="N514" s="362" t="n"/>
      <c r="O514" s="362" t="n"/>
      <c r="P514" s="362" t="n"/>
      <c r="T514" s="362" t="n"/>
      <c r="U514" s="362" t="n"/>
      <c r="V514" s="362" t="n"/>
      <c r="W514" s="362" t="n"/>
      <c r="X514" s="362" t="n"/>
      <c r="Y514" s="362" t="n"/>
    </row>
    <row r="515">
      <c r="B515" s="430" t="n"/>
      <c r="C515" s="430" t="n"/>
      <c r="D515" s="430" t="n"/>
      <c r="E515" s="430" t="n"/>
      <c r="F515" s="430" t="n"/>
      <c r="G515" s="430" t="n"/>
      <c r="H515" s="362" t="n"/>
      <c r="I515" s="362" t="n"/>
      <c r="K515" s="362" t="n"/>
      <c r="L515" s="362" t="n"/>
      <c r="M515" s="362" t="n"/>
      <c r="N515" s="362" t="n"/>
      <c r="O515" s="362" t="n"/>
      <c r="P515" s="362" t="n"/>
      <c r="T515" s="362" t="n"/>
      <c r="U515" s="362" t="n"/>
      <c r="V515" s="362" t="n"/>
      <c r="W515" s="362" t="n"/>
      <c r="X515" s="362" t="n"/>
      <c r="Y515" s="362" t="n"/>
    </row>
    <row r="516">
      <c r="B516" s="430" t="n"/>
      <c r="C516" s="430" t="n"/>
      <c r="D516" s="430" t="n"/>
      <c r="E516" s="430" t="n"/>
      <c r="F516" s="430" t="n"/>
      <c r="G516" s="430" t="n"/>
      <c r="H516" s="362" t="n"/>
      <c r="I516" s="362" t="n"/>
      <c r="K516" s="362" t="n"/>
      <c r="L516" s="362" t="n"/>
      <c r="M516" s="362" t="n"/>
      <c r="N516" s="362" t="n"/>
      <c r="O516" s="362" t="n"/>
      <c r="P516" s="362" t="n"/>
      <c r="T516" s="362" t="n"/>
      <c r="U516" s="362" t="n"/>
      <c r="V516" s="362" t="n"/>
      <c r="W516" s="362" t="n"/>
      <c r="X516" s="362" t="n"/>
      <c r="Y516" s="362" t="n"/>
    </row>
    <row r="517">
      <c r="B517" s="430" t="n"/>
      <c r="C517" s="430" t="n"/>
      <c r="D517" s="430" t="n"/>
      <c r="E517" s="430" t="n"/>
      <c r="F517" s="430" t="n"/>
      <c r="G517" s="430" t="n"/>
      <c r="H517" s="362" t="n"/>
      <c r="I517" s="362" t="n"/>
      <c r="K517" s="362" t="n"/>
      <c r="L517" s="362" t="n"/>
      <c r="M517" s="362" t="n"/>
      <c r="N517" s="362" t="n"/>
      <c r="O517" s="362" t="n"/>
      <c r="P517" s="362" t="n"/>
      <c r="T517" s="362" t="n"/>
      <c r="U517" s="362" t="n"/>
      <c r="V517" s="362" t="n"/>
      <c r="W517" s="362" t="n"/>
      <c r="X517" s="362" t="n"/>
      <c r="Y517" s="362" t="n"/>
    </row>
    <row r="518">
      <c r="B518" s="430" t="n"/>
      <c r="C518" s="430" t="n"/>
      <c r="D518" s="430" t="n"/>
      <c r="E518" s="430" t="n"/>
      <c r="F518" s="430" t="n"/>
      <c r="G518" s="430" t="n"/>
      <c r="H518" s="362" t="n"/>
      <c r="I518" s="362" t="n"/>
      <c r="K518" s="362" t="n"/>
      <c r="L518" s="362" t="n"/>
      <c r="M518" s="362" t="n"/>
      <c r="N518" s="362" t="n"/>
      <c r="O518" s="362" t="n"/>
      <c r="P518" s="362" t="n"/>
      <c r="T518" s="362" t="n"/>
      <c r="U518" s="362" t="n"/>
      <c r="V518" s="362" t="n"/>
      <c r="W518" s="362" t="n"/>
      <c r="X518" s="362" t="n"/>
      <c r="Y518" s="362" t="n"/>
    </row>
    <row r="519">
      <c r="B519" s="430" t="n"/>
      <c r="C519" s="430" t="n"/>
      <c r="D519" s="430" t="n"/>
      <c r="E519" s="430" t="n"/>
      <c r="F519" s="430" t="n"/>
      <c r="G519" s="430" t="n"/>
      <c r="H519" s="362" t="n"/>
      <c r="I519" s="362" t="n"/>
      <c r="K519" s="362" t="n"/>
      <c r="L519" s="362" t="n"/>
      <c r="M519" s="362" t="n"/>
      <c r="N519" s="362" t="n"/>
      <c r="O519" s="362" t="n"/>
      <c r="P519" s="362" t="n"/>
      <c r="T519" s="362" t="n"/>
      <c r="U519" s="362" t="n"/>
      <c r="V519" s="362" t="n"/>
      <c r="W519" s="362" t="n"/>
      <c r="X519" s="362" t="n"/>
      <c r="Y519" s="362" t="n"/>
    </row>
    <row r="520">
      <c r="B520" s="430" t="n"/>
      <c r="C520" s="430" t="n"/>
      <c r="D520" s="430" t="n"/>
      <c r="E520" s="430" t="n"/>
      <c r="F520" s="430" t="n"/>
      <c r="G520" s="430" t="n"/>
      <c r="H520" s="362" t="n"/>
      <c r="I520" s="362" t="n"/>
      <c r="K520" s="362" t="n"/>
      <c r="L520" s="362" t="n"/>
      <c r="M520" s="362" t="n"/>
      <c r="N520" s="362" t="n"/>
      <c r="O520" s="362" t="n"/>
      <c r="P520" s="362" t="n"/>
      <c r="T520" s="362" t="n"/>
      <c r="U520" s="362" t="n"/>
      <c r="V520" s="362" t="n"/>
      <c r="W520" s="362" t="n"/>
      <c r="X520" s="362" t="n"/>
      <c r="Y520" s="362" t="n"/>
    </row>
    <row r="521">
      <c r="B521" s="430" t="n"/>
      <c r="C521" s="430" t="n"/>
      <c r="D521" s="430" t="n"/>
      <c r="E521" s="430" t="n"/>
      <c r="F521" s="430" t="n"/>
      <c r="G521" s="430" t="n"/>
      <c r="H521" s="362" t="n"/>
      <c r="I521" s="362" t="n"/>
      <c r="K521" s="362" t="n"/>
      <c r="L521" s="362" t="n"/>
      <c r="M521" s="362" t="n"/>
      <c r="N521" s="362" t="n"/>
      <c r="O521" s="362" t="n"/>
      <c r="P521" s="362" t="n"/>
      <c r="T521" s="362" t="n"/>
      <c r="U521" s="362" t="n"/>
      <c r="V521" s="362" t="n"/>
      <c r="W521" s="362" t="n"/>
      <c r="X521" s="362" t="n"/>
      <c r="Y521" s="362" t="n"/>
    </row>
    <row r="522">
      <c r="B522" s="430" t="n"/>
      <c r="C522" s="430" t="n"/>
      <c r="D522" s="430" t="n"/>
      <c r="E522" s="430" t="n"/>
      <c r="F522" s="430" t="n"/>
      <c r="G522" s="430" t="n"/>
      <c r="H522" s="362" t="n"/>
      <c r="I522" s="362" t="n"/>
      <c r="K522" s="362" t="n"/>
      <c r="L522" s="362" t="n"/>
      <c r="M522" s="362" t="n"/>
      <c r="N522" s="362" t="n"/>
      <c r="O522" s="362" t="n"/>
      <c r="P522" s="362" t="n"/>
      <c r="T522" s="362" t="n"/>
      <c r="U522" s="362" t="n"/>
      <c r="V522" s="362" t="n"/>
      <c r="W522" s="362" t="n"/>
      <c r="X522" s="362" t="n"/>
      <c r="Y522" s="362" t="n"/>
    </row>
    <row r="523">
      <c r="B523" s="430" t="n"/>
      <c r="C523" s="430" t="n"/>
      <c r="D523" s="430" t="n"/>
      <c r="E523" s="430" t="n"/>
      <c r="F523" s="430" t="n"/>
      <c r="G523" s="430" t="n"/>
      <c r="H523" s="362" t="n"/>
      <c r="I523" s="362" t="n"/>
      <c r="K523" s="362" t="n"/>
      <c r="L523" s="362" t="n"/>
      <c r="M523" s="362" t="n"/>
      <c r="N523" s="362" t="n"/>
      <c r="O523" s="362" t="n"/>
      <c r="P523" s="362" t="n"/>
      <c r="T523" s="362" t="n"/>
      <c r="U523" s="362" t="n"/>
      <c r="V523" s="362" t="n"/>
      <c r="W523" s="362" t="n"/>
      <c r="X523" s="362" t="n"/>
      <c r="Y523" s="362" t="n"/>
    </row>
    <row r="524">
      <c r="B524" s="430" t="n"/>
      <c r="C524" s="430" t="n"/>
      <c r="D524" s="430" t="n"/>
      <c r="E524" s="430" t="n"/>
      <c r="F524" s="430" t="n"/>
      <c r="G524" s="430" t="n"/>
      <c r="H524" s="362" t="n"/>
      <c r="I524" s="362" t="n"/>
      <c r="K524" s="362" t="n"/>
      <c r="L524" s="362" t="n"/>
      <c r="M524" s="362" t="n"/>
      <c r="N524" s="362" t="n"/>
      <c r="O524" s="362" t="n"/>
      <c r="P524" s="362" t="n"/>
      <c r="T524" s="362" t="n"/>
      <c r="U524" s="362" t="n"/>
      <c r="V524" s="362" t="n"/>
      <c r="W524" s="362" t="n"/>
      <c r="X524" s="362" t="n"/>
      <c r="Y524" s="362" t="n"/>
    </row>
    <row r="525">
      <c r="B525" s="430" t="n"/>
      <c r="C525" s="430" t="n"/>
      <c r="D525" s="430" t="n"/>
      <c r="E525" s="430" t="n"/>
      <c r="F525" s="430" t="n"/>
      <c r="G525" s="430" t="n"/>
      <c r="H525" s="362" t="n"/>
      <c r="I525" s="362" t="n"/>
      <c r="K525" s="362" t="n"/>
      <c r="L525" s="362" t="n"/>
      <c r="M525" s="362" t="n"/>
      <c r="N525" s="362" t="n"/>
      <c r="O525" s="362" t="n"/>
      <c r="P525" s="362" t="n"/>
      <c r="T525" s="362" t="n"/>
      <c r="U525" s="362" t="n"/>
      <c r="V525" s="362" t="n"/>
      <c r="W525" s="362" t="n"/>
      <c r="X525" s="362" t="n"/>
      <c r="Y525" s="362" t="n"/>
    </row>
    <row r="526">
      <c r="B526" s="430" t="n"/>
      <c r="C526" s="430" t="n"/>
      <c r="D526" s="430" t="n"/>
      <c r="E526" s="430" t="n"/>
      <c r="F526" s="430" t="n"/>
      <c r="G526" s="430" t="n"/>
      <c r="H526" s="362" t="n"/>
      <c r="I526" s="362" t="n"/>
      <c r="K526" s="362" t="n"/>
      <c r="L526" s="362" t="n"/>
      <c r="M526" s="362" t="n"/>
      <c r="N526" s="362" t="n"/>
      <c r="O526" s="362" t="n"/>
      <c r="P526" s="362" t="n"/>
      <c r="T526" s="362" t="n"/>
      <c r="U526" s="362" t="n"/>
      <c r="V526" s="362" t="n"/>
      <c r="W526" s="362" t="n"/>
      <c r="X526" s="362" t="n"/>
      <c r="Y526" s="362" t="n"/>
    </row>
    <row r="527">
      <c r="B527" s="430" t="n"/>
      <c r="C527" s="430" t="n"/>
      <c r="D527" s="430" t="n"/>
      <c r="E527" s="430" t="n"/>
      <c r="F527" s="430" t="n"/>
      <c r="G527" s="430" t="n"/>
      <c r="H527" s="362" t="n"/>
      <c r="I527" s="362" t="n"/>
      <c r="K527" s="362" t="n"/>
      <c r="L527" s="362" t="n"/>
      <c r="M527" s="362" t="n"/>
      <c r="N527" s="362" t="n"/>
      <c r="O527" s="362" t="n"/>
      <c r="P527" s="362" t="n"/>
      <c r="T527" s="362" t="n"/>
      <c r="U527" s="362" t="n"/>
      <c r="V527" s="362" t="n"/>
      <c r="W527" s="362" t="n"/>
      <c r="X527" s="362" t="n"/>
      <c r="Y527" s="362" t="n"/>
    </row>
    <row r="528">
      <c r="B528" s="430" t="n"/>
      <c r="C528" s="430" t="n"/>
      <c r="D528" s="430" t="n"/>
      <c r="E528" s="430" t="n"/>
      <c r="F528" s="430" t="n"/>
      <c r="G528" s="430" t="n"/>
      <c r="H528" s="362" t="n"/>
      <c r="I528" s="362" t="n"/>
      <c r="K528" s="362" t="n"/>
      <c r="L528" s="362" t="n"/>
      <c r="M528" s="362" t="n"/>
      <c r="N528" s="362" t="n"/>
      <c r="O528" s="362" t="n"/>
      <c r="P528" s="362" t="n"/>
      <c r="T528" s="362" t="n"/>
      <c r="U528" s="362" t="n"/>
      <c r="V528" s="362" t="n"/>
      <c r="W528" s="362" t="n"/>
      <c r="X528" s="362" t="n"/>
      <c r="Y528" s="362" t="n"/>
    </row>
    <row r="529">
      <c r="B529" s="430" t="n"/>
      <c r="C529" s="430" t="n"/>
      <c r="D529" s="430" t="n"/>
      <c r="E529" s="430" t="n"/>
      <c r="F529" s="430" t="n"/>
      <c r="G529" s="430" t="n"/>
      <c r="H529" s="362" t="n"/>
      <c r="I529" s="362" t="n"/>
      <c r="K529" s="362" t="n"/>
      <c r="L529" s="362" t="n"/>
      <c r="M529" s="362" t="n"/>
      <c r="N529" s="362" t="n"/>
      <c r="O529" s="362" t="n"/>
      <c r="P529" s="362" t="n"/>
      <c r="T529" s="362" t="n"/>
      <c r="U529" s="362" t="n"/>
      <c r="V529" s="362" t="n"/>
      <c r="W529" s="362" t="n"/>
      <c r="X529" s="362" t="n"/>
      <c r="Y529" s="362" t="n"/>
    </row>
    <row r="530">
      <c r="B530" s="430" t="n"/>
      <c r="C530" s="430" t="n"/>
      <c r="D530" s="430" t="n"/>
      <c r="E530" s="430" t="n"/>
      <c r="F530" s="430" t="n"/>
      <c r="G530" s="430" t="n"/>
      <c r="H530" s="362" t="n"/>
      <c r="I530" s="362" t="n"/>
      <c r="K530" s="362" t="n"/>
      <c r="L530" s="362" t="n"/>
      <c r="M530" s="362" t="n"/>
      <c r="N530" s="362" t="n"/>
      <c r="O530" s="362" t="n"/>
      <c r="P530" s="362" t="n"/>
      <c r="T530" s="362" t="n"/>
      <c r="U530" s="362" t="n"/>
      <c r="V530" s="362" t="n"/>
      <c r="W530" s="362" t="n"/>
      <c r="X530" s="362" t="n"/>
      <c r="Y530" s="362" t="n"/>
    </row>
    <row r="531">
      <c r="B531" s="430" t="n"/>
      <c r="C531" s="430" t="n"/>
      <c r="D531" s="430" t="n"/>
      <c r="E531" s="430" t="n"/>
      <c r="F531" s="430" t="n"/>
      <c r="G531" s="430" t="n"/>
      <c r="H531" s="362" t="n"/>
      <c r="I531" s="362" t="n"/>
      <c r="K531" s="362" t="n"/>
      <c r="L531" s="362" t="n"/>
      <c r="M531" s="362" t="n"/>
      <c r="N531" s="362" t="n"/>
      <c r="O531" s="362" t="n"/>
      <c r="P531" s="362" t="n"/>
      <c r="T531" s="362" t="n"/>
      <c r="U531" s="362" t="n"/>
      <c r="V531" s="362" t="n"/>
      <c r="W531" s="362" t="n"/>
      <c r="X531" s="362" t="n"/>
      <c r="Y531" s="362" t="n"/>
    </row>
    <row r="532">
      <c r="B532" s="430" t="n"/>
      <c r="C532" s="430" t="n"/>
      <c r="D532" s="430" t="n"/>
      <c r="E532" s="430" t="n"/>
      <c r="F532" s="430" t="n"/>
      <c r="G532" s="430" t="n"/>
      <c r="H532" s="362" t="n"/>
      <c r="I532" s="362" t="n"/>
      <c r="K532" s="362" t="n"/>
      <c r="L532" s="362" t="n"/>
      <c r="M532" s="362" t="n"/>
      <c r="N532" s="362" t="n"/>
      <c r="O532" s="362" t="n"/>
      <c r="P532" s="362" t="n"/>
      <c r="T532" s="362" t="n"/>
      <c r="U532" s="362" t="n"/>
      <c r="V532" s="362" t="n"/>
      <c r="W532" s="362" t="n"/>
      <c r="X532" s="362" t="n"/>
      <c r="Y532" s="362" t="n"/>
    </row>
    <row r="533">
      <c r="B533" s="430" t="n"/>
      <c r="C533" s="430" t="n"/>
      <c r="D533" s="430" t="n"/>
      <c r="E533" s="430" t="n"/>
      <c r="F533" s="430" t="n"/>
      <c r="G533" s="430" t="n"/>
      <c r="H533" s="362" t="n"/>
      <c r="I533" s="362" t="n"/>
      <c r="K533" s="362" t="n"/>
      <c r="L533" s="362" t="n"/>
      <c r="M533" s="362" t="n"/>
      <c r="N533" s="362" t="n"/>
      <c r="O533" s="362" t="n"/>
      <c r="P533" s="362" t="n"/>
      <c r="T533" s="362" t="n"/>
      <c r="U533" s="362" t="n"/>
      <c r="V533" s="362" t="n"/>
      <c r="W533" s="362" t="n"/>
      <c r="X533" s="362" t="n"/>
      <c r="Y533" s="362" t="n"/>
    </row>
    <row r="534">
      <c r="B534" s="430" t="n"/>
      <c r="C534" s="430" t="n"/>
      <c r="D534" s="430" t="n"/>
      <c r="E534" s="430" t="n"/>
      <c r="F534" s="430" t="n"/>
      <c r="G534" s="430" t="n"/>
      <c r="H534" s="362" t="n"/>
      <c r="I534" s="362" t="n"/>
      <c r="K534" s="362" t="n"/>
      <c r="L534" s="362" t="n"/>
      <c r="M534" s="362" t="n"/>
      <c r="N534" s="362" t="n"/>
      <c r="O534" s="362" t="n"/>
      <c r="P534" s="362" t="n"/>
      <c r="T534" s="362" t="n"/>
      <c r="U534" s="362" t="n"/>
      <c r="V534" s="362" t="n"/>
      <c r="W534" s="362" t="n"/>
      <c r="X534" s="362" t="n"/>
      <c r="Y534" s="362" t="n"/>
    </row>
    <row r="535">
      <c r="B535" s="430" t="n"/>
      <c r="C535" s="430" t="n"/>
      <c r="D535" s="430" t="n"/>
      <c r="E535" s="430" t="n"/>
      <c r="F535" s="430" t="n"/>
      <c r="G535" s="430" t="n"/>
      <c r="H535" s="362" t="n"/>
      <c r="I535" s="362" t="n"/>
      <c r="K535" s="362" t="n"/>
      <c r="L535" s="362" t="n"/>
      <c r="M535" s="362" t="n"/>
      <c r="N535" s="362" t="n"/>
      <c r="O535" s="362" t="n"/>
      <c r="P535" s="362" t="n"/>
      <c r="T535" s="362" t="n"/>
      <c r="U535" s="362" t="n"/>
      <c r="V535" s="362" t="n"/>
      <c r="W535" s="362" t="n"/>
      <c r="X535" s="362" t="n"/>
      <c r="Y535" s="362" t="n"/>
    </row>
    <row r="536">
      <c r="B536" s="430" t="n"/>
      <c r="C536" s="430" t="n"/>
      <c r="D536" s="430" t="n"/>
      <c r="E536" s="430" t="n"/>
      <c r="F536" s="430" t="n"/>
      <c r="G536" s="430" t="n"/>
      <c r="H536" s="362" t="n"/>
      <c r="I536" s="362" t="n"/>
      <c r="K536" s="362" t="n"/>
      <c r="L536" s="362" t="n"/>
      <c r="M536" s="362" t="n"/>
      <c r="N536" s="362" t="n"/>
      <c r="O536" s="362" t="n"/>
      <c r="P536" s="362" t="n"/>
      <c r="T536" s="362" t="n"/>
      <c r="U536" s="362" t="n"/>
      <c r="V536" s="362" t="n"/>
      <c r="W536" s="362" t="n"/>
      <c r="X536" s="362" t="n"/>
      <c r="Y536" s="362" t="n"/>
    </row>
    <row r="537">
      <c r="B537" s="430" t="n"/>
      <c r="C537" s="430" t="n"/>
      <c r="D537" s="430" t="n"/>
      <c r="E537" s="430" t="n"/>
      <c r="F537" s="430" t="n"/>
      <c r="G537" s="430" t="n"/>
      <c r="H537" s="362" t="n"/>
      <c r="I537" s="362" t="n"/>
      <c r="K537" s="362" t="n"/>
      <c r="L537" s="362" t="n"/>
      <c r="M537" s="362" t="n"/>
      <c r="N537" s="362" t="n"/>
      <c r="O537" s="362" t="n"/>
      <c r="P537" s="362" t="n"/>
      <c r="T537" s="362" t="n"/>
      <c r="U537" s="362" t="n"/>
      <c r="V537" s="362" t="n"/>
      <c r="W537" s="362" t="n"/>
      <c r="X537" s="362" t="n"/>
      <c r="Y537" s="362" t="n"/>
    </row>
    <row r="538">
      <c r="B538" s="430" t="n"/>
      <c r="C538" s="430" t="n"/>
      <c r="D538" s="430" t="n"/>
      <c r="E538" s="430" t="n"/>
      <c r="F538" s="430" t="n"/>
      <c r="G538" s="430" t="n"/>
      <c r="H538" s="362" t="n"/>
      <c r="I538" s="362" t="n"/>
      <c r="K538" s="362" t="n"/>
      <c r="L538" s="362" t="n"/>
      <c r="M538" s="362" t="n"/>
      <c r="N538" s="362" t="n"/>
      <c r="O538" s="362" t="n"/>
      <c r="P538" s="362" t="n"/>
      <c r="T538" s="362" t="n"/>
      <c r="U538" s="362" t="n"/>
      <c r="V538" s="362" t="n"/>
      <c r="W538" s="362" t="n"/>
      <c r="X538" s="362" t="n"/>
      <c r="Y538" s="362" t="n"/>
    </row>
    <row r="539">
      <c r="B539" s="430" t="n"/>
      <c r="C539" s="430" t="n"/>
      <c r="D539" s="430" t="n"/>
      <c r="E539" s="430" t="n"/>
      <c r="F539" s="430" t="n"/>
      <c r="G539" s="430" t="n"/>
      <c r="H539" s="362" t="n"/>
      <c r="I539" s="362" t="n"/>
      <c r="K539" s="362" t="n"/>
      <c r="L539" s="362" t="n"/>
      <c r="M539" s="362" t="n"/>
      <c r="N539" s="362" t="n"/>
      <c r="O539" s="362" t="n"/>
      <c r="P539" s="362" t="n"/>
      <c r="T539" s="362" t="n"/>
      <c r="U539" s="362" t="n"/>
      <c r="V539" s="362" t="n"/>
      <c r="W539" s="362" t="n"/>
      <c r="X539" s="362" t="n"/>
      <c r="Y539" s="362" t="n"/>
    </row>
    <row r="540">
      <c r="B540" s="430" t="n"/>
      <c r="C540" s="430" t="n"/>
      <c r="D540" s="430" t="n"/>
      <c r="E540" s="430" t="n"/>
      <c r="F540" s="430" t="n"/>
      <c r="G540" s="430" t="n"/>
      <c r="H540" s="362" t="n"/>
      <c r="I540" s="362" t="n"/>
      <c r="K540" s="362" t="n"/>
      <c r="L540" s="362" t="n"/>
      <c r="M540" s="362" t="n"/>
      <c r="N540" s="362" t="n"/>
      <c r="O540" s="362" t="n"/>
      <c r="P540" s="362" t="n"/>
      <c r="T540" s="362" t="n"/>
      <c r="U540" s="362" t="n"/>
      <c r="V540" s="362" t="n"/>
      <c r="W540" s="362" t="n"/>
      <c r="X540" s="362" t="n"/>
      <c r="Y540" s="362" t="n"/>
    </row>
    <row r="541">
      <c r="B541" s="430" t="n"/>
      <c r="C541" s="430" t="n"/>
      <c r="D541" s="430" t="n"/>
      <c r="E541" s="430" t="n"/>
      <c r="F541" s="430" t="n"/>
      <c r="G541" s="430" t="n"/>
      <c r="H541" s="362" t="n"/>
      <c r="I541" s="362" t="n"/>
      <c r="K541" s="362" t="n"/>
      <c r="L541" s="362" t="n"/>
      <c r="M541" s="362" t="n"/>
      <c r="N541" s="362" t="n"/>
      <c r="O541" s="362" t="n"/>
      <c r="P541" s="362" t="n"/>
      <c r="T541" s="362" t="n"/>
      <c r="U541" s="362" t="n"/>
      <c r="V541" s="362" t="n"/>
      <c r="W541" s="362" t="n"/>
      <c r="X541" s="362" t="n"/>
      <c r="Y541" s="362" t="n"/>
    </row>
    <row r="542">
      <c r="B542" s="430" t="n"/>
      <c r="C542" s="430" t="n"/>
      <c r="D542" s="430" t="n"/>
      <c r="E542" s="430" t="n"/>
      <c r="F542" s="430" t="n"/>
      <c r="G542" s="430" t="n"/>
      <c r="H542" s="362" t="n"/>
      <c r="I542" s="362" t="n"/>
      <c r="K542" s="362" t="n"/>
      <c r="L542" s="362" t="n"/>
      <c r="M542" s="362" t="n"/>
      <c r="N542" s="362" t="n"/>
      <c r="O542" s="362" t="n"/>
      <c r="P542" s="362" t="n"/>
      <c r="T542" s="362" t="n"/>
      <c r="U542" s="362" t="n"/>
      <c r="V542" s="362" t="n"/>
      <c r="W542" s="362" t="n"/>
      <c r="X542" s="362" t="n"/>
      <c r="Y542" s="362" t="n"/>
    </row>
    <row r="543">
      <c r="B543" s="430" t="n"/>
      <c r="C543" s="430" t="n"/>
      <c r="D543" s="430" t="n"/>
      <c r="E543" s="430" t="n"/>
      <c r="F543" s="430" t="n"/>
      <c r="G543" s="430" t="n"/>
      <c r="H543" s="362" t="n"/>
      <c r="I543" s="362" t="n"/>
      <c r="K543" s="362" t="n"/>
      <c r="L543" s="362" t="n"/>
      <c r="M543" s="362" t="n"/>
      <c r="N543" s="362" t="n"/>
      <c r="O543" s="362" t="n"/>
      <c r="P543" s="362" t="n"/>
      <c r="T543" s="362" t="n"/>
      <c r="U543" s="362" t="n"/>
      <c r="V543" s="362" t="n"/>
      <c r="W543" s="362" t="n"/>
      <c r="X543" s="362" t="n"/>
      <c r="Y543" s="362" t="n"/>
    </row>
    <row r="544">
      <c r="B544" s="430" t="n"/>
      <c r="C544" s="430" t="n"/>
      <c r="D544" s="430" t="n"/>
      <c r="E544" s="430" t="n"/>
      <c r="F544" s="430" t="n"/>
      <c r="G544" s="430" t="n"/>
      <c r="H544" s="362" t="n"/>
      <c r="I544" s="362" t="n"/>
      <c r="K544" s="362" t="n"/>
      <c r="L544" s="362" t="n"/>
      <c r="M544" s="362" t="n"/>
      <c r="N544" s="362" t="n"/>
      <c r="O544" s="362" t="n"/>
      <c r="P544" s="362" t="n"/>
      <c r="T544" s="362" t="n"/>
      <c r="U544" s="362" t="n"/>
      <c r="V544" s="362" t="n"/>
      <c r="W544" s="362" t="n"/>
      <c r="X544" s="362" t="n"/>
      <c r="Y544" s="362" t="n"/>
    </row>
    <row r="545">
      <c r="B545" s="430" t="n"/>
      <c r="C545" s="430" t="n"/>
      <c r="D545" s="430" t="n"/>
      <c r="E545" s="430" t="n"/>
      <c r="F545" s="430" t="n"/>
      <c r="G545" s="430" t="n"/>
      <c r="H545" s="362" t="n"/>
      <c r="I545" s="362" t="n"/>
      <c r="K545" s="362" t="n"/>
      <c r="L545" s="362" t="n"/>
      <c r="M545" s="362" t="n"/>
      <c r="N545" s="362" t="n"/>
      <c r="O545" s="362" t="n"/>
      <c r="P545" s="362" t="n"/>
      <c r="T545" s="362" t="n"/>
      <c r="U545" s="362" t="n"/>
      <c r="V545" s="362" t="n"/>
      <c r="W545" s="362" t="n"/>
      <c r="X545" s="362" t="n"/>
      <c r="Y545" s="362" t="n"/>
    </row>
    <row r="546">
      <c r="B546" s="430" t="n"/>
      <c r="C546" s="430" t="n"/>
      <c r="D546" s="430" t="n"/>
      <c r="E546" s="430" t="n"/>
      <c r="F546" s="430" t="n"/>
      <c r="G546" s="430" t="n"/>
      <c r="H546" s="362" t="n"/>
      <c r="I546" s="362" t="n"/>
      <c r="K546" s="362" t="n"/>
      <c r="L546" s="362" t="n"/>
      <c r="M546" s="362" t="n"/>
      <c r="N546" s="362" t="n"/>
      <c r="O546" s="362" t="n"/>
      <c r="P546" s="362" t="n"/>
      <c r="T546" s="362" t="n"/>
      <c r="U546" s="362" t="n"/>
      <c r="V546" s="362" t="n"/>
      <c r="W546" s="362" t="n"/>
      <c r="X546" s="362" t="n"/>
      <c r="Y546" s="362" t="n"/>
    </row>
    <row r="547">
      <c r="B547" s="430" t="n"/>
      <c r="C547" s="430" t="n"/>
      <c r="D547" s="430" t="n"/>
      <c r="E547" s="430" t="n"/>
      <c r="F547" s="430" t="n"/>
      <c r="G547" s="430" t="n"/>
      <c r="H547" s="362" t="n"/>
      <c r="I547" s="362" t="n"/>
      <c r="K547" s="362" t="n"/>
      <c r="L547" s="362" t="n"/>
      <c r="M547" s="362" t="n"/>
      <c r="N547" s="362" t="n"/>
      <c r="O547" s="362" t="n"/>
      <c r="P547" s="362" t="n"/>
      <c r="T547" s="362" t="n"/>
      <c r="U547" s="362" t="n"/>
      <c r="V547" s="362" t="n"/>
      <c r="W547" s="362" t="n"/>
      <c r="X547" s="362" t="n"/>
      <c r="Y547" s="362" t="n"/>
    </row>
    <row r="548">
      <c r="B548" s="430" t="n"/>
      <c r="C548" s="430" t="n"/>
      <c r="D548" s="430" t="n"/>
      <c r="E548" s="430" t="n"/>
      <c r="F548" s="430" t="n"/>
      <c r="G548" s="430" t="n"/>
      <c r="H548" s="362" t="n"/>
      <c r="I548" s="362" t="n"/>
      <c r="K548" s="362" t="n"/>
      <c r="L548" s="362" t="n"/>
      <c r="M548" s="362" t="n"/>
      <c r="N548" s="362" t="n"/>
      <c r="O548" s="362" t="n"/>
      <c r="P548" s="362" t="n"/>
      <c r="T548" s="362" t="n"/>
      <c r="U548" s="362" t="n"/>
      <c r="V548" s="362" t="n"/>
      <c r="W548" s="362" t="n"/>
      <c r="X548" s="362" t="n"/>
      <c r="Y548" s="362" t="n"/>
    </row>
    <row r="549">
      <c r="B549" s="430" t="n"/>
      <c r="C549" s="430" t="n"/>
      <c r="D549" s="430" t="n"/>
      <c r="E549" s="430" t="n"/>
      <c r="F549" s="430" t="n"/>
      <c r="G549" s="430" t="n"/>
      <c r="H549" s="362" t="n"/>
      <c r="I549" s="362" t="n"/>
      <c r="K549" s="362" t="n"/>
      <c r="L549" s="362" t="n"/>
      <c r="M549" s="362" t="n"/>
      <c r="N549" s="362" t="n"/>
      <c r="O549" s="362" t="n"/>
      <c r="P549" s="362" t="n"/>
      <c r="T549" s="362" t="n"/>
      <c r="U549" s="362" t="n"/>
      <c r="V549" s="362" t="n"/>
      <c r="W549" s="362" t="n"/>
      <c r="X549" s="362" t="n"/>
      <c r="Y549" s="362" t="n"/>
    </row>
    <row r="550">
      <c r="B550" s="430" t="n"/>
      <c r="C550" s="430" t="n"/>
      <c r="D550" s="430" t="n"/>
      <c r="E550" s="430" t="n"/>
      <c r="F550" s="430" t="n"/>
      <c r="G550" s="430" t="n"/>
      <c r="H550" s="362" t="n"/>
      <c r="I550" s="362" t="n"/>
      <c r="K550" s="362" t="n"/>
      <c r="L550" s="362" t="n"/>
      <c r="M550" s="362" t="n"/>
      <c r="N550" s="362" t="n"/>
      <c r="O550" s="362" t="n"/>
      <c r="P550" s="362" t="n"/>
      <c r="T550" s="362" t="n"/>
      <c r="U550" s="362" t="n"/>
      <c r="V550" s="362" t="n"/>
      <c r="W550" s="362" t="n"/>
      <c r="X550" s="362" t="n"/>
      <c r="Y550" s="362" t="n"/>
    </row>
    <row r="551">
      <c r="B551" s="430" t="n"/>
      <c r="C551" s="430" t="n"/>
      <c r="D551" s="430" t="n"/>
      <c r="E551" s="430" t="n"/>
      <c r="F551" s="430" t="n"/>
      <c r="G551" s="430" t="n"/>
      <c r="H551" s="362" t="n"/>
      <c r="I551" s="362" t="n"/>
      <c r="K551" s="362" t="n"/>
      <c r="L551" s="362" t="n"/>
      <c r="M551" s="362" t="n"/>
      <c r="N551" s="362" t="n"/>
      <c r="O551" s="362" t="n"/>
      <c r="P551" s="362" t="n"/>
      <c r="T551" s="362" t="n"/>
      <c r="U551" s="362" t="n"/>
      <c r="V551" s="362" t="n"/>
      <c r="W551" s="362" t="n"/>
      <c r="X551" s="362" t="n"/>
      <c r="Y551" s="362" t="n"/>
    </row>
    <row r="552">
      <c r="B552" s="430" t="n"/>
      <c r="C552" s="430" t="n"/>
      <c r="D552" s="430" t="n"/>
      <c r="E552" s="430" t="n"/>
      <c r="F552" s="430" t="n"/>
      <c r="G552" s="430" t="n"/>
      <c r="H552" s="362" t="n"/>
      <c r="I552" s="362" t="n"/>
      <c r="K552" s="362" t="n"/>
      <c r="L552" s="362" t="n"/>
      <c r="M552" s="362" t="n"/>
      <c r="N552" s="362" t="n"/>
      <c r="O552" s="362" t="n"/>
      <c r="P552" s="362" t="n"/>
      <c r="T552" s="362" t="n"/>
      <c r="U552" s="362" t="n"/>
      <c r="V552" s="362" t="n"/>
      <c r="W552" s="362" t="n"/>
      <c r="X552" s="362" t="n"/>
      <c r="Y552" s="362" t="n"/>
    </row>
    <row r="553">
      <c r="B553" s="430" t="n"/>
      <c r="C553" s="430" t="n"/>
      <c r="D553" s="430" t="n"/>
      <c r="E553" s="430" t="n"/>
      <c r="F553" s="430" t="n"/>
      <c r="G553" s="430" t="n"/>
      <c r="H553" s="362" t="n"/>
      <c r="I553" s="362" t="n"/>
      <c r="K553" s="362" t="n"/>
      <c r="L553" s="362" t="n"/>
      <c r="M553" s="362" t="n"/>
      <c r="N553" s="362" t="n"/>
      <c r="O553" s="362" t="n"/>
      <c r="P553" s="362" t="n"/>
      <c r="T553" s="362" t="n"/>
      <c r="U553" s="362" t="n"/>
      <c r="V553" s="362" t="n"/>
      <c r="W553" s="362" t="n"/>
      <c r="X553" s="362" t="n"/>
      <c r="Y553" s="362" t="n"/>
    </row>
    <row r="554">
      <c r="B554" s="430" t="n"/>
      <c r="C554" s="430" t="n"/>
      <c r="D554" s="430" t="n"/>
      <c r="E554" s="430" t="n"/>
      <c r="F554" s="430" t="n"/>
      <c r="G554" s="430" t="n"/>
      <c r="H554" s="362" t="n"/>
      <c r="I554" s="362" t="n"/>
      <c r="K554" s="362" t="n"/>
      <c r="L554" s="362" t="n"/>
      <c r="M554" s="362" t="n"/>
      <c r="N554" s="362" t="n"/>
      <c r="O554" s="362" t="n"/>
      <c r="P554" s="362" t="n"/>
      <c r="T554" s="362" t="n"/>
      <c r="U554" s="362" t="n"/>
      <c r="V554" s="362" t="n"/>
      <c r="W554" s="362" t="n"/>
      <c r="X554" s="362" t="n"/>
      <c r="Y554" s="362" t="n"/>
    </row>
    <row r="555">
      <c r="B555" s="430" t="n"/>
      <c r="C555" s="430" t="n"/>
      <c r="D555" s="430" t="n"/>
      <c r="E555" s="430" t="n"/>
      <c r="F555" s="430" t="n"/>
      <c r="G555" s="430" t="n"/>
      <c r="H555" s="362" t="n"/>
      <c r="I555" s="362" t="n"/>
      <c r="K555" s="362" t="n"/>
      <c r="L555" s="362" t="n"/>
      <c r="M555" s="362" t="n"/>
      <c r="N555" s="362" t="n"/>
      <c r="O555" s="362" t="n"/>
      <c r="P555" s="362" t="n"/>
      <c r="T555" s="362" t="n"/>
      <c r="U555" s="362" t="n"/>
      <c r="V555" s="362" t="n"/>
      <c r="W555" s="362" t="n"/>
      <c r="X555" s="362" t="n"/>
      <c r="Y555" s="362" t="n"/>
    </row>
    <row r="556">
      <c r="B556" s="430" t="n"/>
      <c r="C556" s="430" t="n"/>
      <c r="D556" s="430" t="n"/>
      <c r="E556" s="430" t="n"/>
      <c r="F556" s="430" t="n"/>
      <c r="G556" s="430" t="n"/>
      <c r="H556" s="362" t="n"/>
      <c r="I556" s="362" t="n"/>
      <c r="K556" s="362" t="n"/>
      <c r="L556" s="362" t="n"/>
      <c r="M556" s="362" t="n"/>
      <c r="N556" s="362" t="n"/>
      <c r="O556" s="362" t="n"/>
      <c r="P556" s="362" t="n"/>
      <c r="T556" s="362" t="n"/>
      <c r="U556" s="362" t="n"/>
      <c r="V556" s="362" t="n"/>
      <c r="W556" s="362" t="n"/>
      <c r="X556" s="362" t="n"/>
      <c r="Y556" s="362" t="n"/>
    </row>
    <row r="557">
      <c r="B557" s="430" t="n"/>
      <c r="C557" s="430" t="n"/>
      <c r="D557" s="430" t="n"/>
      <c r="E557" s="430" t="n"/>
      <c r="F557" s="430" t="n"/>
      <c r="G557" s="430" t="n"/>
      <c r="H557" s="362" t="n"/>
      <c r="I557" s="362" t="n"/>
      <c r="K557" s="362" t="n"/>
      <c r="L557" s="362" t="n"/>
      <c r="M557" s="362" t="n"/>
      <c r="N557" s="362" t="n"/>
      <c r="O557" s="362" t="n"/>
      <c r="P557" s="362" t="n"/>
      <c r="T557" s="362" t="n"/>
      <c r="U557" s="362" t="n"/>
      <c r="V557" s="362" t="n"/>
      <c r="W557" s="362" t="n"/>
      <c r="X557" s="362" t="n"/>
      <c r="Y557" s="362" t="n"/>
    </row>
    <row r="558">
      <c r="B558" s="430" t="n"/>
      <c r="C558" s="430" t="n"/>
      <c r="D558" s="430" t="n"/>
      <c r="E558" s="430" t="n"/>
      <c r="F558" s="430" t="n"/>
      <c r="G558" s="430" t="n"/>
      <c r="H558" s="362" t="n"/>
      <c r="I558" s="362" t="n"/>
      <c r="K558" s="362" t="n"/>
      <c r="L558" s="362" t="n"/>
      <c r="M558" s="362" t="n"/>
      <c r="N558" s="362" t="n"/>
      <c r="O558" s="362" t="n"/>
      <c r="P558" s="362" t="n"/>
      <c r="T558" s="362" t="n"/>
      <c r="U558" s="362" t="n"/>
      <c r="V558" s="362" t="n"/>
      <c r="W558" s="362" t="n"/>
      <c r="X558" s="362" t="n"/>
      <c r="Y558" s="362" t="n"/>
    </row>
    <row r="559">
      <c r="B559" s="430" t="n"/>
      <c r="C559" s="430" t="n"/>
      <c r="D559" s="430" t="n"/>
      <c r="E559" s="430" t="n"/>
      <c r="F559" s="430" t="n"/>
      <c r="G559" s="430" t="n"/>
      <c r="H559" s="362" t="n"/>
      <c r="I559" s="362" t="n"/>
      <c r="K559" s="362" t="n"/>
      <c r="L559" s="362" t="n"/>
      <c r="M559" s="362" t="n"/>
      <c r="N559" s="362" t="n"/>
      <c r="O559" s="362" t="n"/>
      <c r="P559" s="362" t="n"/>
      <c r="T559" s="362" t="n"/>
      <c r="U559" s="362" t="n"/>
      <c r="V559" s="362" t="n"/>
      <c r="W559" s="362" t="n"/>
      <c r="X559" s="362" t="n"/>
      <c r="Y559" s="362" t="n"/>
    </row>
    <row r="560">
      <c r="B560" s="430" t="n"/>
      <c r="C560" s="430" t="n"/>
      <c r="D560" s="430" t="n"/>
      <c r="E560" s="430" t="n"/>
      <c r="F560" s="430" t="n"/>
      <c r="G560" s="430" t="n"/>
      <c r="H560" s="362" t="n"/>
      <c r="I560" s="362" t="n"/>
      <c r="K560" s="362" t="n"/>
      <c r="L560" s="362" t="n"/>
      <c r="M560" s="362" t="n"/>
      <c r="N560" s="362" t="n"/>
      <c r="O560" s="362" t="n"/>
      <c r="P560" s="362" t="n"/>
      <c r="T560" s="362" t="n"/>
      <c r="U560" s="362" t="n"/>
      <c r="V560" s="362" t="n"/>
      <c r="W560" s="362" t="n"/>
      <c r="X560" s="362" t="n"/>
      <c r="Y560" s="362" t="n"/>
    </row>
    <row r="561">
      <c r="B561" s="430" t="n"/>
      <c r="C561" s="430" t="n"/>
      <c r="D561" s="430" t="n"/>
      <c r="E561" s="430" t="n"/>
      <c r="F561" s="430" t="n"/>
      <c r="G561" s="430" t="n"/>
      <c r="H561" s="362" t="n"/>
      <c r="I561" s="362" t="n"/>
      <c r="K561" s="362" t="n"/>
      <c r="L561" s="362" t="n"/>
      <c r="M561" s="362" t="n"/>
      <c r="N561" s="362" t="n"/>
      <c r="O561" s="362" t="n"/>
      <c r="P561" s="362" t="n"/>
      <c r="T561" s="362" t="n"/>
      <c r="U561" s="362" t="n"/>
      <c r="V561" s="362" t="n"/>
      <c r="W561" s="362" t="n"/>
      <c r="X561" s="362" t="n"/>
      <c r="Y561" s="362" t="n"/>
    </row>
    <row r="562">
      <c r="B562" s="430" t="n"/>
      <c r="C562" s="430" t="n"/>
      <c r="D562" s="430" t="n"/>
      <c r="E562" s="430" t="n"/>
      <c r="F562" s="430" t="n"/>
      <c r="G562" s="430" t="n"/>
      <c r="H562" s="362" t="n"/>
      <c r="I562" s="362" t="n"/>
      <c r="K562" s="362" t="n"/>
      <c r="L562" s="362" t="n"/>
      <c r="M562" s="362" t="n"/>
      <c r="N562" s="362" t="n"/>
      <c r="O562" s="362" t="n"/>
      <c r="P562" s="362" t="n"/>
      <c r="T562" s="362" t="n"/>
      <c r="U562" s="362" t="n"/>
      <c r="V562" s="362" t="n"/>
      <c r="W562" s="362" t="n"/>
      <c r="X562" s="362" t="n"/>
      <c r="Y562" s="362" t="n"/>
    </row>
    <row r="563">
      <c r="B563" s="430" t="n"/>
      <c r="C563" s="430" t="n"/>
      <c r="D563" s="430" t="n"/>
      <c r="E563" s="430" t="n"/>
      <c r="F563" s="430" t="n"/>
      <c r="G563" s="430" t="n"/>
      <c r="H563" s="362" t="n"/>
      <c r="I563" s="362" t="n"/>
      <c r="K563" s="362" t="n"/>
      <c r="L563" s="362" t="n"/>
      <c r="M563" s="362" t="n"/>
      <c r="N563" s="362" t="n"/>
      <c r="O563" s="362" t="n"/>
      <c r="P563" s="362" t="n"/>
      <c r="T563" s="362" t="n"/>
      <c r="U563" s="362" t="n"/>
      <c r="V563" s="362" t="n"/>
      <c r="W563" s="362" t="n"/>
      <c r="X563" s="362" t="n"/>
      <c r="Y563" s="362" t="n"/>
    </row>
    <row r="564">
      <c r="B564" s="430" t="n"/>
      <c r="C564" s="430" t="n"/>
      <c r="D564" s="430" t="n"/>
      <c r="E564" s="430" t="n"/>
      <c r="F564" s="430" t="n"/>
      <c r="G564" s="430" t="n"/>
      <c r="H564" s="362" t="n"/>
      <c r="I564" s="362" t="n"/>
      <c r="K564" s="362" t="n"/>
      <c r="L564" s="362" t="n"/>
      <c r="M564" s="362" t="n"/>
      <c r="N564" s="362" t="n"/>
      <c r="O564" s="362" t="n"/>
      <c r="P564" s="362" t="n"/>
      <c r="T564" s="362" t="n"/>
      <c r="U564" s="362" t="n"/>
      <c r="V564" s="362" t="n"/>
      <c r="W564" s="362" t="n"/>
      <c r="X564" s="362" t="n"/>
      <c r="Y564" s="362" t="n"/>
    </row>
    <row r="565">
      <c r="B565" s="430" t="n"/>
      <c r="C565" s="430" t="n"/>
      <c r="D565" s="430" t="n"/>
      <c r="E565" s="430" t="n"/>
      <c r="F565" s="430" t="n"/>
      <c r="G565" s="430" t="n"/>
      <c r="H565" s="362" t="n"/>
      <c r="I565" s="362" t="n"/>
      <c r="K565" s="362" t="n"/>
      <c r="L565" s="362" t="n"/>
      <c r="M565" s="362" t="n"/>
      <c r="N565" s="362" t="n"/>
      <c r="O565" s="362" t="n"/>
      <c r="P565" s="362" t="n"/>
      <c r="T565" s="362" t="n"/>
      <c r="U565" s="362" t="n"/>
      <c r="V565" s="362" t="n"/>
      <c r="W565" s="362" t="n"/>
      <c r="X565" s="362" t="n"/>
      <c r="Y565" s="362" t="n"/>
    </row>
    <row r="566">
      <c r="B566" s="430" t="n"/>
      <c r="C566" s="430" t="n"/>
      <c r="D566" s="430" t="n"/>
      <c r="E566" s="430" t="n"/>
      <c r="F566" s="430" t="n"/>
      <c r="G566" s="430" t="n"/>
      <c r="H566" s="362" t="n"/>
      <c r="I566" s="362" t="n"/>
      <c r="K566" s="362" t="n"/>
      <c r="L566" s="362" t="n"/>
      <c r="M566" s="362" t="n"/>
      <c r="N566" s="362" t="n"/>
      <c r="O566" s="362" t="n"/>
      <c r="P566" s="362" t="n"/>
      <c r="T566" s="362" t="n"/>
      <c r="U566" s="362" t="n"/>
      <c r="V566" s="362" t="n"/>
      <c r="W566" s="362" t="n"/>
      <c r="X566" s="362" t="n"/>
      <c r="Y566" s="362" t="n"/>
    </row>
    <row r="567">
      <c r="B567" s="430" t="n"/>
      <c r="C567" s="430" t="n"/>
      <c r="D567" s="430" t="n"/>
      <c r="E567" s="430" t="n"/>
      <c r="F567" s="430" t="n"/>
      <c r="G567" s="430" t="n"/>
      <c r="H567" s="362" t="n"/>
      <c r="I567" s="362" t="n"/>
      <c r="K567" s="362" t="n"/>
      <c r="L567" s="362" t="n"/>
      <c r="M567" s="362" t="n"/>
      <c r="N567" s="362" t="n"/>
      <c r="O567" s="362" t="n"/>
      <c r="P567" s="362" t="n"/>
      <c r="T567" s="362" t="n"/>
      <c r="U567" s="362" t="n"/>
      <c r="V567" s="362" t="n"/>
      <c r="W567" s="362" t="n"/>
      <c r="X567" s="362" t="n"/>
      <c r="Y567" s="362" t="n"/>
    </row>
    <row r="568">
      <c r="B568" s="430" t="n"/>
      <c r="C568" s="430" t="n"/>
      <c r="D568" s="430" t="n"/>
      <c r="E568" s="430" t="n"/>
      <c r="F568" s="430" t="n"/>
      <c r="G568" s="430" t="n"/>
      <c r="H568" s="362" t="n"/>
      <c r="I568" s="362" t="n"/>
      <c r="K568" s="362" t="n"/>
      <c r="L568" s="362" t="n"/>
      <c r="M568" s="362" t="n"/>
      <c r="N568" s="362" t="n"/>
      <c r="O568" s="362" t="n"/>
      <c r="P568" s="362" t="n"/>
      <c r="T568" s="362" t="n"/>
      <c r="U568" s="362" t="n"/>
      <c r="V568" s="362" t="n"/>
      <c r="W568" s="362" t="n"/>
      <c r="X568" s="362" t="n"/>
      <c r="Y568" s="362" t="n"/>
    </row>
    <row r="569">
      <c r="B569" s="430" t="n"/>
      <c r="C569" s="430" t="n"/>
      <c r="D569" s="430" t="n"/>
      <c r="E569" s="430" t="n"/>
      <c r="F569" s="430" t="n"/>
      <c r="G569" s="430" t="n"/>
      <c r="H569" s="362" t="n"/>
      <c r="I569" s="362" t="n"/>
      <c r="K569" s="362" t="n"/>
      <c r="L569" s="362" t="n"/>
      <c r="M569" s="362" t="n"/>
      <c r="N569" s="362" t="n"/>
      <c r="O569" s="362" t="n"/>
      <c r="P569" s="362" t="n"/>
      <c r="T569" s="362" t="n"/>
      <c r="U569" s="362" t="n"/>
      <c r="V569" s="362" t="n"/>
      <c r="W569" s="362" t="n"/>
      <c r="X569" s="362" t="n"/>
      <c r="Y569" s="362" t="n"/>
    </row>
    <row r="570">
      <c r="B570" s="430" t="n"/>
      <c r="C570" s="430" t="n"/>
      <c r="D570" s="430" t="n"/>
      <c r="E570" s="430" t="n"/>
      <c r="F570" s="430" t="n"/>
      <c r="G570" s="430" t="n"/>
      <c r="H570" s="362" t="n"/>
      <c r="I570" s="362" t="n"/>
      <c r="K570" s="362" t="n"/>
      <c r="L570" s="362" t="n"/>
      <c r="M570" s="362" t="n"/>
      <c r="N570" s="362" t="n"/>
      <c r="O570" s="362" t="n"/>
      <c r="P570" s="362" t="n"/>
      <c r="T570" s="362" t="n"/>
      <c r="U570" s="362" t="n"/>
      <c r="V570" s="362" t="n"/>
      <c r="W570" s="362" t="n"/>
      <c r="X570" s="362" t="n"/>
      <c r="Y570" s="362" t="n"/>
    </row>
    <row r="571">
      <c r="B571" s="430" t="n"/>
      <c r="C571" s="430" t="n"/>
      <c r="D571" s="430" t="n"/>
      <c r="E571" s="430" t="n"/>
      <c r="F571" s="430" t="n"/>
      <c r="G571" s="430" t="n"/>
      <c r="H571" s="362" t="n"/>
      <c r="I571" s="362" t="n"/>
      <c r="K571" s="362" t="n"/>
      <c r="L571" s="362" t="n"/>
      <c r="M571" s="362" t="n"/>
      <c r="N571" s="362" t="n"/>
      <c r="O571" s="362" t="n"/>
      <c r="P571" s="362" t="n"/>
      <c r="T571" s="362" t="n"/>
      <c r="U571" s="362" t="n"/>
      <c r="V571" s="362" t="n"/>
      <c r="W571" s="362" t="n"/>
      <c r="X571" s="362" t="n"/>
      <c r="Y571" s="362" t="n"/>
    </row>
    <row r="572">
      <c r="B572" s="430" t="n"/>
      <c r="C572" s="430" t="n"/>
      <c r="D572" s="430" t="n"/>
      <c r="E572" s="430" t="n"/>
      <c r="F572" s="430" t="n"/>
      <c r="G572" s="430" t="n"/>
      <c r="H572" s="362" t="n"/>
      <c r="I572" s="362" t="n"/>
      <c r="K572" s="362" t="n"/>
      <c r="L572" s="362" t="n"/>
      <c r="M572" s="362" t="n"/>
      <c r="N572" s="362" t="n"/>
      <c r="O572" s="362" t="n"/>
      <c r="P572" s="362" t="n"/>
      <c r="T572" s="362" t="n"/>
      <c r="U572" s="362" t="n"/>
      <c r="V572" s="362" t="n"/>
      <c r="W572" s="362" t="n"/>
      <c r="X572" s="362" t="n"/>
      <c r="Y572" s="362" t="n"/>
    </row>
    <row r="573">
      <c r="B573" s="430" t="n"/>
      <c r="C573" s="430" t="n"/>
      <c r="D573" s="430" t="n"/>
      <c r="E573" s="430" t="n"/>
      <c r="F573" s="430" t="n"/>
      <c r="G573" s="430" t="n"/>
      <c r="H573" s="362" t="n"/>
      <c r="I573" s="362" t="n"/>
      <c r="K573" s="362" t="n"/>
      <c r="L573" s="362" t="n"/>
      <c r="M573" s="362" t="n"/>
      <c r="N573" s="362" t="n"/>
      <c r="O573" s="362" t="n"/>
      <c r="P573" s="362" t="n"/>
      <c r="T573" s="362" t="n"/>
      <c r="U573" s="362" t="n"/>
      <c r="V573" s="362" t="n"/>
      <c r="W573" s="362" t="n"/>
      <c r="X573" s="362" t="n"/>
      <c r="Y573" s="362" t="n"/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7"/>
  <sheetViews>
    <sheetView workbookViewId="0">
      <selection activeCell="D28" sqref="D28"/>
    </sheetView>
  </sheetViews>
  <sheetFormatPr baseColWidth="8" defaultRowHeight="14.4"/>
  <cols>
    <col width="8.5546875" bestFit="1" customWidth="1" min="2" max="2"/>
    <col width="9" bestFit="1" customWidth="1" min="3" max="3"/>
    <col width="8.6640625" bestFit="1" customWidth="1" min="4" max="4"/>
    <col width="9.44140625" bestFit="1" customWidth="1" min="5" max="5"/>
    <col width="8.88671875" customWidth="1" style="477" min="6" max="6"/>
    <col width="12.6640625" bestFit="1" customWidth="1" min="8" max="10"/>
    <col width="12.6640625" customWidth="1" style="477" min="11" max="11"/>
    <col width="15.109375" bestFit="1" customWidth="1" min="13" max="15"/>
    <col width="15.109375" customWidth="1" min="16" max="16"/>
  </cols>
  <sheetData>
    <row r="1">
      <c r="B1" t="inlineStr">
        <is>
          <t>Periodos</t>
        </is>
      </c>
      <c r="C1" t="inlineStr">
        <is>
          <t>5 vendas</t>
        </is>
      </c>
      <c r="D1" t="inlineStr">
        <is>
          <t>7 vendas</t>
        </is>
      </c>
      <c r="E1" t="inlineStr">
        <is>
          <t>10 vendas</t>
        </is>
      </c>
      <c r="F1" s="477" t="inlineStr">
        <is>
          <t>3 vendas</t>
        </is>
      </c>
      <c r="H1" t="inlineStr">
        <is>
          <t>5 vendas</t>
        </is>
      </c>
      <c r="I1" t="inlineStr">
        <is>
          <t>7 vendas</t>
        </is>
      </c>
      <c r="J1" t="inlineStr">
        <is>
          <t>10 vendas</t>
        </is>
      </c>
      <c r="K1" s="477" t="inlineStr">
        <is>
          <t>3 vendas</t>
        </is>
      </c>
      <c r="M1" s="351" t="inlineStr">
        <is>
          <t>5 vendas</t>
        </is>
      </c>
      <c r="N1" s="351" t="inlineStr">
        <is>
          <t>7 vendas</t>
        </is>
      </c>
      <c r="O1" s="351" t="inlineStr">
        <is>
          <t>10 vendas</t>
        </is>
      </c>
      <c r="P1" s="480" t="inlineStr">
        <is>
          <t>3 vendas</t>
        </is>
      </c>
    </row>
    <row r="2">
      <c r="A2" s="368" t="n">
        <v>45597</v>
      </c>
      <c r="B2" s="51" t="n">
        <v>6</v>
      </c>
      <c r="C2" s="364" t="n">
        <v>2004788.24</v>
      </c>
      <c r="D2" s="364" t="n">
        <v>2004788.24</v>
      </c>
      <c r="E2" s="364" t="n">
        <v>2004788.24</v>
      </c>
      <c r="F2" s="477" t="n">
        <v>2004788.24</v>
      </c>
      <c r="H2" s="365">
        <f>-1*(C2* (1 + 0.4868%) ^ $B2)</f>
        <v/>
      </c>
      <c r="I2" s="365">
        <f>-1*(D2* (1 + 0.4868%) ^ $B2)</f>
        <v/>
      </c>
      <c r="J2" s="365">
        <f>-1*(E2* (1 + 0.4868%) ^ $B2)</f>
        <v/>
      </c>
      <c r="K2" s="479">
        <f>-1*(F2* (1 + 0.4868%) ^ $B2)</f>
        <v/>
      </c>
      <c r="M2" s="592">
        <f>SUM(H2:H204)</f>
        <v/>
      </c>
      <c r="N2" s="592">
        <f>SUM(I2:I204)</f>
        <v/>
      </c>
      <c r="O2" s="592">
        <f>SUM(J2:J204)</f>
        <v/>
      </c>
      <c r="P2" s="593">
        <f>SUM(K2:K264)</f>
        <v/>
      </c>
    </row>
    <row r="3" ht="12.6" customHeight="1">
      <c r="A3" s="368" t="n">
        <v>45627</v>
      </c>
      <c r="B3" s="51" t="n">
        <v>5</v>
      </c>
      <c r="C3" s="364" t="n">
        <v>1000000</v>
      </c>
      <c r="D3" s="364" t="n">
        <v>1000000</v>
      </c>
      <c r="E3" s="364" t="n">
        <v>1000000</v>
      </c>
      <c r="F3" s="477" t="n">
        <v>1000000</v>
      </c>
      <c r="H3" s="365">
        <f>-1*(C3* (1 + 0.4868%) ^ $B3)</f>
        <v/>
      </c>
      <c r="I3" s="365">
        <f>-1*(D3* (1 + 0.4868%) ^ $B3)</f>
        <v/>
      </c>
      <c r="J3" s="365">
        <f>-1*(E3* (1 + 0.4868%) ^ $B3)</f>
        <v/>
      </c>
      <c r="K3" s="479">
        <f>-1*(F3* (1 + 0.4868%) ^ $B3)</f>
        <v/>
      </c>
      <c r="M3" s="367">
        <f>IRR(C2:C204)</f>
        <v/>
      </c>
      <c r="N3" s="367">
        <f>IRR(D2:D204)</f>
        <v/>
      </c>
      <c r="O3" s="367">
        <f>IRR(E2:E204)</f>
        <v/>
      </c>
      <c r="P3" s="482">
        <f>IRR(F2:F264)</f>
        <v/>
      </c>
    </row>
    <row r="4">
      <c r="A4" s="368" t="n">
        <v>45658</v>
      </c>
      <c r="B4" s="51" t="n">
        <v>4</v>
      </c>
      <c r="C4" s="364" t="n">
        <v>1000000</v>
      </c>
      <c r="D4" s="364" t="n">
        <v>1000000</v>
      </c>
      <c r="E4" s="364" t="n">
        <v>1000000</v>
      </c>
      <c r="F4" s="477" t="n">
        <v>1000000</v>
      </c>
      <c r="H4" s="365">
        <f>-1*(C4* (1 + 0.4868%) ^ $B4)</f>
        <v/>
      </c>
      <c r="I4" s="365">
        <f>-1*(D4* (1 + 0.4868%) ^ $B4)</f>
        <v/>
      </c>
      <c r="J4" s="365">
        <f>-1*(E4* (1 + 0.4868%) ^ $B4)</f>
        <v/>
      </c>
      <c r="K4" s="479">
        <f>-1*(F4* (1 + 0.4868%) ^ $B4)</f>
        <v/>
      </c>
      <c r="M4" s="369">
        <f>1*(1+M3)^12-1</f>
        <v/>
      </c>
      <c r="N4" s="369">
        <f>1*(1+N3)^12-1</f>
        <v/>
      </c>
      <c r="O4" s="369">
        <f>1*(1+O3)^12-1</f>
        <v/>
      </c>
      <c r="P4" s="483">
        <f>1*(1+P3)^12-1</f>
        <v/>
      </c>
    </row>
    <row r="5">
      <c r="A5" s="368" t="n">
        <v>45689</v>
      </c>
      <c r="B5" s="51" t="n">
        <v>3</v>
      </c>
      <c r="C5" s="364" t="n">
        <v>0</v>
      </c>
      <c r="D5" s="364" t="n">
        <v>0</v>
      </c>
      <c r="E5" s="364" t="n">
        <v>0</v>
      </c>
      <c r="F5" s="477" t="n">
        <v>0</v>
      </c>
      <c r="H5" s="365">
        <f>-1*(C5* (1 + 0.4868%) ^ $B5)</f>
        <v/>
      </c>
      <c r="I5" s="365">
        <f>-1*(D5* (1 + 0.4868%) ^ $B5)</f>
        <v/>
      </c>
      <c r="J5" s="365">
        <f>-1*(E5* (1 + 0.4868%) ^ $B5)</f>
        <v/>
      </c>
      <c r="K5" s="479">
        <f>-1*(F5* (1 + 0.4868%) ^ $B5)</f>
        <v/>
      </c>
    </row>
    <row r="6">
      <c r="A6" s="368" t="n">
        <v>45717</v>
      </c>
      <c r="B6" s="51" t="n">
        <v>2</v>
      </c>
      <c r="C6" s="449" t="n">
        <v>1000000</v>
      </c>
      <c r="D6" s="449" t="n">
        <v>1000000</v>
      </c>
      <c r="E6" s="449" t="n">
        <v>1000000</v>
      </c>
      <c r="F6" s="477" t="n">
        <v>1000000</v>
      </c>
      <c r="H6" s="365">
        <f>-1*(C6* (1 + 0.4868%) ^ $B6)</f>
        <v/>
      </c>
      <c r="I6" s="365">
        <f>-1*(D6* (1 + 0.4868%) ^ $B6)</f>
        <v/>
      </c>
      <c r="J6" s="365">
        <f>-1*(E6* (1 + 0.4868%) ^ $B6)</f>
        <v/>
      </c>
      <c r="K6" s="479">
        <f>-1*(F6* (1 + 0.4868%) ^ $B6)</f>
        <v/>
      </c>
    </row>
    <row r="7">
      <c r="A7" s="368" t="n">
        <v>45748</v>
      </c>
      <c r="B7" s="51" t="n">
        <v>1</v>
      </c>
      <c r="C7" t="n">
        <v>0</v>
      </c>
      <c r="D7" s="364" t="n">
        <v>0</v>
      </c>
      <c r="E7" s="364" t="n">
        <v>0</v>
      </c>
      <c r="F7" s="477" t="n">
        <v>0</v>
      </c>
      <c r="H7" s="365">
        <f>C7/ (1 + 0.4868%) ^ $B7</f>
        <v/>
      </c>
      <c r="I7" s="365">
        <f>D7/ (1 + 0.4868%) ^ $B7</f>
        <v/>
      </c>
      <c r="J7" s="365">
        <f>E7/ (1 + 0.4868%) ^ $B7</f>
        <v/>
      </c>
      <c r="K7" s="479">
        <f>-1*(F7* (1 + 0.4868%) ^ $B7)</f>
        <v/>
      </c>
    </row>
    <row r="8">
      <c r="A8" s="368" t="n">
        <v>45778</v>
      </c>
      <c r="B8" s="51" t="n">
        <v>0</v>
      </c>
      <c r="C8" t="n">
        <v>0</v>
      </c>
      <c r="D8" s="364" t="n">
        <v>0</v>
      </c>
      <c r="E8" s="364" t="n">
        <v>0</v>
      </c>
      <c r="F8" s="477" t="n">
        <v>0</v>
      </c>
      <c r="H8" s="365">
        <f>(C8/ (1 + 0.4868%) ^ $B8)*-1</f>
        <v/>
      </c>
      <c r="I8" s="365">
        <f>(D8/ (1 + 0.4868%) ^ $B8)*-1</f>
        <v/>
      </c>
      <c r="J8" s="365">
        <f>(E8/ (1 + 0.4868%) ^ $B8)*-1</f>
        <v/>
      </c>
      <c r="K8" s="479">
        <f>-1*(F8* (1 + 0.4868%) ^ $B8)</f>
        <v/>
      </c>
    </row>
    <row r="9">
      <c r="A9" s="368" t="n">
        <v>45809</v>
      </c>
      <c r="B9" s="51" t="n">
        <v>1</v>
      </c>
      <c r="C9" t="n">
        <v>0</v>
      </c>
      <c r="D9" s="364" t="n">
        <v>0</v>
      </c>
      <c r="E9" s="364" t="n">
        <v>0</v>
      </c>
      <c r="F9" s="477" t="n">
        <v>0</v>
      </c>
      <c r="H9" s="365">
        <f>(C9/ (1 + 0.4868%) ^ $B9)*-1</f>
        <v/>
      </c>
      <c r="I9" s="365">
        <f>(D9/ (1 + 0.4868%) ^ $B9)*-1</f>
        <v/>
      </c>
      <c r="J9" s="365">
        <f>(E9/ (1 + 0.4868%) ^ $B9)*-1</f>
        <v/>
      </c>
      <c r="K9" s="479">
        <f>-1*(F9* (1 + 0.4868%) ^ $B9)</f>
        <v/>
      </c>
    </row>
    <row r="10">
      <c r="A10" s="368" t="n">
        <v>45839</v>
      </c>
      <c r="B10" s="51" t="n">
        <v>2</v>
      </c>
      <c r="C10" t="n">
        <v>0</v>
      </c>
      <c r="D10" s="364" t="n">
        <v>0</v>
      </c>
      <c r="E10" s="364" t="n">
        <v>0</v>
      </c>
      <c r="F10" s="477" t="n">
        <v>0</v>
      </c>
      <c r="H10" s="365">
        <f>(C10/ (1 + 0.4868%) ^ $B10)*-1</f>
        <v/>
      </c>
      <c r="I10" s="365">
        <f>(D10/ (1 + 0.4868%) ^ $B10)*-1</f>
        <v/>
      </c>
      <c r="J10" s="365">
        <f>(E10/ (1 + 0.4868%) ^ $B10)*-1</f>
        <v/>
      </c>
      <c r="K10" s="479">
        <f>-1*(F10* (1 + 0.4868%) ^ $B10)</f>
        <v/>
      </c>
    </row>
    <row r="11">
      <c r="A11" s="433" t="n">
        <v>45870</v>
      </c>
      <c r="B11" s="434" t="n">
        <v>3</v>
      </c>
      <c r="C11" s="435" t="n">
        <v>-4000000</v>
      </c>
      <c r="D11" s="435" t="n">
        <v>-4000000</v>
      </c>
      <c r="E11" s="435" t="n">
        <v>-4000000</v>
      </c>
      <c r="F11" s="477" t="n">
        <v>-4000000</v>
      </c>
      <c r="H11" s="365">
        <f>(C11/ (1 + 0.4868%) ^ $B11)*-1</f>
        <v/>
      </c>
      <c r="I11" s="365">
        <f>(D11/ (1 + 0.4868%) ^ $B11)*-1</f>
        <v/>
      </c>
      <c r="J11" s="365">
        <f>(E11/ (1 + 0.4868%) ^ $B11)*-1</f>
        <v/>
      </c>
      <c r="K11" s="479">
        <f>(F11/ (1 + 0.4868%) ^ $B11)*-1</f>
        <v/>
      </c>
    </row>
    <row r="12">
      <c r="A12" s="368" t="n">
        <v>45901</v>
      </c>
      <c r="B12" s="51" t="n">
        <v>4</v>
      </c>
      <c r="C12" t="n">
        <v>0</v>
      </c>
      <c r="D12" t="n">
        <v>0</v>
      </c>
      <c r="E12" t="n">
        <v>0</v>
      </c>
      <c r="F12" s="477" t="n">
        <v>0</v>
      </c>
      <c r="H12" s="365">
        <f>(C12/ (1 + 0.4868%) ^ $B12)*-1</f>
        <v/>
      </c>
      <c r="I12" s="365">
        <f>(D12/ (1 + 0.4868%) ^ $B12)*-1</f>
        <v/>
      </c>
      <c r="J12" s="365">
        <f>(E12/ (1 + 0.4868%) ^ $B12)*-1</f>
        <v/>
      </c>
      <c r="K12" s="479">
        <f>-1*(F12* (1 + 0.4868%) ^ $B12)</f>
        <v/>
      </c>
    </row>
    <row r="13">
      <c r="A13" s="368" t="n">
        <v>45931</v>
      </c>
      <c r="B13" s="51" t="n">
        <v>5</v>
      </c>
      <c r="C13" t="n">
        <v>0</v>
      </c>
      <c r="D13" t="n">
        <v>0</v>
      </c>
      <c r="E13" t="n">
        <v>0</v>
      </c>
      <c r="F13" s="477" t="n">
        <v>0</v>
      </c>
      <c r="H13" s="365">
        <f>(C13/ (1 + 0.4868%) ^ $B13)*-1</f>
        <v/>
      </c>
      <c r="I13" s="365">
        <f>(D13/ (1 + 0.4868%) ^ $B13)*-1</f>
        <v/>
      </c>
      <c r="J13" s="365">
        <f>(E13/ (1 + 0.4868%) ^ $B13)*-1</f>
        <v/>
      </c>
      <c r="K13" s="479">
        <f>-1*(F13* (1 + 0.4868%) ^ $B13)</f>
        <v/>
      </c>
    </row>
    <row r="14">
      <c r="A14" s="368" t="n">
        <v>45962</v>
      </c>
      <c r="B14" s="51" t="n">
        <v>6</v>
      </c>
      <c r="C14" t="n">
        <v>0</v>
      </c>
      <c r="D14" t="n">
        <v>0</v>
      </c>
      <c r="E14" s="364" t="n">
        <v>0</v>
      </c>
      <c r="F14" s="477" t="n">
        <v>0</v>
      </c>
      <c r="H14" s="365">
        <f>(C14/ (1 + 0.4868%) ^ $B14)*-1</f>
        <v/>
      </c>
      <c r="I14" s="365">
        <f>(D14/ (1 + 0.4868%) ^ $B14)*-1</f>
        <v/>
      </c>
      <c r="J14" s="365">
        <f>(E14/ (1 + 0.4868%) ^ $B14)*-1</f>
        <v/>
      </c>
      <c r="K14" s="479">
        <f>-1*(F14* (1 + 0.4868%) ^ $B14)</f>
        <v/>
      </c>
    </row>
    <row r="15">
      <c r="A15" s="368" t="n">
        <v>45992</v>
      </c>
      <c r="B15" s="51" t="n">
        <v>7</v>
      </c>
      <c r="C15" t="n">
        <v>0</v>
      </c>
      <c r="D15" t="n">
        <v>0</v>
      </c>
      <c r="E15" t="n">
        <v>0</v>
      </c>
      <c r="F15" s="477" t="n">
        <v>0</v>
      </c>
      <c r="H15" s="365">
        <f>(C15/ (1 + 0.4868%) ^ $B15)*-1</f>
        <v/>
      </c>
      <c r="I15" s="365">
        <f>(D15/ (1 + 0.4868%) ^ $B15)*-1</f>
        <v/>
      </c>
      <c r="J15" s="365">
        <f>(E15/ (1 + 0.4868%) ^ $B15)*-1</f>
        <v/>
      </c>
      <c r="K15" s="479">
        <f>-1*(F15* (1 + 0.4868%) ^ $B15)</f>
        <v/>
      </c>
    </row>
    <row r="16">
      <c r="A16" s="368" t="n">
        <v>46023</v>
      </c>
      <c r="B16" s="51" t="n">
        <v>8</v>
      </c>
      <c r="C16" t="n">
        <v>0</v>
      </c>
      <c r="D16" t="n">
        <v>0</v>
      </c>
      <c r="E16" t="n">
        <v>0</v>
      </c>
      <c r="F16" s="477" t="n">
        <v>0</v>
      </c>
      <c r="H16" s="365">
        <f>(C16/ (1 + 0.4868%) ^ $B16)*-1</f>
        <v/>
      </c>
      <c r="I16" s="365">
        <f>(D16/ (1 + 0.4868%) ^ $B16)*-1</f>
        <v/>
      </c>
      <c r="J16" s="365">
        <f>(E16/ (1 + 0.4868%) ^ $B16)*-1</f>
        <v/>
      </c>
      <c r="K16" s="479">
        <f>-1*(F16* (1 + 0.4868%) ^ $B16)</f>
        <v/>
      </c>
    </row>
    <row r="17">
      <c r="A17" s="368" t="n">
        <v>46054</v>
      </c>
      <c r="B17" s="51" t="n">
        <v>9</v>
      </c>
      <c r="C17" t="n">
        <v>0</v>
      </c>
      <c r="D17" t="n">
        <v>0</v>
      </c>
      <c r="E17" t="n">
        <v>0</v>
      </c>
      <c r="F17" s="477" t="n">
        <v>0</v>
      </c>
      <c r="H17" s="365">
        <f>(C17/ (1 + 0.4868%) ^ $B17)*-1</f>
        <v/>
      </c>
      <c r="I17" s="365">
        <f>(D17/ (1 + 0.4868%) ^ $B17)*-1</f>
        <v/>
      </c>
      <c r="J17" s="365">
        <f>(E17/ (1 + 0.4868%) ^ $B17)*-1</f>
        <v/>
      </c>
      <c r="K17" s="479">
        <f>-1*(F17* (1 + 0.4868%) ^ $B17)</f>
        <v/>
      </c>
    </row>
    <row r="18">
      <c r="A18" s="368" t="n">
        <v>46082</v>
      </c>
      <c r="B18" s="51" t="n">
        <v>10</v>
      </c>
      <c r="C18" t="n">
        <v>0</v>
      </c>
      <c r="D18" t="n">
        <v>0</v>
      </c>
      <c r="E18" t="n">
        <v>0</v>
      </c>
      <c r="F18" s="477" t="n">
        <v>0</v>
      </c>
      <c r="H18" s="365">
        <f>(C18/ (1 + 0.4868%) ^ $B18)*-1</f>
        <v/>
      </c>
      <c r="I18" s="365">
        <f>(D18/ (1 + 0.4868%) ^ $B18)*-1</f>
        <v/>
      </c>
      <c r="J18" s="365">
        <f>(E18/ (1 + 0.4868%) ^ $B18)*-1</f>
        <v/>
      </c>
      <c r="K18" s="479">
        <f>-1*(F18* (1 + 0.4868%) ^ $B18)</f>
        <v/>
      </c>
    </row>
    <row r="19">
      <c r="A19" s="470" t="n">
        <v>46113</v>
      </c>
      <c r="B19" s="471" t="n">
        <v>11</v>
      </c>
      <c r="C19" s="474" t="n">
        <v>0</v>
      </c>
      <c r="D19" s="474" t="n">
        <v>0</v>
      </c>
      <c r="E19" s="474" t="n">
        <v>0</v>
      </c>
      <c r="F19" s="478" t="n">
        <v>0</v>
      </c>
      <c r="G19" s="472" t="n"/>
      <c r="H19" s="473">
        <f>(C19/ (1 + 0.4868%) ^ $B19)*-1</f>
        <v/>
      </c>
      <c r="I19" s="473">
        <f>(D19/ (1 + 0.4868%) ^ $B19)*-1</f>
        <v/>
      </c>
      <c r="J19" s="473">
        <f>(E19/ (1 + 0.4868%) ^ $B19)*-1</f>
        <v/>
      </c>
      <c r="K19" s="479">
        <f>-1*(F19* (1 + 0.4868%) ^ $B19)</f>
        <v/>
      </c>
      <c r="L19" s="472" t="n"/>
    </row>
    <row r="20">
      <c r="A20" s="368" t="n">
        <v>46143</v>
      </c>
      <c r="B20" s="51" t="n">
        <v>12</v>
      </c>
      <c r="C20" t="n">
        <v>0</v>
      </c>
      <c r="D20" t="n">
        <v>0</v>
      </c>
      <c r="E20" t="n">
        <v>0</v>
      </c>
      <c r="F20" s="477" t="n">
        <v>0</v>
      </c>
      <c r="H20" s="365">
        <f>(C20/ (1 + 0.4868%) ^ $B20)*-1</f>
        <v/>
      </c>
      <c r="I20" s="365">
        <f>(D20/ (1 + 0.4868%) ^ $B20)*-1</f>
        <v/>
      </c>
      <c r="J20" s="365">
        <f>(E20/ (1 + 0.4868%) ^ $B20)*-1</f>
        <v/>
      </c>
      <c r="K20" s="479">
        <f>-1*(F20* (1 + 0.4868%) ^ $B20)</f>
        <v/>
      </c>
    </row>
    <row r="21">
      <c r="A21" s="368" t="n">
        <v>46174</v>
      </c>
      <c r="B21" s="51" t="n">
        <v>13</v>
      </c>
      <c r="C21" t="n">
        <v>0</v>
      </c>
      <c r="D21" t="n">
        <v>0</v>
      </c>
      <c r="E21" t="n">
        <v>0</v>
      </c>
      <c r="F21" s="477" t="n">
        <v>0</v>
      </c>
      <c r="H21" s="365">
        <f>(C21/ (1 + 0.4868%) ^ $B21)*-1</f>
        <v/>
      </c>
      <c r="I21" s="365">
        <f>(D21/ (1 + 0.4868%) ^ $B21)*-1</f>
        <v/>
      </c>
      <c r="J21" s="365">
        <f>(E21/ (1 + 0.4868%) ^ $B21)*-1</f>
        <v/>
      </c>
      <c r="K21" s="479">
        <f>-1*(F21* (1 + 0.4868%) ^ $B21)</f>
        <v/>
      </c>
    </row>
    <row r="22">
      <c r="A22" s="368" t="n">
        <v>46204</v>
      </c>
      <c r="B22" s="51" t="n">
        <v>14</v>
      </c>
      <c r="C22" t="n">
        <v>0</v>
      </c>
      <c r="D22" t="n">
        <v>0</v>
      </c>
      <c r="E22" t="n">
        <v>0</v>
      </c>
      <c r="F22" s="477" t="n">
        <v>0</v>
      </c>
      <c r="H22" s="365">
        <f>-1*(C22* (1 + 0.4868%) ^ $B22)</f>
        <v/>
      </c>
      <c r="I22" s="365">
        <f>(D22/ (1 + 0.4868%) ^ $B22)*-1</f>
        <v/>
      </c>
      <c r="J22" s="365">
        <f>(E22/ (1 + 0.4868%) ^ $B22)*-1</f>
        <v/>
      </c>
      <c r="K22" s="479">
        <f>-1*(F22* (1 + 0.4868%) ^ $B22)</f>
        <v/>
      </c>
    </row>
    <row r="23">
      <c r="A23" s="368" t="n">
        <v>46235</v>
      </c>
      <c r="B23" s="51" t="n">
        <v>15</v>
      </c>
      <c r="C23" t="n">
        <v>0</v>
      </c>
      <c r="D23" t="n">
        <v>0</v>
      </c>
      <c r="E23" t="n">
        <v>0</v>
      </c>
      <c r="F23" s="477" t="n">
        <v>1700000</v>
      </c>
      <c r="H23" s="365">
        <f>-1*(C23* (1 + 0.4868%) ^ $B23)</f>
        <v/>
      </c>
      <c r="I23" s="365">
        <f>(D23/ (1 + 0.4868%) ^ $B23)*-1</f>
        <v/>
      </c>
      <c r="J23" s="365">
        <f>(E23/ (1 + 0.4868%) ^ $B23)*-1</f>
        <v/>
      </c>
      <c r="K23" s="479">
        <f>-1*(F23* (1 + 0.4868%) ^ $B23)</f>
        <v/>
      </c>
    </row>
    <row r="24">
      <c r="A24" s="368" t="n">
        <v>46266</v>
      </c>
      <c r="B24" s="51" t="n">
        <v>16</v>
      </c>
      <c r="C24" t="n">
        <v>0</v>
      </c>
      <c r="D24" t="n">
        <v>0</v>
      </c>
      <c r="E24" t="n">
        <v>0</v>
      </c>
      <c r="F24" s="477" t="n">
        <v>1900000</v>
      </c>
      <c r="H24" s="365">
        <f>-1*(C24* (1 + 0.4868%) ^ $B24)</f>
        <v/>
      </c>
      <c r="I24" s="365">
        <f>-1*(D24* (1 + 0.4868%) ^ $B24)</f>
        <v/>
      </c>
      <c r="J24" s="365">
        <f>(E24/ (1 + 0.4868%) ^ $B24)*-1</f>
        <v/>
      </c>
      <c r="K24" s="479">
        <f>-1*(F24* (1 + 0.4868%) ^ $B24)</f>
        <v/>
      </c>
    </row>
    <row r="25">
      <c r="A25" s="368" t="n">
        <v>46296</v>
      </c>
      <c r="B25" s="51" t="n">
        <v>17</v>
      </c>
      <c r="C25" t="n">
        <v>200000</v>
      </c>
      <c r="D25" t="n">
        <v>0</v>
      </c>
      <c r="E25" t="n">
        <v>0</v>
      </c>
      <c r="F25" s="477" t="n">
        <v>2400000</v>
      </c>
      <c r="H25" s="365">
        <f>-1*(C25* (1 + 0.4868%) ^ $B25)</f>
        <v/>
      </c>
      <c r="I25" s="365">
        <f>-1*(D25* (1 + 0.4868%) ^ $B25)</f>
        <v/>
      </c>
      <c r="J25" s="365">
        <f>(E25/ (1 + 0.4868%) ^ $B25)*-1</f>
        <v/>
      </c>
      <c r="K25" s="479">
        <f>-1*(F25* (1 + 0.4868%) ^ $B25)</f>
        <v/>
      </c>
    </row>
    <row r="26">
      <c r="A26" s="368" t="n">
        <v>46327</v>
      </c>
      <c r="B26" s="51" t="n">
        <v>18</v>
      </c>
      <c r="C26" t="n">
        <v>1600000</v>
      </c>
      <c r="D26" t="n">
        <v>320000</v>
      </c>
      <c r="E26" t="n">
        <v>-1004788.24</v>
      </c>
      <c r="F26" s="477" t="n">
        <v>2200000</v>
      </c>
      <c r="H26" s="365">
        <f>-1*(C26* (1 + 0.4868%) ^ $B26)</f>
        <v/>
      </c>
      <c r="I26" s="365">
        <f>-1*(D26* (1 + 0.4868%) ^ $B26)</f>
        <v/>
      </c>
      <c r="J26" s="365">
        <f>(E26/ (1 + 0.4868%) ^ $B26)*-1</f>
        <v/>
      </c>
      <c r="K26" s="479">
        <f>-1*(F26* (1 + 0.4868%) ^ $B26)</f>
        <v/>
      </c>
    </row>
    <row r="27">
      <c r="A27" s="368" t="n">
        <v>46357</v>
      </c>
      <c r="B27" s="51" t="n">
        <v>19</v>
      </c>
      <c r="C27" t="n">
        <v>500000</v>
      </c>
      <c r="D27" t="n">
        <v>0</v>
      </c>
      <c r="E27" t="n">
        <v>-1000000</v>
      </c>
      <c r="F27" s="477" t="n">
        <v>2200000</v>
      </c>
      <c r="H27" s="365">
        <f>-1*(C27* (1 + 0.4868%) ^ $B27)</f>
        <v/>
      </c>
      <c r="I27" s="365">
        <f>-1*(D27* (1 + 0.4868%) ^ $B27)</f>
        <v/>
      </c>
      <c r="J27" s="365">
        <f>(E27/ (1 + 0.4868%) ^ $B27)*-1</f>
        <v/>
      </c>
      <c r="K27" s="479">
        <f>-1*(F27* (1 + 0.4868%) ^ $B27)</f>
        <v/>
      </c>
    </row>
    <row r="28">
      <c r="A28" s="368" t="n">
        <v>46388</v>
      </c>
      <c r="B28" s="51" t="n">
        <v>20</v>
      </c>
      <c r="C28" t="n">
        <v>-1754788.24</v>
      </c>
      <c r="D28" t="n">
        <v>-2204788.24</v>
      </c>
      <c r="E28" t="n">
        <v>-3600000</v>
      </c>
      <c r="F28" s="477" t="n">
        <v>-1500000</v>
      </c>
      <c r="H28" s="365">
        <f>(C28/ (1 + 0.4868%) ^ $B28)*-1</f>
        <v/>
      </c>
      <c r="I28" s="365">
        <f>(D28/ (1 + 0.4868%) ^ $B28)*-1</f>
        <v/>
      </c>
      <c r="J28" s="365">
        <f>(E28/ (1 + 0.4868%) ^ $B28)*-1</f>
        <v/>
      </c>
      <c r="K28" s="479">
        <f>(F28/ (1 + 0.4868%) ^ $B28)*-1</f>
        <v/>
      </c>
    </row>
    <row r="29">
      <c r="A29" s="368" t="n">
        <v>46419</v>
      </c>
      <c r="B29" s="51" t="n">
        <v>21</v>
      </c>
      <c r="C29" t="n">
        <v>-2000000</v>
      </c>
      <c r="D29" t="n">
        <v>-2000000</v>
      </c>
      <c r="E29" t="n">
        <v>-2900000</v>
      </c>
      <c r="F29" s="477" t="n">
        <v>-1500000</v>
      </c>
      <c r="H29" s="365">
        <f>(C29/ (1 + 0.4868%) ^ $B29)*-1</f>
        <v/>
      </c>
      <c r="I29" s="365">
        <f>(D29/ (1 + 0.4868%) ^ $B29)*-1</f>
        <v/>
      </c>
      <c r="J29" s="365">
        <f>(E29/ (1 + 0.4868%) ^ $B29)*-1</f>
        <v/>
      </c>
      <c r="K29" s="479">
        <f>(F29/ (1 + 0.4868%) ^ $B29)*-1</f>
        <v/>
      </c>
    </row>
    <row r="30">
      <c r="A30" s="368" t="n">
        <v>46447</v>
      </c>
      <c r="B30" s="51" t="n">
        <v>22</v>
      </c>
      <c r="C30" t="n">
        <v>-1200000</v>
      </c>
      <c r="D30" t="n">
        <v>-2400000</v>
      </c>
      <c r="E30" t="n">
        <v>-3000000</v>
      </c>
      <c r="F30" s="477" t="n">
        <v>-1500000</v>
      </c>
      <c r="H30" s="365">
        <f>(C30/ (1 + 0.4868%) ^ $B30)*-1</f>
        <v/>
      </c>
      <c r="I30" s="365">
        <f>(D30/ (1 + 0.4868%) ^ $B30)*-1</f>
        <v/>
      </c>
      <c r="J30" s="365">
        <f>(E30/ (1 + 0.4868%) ^ $B30)*-1</f>
        <v/>
      </c>
      <c r="K30" s="479">
        <f>(F30/ (1 + 0.4868%) ^ $B30)*-1</f>
        <v/>
      </c>
    </row>
    <row r="31">
      <c r="A31" s="368" t="n">
        <v>46478</v>
      </c>
      <c r="B31" s="51" t="n">
        <v>23</v>
      </c>
      <c r="C31" t="n">
        <v>-1800000</v>
      </c>
      <c r="D31" t="n">
        <v>-2800000</v>
      </c>
      <c r="E31" t="n">
        <v>-4000000</v>
      </c>
      <c r="F31" s="477" t="n">
        <v>-1500000</v>
      </c>
      <c r="H31" s="365">
        <f>(C31/ (1 + 0.4868%) ^ $B31)*-1</f>
        <v/>
      </c>
      <c r="I31" s="365">
        <f>(D31/ (1 + 0.4868%) ^ $B31)*-1</f>
        <v/>
      </c>
      <c r="J31" s="365">
        <f>(E31/ (1 + 0.4868%) ^ $B31)*-1</f>
        <v/>
      </c>
      <c r="K31" s="479">
        <f>(F31/ (1 + 0.4868%) ^ $B31)*-1</f>
        <v/>
      </c>
    </row>
    <row r="32">
      <c r="A32" s="368" t="n">
        <v>46508</v>
      </c>
      <c r="B32" s="51" t="n">
        <v>24</v>
      </c>
      <c r="C32" t="n">
        <v>-1800000</v>
      </c>
      <c r="D32" t="n">
        <v>-1400000</v>
      </c>
      <c r="E32" t="n">
        <v>-2300000</v>
      </c>
      <c r="F32" s="477" t="n">
        <v>-1500000</v>
      </c>
      <c r="H32" s="365">
        <f>(C32/ (1 + 0.4868%) ^ $B32)*-1</f>
        <v/>
      </c>
      <c r="I32" s="365">
        <f>(D32/ (1 + 0.4868%) ^ $B32)*-1</f>
        <v/>
      </c>
      <c r="J32" s="365">
        <f>(E32/ (1 + 0.4868%) ^ $B32)*-1</f>
        <v/>
      </c>
      <c r="K32" s="479">
        <f>(F32/ (1 + 0.4868%) ^ $B32)*-1</f>
        <v/>
      </c>
    </row>
    <row r="33">
      <c r="A33" s="368" t="n">
        <v>46539</v>
      </c>
      <c r="B33" s="51" t="n">
        <v>25</v>
      </c>
      <c r="C33" t="n">
        <v>-1400000</v>
      </c>
      <c r="D33" t="n">
        <v>-1600000</v>
      </c>
      <c r="E33" t="n">
        <v>-3000000</v>
      </c>
      <c r="F33" s="477" t="n">
        <v>-1500000</v>
      </c>
      <c r="H33" s="365">
        <f>(C33/ (1 + 0.4868%) ^ $B33)*-1</f>
        <v/>
      </c>
      <c r="I33" s="365">
        <f>(D33/ (1 + 0.4868%) ^ $B33)*-1</f>
        <v/>
      </c>
      <c r="J33" s="365">
        <f>(E33/ (1 + 0.4868%) ^ $B33)*-1</f>
        <v/>
      </c>
      <c r="K33" s="479">
        <f>(F33/ (1 + 0.4868%) ^ $B33)*-1</f>
        <v/>
      </c>
    </row>
    <row r="34">
      <c r="A34" s="368" t="n">
        <v>46569</v>
      </c>
      <c r="B34" s="51" t="n">
        <v>26</v>
      </c>
      <c r="C34" t="n">
        <v>-2500000</v>
      </c>
      <c r="D34" t="n">
        <v>-3300000</v>
      </c>
      <c r="E34" t="n">
        <v>-5000000</v>
      </c>
      <c r="F34" s="477" t="n">
        <v>-1400000</v>
      </c>
      <c r="H34" s="365">
        <f>(C34/ (1 + 0.4868%) ^ $B34)*-1</f>
        <v/>
      </c>
      <c r="I34" s="365">
        <f>(D34/ (1 + 0.4868%) ^ $B34)*-1</f>
        <v/>
      </c>
      <c r="J34" s="365">
        <f>(E34/ (1 + 0.4868%) ^ $B34)*-1</f>
        <v/>
      </c>
      <c r="K34" s="479">
        <f>(F34/ (1 + 0.4868%) ^ $B34)*-1</f>
        <v/>
      </c>
    </row>
    <row r="35">
      <c r="A35" s="368" t="n">
        <v>46600</v>
      </c>
      <c r="B35" s="51" t="n">
        <v>27</v>
      </c>
      <c r="C35" t="n">
        <v>-2400000</v>
      </c>
      <c r="D35" t="n">
        <v>-3400000</v>
      </c>
      <c r="E35" t="n">
        <v>-4000000</v>
      </c>
      <c r="F35" s="477" t="n">
        <v>-1004788.24</v>
      </c>
      <c r="H35" s="365">
        <f>(C35/ (1 + 0.4868%) ^ $B35)*-1</f>
        <v/>
      </c>
      <c r="I35" s="365">
        <f>(D35/ (1 + 0.4868%) ^ $B35)*-1</f>
        <v/>
      </c>
      <c r="J35" s="365">
        <f>(E35/ (1 + 0.4868%) ^ $B35)*-1</f>
        <v/>
      </c>
      <c r="K35" s="479">
        <f>(F35/ (1 + 0.4868%) ^ $B35)*-1</f>
        <v/>
      </c>
    </row>
    <row r="36">
      <c r="A36" s="368" t="n">
        <v>46631</v>
      </c>
      <c r="B36" s="51" t="n">
        <v>28</v>
      </c>
      <c r="C36" t="n">
        <v>-1700000</v>
      </c>
      <c r="D36" t="n">
        <v>-2800000</v>
      </c>
      <c r="E36" t="n">
        <v>-4000000</v>
      </c>
      <c r="F36" s="477" t="n">
        <v>-1000000</v>
      </c>
      <c r="H36" s="365">
        <f>(C36/ (1 + 0.4868%) ^ $B36)*-1</f>
        <v/>
      </c>
      <c r="I36" s="365">
        <f>(D36/ (1 + 0.4868%) ^ $B36)*-1</f>
        <v/>
      </c>
      <c r="J36" s="365">
        <f>(E36/ (1 + 0.4868%) ^ $B36)*-1</f>
        <v/>
      </c>
      <c r="K36" s="479">
        <f>(F36/ (1 + 0.4868%) ^ $B36)*-1</f>
        <v/>
      </c>
    </row>
    <row r="37">
      <c r="A37" s="368" t="n">
        <v>46661</v>
      </c>
      <c r="B37" s="51" t="n">
        <v>29</v>
      </c>
      <c r="C37" t="n">
        <v>-1750000</v>
      </c>
      <c r="D37" t="n">
        <v>-2700000</v>
      </c>
      <c r="E37" t="n">
        <v>-4800000</v>
      </c>
      <c r="F37" s="477" t="n">
        <v>-1000000</v>
      </c>
      <c r="H37" s="365">
        <f>(C37/ (1 + 0.4868%) ^ $B37)*-1</f>
        <v/>
      </c>
      <c r="I37" s="365">
        <f>(D37/ (1 + 0.4868%) ^ $B37)*-1</f>
        <v/>
      </c>
      <c r="J37" s="365">
        <f>(E37/ (1 + 0.4868%) ^ $B37)*-1</f>
        <v/>
      </c>
      <c r="K37" s="479">
        <f>(F37/ (1 + 0.4868%) ^ $B37)*-1</f>
        <v/>
      </c>
    </row>
    <row r="38">
      <c r="A38" s="368" t="n">
        <v>46692</v>
      </c>
      <c r="B38" s="51" t="n">
        <v>30</v>
      </c>
      <c r="C38" t="n">
        <v>-2000000</v>
      </c>
      <c r="D38" t="n">
        <v>-3200000</v>
      </c>
      <c r="E38" t="n">
        <v>-4500000</v>
      </c>
      <c r="F38" s="477" t="n">
        <v>-500000</v>
      </c>
      <c r="H38" s="365">
        <f>(C38/ (1 + 0.4868%) ^ $B38)*-1</f>
        <v/>
      </c>
      <c r="I38" s="365">
        <f>(D38/ (1 + 0.4868%) ^ $B38)*-1</f>
        <v/>
      </c>
      <c r="J38" s="365">
        <f>(E38/ (1 + 0.4868%) ^ $B38)*-1</f>
        <v/>
      </c>
      <c r="K38" s="479">
        <f>(F38/ (1 + 0.4868%) ^ $B38)*-1</f>
        <v/>
      </c>
    </row>
    <row r="39">
      <c r="A39" s="368" t="n">
        <v>46722</v>
      </c>
      <c r="B39" s="51" t="n">
        <v>31</v>
      </c>
      <c r="C39" t="n">
        <v>-2500000</v>
      </c>
      <c r="D39" t="n">
        <v>-3300000</v>
      </c>
      <c r="E39" t="n">
        <v>-5000000</v>
      </c>
      <c r="F39" s="477" t="n">
        <v>-400000</v>
      </c>
      <c r="H39" s="365">
        <f>(C39/ (1 + 0.4868%) ^ $B39)*-1</f>
        <v/>
      </c>
      <c r="I39" s="365">
        <f>(D39/ (1 + 0.4868%) ^ $B39)*-1</f>
        <v/>
      </c>
      <c r="J39" s="365">
        <f>(E39/ (1 + 0.4868%) ^ $B39)*-1</f>
        <v/>
      </c>
      <c r="K39" s="479">
        <f>(F39/ (1 + 0.4868%) ^ $B39)*-1</f>
        <v/>
      </c>
    </row>
    <row r="40">
      <c r="A40" s="368" t="n">
        <v>46753</v>
      </c>
      <c r="B40" s="51" t="n">
        <v>32</v>
      </c>
      <c r="C40" t="n">
        <v>-2000000</v>
      </c>
      <c r="D40" t="n">
        <v>-2800000</v>
      </c>
      <c r="E40" t="n">
        <v>-4700000</v>
      </c>
      <c r="F40" s="477" t="n">
        <v>0</v>
      </c>
      <c r="H40" s="365">
        <f>(C40/ (1 + 0.4868%) ^ $B40)*-1</f>
        <v/>
      </c>
      <c r="I40" s="365">
        <f>(D40/ (1 + 0.4868%) ^ $B40)*-1</f>
        <v/>
      </c>
      <c r="J40" s="365">
        <f>(E40/ (1 + 0.4868%) ^ $B40)*-1</f>
        <v/>
      </c>
      <c r="K40" s="479">
        <f>(F40/ (1 + 0.4868%) ^ $B40)*-1</f>
        <v/>
      </c>
    </row>
    <row r="41">
      <c r="A41" s="368" t="n">
        <v>46784</v>
      </c>
      <c r="B41" s="51" t="n">
        <v>33</v>
      </c>
      <c r="C41" t="n">
        <v>-800000</v>
      </c>
      <c r="D41" t="n">
        <v>-2500000</v>
      </c>
      <c r="E41" t="n">
        <v>-4400000</v>
      </c>
      <c r="F41" s="477" t="n">
        <v>0</v>
      </c>
      <c r="H41" s="365">
        <f>(C41/ (1 + 0.4868%) ^ $B41)*-1</f>
        <v/>
      </c>
      <c r="I41" s="365">
        <f>(D41/ (1 + 0.4868%) ^ $B41)*-1</f>
        <v/>
      </c>
      <c r="J41" s="365">
        <f>(E41/ (1 + 0.4868%) ^ $B41)*-1</f>
        <v/>
      </c>
      <c r="K41" s="479">
        <f>(F41/ (1 + 0.4868%) ^ $B41)*-1</f>
        <v/>
      </c>
    </row>
    <row r="42">
      <c r="A42" s="368" t="n">
        <v>46813</v>
      </c>
      <c r="B42" s="51" t="n">
        <v>34</v>
      </c>
      <c r="C42" t="n">
        <v>-500000</v>
      </c>
      <c r="D42" t="n">
        <v>-1400000</v>
      </c>
      <c r="E42" t="n">
        <v>-3000000</v>
      </c>
      <c r="F42" s="477" t="n">
        <v>0</v>
      </c>
      <c r="H42" s="365">
        <f>(C42/ (1 + 0.4868%) ^ $B42)*-1</f>
        <v/>
      </c>
      <c r="I42" s="365">
        <f>(D42/ (1 + 0.4868%) ^ $B42)*-1</f>
        <v/>
      </c>
      <c r="J42" s="365">
        <f>(E42/ (1 + 0.4868%) ^ $B42)*-1</f>
        <v/>
      </c>
      <c r="K42" s="479">
        <f>(F42/ (1 + 0.4868%) ^ $B42)*-1</f>
        <v/>
      </c>
    </row>
    <row r="43">
      <c r="A43" s="368" t="n">
        <v>46844</v>
      </c>
      <c r="B43" s="51" t="n">
        <v>35</v>
      </c>
      <c r="C43" t="n">
        <v>-500000</v>
      </c>
      <c r="D43" t="n">
        <v>-1300000</v>
      </c>
      <c r="E43" t="n">
        <v>-3200000</v>
      </c>
      <c r="F43" s="477" t="n">
        <v>0</v>
      </c>
      <c r="H43" s="365">
        <f>(C43/ (1 + 0.4868%) ^ $B43)*-1</f>
        <v/>
      </c>
      <c r="I43" s="365">
        <f>(D43/ (1 + 0.4868%) ^ $B43)*-1</f>
        <v/>
      </c>
      <c r="J43" s="365">
        <f>(E43/ (1 + 0.4868%) ^ $B43)*-1</f>
        <v/>
      </c>
      <c r="K43" s="479">
        <f>(F43/ (1 + 0.4868%) ^ $B43)*-1</f>
        <v/>
      </c>
    </row>
    <row r="44">
      <c r="A44" s="368" t="n">
        <v>46874</v>
      </c>
      <c r="B44" s="51" t="n">
        <v>36</v>
      </c>
      <c r="C44" t="n">
        <v>-350000</v>
      </c>
      <c r="D44" t="n">
        <v>-1150000</v>
      </c>
      <c r="E44" t="n">
        <v>-3000000</v>
      </c>
      <c r="F44" s="477" t="n">
        <v>0</v>
      </c>
      <c r="H44" s="365">
        <f>(C44/ (1 + 0.4868%) ^ $B44)*-1</f>
        <v/>
      </c>
      <c r="I44" s="365">
        <f>(D44/ (1 + 0.4868%) ^ $B44)*-1</f>
        <v/>
      </c>
      <c r="J44" s="365">
        <f>(E44/ (1 + 0.4868%) ^ $B44)*-1</f>
        <v/>
      </c>
      <c r="K44" s="479">
        <f>(F44/ (1 + 0.4868%) ^ $B44)*-1</f>
        <v/>
      </c>
    </row>
    <row r="45">
      <c r="A45" s="368" t="n">
        <v>46905</v>
      </c>
      <c r="B45" s="51" t="n">
        <v>37</v>
      </c>
      <c r="C45" t="n">
        <v>-2700000</v>
      </c>
      <c r="D45" t="n">
        <v>-3850000</v>
      </c>
      <c r="E45" t="n">
        <v>-5650000</v>
      </c>
      <c r="F45" s="477" t="n">
        <v>-1104788.24</v>
      </c>
      <c r="H45" s="365">
        <f>(C45/ (1 + 0.4868%) ^ $B45)*-1</f>
        <v/>
      </c>
      <c r="I45" s="365">
        <f>(D45/ (1 + 0.4868%) ^ $B45)*-1</f>
        <v/>
      </c>
      <c r="J45" s="365">
        <f>(E45/ (1 + 0.4868%) ^ $B45)*-1</f>
        <v/>
      </c>
      <c r="K45" s="479">
        <f>(F45/ (1 + 0.4868%) ^ $B45)*-1</f>
        <v/>
      </c>
    </row>
    <row r="46">
      <c r="A46" s="368" t="n">
        <v>46935</v>
      </c>
      <c r="B46" s="51" t="n">
        <v>38</v>
      </c>
      <c r="C46" t="n">
        <v>-2780000</v>
      </c>
      <c r="D46" t="n">
        <v>-4000000</v>
      </c>
      <c r="E46" t="n">
        <v>-6050000</v>
      </c>
      <c r="F46" s="477" t="n">
        <v>-1000000</v>
      </c>
      <c r="H46" s="365">
        <f>(C46/ (1 + 0.4868%) ^ $B46)*-1</f>
        <v/>
      </c>
      <c r="I46" s="365">
        <f>(D46/ (1 + 0.4868%) ^ $B46)*-1</f>
        <v/>
      </c>
      <c r="J46" s="365">
        <f>(E46/ (1 + 0.4868%) ^ $B46)*-1</f>
        <v/>
      </c>
      <c r="K46" s="479">
        <f>(F46/ (1 + 0.4868%) ^ $B46)*-1</f>
        <v/>
      </c>
    </row>
    <row r="47">
      <c r="A47" s="368" t="n">
        <v>46966</v>
      </c>
      <c r="B47" s="51" t="n">
        <v>39</v>
      </c>
      <c r="C47" t="n">
        <v>-2820000</v>
      </c>
      <c r="D47" t="n">
        <v>-4050000</v>
      </c>
      <c r="E47" t="n">
        <v>-5900000</v>
      </c>
      <c r="F47" s="477" t="n">
        <v>-1000000</v>
      </c>
      <c r="H47" s="365">
        <f>(C47/ (1 + 0.4868%) ^ $B47)*-1</f>
        <v/>
      </c>
      <c r="I47" s="365">
        <f>(D47/ (1 + 0.4868%) ^ $B47)*-1</f>
        <v/>
      </c>
      <c r="J47" s="365">
        <f>(E47/ (1 + 0.4868%) ^ $B47)*-1</f>
        <v/>
      </c>
      <c r="K47" s="479">
        <f>(F47/ (1 + 0.4868%) ^ $B47)*-1</f>
        <v/>
      </c>
    </row>
    <row r="48">
      <c r="A48" s="368" t="n">
        <v>46997</v>
      </c>
      <c r="B48" s="51" t="n">
        <v>40</v>
      </c>
      <c r="C48" t="n">
        <v>-2850000</v>
      </c>
      <c r="D48" t="n">
        <v>-4000000</v>
      </c>
      <c r="E48" t="n">
        <v>-6200000</v>
      </c>
      <c r="F48" s="477" t="n">
        <v>-1995211.76</v>
      </c>
      <c r="H48" s="365">
        <f>(C48/ (1 + 0.4868%) ^ $B48)*-1</f>
        <v/>
      </c>
      <c r="I48" s="365">
        <f>(D48/ (1 + 0.4868%) ^ $B48)*-1</f>
        <v/>
      </c>
      <c r="J48" s="365">
        <f>(E48/ (1 + 0.4868%) ^ $B48)*-1</f>
        <v/>
      </c>
      <c r="K48" s="479">
        <f>(F48/ (1 + 0.4868%) ^ $B48)*-1</f>
        <v/>
      </c>
    </row>
    <row r="49">
      <c r="A49" s="368" t="n">
        <v>47027</v>
      </c>
      <c r="B49" s="51" t="n">
        <v>41</v>
      </c>
      <c r="C49" t="n">
        <v>-2900000</v>
      </c>
      <c r="D49" t="n">
        <v>-4000000</v>
      </c>
      <c r="E49" t="n">
        <v>-6100000</v>
      </c>
      <c r="F49" s="477" t="n">
        <v>-1500000</v>
      </c>
      <c r="H49" s="365">
        <f>(C49/ (1 + 0.4868%) ^ $B49)*-1</f>
        <v/>
      </c>
      <c r="I49" s="365">
        <f>(D49/ (1 + 0.4868%) ^ $B49)*-1</f>
        <v/>
      </c>
      <c r="J49" s="365">
        <f>(E49/ (1 + 0.4868%) ^ $B49)*-1</f>
        <v/>
      </c>
      <c r="K49" s="479">
        <f>(F49/ (1 + 0.4868%) ^ $B49)*-1</f>
        <v/>
      </c>
    </row>
    <row r="50">
      <c r="A50" s="368" t="n">
        <v>47058</v>
      </c>
      <c r="B50" s="51" t="n">
        <v>42</v>
      </c>
      <c r="C50" t="n">
        <v>-3000000</v>
      </c>
      <c r="D50" t="n">
        <v>-4100000</v>
      </c>
      <c r="E50" t="n">
        <v>-6180000</v>
      </c>
      <c r="F50" s="477" t="n">
        <v>-1500000</v>
      </c>
      <c r="H50" s="365">
        <f>(C50/ (1 + 0.4868%) ^ $B50)*-1</f>
        <v/>
      </c>
      <c r="I50" s="365">
        <f>(D50/ (1 + 0.4868%) ^ $B50)*-1</f>
        <v/>
      </c>
      <c r="J50" s="365">
        <f>(E50/ (1 + 0.4868%) ^ $B50)*-1</f>
        <v/>
      </c>
      <c r="K50" s="479">
        <f>(F50/ (1 + 0.4868%) ^ $B50)*-1</f>
        <v/>
      </c>
    </row>
    <row r="51">
      <c r="A51" s="368" t="n">
        <v>47088</v>
      </c>
      <c r="B51" s="51" t="n">
        <v>43</v>
      </c>
      <c r="C51" t="n">
        <v>-2900000</v>
      </c>
      <c r="D51" t="n">
        <v>-4100000</v>
      </c>
      <c r="E51" t="n">
        <v>-6200000</v>
      </c>
      <c r="F51" s="477" t="n">
        <v>-1500000</v>
      </c>
      <c r="H51" s="365">
        <f>(C51/ (1 + 0.4868%) ^ $B51)*-1</f>
        <v/>
      </c>
      <c r="I51" s="365">
        <f>(D51/ (1 + 0.4868%) ^ $B51)*-1</f>
        <v/>
      </c>
      <c r="J51" s="365">
        <f>(E51/ (1 + 0.4868%) ^ $B51)*-1</f>
        <v/>
      </c>
      <c r="K51" s="479">
        <f>(F51/ (1 + 0.4868%) ^ $B51)*-1</f>
        <v/>
      </c>
    </row>
    <row r="52">
      <c r="A52" s="368" t="n">
        <v>47119</v>
      </c>
      <c r="B52" s="51" t="n">
        <v>44</v>
      </c>
      <c r="C52" t="n">
        <v>-2900000</v>
      </c>
      <c r="D52" t="n">
        <v>-4150000</v>
      </c>
      <c r="E52" t="n">
        <v>-6250000</v>
      </c>
      <c r="F52" s="477" t="n">
        <v>-2624788.24</v>
      </c>
      <c r="H52" s="365">
        <f>(C52/ (1 + 0.4868%) ^ $B52)*-1</f>
        <v/>
      </c>
      <c r="I52" s="365">
        <f>(D52/ (1 + 0.4868%) ^ $B52)*-1</f>
        <v/>
      </c>
      <c r="J52" s="365">
        <f>(E52/ (1 + 0.4868%) ^ $B52)*-1</f>
        <v/>
      </c>
      <c r="K52" s="479">
        <f>(F52/ (1 + 0.4868%) ^ $B52)*-1</f>
        <v/>
      </c>
    </row>
    <row r="53">
      <c r="A53" s="368" t="n">
        <v>47150</v>
      </c>
      <c r="B53" s="51" t="n">
        <v>45</v>
      </c>
      <c r="C53" t="n">
        <v>-2900000</v>
      </c>
      <c r="D53" t="n">
        <v>-4150000</v>
      </c>
      <c r="E53" t="n">
        <v>-6300000</v>
      </c>
      <c r="F53" s="477" t="n">
        <v>-1560211.76</v>
      </c>
      <c r="H53" s="365">
        <f>(C53/ (1 + 0.4868%) ^ $B53)*-1</f>
        <v/>
      </c>
      <c r="I53" s="365">
        <f>(D53/ (1 + 0.4868%) ^ $B53)*-1</f>
        <v/>
      </c>
      <c r="J53" s="365">
        <f>(E53/ (1 + 0.4868%) ^ $B53)*-1</f>
        <v/>
      </c>
      <c r="K53" s="479">
        <f>(F53/ (1 + 0.4868%) ^ $B53)*-1</f>
        <v/>
      </c>
    </row>
    <row r="54">
      <c r="A54" s="368" t="n">
        <v>47178</v>
      </c>
      <c r="B54" s="51" t="n">
        <v>46</v>
      </c>
      <c r="C54" t="n">
        <v>-3000000</v>
      </c>
      <c r="D54" t="n">
        <v>-4200000</v>
      </c>
      <c r="E54" t="n">
        <v>-6350000</v>
      </c>
      <c r="F54" s="477" t="n">
        <v>-1700000</v>
      </c>
      <c r="H54" s="365">
        <f>(C54/ (1 + 0.4868%) ^ $B54)*-1</f>
        <v/>
      </c>
      <c r="I54" s="365">
        <f>(D54/ (1 + 0.4868%) ^ $B54)*-1</f>
        <v/>
      </c>
      <c r="J54" s="365">
        <f>(E54/ (1 + 0.4868%) ^ $B54)*-1</f>
        <v/>
      </c>
      <c r="K54" s="479">
        <f>(F54/ (1 + 0.4868%) ^ $B54)*-1</f>
        <v/>
      </c>
    </row>
    <row r="55">
      <c r="A55" s="368" t="n">
        <v>47209</v>
      </c>
      <c r="B55" s="51" t="n">
        <v>47</v>
      </c>
      <c r="C55" t="n">
        <v>-3200000</v>
      </c>
      <c r="D55" t="n">
        <v>-4450000</v>
      </c>
      <c r="E55" t="n">
        <v>-6700000</v>
      </c>
      <c r="F55" s="477" t="n">
        <v>-1900000</v>
      </c>
      <c r="H55" s="365">
        <f>(C55/ (1 + 0.4868%) ^ $B55)*-1</f>
        <v/>
      </c>
      <c r="I55" s="365">
        <f>(D55/ (1 + 0.4868%) ^ $B55)*-1</f>
        <v/>
      </c>
      <c r="J55" s="365">
        <f>(E55/ (1 + 0.4868%) ^ $B55)*-1</f>
        <v/>
      </c>
      <c r="K55" s="479">
        <f>(F55/ (1 + 0.4868%) ^ $B55)*-1</f>
        <v/>
      </c>
    </row>
    <row r="56">
      <c r="A56" s="368" t="n">
        <v>47239</v>
      </c>
      <c r="B56" s="51" t="n">
        <v>48</v>
      </c>
      <c r="C56" t="n">
        <v>-3300000</v>
      </c>
      <c r="D56" t="n">
        <v>-4650000</v>
      </c>
      <c r="E56" t="n">
        <v>-7000000</v>
      </c>
      <c r="F56" s="477" t="n">
        <v>-1500000</v>
      </c>
      <c r="H56" s="365">
        <f>(C56/ (1 + 0.4868%) ^ $B56)*-1</f>
        <v/>
      </c>
      <c r="I56" s="365">
        <f>(D56/ (1 + 0.4868%) ^ $B56)*-1</f>
        <v/>
      </c>
      <c r="J56" s="365">
        <f>(E56/ (1 + 0.4868%) ^ $B56)*-1</f>
        <v/>
      </c>
      <c r="K56" s="479">
        <f>(F56/ (1 + 0.4868%) ^ $B56)*-1</f>
        <v/>
      </c>
    </row>
    <row r="57">
      <c r="A57" s="368" t="n">
        <v>47270</v>
      </c>
      <c r="B57" s="51" t="n">
        <v>49</v>
      </c>
      <c r="C57" t="n">
        <v>-3100000</v>
      </c>
      <c r="D57" t="n">
        <v>-4380000</v>
      </c>
      <c r="E57" t="n">
        <v>-6540000</v>
      </c>
      <c r="F57" s="477" t="n">
        <v>-1500000</v>
      </c>
      <c r="H57" s="365">
        <f>(C57/ (1 + 0.4868%) ^ $B57)*-1</f>
        <v/>
      </c>
      <c r="I57" s="365">
        <f>(D57/ (1 + 0.4868%) ^ $B57)*-1</f>
        <v/>
      </c>
      <c r="J57" s="365">
        <f>(E57/ (1 + 0.4868%) ^ $B57)*-1</f>
        <v/>
      </c>
      <c r="K57" s="479">
        <f>(F57/ (1 + 0.4868%) ^ $B57)*-1</f>
        <v/>
      </c>
    </row>
    <row r="58">
      <c r="A58" s="368" t="n">
        <v>47300</v>
      </c>
      <c r="B58" s="51" t="n">
        <v>50</v>
      </c>
      <c r="C58" t="n">
        <v>-3090000</v>
      </c>
      <c r="D58" t="n">
        <v>-4350000</v>
      </c>
      <c r="E58" t="n">
        <v>-6700000</v>
      </c>
      <c r="F58" s="477" t="n">
        <v>-1500000</v>
      </c>
      <c r="H58" s="365">
        <f>(C58/ (1 + 0.4868%) ^ $B58)*-1</f>
        <v/>
      </c>
      <c r="I58" s="365">
        <f>(D58/ (1 + 0.4868%) ^ $B58)*-1</f>
        <v/>
      </c>
      <c r="J58" s="365">
        <f>(E58/ (1 + 0.4868%) ^ $B58)*-1</f>
        <v/>
      </c>
      <c r="K58" s="479">
        <f>(F58/ (1 + 0.4868%) ^ $B58)*-1</f>
        <v/>
      </c>
    </row>
    <row r="59">
      <c r="A59" s="368" t="n">
        <v>47331</v>
      </c>
      <c r="B59" s="51" t="n">
        <v>51</v>
      </c>
      <c r="C59" t="n">
        <v>-3150000</v>
      </c>
      <c r="D59" t="n">
        <v>-4500000</v>
      </c>
      <c r="E59" t="n">
        <v>-6800000</v>
      </c>
      <c r="F59" s="477" t="n">
        <v>-1609788.24</v>
      </c>
      <c r="H59" s="365">
        <f>(C59/ (1 + 0.4868%) ^ $B59)*-1</f>
        <v/>
      </c>
      <c r="I59" s="365">
        <f>(D59/ (1 + 0.4868%) ^ $B59)*-1</f>
        <v/>
      </c>
      <c r="J59" s="365">
        <f>(E59/ (1 + 0.4868%) ^ $B59)*-1</f>
        <v/>
      </c>
      <c r="K59" s="479">
        <f>(F59/ (1 + 0.4868%) ^ $B59)*-1</f>
        <v/>
      </c>
    </row>
    <row r="60">
      <c r="A60" s="368" t="n">
        <v>47362</v>
      </c>
      <c r="B60" s="51" t="n">
        <v>52</v>
      </c>
      <c r="C60" t="n">
        <v>-3100000</v>
      </c>
      <c r="D60" t="n">
        <v>-4450000</v>
      </c>
      <c r="E60" t="n">
        <v>-6500000</v>
      </c>
      <c r="F60" s="477" t="n">
        <v>-1470211.76</v>
      </c>
      <c r="H60" s="365">
        <f>(C60/ (1 + 0.4868%) ^ $B60)*-1</f>
        <v/>
      </c>
      <c r="I60" s="365">
        <f>(D60/ (1 + 0.4868%) ^ $B60)*-1</f>
        <v/>
      </c>
      <c r="J60" s="365">
        <f>(E60/ (1 + 0.4868%) ^ $B60)*-1</f>
        <v/>
      </c>
      <c r="K60" s="479">
        <f>(F60/ (1 + 0.4868%) ^ $B60)*-1</f>
        <v/>
      </c>
    </row>
    <row r="61">
      <c r="A61" s="368" t="n">
        <v>47392</v>
      </c>
      <c r="B61" s="51" t="n">
        <v>53</v>
      </c>
      <c r="C61" t="n">
        <v>-3100000</v>
      </c>
      <c r="D61" t="n">
        <v>-4500000</v>
      </c>
      <c r="E61" t="n">
        <v>-5500000</v>
      </c>
      <c r="F61" s="477" t="n">
        <v>-1500000</v>
      </c>
      <c r="H61" s="365">
        <f>(C61/ (1 + 0.4868%) ^ $B61)*-1</f>
        <v/>
      </c>
      <c r="I61" s="365">
        <f>(D61/ (1 + 0.4868%) ^ $B61)*-1</f>
        <v/>
      </c>
      <c r="J61" s="365">
        <f>(E61/ (1 + 0.4868%) ^ $B61)*-1</f>
        <v/>
      </c>
      <c r="K61" s="479">
        <f>(F61/ (1 + 0.4868%) ^ $B61)*-1</f>
        <v/>
      </c>
    </row>
    <row r="62">
      <c r="A62" s="368" t="n">
        <v>47423</v>
      </c>
      <c r="B62" s="51" t="n">
        <v>54</v>
      </c>
      <c r="C62" t="n">
        <v>-3150000</v>
      </c>
      <c r="D62" t="n">
        <v>-4500000</v>
      </c>
      <c r="E62" t="n">
        <v>-5400000</v>
      </c>
      <c r="F62" s="477" t="n">
        <v>-1700000</v>
      </c>
      <c r="H62" s="365">
        <f>(C62/ (1 + 0.4868%) ^ $B62)*-1</f>
        <v/>
      </c>
      <c r="I62" s="365">
        <f>(D62/ (1 + 0.4868%) ^ $B62)*-1</f>
        <v/>
      </c>
      <c r="J62" s="365">
        <f>(E62/ (1 + 0.4868%) ^ $B62)*-1</f>
        <v/>
      </c>
      <c r="K62" s="479">
        <f>(F62/ (1 + 0.4868%) ^ $B62)*-1</f>
        <v/>
      </c>
    </row>
    <row r="63">
      <c r="A63" s="368" t="n">
        <v>47453</v>
      </c>
      <c r="B63" s="51" t="n">
        <v>55</v>
      </c>
      <c r="C63" t="n">
        <v>-3100000</v>
      </c>
      <c r="D63" t="n">
        <v>-4500000</v>
      </c>
      <c r="E63" t="n">
        <v>-5200000</v>
      </c>
      <c r="F63" s="477" t="n">
        <v>-1600000</v>
      </c>
      <c r="H63" s="365">
        <f>(C63/ (1 + 0.4868%) ^ $B63)*-1</f>
        <v/>
      </c>
      <c r="I63" s="365">
        <f>(D63/ (1 + 0.4868%) ^ $B63)*-1</f>
        <v/>
      </c>
      <c r="J63" s="365">
        <f>(E63/ (1 + 0.4868%) ^ $B63)*-1</f>
        <v/>
      </c>
      <c r="K63" s="479">
        <f>(F63/ (1 + 0.4868%) ^ $B63)*-1</f>
        <v/>
      </c>
    </row>
    <row r="64">
      <c r="A64" s="368" t="n">
        <v>47484</v>
      </c>
      <c r="B64" s="51" t="n">
        <v>56</v>
      </c>
      <c r="C64" t="n">
        <v>-3200000</v>
      </c>
      <c r="D64" t="n">
        <v>-4650000</v>
      </c>
      <c r="E64" t="n">
        <v>-5100000</v>
      </c>
      <c r="F64" s="477" t="n">
        <v>-1600000</v>
      </c>
      <c r="H64" s="365">
        <f>(C64/ (1 + 0.4868%) ^ $B64)*-1</f>
        <v/>
      </c>
      <c r="I64" s="365">
        <f>(D64/ (1 + 0.4868%) ^ $B64)*-1</f>
        <v/>
      </c>
      <c r="J64" s="365">
        <f>(E64/ (1 + 0.4868%) ^ $B64)*-1</f>
        <v/>
      </c>
      <c r="K64" s="479">
        <f>(F64/ (1 + 0.4868%) ^ $B64)*-1</f>
        <v/>
      </c>
    </row>
    <row r="65">
      <c r="A65" s="368" t="n">
        <v>47515</v>
      </c>
      <c r="B65" s="51" t="n">
        <v>57</v>
      </c>
      <c r="C65" t="n">
        <v>-3200000</v>
      </c>
      <c r="D65" t="n">
        <v>-4500000</v>
      </c>
      <c r="E65" t="n">
        <v>-4950000</v>
      </c>
      <c r="F65" s="477" t="n">
        <v>-2000000</v>
      </c>
      <c r="H65" s="365">
        <f>(C65/ (1 + 0.4868%) ^ $B65)*-1</f>
        <v/>
      </c>
      <c r="I65" s="365">
        <f>(D65/ (1 + 0.4868%) ^ $B65)*-1</f>
        <v/>
      </c>
      <c r="J65" s="365">
        <f>(E65/ (1 + 0.4868%) ^ $B65)*-1</f>
        <v/>
      </c>
      <c r="K65" s="479">
        <f>(F65/ (1 + 0.4868%) ^ $B65)*-1</f>
        <v/>
      </c>
    </row>
    <row r="66">
      <c r="A66" s="368" t="n">
        <v>47543</v>
      </c>
      <c r="B66" s="51" t="n">
        <v>58</v>
      </c>
      <c r="C66" t="n">
        <v>-3240000</v>
      </c>
      <c r="D66" t="n">
        <v>-4650000</v>
      </c>
      <c r="E66" t="n">
        <v>-4770000</v>
      </c>
      <c r="F66" s="477" t="n">
        <v>-1800000</v>
      </c>
      <c r="H66" s="365">
        <f>(C66/ (1 + 0.4868%) ^ $B66)*-1</f>
        <v/>
      </c>
      <c r="I66" s="365">
        <f>(D66/ (1 + 0.4868%) ^ $B66)*-1</f>
        <v/>
      </c>
      <c r="J66" s="365">
        <f>(E66/ (1 + 0.4868%) ^ $B66)*-1</f>
        <v/>
      </c>
      <c r="K66" s="479">
        <f>(F66/ (1 + 0.4868%) ^ $B66)*-1</f>
        <v/>
      </c>
    </row>
    <row r="67">
      <c r="A67" s="368" t="n">
        <v>47574</v>
      </c>
      <c r="B67" s="51" t="n">
        <v>59</v>
      </c>
      <c r="C67" t="n">
        <v>-3620000</v>
      </c>
      <c r="D67" t="n">
        <v>-5000000</v>
      </c>
      <c r="E67" t="n">
        <v>-4950000</v>
      </c>
      <c r="F67" s="477" t="n">
        <v>-2400000</v>
      </c>
      <c r="H67" s="365">
        <f>(C67/ (1 + 0.4868%) ^ $B67)*-1</f>
        <v/>
      </c>
      <c r="I67" s="365">
        <f>(D67/ (1 + 0.4868%) ^ $B67)*-1</f>
        <v/>
      </c>
      <c r="J67" s="365">
        <f>(E67/ (1 + 0.4868%) ^ $B67)*-1</f>
        <v/>
      </c>
      <c r="K67" s="479">
        <f>(F67/ (1 + 0.4868%) ^ $B67)*-1</f>
        <v/>
      </c>
    </row>
    <row r="68">
      <c r="A68" s="368" t="n">
        <v>47604</v>
      </c>
      <c r="B68" s="51" t="n">
        <v>60</v>
      </c>
      <c r="C68" t="n">
        <v>-3700000</v>
      </c>
      <c r="D68" t="n">
        <v>-5200000</v>
      </c>
      <c r="E68" t="n">
        <v>-4850000</v>
      </c>
      <c r="F68" s="477" t="n">
        <v>-1800000</v>
      </c>
      <c r="H68" s="365">
        <f>(C68/ (1 + 0.4868%) ^ $B68)*-1</f>
        <v/>
      </c>
      <c r="I68" s="365">
        <f>(D68/ (1 + 0.4868%) ^ $B68)*-1</f>
        <v/>
      </c>
      <c r="J68" s="365">
        <f>(E68/ (1 + 0.4868%) ^ $B68)*-1</f>
        <v/>
      </c>
      <c r="K68" s="479">
        <f>(F68/ (1 + 0.4868%) ^ $B68)*-1</f>
        <v/>
      </c>
    </row>
    <row r="69">
      <c r="A69" s="368" t="n">
        <v>47635</v>
      </c>
      <c r="B69" s="51" t="n">
        <v>61</v>
      </c>
      <c r="C69" t="n">
        <v>-3330000</v>
      </c>
      <c r="D69" t="n">
        <v>-4800000</v>
      </c>
      <c r="E69" t="n">
        <v>-4350000</v>
      </c>
      <c r="F69" s="477" t="n">
        <v>-1800000</v>
      </c>
      <c r="H69" s="365">
        <f>(C69/ (1 + 0.4868%) ^ $B69)*-1</f>
        <v/>
      </c>
      <c r="I69" s="365">
        <f>(D69/ (1 + 0.4868%) ^ $B69)*-1</f>
        <v/>
      </c>
      <c r="J69" s="365">
        <f>(E69/ (1 + 0.4868%) ^ $B69)*-1</f>
        <v/>
      </c>
      <c r="K69" s="479">
        <f>(F69/ (1 + 0.4868%) ^ $B69)*-1</f>
        <v/>
      </c>
    </row>
    <row r="70">
      <c r="A70" s="368" t="n">
        <v>47665</v>
      </c>
      <c r="B70" s="51" t="n">
        <v>62</v>
      </c>
      <c r="C70" t="n">
        <v>-3450000</v>
      </c>
      <c r="D70" t="n">
        <v>-4900000</v>
      </c>
      <c r="E70" t="n">
        <v>-4250000</v>
      </c>
      <c r="F70" s="477" t="n">
        <v>-1800000</v>
      </c>
      <c r="H70" s="365">
        <f>(C70/ (1 + 0.4868%) ^ $B70)*-1</f>
        <v/>
      </c>
      <c r="I70" s="365">
        <f>(D70/ (1 + 0.4868%) ^ $B70)*-1</f>
        <v/>
      </c>
      <c r="J70" s="365">
        <f>(E70/ (1 + 0.4868%) ^ $B70)*-1</f>
        <v/>
      </c>
      <c r="K70" s="479">
        <f>(F70/ (1 + 0.4868%) ^ $B70)*-1</f>
        <v/>
      </c>
    </row>
    <row r="71">
      <c r="A71" s="368" t="n">
        <v>47696</v>
      </c>
      <c r="B71" s="51" t="n">
        <v>63</v>
      </c>
      <c r="C71" t="n">
        <v>-3450000</v>
      </c>
      <c r="D71" t="n">
        <v>-4860000</v>
      </c>
      <c r="E71" t="n">
        <v>-4000000</v>
      </c>
      <c r="F71" s="477" t="n">
        <v>-2000000</v>
      </c>
      <c r="H71" s="365">
        <f>(C71/ (1 + 0.4868%) ^ $B71)*-1</f>
        <v/>
      </c>
      <c r="I71" s="365">
        <f>(D71/ (1 + 0.4868%) ^ $B71)*-1</f>
        <v/>
      </c>
      <c r="J71" s="365">
        <f>(E71/ (1 + 0.4868%) ^ $B71)*-1</f>
        <v/>
      </c>
      <c r="K71" s="479">
        <f>(F71/ (1 + 0.4868%) ^ $B71)*-1</f>
        <v/>
      </c>
    </row>
    <row r="72">
      <c r="A72" s="368" t="n">
        <v>47727</v>
      </c>
      <c r="B72" s="51" t="n">
        <v>64</v>
      </c>
      <c r="C72" t="n">
        <v>-3450000</v>
      </c>
      <c r="D72" t="n">
        <v>-4900000</v>
      </c>
      <c r="E72" t="n">
        <v>-3550000</v>
      </c>
      <c r="F72" s="477" t="n">
        <v>-1900000</v>
      </c>
      <c r="H72" s="365">
        <f>(C72/ (1 + 0.4868%) ^ $B72)*-1</f>
        <v/>
      </c>
      <c r="I72" s="365">
        <f>(D72/ (1 + 0.4868%) ^ $B72)*-1</f>
        <v/>
      </c>
      <c r="J72" s="365">
        <f>(E72/ (1 + 0.4868%) ^ $B72)*-1</f>
        <v/>
      </c>
      <c r="K72" s="479">
        <f>(F72/ (1 + 0.4868%) ^ $B72)*-1</f>
        <v/>
      </c>
    </row>
    <row r="73">
      <c r="A73" s="368" t="n">
        <v>47757</v>
      </c>
      <c r="B73" s="51" t="n">
        <v>65</v>
      </c>
      <c r="C73" t="n">
        <v>-3460000</v>
      </c>
      <c r="D73" t="n">
        <v>-4950000</v>
      </c>
      <c r="E73" t="n">
        <v>-2240000</v>
      </c>
      <c r="F73" s="477" t="n">
        <v>-1900000</v>
      </c>
      <c r="H73" s="365">
        <f>(C73/ (1 + 0.4868%) ^ $B73)*-1</f>
        <v/>
      </c>
      <c r="I73" s="365">
        <f>(D73/ (1 + 0.4868%) ^ $B73)*-1</f>
        <v/>
      </c>
      <c r="J73" s="365">
        <f>(E73/ (1 + 0.4868%) ^ $B73)*-1</f>
        <v/>
      </c>
      <c r="K73" s="479">
        <f>(F73/ (1 + 0.4868%) ^ $B73)*-1</f>
        <v/>
      </c>
    </row>
    <row r="74">
      <c r="A74" s="368" t="n">
        <v>47788</v>
      </c>
      <c r="B74" s="51" t="n">
        <v>66</v>
      </c>
      <c r="C74" t="n">
        <v>-3500000</v>
      </c>
      <c r="D74" t="n">
        <v>-5020000</v>
      </c>
      <c r="E74" t="n">
        <v>-2200000</v>
      </c>
      <c r="F74" s="477" t="n">
        <v>-1900000</v>
      </c>
      <c r="H74" s="365">
        <f>(C74/ (1 + 0.4868%) ^ $B74)*-1</f>
        <v/>
      </c>
      <c r="I74" s="365">
        <f>(D74/ (1 + 0.4868%) ^ $B74)*-1</f>
        <v/>
      </c>
      <c r="J74" s="365">
        <f>(E74/ (1 + 0.4868%) ^ $B74)*-1</f>
        <v/>
      </c>
      <c r="K74" s="479">
        <f>(F74/ (1 + 0.4868%) ^ $B74)*-1</f>
        <v/>
      </c>
    </row>
    <row r="75">
      <c r="A75" s="368" t="n">
        <v>47818</v>
      </c>
      <c r="B75" s="51" t="n">
        <v>67</v>
      </c>
      <c r="C75" t="n">
        <v>-3500000</v>
      </c>
      <c r="D75" t="n">
        <v>-5040000</v>
      </c>
      <c r="E75" t="n">
        <v>-2050000</v>
      </c>
      <c r="F75" s="477" t="n">
        <v>-1900000</v>
      </c>
      <c r="H75" s="365">
        <f>(C75/ (1 + 0.4868%) ^ $B75)*-1</f>
        <v/>
      </c>
      <c r="I75" s="365">
        <f>(D75/ (1 + 0.4868%) ^ $B75)*-1</f>
        <v/>
      </c>
      <c r="J75" s="365">
        <f>(E75/ (1 + 0.4868%) ^ $B75)*-1</f>
        <v/>
      </c>
      <c r="K75" s="479">
        <f>(F75/ (1 + 0.4868%) ^ $B75)*-1</f>
        <v/>
      </c>
    </row>
    <row r="76">
      <c r="A76" s="368" t="n">
        <v>47849</v>
      </c>
      <c r="B76" s="51" t="n">
        <v>68</v>
      </c>
      <c r="C76" t="n">
        <v>-3600000</v>
      </c>
      <c r="D76" t="n">
        <v>-5100000</v>
      </c>
      <c r="E76" t="n">
        <v>-2000000</v>
      </c>
      <c r="F76" s="477" t="n">
        <v>-1900000</v>
      </c>
      <c r="H76" s="365">
        <f>(C76/ (1 + 0.4868%) ^ $B76)*-1</f>
        <v/>
      </c>
      <c r="I76" s="365">
        <f>(D76/ (1 + 0.4868%) ^ $B76)*-1</f>
        <v/>
      </c>
      <c r="J76" s="365">
        <f>(E76/ (1 + 0.4868%) ^ $B76)*-1</f>
        <v/>
      </c>
      <c r="K76" s="479">
        <f>(F76/ (1 + 0.4868%) ^ $B76)*-1</f>
        <v/>
      </c>
    </row>
    <row r="77">
      <c r="A77" s="368" t="n">
        <v>47880</v>
      </c>
      <c r="B77" s="51" t="n">
        <v>69</v>
      </c>
      <c r="C77" t="n">
        <v>-3580000</v>
      </c>
      <c r="D77" t="n">
        <v>-4980000</v>
      </c>
      <c r="E77" t="n">
        <v>-1830000</v>
      </c>
      <c r="F77" s="477" t="n">
        <v>-2000000</v>
      </c>
      <c r="H77" s="365">
        <f>(C77/ (1 + 0.4868%) ^ $B77)*-1</f>
        <v/>
      </c>
      <c r="I77" s="365">
        <f>(D77/ (1 + 0.4868%) ^ $B77)*-1</f>
        <v/>
      </c>
      <c r="J77" s="365">
        <f>(E77/ (1 + 0.4868%) ^ $B77)*-1</f>
        <v/>
      </c>
      <c r="K77" s="479">
        <f>(F77/ (1 + 0.4868%) ^ $B77)*-1</f>
        <v/>
      </c>
    </row>
    <row r="78">
      <c r="A78" s="368" t="n">
        <v>47908</v>
      </c>
      <c r="B78" s="51" t="n">
        <v>70</v>
      </c>
      <c r="C78" t="n">
        <v>-3600000</v>
      </c>
      <c r="D78" t="n">
        <v>-4200000</v>
      </c>
      <c r="E78" t="n">
        <v>-1770000</v>
      </c>
      <c r="F78" s="477" t="n">
        <v>-2000000</v>
      </c>
      <c r="H78" s="365">
        <f>(C78/ (1 + 0.4868%) ^ $B78)*-1</f>
        <v/>
      </c>
      <c r="I78" s="365">
        <f>(D78/ (1 + 0.4868%) ^ $B78)*-1</f>
        <v/>
      </c>
      <c r="J78" s="365">
        <f>(E78/ (1 + 0.4868%) ^ $B78)*-1</f>
        <v/>
      </c>
      <c r="K78" s="479">
        <f>(F78/ (1 + 0.4868%) ^ $B78)*-1</f>
        <v/>
      </c>
    </row>
    <row r="79">
      <c r="A79" s="368" t="n">
        <v>47939</v>
      </c>
      <c r="B79" s="51" t="n">
        <v>71</v>
      </c>
      <c r="C79" t="n">
        <v>-3960000</v>
      </c>
      <c r="D79" t="n">
        <v>-4440000</v>
      </c>
      <c r="E79" t="n">
        <v>-1900000</v>
      </c>
      <c r="F79" s="477" t="n">
        <v>-2400000</v>
      </c>
      <c r="H79" s="365">
        <f>(C79/ (1 + 0.4868%) ^ $B79)*-1</f>
        <v/>
      </c>
      <c r="I79" s="365">
        <f>(D79/ (1 + 0.4868%) ^ $B79)*-1</f>
        <v/>
      </c>
      <c r="J79" s="365">
        <f>(E79/ (1 + 0.4868%) ^ $B79)*-1</f>
        <v/>
      </c>
      <c r="K79" s="479">
        <f>(F79/ (1 + 0.4868%) ^ $B79)*-1</f>
        <v/>
      </c>
    </row>
    <row r="80">
      <c r="A80" s="368" t="n">
        <v>47969</v>
      </c>
      <c r="B80" s="51" t="n">
        <v>72</v>
      </c>
      <c r="C80" t="n">
        <v>-3900000</v>
      </c>
      <c r="D80" t="n">
        <v>-4300000</v>
      </c>
      <c r="E80" t="n">
        <v>-1700000</v>
      </c>
      <c r="F80" s="477" t="n">
        <v>-2000000</v>
      </c>
      <c r="H80" s="365">
        <f>(C80/ (1 + 0.4868%) ^ $B80)*-1</f>
        <v/>
      </c>
      <c r="I80" s="365">
        <f>(D80/ (1 + 0.4868%) ^ $B80)*-1</f>
        <v/>
      </c>
      <c r="J80" s="365">
        <f>(E80/ (1 + 0.4868%) ^ $B80)*-1</f>
        <v/>
      </c>
      <c r="K80" s="479">
        <f>(F80/ (1 + 0.4868%) ^ $B80)*-1</f>
        <v/>
      </c>
    </row>
    <row r="81">
      <c r="A81" s="368" t="n">
        <v>48000</v>
      </c>
      <c r="B81" s="51" t="n">
        <v>73</v>
      </c>
      <c r="C81" t="n">
        <v>-3600000</v>
      </c>
      <c r="D81" t="n">
        <v>-3850000</v>
      </c>
      <c r="E81" t="n">
        <v>-1450000</v>
      </c>
      <c r="F81" s="477" t="n">
        <v>-2000000</v>
      </c>
      <c r="H81" s="365">
        <f>(C81/ (1 + 0.4868%) ^ $B81)*-1</f>
        <v/>
      </c>
      <c r="I81" s="365">
        <f>(D81/ (1 + 0.4868%) ^ $B81)*-1</f>
        <v/>
      </c>
      <c r="J81" s="365">
        <f>(E81/ (1 + 0.4868%) ^ $B81)*-1</f>
        <v/>
      </c>
      <c r="K81" s="479">
        <f>(F81/ (1 + 0.4868%) ^ $B81)*-1</f>
        <v/>
      </c>
    </row>
    <row r="82">
      <c r="A82" s="368" t="n">
        <v>48030</v>
      </c>
      <c r="B82" s="51" t="n">
        <v>74</v>
      </c>
      <c r="C82" t="n">
        <v>-3730000</v>
      </c>
      <c r="D82" t="n">
        <v>-3870000</v>
      </c>
      <c r="E82" t="n">
        <v>-1370000</v>
      </c>
      <c r="F82" s="477" t="n">
        <v>-2000000</v>
      </c>
      <c r="H82" s="365">
        <f>(C82/ (1 + 0.4868%) ^ $B82)*-1</f>
        <v/>
      </c>
      <c r="I82" s="365">
        <f>(D82/ (1 + 0.4868%) ^ $B82)*-1</f>
        <v/>
      </c>
      <c r="J82" s="365">
        <f>(E82/ (1 + 0.4868%) ^ $B82)*-1</f>
        <v/>
      </c>
      <c r="K82" s="479">
        <f>(F82/ (1 + 0.4868%) ^ $B82)*-1</f>
        <v/>
      </c>
    </row>
    <row r="83">
      <c r="A83" s="368" t="n">
        <v>48061</v>
      </c>
      <c r="B83" s="51" t="n">
        <v>75</v>
      </c>
      <c r="C83" t="n">
        <v>-3650000</v>
      </c>
      <c r="D83" t="n">
        <v>-3650000</v>
      </c>
      <c r="E83" t="n">
        <v>-1150000</v>
      </c>
      <c r="F83" s="477" t="n">
        <v>-2000000</v>
      </c>
      <c r="H83" s="365">
        <f>(C83/ (1 + 0.4868%) ^ $B83)*-1</f>
        <v/>
      </c>
      <c r="I83" s="365">
        <f>(D83/ (1 + 0.4868%) ^ $B83)*-1</f>
        <v/>
      </c>
      <c r="J83" s="365">
        <f>(E83/ (1 + 0.4868%) ^ $B83)*-1</f>
        <v/>
      </c>
      <c r="K83" s="479">
        <f>(F83/ (1 + 0.4868%) ^ $B83)*-1</f>
        <v/>
      </c>
    </row>
    <row r="84">
      <c r="A84" s="368" t="n">
        <v>48092</v>
      </c>
      <c r="B84" s="51" t="n">
        <v>76</v>
      </c>
      <c r="C84" t="n">
        <v>-3700000</v>
      </c>
      <c r="D84" t="n">
        <v>-3540000</v>
      </c>
      <c r="E84" t="n">
        <v>-1080000</v>
      </c>
      <c r="F84" s="477" t="n">
        <v>-2000000</v>
      </c>
      <c r="H84" s="365">
        <f>(C84/ (1 + 0.4868%) ^ $B84)*-1</f>
        <v/>
      </c>
      <c r="I84" s="365">
        <f>(D84/ (1 + 0.4868%) ^ $B84)*-1</f>
        <v/>
      </c>
      <c r="J84" s="365">
        <f>(E84/ (1 + 0.4868%) ^ $B84)*-1</f>
        <v/>
      </c>
      <c r="K84" s="479">
        <f>(F84/ (1 + 0.4868%) ^ $B84)*-1</f>
        <v/>
      </c>
    </row>
    <row r="85">
      <c r="A85" s="368" t="n">
        <v>48122</v>
      </c>
      <c r="B85" s="51" t="n">
        <v>77</v>
      </c>
      <c r="C85" t="n">
        <v>-3800000</v>
      </c>
      <c r="D85" t="n">
        <v>-3420000</v>
      </c>
      <c r="E85" t="n">
        <v>-955000</v>
      </c>
      <c r="F85" s="477" t="n">
        <v>-2100000</v>
      </c>
      <c r="H85" s="365">
        <f>(C85/ (1 + 0.4868%) ^ $B85)*-1</f>
        <v/>
      </c>
      <c r="I85" s="365">
        <f>(D85/ (1 + 0.4868%) ^ $B85)*-1</f>
        <v/>
      </c>
      <c r="J85" s="365">
        <f>(E85/ (1 + 0.4868%) ^ $B85)*-1</f>
        <v/>
      </c>
      <c r="K85" s="479">
        <f>(F85/ (1 + 0.4868%) ^ $B85)*-1</f>
        <v/>
      </c>
    </row>
    <row r="86">
      <c r="A86" s="368" t="n">
        <v>48153</v>
      </c>
      <c r="B86" s="51" t="n">
        <v>78</v>
      </c>
      <c r="C86" t="n">
        <v>-3750000</v>
      </c>
      <c r="D86" t="n">
        <v>-3340000</v>
      </c>
      <c r="E86" t="n">
        <v>-970000</v>
      </c>
      <c r="F86" s="477" t="n">
        <v>-2090000</v>
      </c>
      <c r="H86" s="365">
        <f>(C86/ (1 + 0.4868%) ^ $B86)*-1</f>
        <v/>
      </c>
      <c r="I86" s="365">
        <f>(D86/ (1 + 0.4868%) ^ $B86)*-1</f>
        <v/>
      </c>
      <c r="J86" s="365">
        <f>(E86/ (1 + 0.4868%) ^ $B86)*-1</f>
        <v/>
      </c>
      <c r="K86" s="479">
        <f>(F86/ (1 + 0.4868%) ^ $B86)*-1</f>
        <v/>
      </c>
    </row>
    <row r="87">
      <c r="A87" s="368" t="n">
        <v>48183</v>
      </c>
      <c r="B87" s="51" t="n">
        <v>79</v>
      </c>
      <c r="C87" t="n">
        <v>-3800000</v>
      </c>
      <c r="D87" t="n">
        <v>-3200000</v>
      </c>
      <c r="E87" t="n">
        <v>-940000</v>
      </c>
      <c r="F87" s="477" t="n">
        <v>-2000000</v>
      </c>
      <c r="H87" s="365">
        <f>(C87/ (1 + 0.4868%) ^ $B87)*-1</f>
        <v/>
      </c>
      <c r="I87" s="365">
        <f>(D87/ (1 + 0.4868%) ^ $B87)*-1</f>
        <v/>
      </c>
      <c r="J87" s="365">
        <f>(E87/ (1 + 0.4868%) ^ $B87)*-1</f>
        <v/>
      </c>
      <c r="K87" s="479">
        <f>(F87/ (1 + 0.4868%) ^ $B87)*-1</f>
        <v/>
      </c>
    </row>
    <row r="88">
      <c r="A88" s="368" t="n">
        <v>48214</v>
      </c>
      <c r="B88" s="51" t="n">
        <v>80</v>
      </c>
      <c r="C88" t="n">
        <v>-3850000</v>
      </c>
      <c r="D88" t="n">
        <v>-3120000</v>
      </c>
      <c r="E88" t="n">
        <v>-980000</v>
      </c>
      <c r="F88" s="477" t="n">
        <v>-2100000</v>
      </c>
      <c r="H88" s="365">
        <f>(C88/ (1 + 0.4868%) ^ $B88)*-1</f>
        <v/>
      </c>
      <c r="I88" s="365">
        <f>(D88/ (1 + 0.4868%) ^ $B88)*-1</f>
        <v/>
      </c>
      <c r="J88" s="365">
        <f>(E88/ (1 + 0.4868%) ^ $B88)*-1</f>
        <v/>
      </c>
      <c r="K88" s="479">
        <f>(F88/ (1 + 0.4868%) ^ $B88)*-1</f>
        <v/>
      </c>
    </row>
    <row r="89">
      <c r="A89" s="368" t="n">
        <v>48245</v>
      </c>
      <c r="B89" s="51" t="n">
        <v>81</v>
      </c>
      <c r="C89" t="n">
        <v>-3880000</v>
      </c>
      <c r="D89" t="n">
        <v>-2880000</v>
      </c>
      <c r="E89" t="n">
        <v>-1000000</v>
      </c>
      <c r="F89" s="477" t="n">
        <v>-2100000</v>
      </c>
      <c r="H89" s="365">
        <f>(C89/ (1 + 0.4868%) ^ $B89)*-1</f>
        <v/>
      </c>
      <c r="I89" s="365">
        <f>(D89/ (1 + 0.4868%) ^ $B89)*-1</f>
        <v/>
      </c>
      <c r="J89" s="365">
        <f>(E89/ (1 + 0.4868%) ^ $B89)*-1</f>
        <v/>
      </c>
      <c r="K89" s="479">
        <f>(F89/ (1 + 0.4868%) ^ $B89)*-1</f>
        <v/>
      </c>
    </row>
    <row r="90">
      <c r="A90" s="368" t="n">
        <v>48274</v>
      </c>
      <c r="B90" s="51" t="n">
        <v>82</v>
      </c>
      <c r="C90" t="n">
        <v>-3950000</v>
      </c>
      <c r="D90" t="n">
        <v>-1900000</v>
      </c>
      <c r="E90" t="n">
        <v>-1000000</v>
      </c>
      <c r="F90" s="477" t="n">
        <v>-2200000</v>
      </c>
      <c r="H90" s="365">
        <f>(C90/ (1 + 0.4868%) ^ $B90)*-1</f>
        <v/>
      </c>
      <c r="I90" s="365">
        <f>(D90/ (1 + 0.4868%) ^ $B90)*-1</f>
        <v/>
      </c>
      <c r="J90" s="365">
        <f>(E90/ (1 + 0.4868%) ^ $B90)*-1</f>
        <v/>
      </c>
      <c r="K90" s="479">
        <f>(F90/ (1 + 0.4868%) ^ $B90)*-1</f>
        <v/>
      </c>
    </row>
    <row r="91">
      <c r="A91" s="368" t="n">
        <v>48305</v>
      </c>
      <c r="B91" s="51" t="n">
        <v>83</v>
      </c>
      <c r="C91" t="n">
        <v>-4300000</v>
      </c>
      <c r="D91" t="n">
        <v>-2185000</v>
      </c>
      <c r="E91" t="n">
        <v>-1300000</v>
      </c>
      <c r="F91" s="477" t="n">
        <v>-2650000</v>
      </c>
      <c r="H91" s="365">
        <f>(C91/ (1 + 0.4868%) ^ $B91)*-1</f>
        <v/>
      </c>
      <c r="I91" s="365">
        <f>(D91/ (1 + 0.4868%) ^ $B91)*-1</f>
        <v/>
      </c>
      <c r="J91" s="365">
        <f>(E91/ (1 + 0.4868%) ^ $B91)*-1</f>
        <v/>
      </c>
      <c r="K91" s="479">
        <f>(F91/ (1 + 0.4868%) ^ $B91)*-1</f>
        <v/>
      </c>
    </row>
    <row r="92">
      <c r="A92" s="368" t="n">
        <v>48335</v>
      </c>
      <c r="B92" s="51" t="n">
        <v>84</v>
      </c>
      <c r="C92" t="n">
        <v>-3950000</v>
      </c>
      <c r="D92" t="n">
        <v>-1780000</v>
      </c>
      <c r="E92" t="n">
        <v>-980000</v>
      </c>
      <c r="F92" s="477" t="n">
        <v>-2150000</v>
      </c>
      <c r="H92" s="365">
        <f>(C92/ (1 + 0.4868%) ^ $B92)*-1</f>
        <v/>
      </c>
      <c r="I92" s="365">
        <f>(D92/ (1 + 0.4868%) ^ $B92)*-1</f>
        <v/>
      </c>
      <c r="J92" s="365">
        <f>(E92/ (1 + 0.4868%) ^ $B92)*-1</f>
        <v/>
      </c>
      <c r="K92" s="479">
        <f>(F92/ (1 + 0.4868%) ^ $B92)*-1</f>
        <v/>
      </c>
    </row>
    <row r="93">
      <c r="A93" s="368" t="n">
        <v>48366</v>
      </c>
      <c r="B93" s="51" t="n">
        <v>85</v>
      </c>
      <c r="C93" t="n">
        <v>-4000000</v>
      </c>
      <c r="D93" t="n">
        <v>-1700000</v>
      </c>
      <c r="E93" t="n">
        <v>-950000</v>
      </c>
      <c r="F93" s="477" t="n">
        <v>-2200000</v>
      </c>
      <c r="H93" s="365">
        <f>(C93/ (1 + 0.4868%) ^ $B93)*-1</f>
        <v/>
      </c>
      <c r="I93" s="365">
        <f>(D93/ (1 + 0.4868%) ^ $B93)*-1</f>
        <v/>
      </c>
      <c r="J93" s="365">
        <f>(E93/ (1 + 0.4868%) ^ $B93)*-1</f>
        <v/>
      </c>
      <c r="K93" s="479">
        <f>(F93/ (1 + 0.4868%) ^ $B93)*-1</f>
        <v/>
      </c>
    </row>
    <row r="94">
      <c r="A94" s="368" t="n">
        <v>48396</v>
      </c>
      <c r="B94" s="51" t="n">
        <v>86</v>
      </c>
      <c r="C94" t="n">
        <v>-4100000</v>
      </c>
      <c r="D94" t="n">
        <v>-1728000</v>
      </c>
      <c r="E94" t="n">
        <v>-1030000</v>
      </c>
      <c r="F94" s="477" t="n">
        <v>-2300000</v>
      </c>
      <c r="H94" s="365">
        <f>(C94/ (1 + 0.4868%) ^ $B94)*-1</f>
        <v/>
      </c>
      <c r="I94" s="365">
        <f>(D94/ (1 + 0.4868%) ^ $B94)*-1</f>
        <v/>
      </c>
      <c r="J94" s="365">
        <f>(E94/ (1 + 0.4868%) ^ $B94)*-1</f>
        <v/>
      </c>
      <c r="K94" s="479">
        <f>(F94/ (1 + 0.4868%) ^ $B94)*-1</f>
        <v/>
      </c>
    </row>
    <row r="95">
      <c r="A95" s="368" t="n">
        <v>48427</v>
      </c>
      <c r="B95" s="51" t="n">
        <v>87</v>
      </c>
      <c r="C95" t="n">
        <v>-4000000</v>
      </c>
      <c r="D95" t="n">
        <v>-1540000</v>
      </c>
      <c r="E95" t="n">
        <v>-1000000</v>
      </c>
      <c r="F95" s="477" t="n">
        <v>-2200000</v>
      </c>
      <c r="H95" s="365">
        <f>(C95/ (1 + 0.4868%) ^ $B95)*-1</f>
        <v/>
      </c>
      <c r="I95" s="365">
        <f>(D95/ (1 + 0.4868%) ^ $B95)*-1</f>
        <v/>
      </c>
      <c r="J95" s="365">
        <f>(E95/ (1 + 0.4868%) ^ $B95)*-1</f>
        <v/>
      </c>
      <c r="K95" s="479">
        <f>(F95/ (1 + 0.4868%) ^ $B95)*-1</f>
        <v/>
      </c>
    </row>
    <row r="96">
      <c r="A96" s="368" t="n">
        <v>48458</v>
      </c>
      <c r="B96" s="51" t="n">
        <v>88</v>
      </c>
      <c r="C96" t="n">
        <v>-4100000</v>
      </c>
      <c r="D96" t="n">
        <v>-1470000</v>
      </c>
      <c r="E96" t="n">
        <v>-940000</v>
      </c>
      <c r="F96" s="477" t="n">
        <v>-2250000</v>
      </c>
      <c r="H96" s="365">
        <f>(C96/ (1 + 0.4868%) ^ $B96)*-1</f>
        <v/>
      </c>
      <c r="I96" s="365">
        <f>(D96/ (1 + 0.4868%) ^ $B96)*-1</f>
        <v/>
      </c>
      <c r="J96" s="365">
        <f>(E96/ (1 + 0.4868%) ^ $B96)*-1</f>
        <v/>
      </c>
      <c r="K96" s="479">
        <f>(F96/ (1 + 0.4868%) ^ $B96)*-1</f>
        <v/>
      </c>
    </row>
    <row r="97">
      <c r="A97" s="368" t="n">
        <v>48488</v>
      </c>
      <c r="B97" s="51" t="n">
        <v>89</v>
      </c>
      <c r="C97" t="n">
        <v>-4100000</v>
      </c>
      <c r="D97" t="n">
        <v>-1415000</v>
      </c>
      <c r="E97" t="n">
        <v>-945000</v>
      </c>
      <c r="F97" s="477" t="n">
        <v>-2300000</v>
      </c>
      <c r="H97" s="365">
        <f>(C97/ (1 + 0.4868%) ^ $B97)*-1</f>
        <v/>
      </c>
      <c r="I97" s="365">
        <f>(D97/ (1 + 0.4868%) ^ $B97)*-1</f>
        <v/>
      </c>
      <c r="J97" s="365">
        <f>(E97/ (1 + 0.4868%) ^ $B97)*-1</f>
        <v/>
      </c>
      <c r="K97" s="479">
        <f>(F97/ (1 + 0.4868%) ^ $B97)*-1</f>
        <v/>
      </c>
    </row>
    <row r="98">
      <c r="A98" s="368" t="n">
        <v>48519</v>
      </c>
      <c r="B98" s="51" t="n">
        <v>90</v>
      </c>
      <c r="C98" t="n">
        <v>-4150000</v>
      </c>
      <c r="D98" t="n">
        <v>-1350000</v>
      </c>
      <c r="E98" t="n">
        <v>-965000</v>
      </c>
      <c r="F98" s="477" t="n">
        <v>-2300000</v>
      </c>
      <c r="H98" s="365">
        <f>(C98/ (1 + 0.4868%) ^ $B98)*-1</f>
        <v/>
      </c>
      <c r="I98" s="365">
        <f>(D98/ (1 + 0.4868%) ^ $B98)*-1</f>
        <v/>
      </c>
      <c r="J98" s="365">
        <f>(E98/ (1 + 0.4868%) ^ $B98)*-1</f>
        <v/>
      </c>
      <c r="K98" s="479">
        <f>(F98/ (1 + 0.4868%) ^ $B98)*-1</f>
        <v/>
      </c>
    </row>
    <row r="99">
      <c r="A99" s="368" t="n">
        <v>48549</v>
      </c>
      <c r="B99" s="51" t="n">
        <v>91</v>
      </c>
      <c r="C99" t="n">
        <v>-4150000</v>
      </c>
      <c r="D99" t="n">
        <v>-1270000</v>
      </c>
      <c r="E99" t="n">
        <v>-950000</v>
      </c>
      <c r="F99" s="477" t="n">
        <v>-2250000</v>
      </c>
      <c r="H99" s="365">
        <f>(C99/ (1 + 0.4868%) ^ $B99)*-1</f>
        <v/>
      </c>
      <c r="I99" s="365">
        <f>(D99/ (1 + 0.4868%) ^ $B99)*-1</f>
        <v/>
      </c>
      <c r="J99" s="365">
        <f>(E99/ (1 + 0.4868%) ^ $B99)*-1</f>
        <v/>
      </c>
      <c r="K99" s="479">
        <f>(F99/ (1 + 0.4868%) ^ $B99)*-1</f>
        <v/>
      </c>
    </row>
    <row r="100">
      <c r="A100" s="368" t="n">
        <v>48580</v>
      </c>
      <c r="B100" s="51" t="n">
        <v>92</v>
      </c>
      <c r="C100" t="n">
        <v>-3950000</v>
      </c>
      <c r="D100" t="n">
        <v>-1225000</v>
      </c>
      <c r="E100" t="n">
        <v>-995000</v>
      </c>
      <c r="F100" s="477" t="n">
        <v>-2350000</v>
      </c>
      <c r="H100" s="365">
        <f>(C100/ (1 + 0.4868%) ^ $B100)*-1</f>
        <v/>
      </c>
      <c r="I100" s="365">
        <f>(D100/ (1 + 0.4868%) ^ $B100)*-1</f>
        <v/>
      </c>
      <c r="J100" s="365">
        <f>(E100/ (1 + 0.4868%) ^ $B100)*-1</f>
        <v/>
      </c>
      <c r="K100" s="479">
        <f>(F100/ (1 + 0.4868%) ^ $B100)*-1</f>
        <v/>
      </c>
    </row>
    <row r="101">
      <c r="A101" s="368" t="n">
        <v>48611</v>
      </c>
      <c r="B101" s="51" t="n">
        <v>93</v>
      </c>
      <c r="C101" t="n">
        <v>-3500000</v>
      </c>
      <c r="D101" t="n">
        <v>-1100000</v>
      </c>
      <c r="E101" t="n">
        <v>-920000</v>
      </c>
      <c r="F101" s="477" t="n">
        <v>-2300000</v>
      </c>
      <c r="H101" s="365">
        <f>(C101/ (1 + 0.4868%) ^ $B101)*-1</f>
        <v/>
      </c>
      <c r="I101" s="365">
        <f>(D101/ (1 + 0.4868%) ^ $B101)*-1</f>
        <v/>
      </c>
      <c r="J101" s="365">
        <f>(E101/ (1 + 0.4868%) ^ $B101)*-1</f>
        <v/>
      </c>
      <c r="K101" s="479">
        <f>(F101/ (1 + 0.4868%) ^ $B101)*-1</f>
        <v/>
      </c>
    </row>
    <row r="102">
      <c r="A102" s="368" t="n">
        <v>48639</v>
      </c>
      <c r="B102" s="51" t="n">
        <v>94</v>
      </c>
      <c r="C102" t="n">
        <v>-3450000</v>
      </c>
      <c r="D102" t="n">
        <v>-1050000</v>
      </c>
      <c r="E102" t="n">
        <v>-980000</v>
      </c>
      <c r="F102" s="477" t="n">
        <v>-2350000</v>
      </c>
      <c r="H102" s="365">
        <f>(C102/ (1 + 0.4868%) ^ $B102)*-1</f>
        <v/>
      </c>
      <c r="I102" s="365">
        <f>(D102/ (1 + 0.4868%) ^ $B102)*-1</f>
        <v/>
      </c>
      <c r="J102" s="365">
        <f>(E102/ (1 + 0.4868%) ^ $B102)*-1</f>
        <v/>
      </c>
      <c r="K102" s="479">
        <f>(F102/ (1 + 0.4868%) ^ $B102)*-1</f>
        <v/>
      </c>
    </row>
    <row r="103">
      <c r="A103" s="368" t="n">
        <v>48670</v>
      </c>
      <c r="B103" s="51" t="n">
        <v>95</v>
      </c>
      <c r="C103" t="n">
        <v>-3530000</v>
      </c>
      <c r="D103" t="n">
        <v>-1230000</v>
      </c>
      <c r="E103" t="n">
        <v>-1150000</v>
      </c>
      <c r="F103" s="477" t="n">
        <v>-2650000</v>
      </c>
      <c r="H103" s="365">
        <f>(C103/ (1 + 0.4868%) ^ $B103)*-1</f>
        <v/>
      </c>
      <c r="I103" s="365">
        <f>(D103/ (1 + 0.4868%) ^ $B103)*-1</f>
        <v/>
      </c>
      <c r="J103" s="365">
        <f>(E103/ (1 + 0.4868%) ^ $B103)*-1</f>
        <v/>
      </c>
      <c r="K103" s="479">
        <f>(F103/ (1 + 0.4868%) ^ $B103)*-1</f>
        <v/>
      </c>
    </row>
    <row r="104">
      <c r="A104" s="368" t="n">
        <v>48700</v>
      </c>
      <c r="B104" s="51" t="n">
        <v>96</v>
      </c>
      <c r="C104" t="n">
        <v>-3160000</v>
      </c>
      <c r="D104" t="n">
        <v>-950000</v>
      </c>
      <c r="E104" t="n">
        <v>-910000</v>
      </c>
      <c r="F104" s="477" t="n">
        <v>-2250000</v>
      </c>
      <c r="H104" s="365">
        <f>(C104/ (1 + 0.4868%) ^ $B104)*-1</f>
        <v/>
      </c>
      <c r="I104" s="365">
        <f>(D104/ (1 + 0.4868%) ^ $B104)*-1</f>
        <v/>
      </c>
      <c r="J104" s="365">
        <f>(E104/ (1 + 0.4868%) ^ $B104)*-1</f>
        <v/>
      </c>
      <c r="K104" s="479">
        <f>(F104/ (1 + 0.4868%) ^ $B104)*-1</f>
        <v/>
      </c>
    </row>
    <row r="105">
      <c r="A105" s="368" t="n">
        <v>48731</v>
      </c>
      <c r="B105" s="51" t="n">
        <v>97</v>
      </c>
      <c r="C105" t="n">
        <v>-3080000</v>
      </c>
      <c r="D105" t="n">
        <v>-920000</v>
      </c>
      <c r="E105" t="n">
        <v>-850000</v>
      </c>
      <c r="F105" s="477" t="n">
        <v>-2250000</v>
      </c>
      <c r="H105" s="365">
        <f>(C105/ (1 + 0.4868%) ^ $B105)*-1</f>
        <v/>
      </c>
      <c r="I105" s="365">
        <f>(D105/ (1 + 0.4868%) ^ $B105)*-1</f>
        <v/>
      </c>
      <c r="J105" s="365">
        <f>(E105/ (1 + 0.4868%) ^ $B105)*-1</f>
        <v/>
      </c>
      <c r="K105" s="479">
        <f>(F105/ (1 + 0.4868%) ^ $B105)*-1</f>
        <v/>
      </c>
    </row>
    <row r="106">
      <c r="A106" s="368" t="n">
        <v>48761</v>
      </c>
      <c r="B106" s="51" t="n">
        <v>98</v>
      </c>
      <c r="C106" t="n">
        <v>-3060000</v>
      </c>
      <c r="D106" t="n">
        <v>-1000000</v>
      </c>
      <c r="E106" t="n">
        <v>-930000</v>
      </c>
      <c r="F106" s="477" t="n">
        <v>-2400000</v>
      </c>
      <c r="H106" s="365">
        <f>(C106/ (1 + 0.4868%) ^ $B106)*-1</f>
        <v/>
      </c>
      <c r="I106" s="365">
        <f>(D106/ (1 + 0.4868%) ^ $B106)*-1</f>
        <v/>
      </c>
      <c r="J106" s="365">
        <f>(E106/ (1 + 0.4868%) ^ $B106)*-1</f>
        <v/>
      </c>
      <c r="K106" s="479">
        <f>(F106/ (1 + 0.4868%) ^ $B106)*-1</f>
        <v/>
      </c>
    </row>
    <row r="107">
      <c r="A107" s="368" t="n">
        <v>48792</v>
      </c>
      <c r="B107" s="51" t="n">
        <v>99</v>
      </c>
      <c r="C107" t="n">
        <v>-2860000</v>
      </c>
      <c r="D107" t="n">
        <v>-870000</v>
      </c>
      <c r="E107" t="n">
        <v>-820000</v>
      </c>
      <c r="F107" s="477" t="n">
        <v>-2200000</v>
      </c>
      <c r="H107" s="365">
        <f>(C107/ (1 + 0.4868%) ^ $B107)*-1</f>
        <v/>
      </c>
      <c r="I107" s="365">
        <f>(D107/ (1 + 0.4868%) ^ $B107)*-1</f>
        <v/>
      </c>
      <c r="J107" s="365">
        <f>(E107/ (1 + 0.4868%) ^ $B107)*-1</f>
        <v/>
      </c>
      <c r="K107" s="479">
        <f>(F107/ (1 + 0.4868%) ^ $B107)*-1</f>
        <v/>
      </c>
    </row>
    <row r="108">
      <c r="A108" s="368" t="n">
        <v>48823</v>
      </c>
      <c r="B108" s="51" t="n">
        <v>100</v>
      </c>
      <c r="C108" t="n">
        <v>-2750000</v>
      </c>
      <c r="D108" t="n">
        <v>-840000</v>
      </c>
      <c r="E108" t="n">
        <v>-800000</v>
      </c>
      <c r="F108" s="477" t="n">
        <v>-2250000</v>
      </c>
      <c r="H108" s="365">
        <f>(C108/ (1 + 0.4868%) ^ $B108)*-1</f>
        <v/>
      </c>
      <c r="I108" s="365">
        <f>(D108/ (1 + 0.4868%) ^ $B108)*-1</f>
        <v/>
      </c>
      <c r="J108" s="365">
        <f>(E108/ (1 + 0.4868%) ^ $B108)*-1</f>
        <v/>
      </c>
      <c r="K108" s="479">
        <f>(F108/ (1 + 0.4868%) ^ $B108)*-1</f>
        <v/>
      </c>
    </row>
    <row r="109">
      <c r="A109" s="368" t="n">
        <v>48853</v>
      </c>
      <c r="B109" s="51" t="n">
        <v>101</v>
      </c>
      <c r="C109" t="n">
        <v>-2660000</v>
      </c>
      <c r="D109" t="n">
        <v>-850000</v>
      </c>
      <c r="E109" t="n">
        <v>-780000</v>
      </c>
      <c r="F109" s="477" t="n">
        <v>-2250000</v>
      </c>
      <c r="H109" s="365">
        <f>(C109/ (1 + 0.4868%) ^ $B109)*-1</f>
        <v/>
      </c>
      <c r="I109" s="365">
        <f>(D109/ (1 + 0.4868%) ^ $B109)*-1</f>
        <v/>
      </c>
      <c r="J109" s="365">
        <f>(E109/ (1 + 0.4868%) ^ $B109)*-1</f>
        <v/>
      </c>
      <c r="K109" s="479">
        <f>(F109/ (1 + 0.4868%) ^ $B109)*-1</f>
        <v/>
      </c>
    </row>
    <row r="110">
      <c r="A110" s="368" t="n">
        <v>48884</v>
      </c>
      <c r="B110" s="51" t="n">
        <v>102</v>
      </c>
      <c r="C110" t="n">
        <v>-2580000</v>
      </c>
      <c r="D110" t="n">
        <v>-830000</v>
      </c>
      <c r="E110" t="n">
        <v>-835000</v>
      </c>
      <c r="F110" s="477" t="n">
        <v>-2250000</v>
      </c>
      <c r="H110" s="365">
        <f>(C110/ (1 + 0.4868%) ^ $B110)*-1</f>
        <v/>
      </c>
      <c r="I110" s="365">
        <f>(D110/ (1 + 0.4868%) ^ $B110)*-1</f>
        <v/>
      </c>
      <c r="J110" s="365">
        <f>(E110/ (1 + 0.4868%) ^ $B110)*-1</f>
        <v/>
      </c>
      <c r="K110" s="479">
        <f>(F110/ (1 + 0.4868%) ^ $B110)*-1</f>
        <v/>
      </c>
    </row>
    <row r="111">
      <c r="A111" s="368" t="n">
        <v>48914</v>
      </c>
      <c r="B111" s="51" t="n">
        <v>103</v>
      </c>
      <c r="C111" t="n">
        <v>-2460000</v>
      </c>
      <c r="D111" t="n">
        <v>-795000</v>
      </c>
      <c r="E111" t="n">
        <v>-750000</v>
      </c>
      <c r="F111" s="477" t="n">
        <v>-2250000</v>
      </c>
      <c r="H111" s="365">
        <f>(C111/ (1 + 0.4868%) ^ $B111)*-1</f>
        <v/>
      </c>
      <c r="I111" s="365">
        <f>(D111/ (1 + 0.4868%) ^ $B111)*-1</f>
        <v/>
      </c>
      <c r="J111" s="365">
        <f>(E111/ (1 + 0.4868%) ^ $B111)*-1</f>
        <v/>
      </c>
      <c r="K111" s="479">
        <f>(F111/ (1 + 0.4868%) ^ $B111)*-1</f>
        <v/>
      </c>
    </row>
    <row r="112">
      <c r="A112" s="368" t="n">
        <v>48945</v>
      </c>
      <c r="B112" s="51" t="n">
        <v>104</v>
      </c>
      <c r="C112" t="n">
        <v>-2060000</v>
      </c>
      <c r="D112" t="n">
        <v>-825000</v>
      </c>
      <c r="E112" t="n">
        <v>-815000</v>
      </c>
      <c r="F112" s="477" t="n">
        <v>-2250000</v>
      </c>
      <c r="H112" s="365">
        <f>(C112/ (1 + 0.4868%) ^ $B112)*-1</f>
        <v/>
      </c>
      <c r="I112" s="365">
        <f>(D112/ (1 + 0.4868%) ^ $B112)*-1</f>
        <v/>
      </c>
      <c r="J112" s="365">
        <f>(E112/ (1 + 0.4868%) ^ $B112)*-1</f>
        <v/>
      </c>
      <c r="K112" s="479">
        <f>(F112/ (1 + 0.4868%) ^ $B112)*-1</f>
        <v/>
      </c>
    </row>
    <row r="113">
      <c r="A113" s="368" t="n">
        <v>48976</v>
      </c>
      <c r="B113" s="51" t="n">
        <v>105</v>
      </c>
      <c r="C113" t="n">
        <v>-1485000</v>
      </c>
      <c r="D113" t="n">
        <v>-750000</v>
      </c>
      <c r="E113" t="n">
        <v>-740000</v>
      </c>
      <c r="F113" s="477" t="n">
        <v>-2250000</v>
      </c>
      <c r="H113" s="365">
        <f>(C113/ (1 + 0.4868%) ^ $B113)*-1</f>
        <v/>
      </c>
      <c r="I113" s="365">
        <f>(D113/ (1 + 0.4868%) ^ $B113)*-1</f>
        <v/>
      </c>
      <c r="J113" s="365">
        <f>(E113/ (1 + 0.4868%) ^ $B113)*-1</f>
        <v/>
      </c>
      <c r="K113" s="479">
        <f>(F113/ (1 + 0.4868%) ^ $B113)*-1</f>
        <v/>
      </c>
    </row>
    <row r="114">
      <c r="A114" s="368" t="n">
        <v>49004</v>
      </c>
      <c r="B114" s="51" t="n">
        <v>106</v>
      </c>
      <c r="C114" t="n">
        <v>-1450000</v>
      </c>
      <c r="D114" t="n">
        <v>-730000</v>
      </c>
      <c r="E114" t="n">
        <v>-730000</v>
      </c>
      <c r="F114" s="477" t="n">
        <v>-2250000</v>
      </c>
      <c r="H114" s="365">
        <f>(C114/ (1 + 0.4868%) ^ $B114)*-1</f>
        <v/>
      </c>
      <c r="I114" s="365">
        <f>(D114/ (1 + 0.4868%) ^ $B114)*-1</f>
        <v/>
      </c>
      <c r="J114" s="365">
        <f>(E114/ (1 + 0.4868%) ^ $B114)*-1</f>
        <v/>
      </c>
      <c r="K114" s="479">
        <f>(F114/ (1 + 0.4868%) ^ $B114)*-1</f>
        <v/>
      </c>
    </row>
    <row r="115">
      <c r="A115" s="368" t="n">
        <v>49035</v>
      </c>
      <c r="B115" s="51" t="n">
        <v>107</v>
      </c>
      <c r="C115" t="n">
        <v>-1350000</v>
      </c>
      <c r="D115" t="n">
        <v>-700000</v>
      </c>
      <c r="E115" t="n">
        <v>-700000</v>
      </c>
      <c r="F115" s="477" t="n">
        <v>-2200000</v>
      </c>
      <c r="H115" s="365">
        <f>(C115/ (1 + 0.4868%) ^ $B115)*-1</f>
        <v/>
      </c>
      <c r="I115" s="365">
        <f>(D115/ (1 + 0.4868%) ^ $B115)*-1</f>
        <v/>
      </c>
      <c r="J115" s="365">
        <f>(E115/ (1 + 0.4868%) ^ $B115)*-1</f>
        <v/>
      </c>
      <c r="K115" s="479">
        <f>(F115/ (1 + 0.4868%) ^ $B115)*-1</f>
        <v/>
      </c>
    </row>
    <row r="116">
      <c r="A116" s="368" t="n">
        <v>49065</v>
      </c>
      <c r="B116" s="51" t="n">
        <v>108</v>
      </c>
      <c r="C116" t="n">
        <v>-1275000</v>
      </c>
      <c r="D116" t="n">
        <v>-670000</v>
      </c>
      <c r="E116" t="n">
        <v>-650000</v>
      </c>
      <c r="F116" s="477" t="n">
        <v>-2250000</v>
      </c>
      <c r="H116" s="365">
        <f>(C116/ (1 + 0.4868%) ^ $B116)*-1</f>
        <v/>
      </c>
      <c r="I116" s="365">
        <f>(D116/ (1 + 0.4868%) ^ $B116)*-1</f>
        <v/>
      </c>
      <c r="J116" s="365">
        <f>(E116/ (1 + 0.4868%) ^ $B116)*-1</f>
        <v/>
      </c>
      <c r="K116" s="479">
        <f>(F116/ (1 + 0.4868%) ^ $B116)*-1</f>
        <v/>
      </c>
    </row>
    <row r="117">
      <c r="A117" s="368" t="n">
        <v>49096</v>
      </c>
      <c r="B117" s="51" t="n">
        <v>109</v>
      </c>
      <c r="C117" t="n">
        <v>-1170000</v>
      </c>
      <c r="D117" t="n">
        <v>-634000</v>
      </c>
      <c r="E117" t="n">
        <v>-630000</v>
      </c>
      <c r="F117" s="477" t="n">
        <v>-2200000</v>
      </c>
      <c r="H117" s="365">
        <f>(C117/ (1 + 0.4868%) ^ $B117)*-1</f>
        <v/>
      </c>
      <c r="I117" s="365">
        <f>(D117/ (1 + 0.4868%) ^ $B117)*-1</f>
        <v/>
      </c>
      <c r="J117" s="365">
        <f>(E117/ (1 + 0.4868%) ^ $B117)*-1</f>
        <v/>
      </c>
      <c r="K117" s="479">
        <f>(F117/ (1 + 0.4868%) ^ $B117)*-1</f>
        <v/>
      </c>
    </row>
    <row r="118">
      <c r="A118" s="368" t="n">
        <v>49126</v>
      </c>
      <c r="B118" s="51" t="n">
        <v>110</v>
      </c>
      <c r="C118" t="n">
        <v>-1115000</v>
      </c>
      <c r="D118" t="n">
        <v>-625000</v>
      </c>
      <c r="E118" t="n">
        <v>-640000</v>
      </c>
      <c r="F118" s="477" t="n">
        <v>-2250000</v>
      </c>
      <c r="H118" s="365">
        <f>(C118/ (1 + 0.4868%) ^ $B118)*-1</f>
        <v/>
      </c>
      <c r="I118" s="365">
        <f>(D118/ (1 + 0.4868%) ^ $B118)*-1</f>
        <v/>
      </c>
      <c r="J118" s="365">
        <f>(E118/ (1 + 0.4868%) ^ $B118)*-1</f>
        <v/>
      </c>
      <c r="K118" s="479">
        <f>(F118/ (1 + 0.4868%) ^ $B118)*-1</f>
        <v/>
      </c>
    </row>
    <row r="119">
      <c r="A119" s="368" t="n">
        <v>49157</v>
      </c>
      <c r="B119" s="51" t="n">
        <v>111</v>
      </c>
      <c r="C119" t="n">
        <v>-1040000</v>
      </c>
      <c r="D119" t="n">
        <v>-610000</v>
      </c>
      <c r="E119" t="n">
        <v>-600000</v>
      </c>
      <c r="F119" s="477" t="n">
        <v>-2250000</v>
      </c>
      <c r="H119" s="365">
        <f>(C119/ (1 + 0.4868%) ^ $B119)*-1</f>
        <v/>
      </c>
      <c r="I119" s="365">
        <f>(D119/ (1 + 0.4868%) ^ $B119)*-1</f>
        <v/>
      </c>
      <c r="J119" s="365">
        <f>(E119/ (1 + 0.4868%) ^ $B119)*-1</f>
        <v/>
      </c>
      <c r="K119" s="479">
        <f>(F119/ (1 + 0.4868%) ^ $B119)*-1</f>
        <v/>
      </c>
    </row>
    <row r="120">
      <c r="A120" s="368" t="n">
        <v>49188</v>
      </c>
      <c r="B120" s="51" t="n">
        <v>112</v>
      </c>
      <c r="C120" t="n">
        <v>-980000</v>
      </c>
      <c r="D120" t="n">
        <v>-605000</v>
      </c>
      <c r="E120" t="n">
        <v>-600000</v>
      </c>
      <c r="F120" s="477" t="n">
        <v>-2250000</v>
      </c>
      <c r="H120" s="365">
        <f>(C120/ (1 + 0.4868%) ^ $B120)*-1</f>
        <v/>
      </c>
      <c r="I120" s="365">
        <f>(D120/ (1 + 0.4868%) ^ $B120)*-1</f>
        <v/>
      </c>
      <c r="J120" s="365">
        <f>(E120/ (1 + 0.4868%) ^ $B120)*-1</f>
        <v/>
      </c>
      <c r="K120" s="479">
        <f>(F120/ (1 + 0.4868%) ^ $B120)*-1</f>
        <v/>
      </c>
    </row>
    <row r="121">
      <c r="A121" s="368" t="n">
        <v>49218</v>
      </c>
      <c r="B121" s="51" t="n">
        <v>113</v>
      </c>
      <c r="C121" t="n">
        <v>-910000</v>
      </c>
      <c r="D121" t="n">
        <v>-600000</v>
      </c>
      <c r="E121" t="n">
        <v>-600000</v>
      </c>
      <c r="F121" s="477" t="n">
        <v>-2250000</v>
      </c>
      <c r="H121" s="365">
        <f>(C121/ (1 + 0.4868%) ^ $B121)*-1</f>
        <v/>
      </c>
      <c r="I121" s="365">
        <f>(D121/ (1 + 0.4868%) ^ $B121)*-1</f>
        <v/>
      </c>
      <c r="J121" s="365">
        <f>(E121/ (1 + 0.4868%) ^ $B121)*-1</f>
        <v/>
      </c>
      <c r="K121" s="479">
        <f>(F121/ (1 + 0.4868%) ^ $B121)*-1</f>
        <v/>
      </c>
    </row>
    <row r="122">
      <c r="A122" s="368" t="n">
        <v>49249</v>
      </c>
      <c r="B122" s="51" t="n">
        <v>114</v>
      </c>
      <c r="C122" t="n">
        <v>-840000</v>
      </c>
      <c r="D122" t="n">
        <v>-582000</v>
      </c>
      <c r="E122" t="n">
        <v>-550000</v>
      </c>
      <c r="F122" s="477" t="n">
        <v>-2250000</v>
      </c>
      <c r="H122" s="365">
        <f>(C122/ (1 + 0.4868%) ^ $B122)*-1</f>
        <v/>
      </c>
      <c r="I122" s="365">
        <f>(D122/ (1 + 0.4868%) ^ $B122)*-1</f>
        <v/>
      </c>
      <c r="J122" s="365">
        <f>(E122/ (1 + 0.4868%) ^ $B122)*-1</f>
        <v/>
      </c>
      <c r="K122" s="479">
        <f>(F122/ (1 + 0.4868%) ^ $B122)*-1</f>
        <v/>
      </c>
    </row>
    <row r="123">
      <c r="A123" s="368" t="n">
        <v>49279</v>
      </c>
      <c r="B123" s="51" t="n">
        <v>115</v>
      </c>
      <c r="C123" t="n">
        <v>-770000</v>
      </c>
      <c r="D123" t="n">
        <v>-575000</v>
      </c>
      <c r="E123" t="n">
        <v>-550000</v>
      </c>
      <c r="F123" s="477" t="n">
        <v>-2300000</v>
      </c>
      <c r="H123" s="365">
        <f>(C123/ (1 + 0.4868%) ^ $B123)*-1</f>
        <v/>
      </c>
      <c r="I123" s="365">
        <f>(D123/ (1 + 0.4868%) ^ $B123)*-1</f>
        <v/>
      </c>
      <c r="J123" s="365">
        <f>(E123/ (1 + 0.4868%) ^ $B123)*-1</f>
        <v/>
      </c>
      <c r="K123" s="479">
        <f>(F123/ (1 + 0.4868%) ^ $B123)*-1</f>
        <v/>
      </c>
    </row>
    <row r="124">
      <c r="A124" s="368" t="n">
        <v>49310</v>
      </c>
      <c r="B124" s="51" t="n">
        <v>116</v>
      </c>
      <c r="C124" t="n">
        <v>-710000</v>
      </c>
      <c r="D124" t="n">
        <v>-560000</v>
      </c>
      <c r="E124" t="n">
        <v>-530000</v>
      </c>
      <c r="F124" s="477" t="n">
        <v>-2250000</v>
      </c>
      <c r="H124" s="365">
        <f>(C124/ (1 + 0.4868%) ^ $B124)*-1</f>
        <v/>
      </c>
      <c r="I124" s="365">
        <f>(D124/ (1 + 0.4868%) ^ $B124)*-1</f>
        <v/>
      </c>
      <c r="J124" s="365">
        <f>(E124/ (1 + 0.4868%) ^ $B124)*-1</f>
        <v/>
      </c>
      <c r="K124" s="479">
        <f>(F124/ (1 + 0.4868%) ^ $B124)*-1</f>
        <v/>
      </c>
    </row>
    <row r="125">
      <c r="A125" s="368" t="n">
        <v>49341</v>
      </c>
      <c r="B125" s="51" t="n">
        <v>117</v>
      </c>
      <c r="C125" t="n">
        <v>-670000</v>
      </c>
      <c r="D125" t="n">
        <v>-555000</v>
      </c>
      <c r="E125" t="n">
        <v>-530000</v>
      </c>
      <c r="F125" s="477" t="n">
        <v>-2300000</v>
      </c>
      <c r="H125" s="365">
        <f>(C125/ (1 + 0.4868%) ^ $B125)*-1</f>
        <v/>
      </c>
      <c r="I125" s="365">
        <f>(D125/ (1 + 0.4868%) ^ $B125)*-1</f>
        <v/>
      </c>
      <c r="J125" s="365">
        <f>(E125/ (1 + 0.4868%) ^ $B125)*-1</f>
        <v/>
      </c>
      <c r="K125" s="479">
        <f>(F125/ (1 + 0.4868%) ^ $B125)*-1</f>
        <v/>
      </c>
    </row>
    <row r="126">
      <c r="A126" s="368" t="n">
        <v>49369</v>
      </c>
      <c r="B126" s="51" t="n">
        <v>118</v>
      </c>
      <c r="C126" t="n">
        <v>-655000</v>
      </c>
      <c r="D126" t="n">
        <v>-545000</v>
      </c>
      <c r="E126" t="n">
        <v>-490000</v>
      </c>
      <c r="F126" s="477" t="n">
        <v>-2250000</v>
      </c>
      <c r="H126" s="365">
        <f>(C126/ (1 + 0.4868%) ^ $B126)*-1</f>
        <v/>
      </c>
      <c r="I126" s="365">
        <f>(D126/ (1 + 0.4868%) ^ $B126)*-1</f>
        <v/>
      </c>
      <c r="J126" s="365">
        <f>(E126/ (1 + 0.4868%) ^ $B126)*-1</f>
        <v/>
      </c>
      <c r="K126" s="479">
        <f>(F126/ (1 + 0.4868%) ^ $B126)*-1</f>
        <v/>
      </c>
    </row>
    <row r="127">
      <c r="A127" s="368" t="n">
        <v>49400</v>
      </c>
      <c r="B127" s="51" t="n">
        <v>119</v>
      </c>
      <c r="C127" t="n">
        <v>-640000</v>
      </c>
      <c r="D127" t="n">
        <v>-530000</v>
      </c>
      <c r="E127" t="n">
        <v>-500000</v>
      </c>
      <c r="F127" s="477" t="n">
        <v>-2300000</v>
      </c>
      <c r="H127" s="365">
        <f>(C127/ (1 + 0.4868%) ^ $B127)*-1</f>
        <v/>
      </c>
      <c r="I127" s="365">
        <f>(D127/ (1 + 0.4868%) ^ $B127)*-1</f>
        <v/>
      </c>
      <c r="J127" s="365">
        <f>(E127/ (1 + 0.4868%) ^ $B127)*-1</f>
        <v/>
      </c>
      <c r="K127" s="479">
        <f>(F127/ (1 + 0.4868%) ^ $B127)*-1</f>
        <v/>
      </c>
    </row>
    <row r="128">
      <c r="A128" s="368" t="n">
        <v>49430</v>
      </c>
      <c r="B128" s="51" t="n">
        <v>120</v>
      </c>
      <c r="C128" t="n">
        <v>-620000</v>
      </c>
      <c r="D128" t="n">
        <v>-520000</v>
      </c>
      <c r="E128" t="n">
        <v>-450000</v>
      </c>
      <c r="F128" s="477" t="n">
        <v>-2300000</v>
      </c>
      <c r="H128" s="365">
        <f>(C128/ (1 + 0.4868%) ^ $B128)*-1</f>
        <v/>
      </c>
      <c r="I128" s="365">
        <f>(D128/ (1 + 0.4868%) ^ $B128)*-1</f>
        <v/>
      </c>
      <c r="J128" s="365">
        <f>(E128/ (1 + 0.4868%) ^ $B128)*-1</f>
        <v/>
      </c>
      <c r="K128" s="479">
        <f>(F128/ (1 + 0.4868%) ^ $B128)*-1</f>
        <v/>
      </c>
    </row>
    <row r="129">
      <c r="A129" s="368" t="n">
        <v>49461</v>
      </c>
      <c r="B129" s="51" t="n">
        <v>121</v>
      </c>
      <c r="C129" t="n">
        <v>-620000</v>
      </c>
      <c r="D129" t="n">
        <v>-500000</v>
      </c>
      <c r="E129" t="n">
        <v>-450000</v>
      </c>
      <c r="F129" s="477" t="n">
        <v>-2300000</v>
      </c>
      <c r="H129" s="365">
        <f>(C129/ (1 + 0.4868%) ^ $B129)*-1</f>
        <v/>
      </c>
      <c r="I129" s="365">
        <f>(D129/ (1 + 0.4868%) ^ $B129)*-1</f>
        <v/>
      </c>
      <c r="J129" s="365">
        <f>(E129/ (1 + 0.4868%) ^ $B129)*-1</f>
        <v/>
      </c>
      <c r="K129" s="479">
        <f>(F129/ (1 + 0.4868%) ^ $B129)*-1</f>
        <v/>
      </c>
    </row>
    <row r="130">
      <c r="A130" s="368" t="n">
        <v>49491</v>
      </c>
      <c r="B130" s="51" t="n">
        <v>122</v>
      </c>
      <c r="C130" t="n">
        <v>-600000</v>
      </c>
      <c r="D130" t="n">
        <v>-520000</v>
      </c>
      <c r="E130" t="n">
        <v>-450000</v>
      </c>
      <c r="F130" s="477" t="n">
        <v>-2300000</v>
      </c>
      <c r="H130" s="365">
        <f>(C130/ (1 + 0.4868%) ^ $B130)*-1</f>
        <v/>
      </c>
      <c r="I130" s="365">
        <f>(D130/ (1 + 0.4868%) ^ $B130)*-1</f>
        <v/>
      </c>
      <c r="J130" s="365">
        <f>(E130/ (1 + 0.4868%) ^ $B130)*-1</f>
        <v/>
      </c>
      <c r="K130" s="479">
        <f>(F130/ (1 + 0.4868%) ^ $B130)*-1</f>
        <v/>
      </c>
    </row>
    <row r="131">
      <c r="A131" s="368" t="n">
        <v>49522</v>
      </c>
      <c r="B131" s="51" t="n">
        <v>123</v>
      </c>
      <c r="C131" t="n">
        <v>-590000</v>
      </c>
      <c r="D131" t="n">
        <v>-490000</v>
      </c>
      <c r="E131" t="n">
        <v>-450000</v>
      </c>
      <c r="F131" s="477" t="n">
        <v>-2300000</v>
      </c>
      <c r="H131" s="365">
        <f>(C131/ (1 + 0.4868%) ^ $B131)*-1</f>
        <v/>
      </c>
      <c r="I131" s="365">
        <f>(D131/ (1 + 0.4868%) ^ $B131)*-1</f>
        <v/>
      </c>
      <c r="J131" s="365">
        <f>(E131/ (1 + 0.4868%) ^ $B131)*-1</f>
        <v/>
      </c>
      <c r="K131" s="479">
        <f>(F131/ (1 + 0.4868%) ^ $B131)*-1</f>
        <v/>
      </c>
    </row>
    <row r="132">
      <c r="A132" s="368" t="n">
        <v>49553</v>
      </c>
      <c r="B132" s="51" t="n">
        <v>124</v>
      </c>
      <c r="C132" t="n">
        <v>-550000</v>
      </c>
      <c r="D132" t="n">
        <v>-480000</v>
      </c>
      <c r="E132" t="n">
        <v>-410000</v>
      </c>
      <c r="F132" s="477" t="n">
        <v>-2400000</v>
      </c>
      <c r="H132" s="365">
        <f>(C132/ (1 + 0.4868%) ^ $B132)*-1</f>
        <v/>
      </c>
      <c r="I132" s="365">
        <f>(D132/ (1 + 0.4868%) ^ $B132)*-1</f>
        <v/>
      </c>
      <c r="J132" s="365">
        <f>(E132/ (1 + 0.4868%) ^ $B132)*-1</f>
        <v/>
      </c>
      <c r="K132" s="479">
        <f>(F132/ (1 + 0.4868%) ^ $B132)*-1</f>
        <v/>
      </c>
    </row>
    <row r="133">
      <c r="A133" s="368" t="n">
        <v>49583</v>
      </c>
      <c r="B133" s="51" t="n">
        <v>125</v>
      </c>
      <c r="C133" t="n">
        <v>-580000</v>
      </c>
      <c r="D133" t="n">
        <v>-470000</v>
      </c>
      <c r="E133" t="n">
        <v>-395000</v>
      </c>
      <c r="F133" s="477" t="n">
        <v>-2350000</v>
      </c>
      <c r="H133" s="365">
        <f>(C133/ (1 + 0.4868%) ^ $B133)*-1</f>
        <v/>
      </c>
      <c r="I133" s="365">
        <f>(D133/ (1 + 0.4868%) ^ $B133)*-1</f>
        <v/>
      </c>
      <c r="J133" s="365">
        <f>(E133/ (1 + 0.4868%) ^ $B133)*-1</f>
        <v/>
      </c>
      <c r="K133" s="479">
        <f>(F133/ (1 + 0.4868%) ^ $B133)*-1</f>
        <v/>
      </c>
    </row>
    <row r="134">
      <c r="A134" s="368" t="n">
        <v>49614</v>
      </c>
      <c r="B134" s="51" t="n">
        <v>126</v>
      </c>
      <c r="C134" t="n">
        <v>-550000</v>
      </c>
      <c r="D134" t="n">
        <v>-459000</v>
      </c>
      <c r="E134" t="n">
        <v>-370000</v>
      </c>
      <c r="F134" s="477" t="n">
        <v>-2350000</v>
      </c>
      <c r="H134" s="365">
        <f>(C134/ (1 + 0.4868%) ^ $B134)*-1</f>
        <v/>
      </c>
      <c r="I134" s="365">
        <f>(D134/ (1 + 0.4868%) ^ $B134)*-1</f>
        <v/>
      </c>
      <c r="J134" s="365">
        <f>(E134/ (1 + 0.4868%) ^ $B134)*-1</f>
        <v/>
      </c>
      <c r="K134" s="479">
        <f>(F134/ (1 + 0.4868%) ^ $B134)*-1</f>
        <v/>
      </c>
    </row>
    <row r="135">
      <c r="A135" s="368" t="n">
        <v>49644</v>
      </c>
      <c r="B135" s="51" t="n">
        <v>127</v>
      </c>
      <c r="C135" t="n">
        <v>-535000</v>
      </c>
      <c r="D135" t="n">
        <v>-448000</v>
      </c>
      <c r="E135" t="n">
        <v>-375000</v>
      </c>
      <c r="F135" s="477" t="n">
        <v>-2350000</v>
      </c>
      <c r="H135" s="365">
        <f>(C135/ (1 + 0.4868%) ^ $B135)*-1</f>
        <v/>
      </c>
      <c r="I135" s="365">
        <f>(D135/ (1 + 0.4868%) ^ $B135)*-1</f>
        <v/>
      </c>
      <c r="J135" s="365">
        <f>(E135/ (1 + 0.4868%) ^ $B135)*-1</f>
        <v/>
      </c>
      <c r="K135" s="479">
        <f>(F135/ (1 + 0.4868%) ^ $B135)*-1</f>
        <v/>
      </c>
    </row>
    <row r="136">
      <c r="A136" s="368" t="n">
        <v>49675</v>
      </c>
      <c r="B136" s="51" t="n">
        <v>128</v>
      </c>
      <c r="C136" t="n">
        <v>-520000</v>
      </c>
      <c r="D136" t="n">
        <v>-438000</v>
      </c>
      <c r="E136" t="n">
        <v>-355000</v>
      </c>
      <c r="F136" s="477" t="n">
        <v>-2350000</v>
      </c>
      <c r="H136" s="365">
        <f>(C136/ (1 + 0.4868%) ^ $B136)*-1</f>
        <v/>
      </c>
      <c r="I136" s="365">
        <f>(D136/ (1 + 0.4868%) ^ $B136)*-1</f>
        <v/>
      </c>
      <c r="J136" s="365">
        <f>(E136/ (1 + 0.4868%) ^ $B136)*-1</f>
        <v/>
      </c>
      <c r="K136" s="479">
        <f>(F136/ (1 + 0.4868%) ^ $B136)*-1</f>
        <v/>
      </c>
    </row>
    <row r="137">
      <c r="A137" s="368" t="n">
        <v>49706</v>
      </c>
      <c r="B137" s="51" t="n">
        <v>129</v>
      </c>
      <c r="C137" t="n">
        <v>-505000</v>
      </c>
      <c r="D137" t="n">
        <v>-425000</v>
      </c>
      <c r="E137" t="n">
        <v>-330000</v>
      </c>
      <c r="F137" s="477" t="n">
        <v>-2300000</v>
      </c>
      <c r="H137" s="365">
        <f>(C137/ (1 + 0.4868%) ^ $B137)*-1</f>
        <v/>
      </c>
      <c r="I137" s="365">
        <f>(D137/ (1 + 0.4868%) ^ $B137)*-1</f>
        <v/>
      </c>
      <c r="J137" s="365">
        <f>(E137/ (1 + 0.4868%) ^ $B137)*-1</f>
        <v/>
      </c>
      <c r="K137" s="479">
        <f>(F137/ (1 + 0.4868%) ^ $B137)*-1</f>
        <v/>
      </c>
    </row>
    <row r="138">
      <c r="A138" s="368" t="n">
        <v>49735</v>
      </c>
      <c r="B138" s="51" t="n">
        <v>130</v>
      </c>
      <c r="C138" t="n">
        <v>-505000</v>
      </c>
      <c r="D138" t="n">
        <v>-417000</v>
      </c>
      <c r="E138" t="n">
        <v>-315000</v>
      </c>
      <c r="F138" s="477" t="n">
        <v>-2400000</v>
      </c>
      <c r="H138" s="365">
        <f>(C138/ (1 + 0.4868%) ^ $B138)*-1</f>
        <v/>
      </c>
      <c r="I138" s="365">
        <f>(D138/ (1 + 0.4868%) ^ $B138)*-1</f>
        <v/>
      </c>
      <c r="J138" s="365">
        <f>(E138/ (1 + 0.4868%) ^ $B138)*-1</f>
        <v/>
      </c>
      <c r="K138" s="479">
        <f>(F138/ (1 + 0.4868%) ^ $B138)*-1</f>
        <v/>
      </c>
    </row>
    <row r="139">
      <c r="A139" s="368" t="n">
        <v>49766</v>
      </c>
      <c r="B139" s="51" t="n">
        <v>131</v>
      </c>
      <c r="C139" t="n">
        <v>-490000</v>
      </c>
      <c r="D139" t="n">
        <v>-405000</v>
      </c>
      <c r="E139" t="n">
        <v>-295000</v>
      </c>
      <c r="F139" s="477" t="n">
        <v>-2400000</v>
      </c>
      <c r="H139" s="365">
        <f>(C139/ (1 + 0.4868%) ^ $B139)*-1</f>
        <v/>
      </c>
      <c r="I139" s="365">
        <f>(D139/ (1 + 0.4868%) ^ $B139)*-1</f>
        <v/>
      </c>
      <c r="J139" s="365">
        <f>(E139/ (1 + 0.4868%) ^ $B139)*-1</f>
        <v/>
      </c>
      <c r="K139" s="479">
        <f>(F139/ (1 + 0.4868%) ^ $B139)*-1</f>
        <v/>
      </c>
    </row>
    <row r="140">
      <c r="A140" s="368" t="n">
        <v>49796</v>
      </c>
      <c r="B140" s="51" t="n">
        <v>132</v>
      </c>
      <c r="C140" t="n">
        <v>-485000</v>
      </c>
      <c r="D140" t="n">
        <v>-394000</v>
      </c>
      <c r="E140" t="n">
        <v>-280000</v>
      </c>
      <c r="F140" s="477" t="n">
        <v>-2400000</v>
      </c>
      <c r="H140" s="365">
        <f>(C140/ (1 + 0.4868%) ^ $B140)*-1</f>
        <v/>
      </c>
      <c r="I140" s="365">
        <f>(D140/ (1 + 0.4868%) ^ $B140)*-1</f>
        <v/>
      </c>
      <c r="J140" s="365">
        <f>(E140/ (1 + 0.4868%) ^ $B140)*-1</f>
        <v/>
      </c>
      <c r="K140" s="479">
        <f>(F140/ (1 + 0.4868%) ^ $B140)*-1</f>
        <v/>
      </c>
    </row>
    <row r="141">
      <c r="A141" s="368" t="n">
        <v>49827</v>
      </c>
      <c r="B141" s="51" t="n">
        <v>133</v>
      </c>
      <c r="C141" t="n">
        <v>-480000</v>
      </c>
      <c r="D141" t="n">
        <v>-380000</v>
      </c>
      <c r="E141" t="n">
        <v>-270000</v>
      </c>
      <c r="F141" s="477" t="n">
        <v>-2400000</v>
      </c>
      <c r="H141" s="365">
        <f>(C141/ (1 + 0.4868%) ^ $B141)*-1</f>
        <v/>
      </c>
      <c r="I141" s="365">
        <f>(D141/ (1 + 0.4868%) ^ $B141)*-1</f>
        <v/>
      </c>
      <c r="J141" s="365">
        <f>(E141/ (1 + 0.4868%) ^ $B141)*-1</f>
        <v/>
      </c>
      <c r="K141" s="479">
        <f>(F141/ (1 + 0.4868%) ^ $B141)*-1</f>
        <v/>
      </c>
    </row>
    <row r="142">
      <c r="A142" s="368" t="n">
        <v>49857</v>
      </c>
      <c r="B142" s="51" t="n">
        <v>134</v>
      </c>
      <c r="C142" t="n">
        <v>-470000</v>
      </c>
      <c r="D142" t="n">
        <v>-375000</v>
      </c>
      <c r="E142" t="n">
        <v>-255000</v>
      </c>
      <c r="F142" s="477" t="n">
        <v>-2400000</v>
      </c>
      <c r="H142" s="365">
        <f>(C142/ (1 + 0.4868%) ^ $B142)*-1</f>
        <v/>
      </c>
      <c r="I142" s="365">
        <f>(D142/ (1 + 0.4868%) ^ $B142)*-1</f>
        <v/>
      </c>
      <c r="J142" s="365">
        <f>(E142/ (1 + 0.4868%) ^ $B142)*-1</f>
        <v/>
      </c>
      <c r="K142" s="479">
        <f>(F142/ (1 + 0.4868%) ^ $B142)*-1</f>
        <v/>
      </c>
    </row>
    <row r="143">
      <c r="A143" s="368" t="n">
        <v>49888</v>
      </c>
      <c r="B143" s="51" t="n">
        <v>135</v>
      </c>
      <c r="C143" t="n">
        <v>-465000</v>
      </c>
      <c r="D143" t="n">
        <v>-360000</v>
      </c>
      <c r="E143" t="n">
        <v>-235000</v>
      </c>
      <c r="F143" s="477" t="n">
        <v>-2400000</v>
      </c>
      <c r="H143" s="365">
        <f>(C143/ (1 + 0.4868%) ^ $B143)*-1</f>
        <v/>
      </c>
      <c r="I143" s="365">
        <f>(D143/ (1 + 0.4868%) ^ $B143)*-1</f>
        <v/>
      </c>
      <c r="J143" s="365">
        <f>(E143/ (1 + 0.4868%) ^ $B143)*-1</f>
        <v/>
      </c>
      <c r="K143" s="479">
        <f>(F143/ (1 + 0.4868%) ^ $B143)*-1</f>
        <v/>
      </c>
    </row>
    <row r="144">
      <c r="A144" s="368" t="n">
        <v>49919</v>
      </c>
      <c r="B144" s="51" t="n">
        <v>136</v>
      </c>
      <c r="C144" t="n">
        <v>-450000</v>
      </c>
      <c r="D144" t="n">
        <v>-350000</v>
      </c>
      <c r="E144" t="n">
        <v>-225000</v>
      </c>
      <c r="F144" s="477" t="n">
        <v>-2400000</v>
      </c>
      <c r="H144" s="365">
        <f>(C144/ (1 + 0.4868%) ^ $B144)*-1</f>
        <v/>
      </c>
      <c r="I144" s="365">
        <f>(D144/ (1 + 0.4868%) ^ $B144)*-1</f>
        <v/>
      </c>
      <c r="J144" s="365">
        <f>(E144/ (1 + 0.4868%) ^ $B144)*-1</f>
        <v/>
      </c>
      <c r="K144" s="479">
        <f>(F144/ (1 + 0.4868%) ^ $B144)*-1</f>
        <v/>
      </c>
    </row>
    <row r="145">
      <c r="A145" s="368" t="n">
        <v>49949</v>
      </c>
      <c r="B145" s="51" t="n">
        <v>137</v>
      </c>
      <c r="C145" t="n">
        <v>-445000</v>
      </c>
      <c r="D145" t="n">
        <v>-340000</v>
      </c>
      <c r="E145" t="n">
        <v>-200000</v>
      </c>
      <c r="F145" s="477" t="n">
        <v>-2400000</v>
      </c>
      <c r="H145" s="365">
        <f>(C145/ (1 + 0.4868%) ^ $B145)*-1</f>
        <v/>
      </c>
      <c r="I145" s="365">
        <f>(D145/ (1 + 0.4868%) ^ $B145)*-1</f>
        <v/>
      </c>
      <c r="J145" s="365">
        <f>(E145/ (1 + 0.4868%) ^ $B145)*-1</f>
        <v/>
      </c>
      <c r="K145" s="479">
        <f>(F145/ (1 + 0.4868%) ^ $B145)*-1</f>
        <v/>
      </c>
    </row>
    <row r="146">
      <c r="A146" s="368" t="n">
        <v>49980</v>
      </c>
      <c r="B146" s="51" t="n">
        <v>138</v>
      </c>
      <c r="C146" t="n">
        <v>-440000</v>
      </c>
      <c r="D146" t="n">
        <v>-328000</v>
      </c>
      <c r="E146" t="n">
        <v>-189000</v>
      </c>
      <c r="F146" s="477" t="n">
        <v>-2400000</v>
      </c>
      <c r="H146" s="365">
        <f>(C146/ (1 + 0.4868%) ^ $B146)*-1</f>
        <v/>
      </c>
      <c r="I146" s="365">
        <f>(D146/ (1 + 0.4868%) ^ $B146)*-1</f>
        <v/>
      </c>
      <c r="J146" s="365">
        <f>(E146/ (1 + 0.4868%) ^ $B146)*-1</f>
        <v/>
      </c>
      <c r="K146" s="479">
        <f>(F146/ (1 + 0.4868%) ^ $B146)*-1</f>
        <v/>
      </c>
    </row>
    <row r="147">
      <c r="A147" s="368" t="n">
        <v>50010</v>
      </c>
      <c r="B147" s="51" t="n">
        <v>139</v>
      </c>
      <c r="C147" t="n">
        <v>-430000</v>
      </c>
      <c r="D147" t="n">
        <v>-315000</v>
      </c>
      <c r="E147" t="n">
        <v>-165000</v>
      </c>
      <c r="F147" s="477" t="n">
        <v>-2500000</v>
      </c>
      <c r="H147" s="365">
        <f>(C147/ (1 + 0.4868%) ^ $B147)*-1</f>
        <v/>
      </c>
      <c r="I147" s="365">
        <f>(D147/ (1 + 0.4868%) ^ $B147)*-1</f>
        <v/>
      </c>
      <c r="J147" s="365">
        <f>(E147/ (1 + 0.4868%) ^ $B147)*-1</f>
        <v/>
      </c>
      <c r="K147" s="479">
        <f>(F147/ (1 + 0.4868%) ^ $B147)*-1</f>
        <v/>
      </c>
    </row>
    <row r="148">
      <c r="A148" s="368" t="n">
        <v>50041</v>
      </c>
      <c r="B148" s="51" t="n">
        <v>140</v>
      </c>
      <c r="C148" t="n">
        <v>-420000</v>
      </c>
      <c r="D148" t="n">
        <v>-307000</v>
      </c>
      <c r="E148" t="n">
        <v>-150000</v>
      </c>
      <c r="F148" s="477" t="n">
        <v>-2450000</v>
      </c>
      <c r="H148" s="365">
        <f>(C148/ (1 + 0.4868%) ^ $B148)*-1</f>
        <v/>
      </c>
      <c r="I148" s="365">
        <f>(D148/ (1 + 0.4868%) ^ $B148)*-1</f>
        <v/>
      </c>
      <c r="J148" s="365">
        <f>(E148/ (1 + 0.4868%) ^ $B148)*-1</f>
        <v/>
      </c>
      <c r="K148" s="479">
        <f>(F148/ (1 + 0.4868%) ^ $B148)*-1</f>
        <v/>
      </c>
    </row>
    <row r="149">
      <c r="A149" s="368" t="n">
        <v>50072</v>
      </c>
      <c r="B149" s="51" t="n">
        <v>141</v>
      </c>
      <c r="C149" t="n">
        <v>-410000</v>
      </c>
      <c r="D149" t="n">
        <v>-293000</v>
      </c>
      <c r="E149" t="n">
        <v>-138000</v>
      </c>
      <c r="F149" s="477" t="n">
        <v>-2400000</v>
      </c>
      <c r="H149" s="365">
        <f>(C149/ (1 + 0.4868%) ^ $B149)*-1</f>
        <v/>
      </c>
      <c r="I149" s="365">
        <f>(D149/ (1 + 0.4868%) ^ $B149)*-1</f>
        <v/>
      </c>
      <c r="J149" s="365">
        <f>(E149/ (1 + 0.4868%) ^ $B149)*-1</f>
        <v/>
      </c>
      <c r="K149" s="479">
        <f>(F149/ (1 + 0.4868%) ^ $B149)*-1</f>
        <v/>
      </c>
    </row>
    <row r="150">
      <c r="A150" s="368" t="n">
        <v>50100</v>
      </c>
      <c r="B150" s="51" t="n">
        <v>142</v>
      </c>
      <c r="C150" t="n">
        <v>-405000</v>
      </c>
      <c r="D150" t="n">
        <v>-283000</v>
      </c>
      <c r="E150" t="n">
        <v>-115000</v>
      </c>
      <c r="F150" s="477" t="n">
        <v>-2400000</v>
      </c>
      <c r="H150" s="365">
        <f>(C150/ (1 + 0.4868%) ^ $B150)*-1</f>
        <v/>
      </c>
      <c r="I150" s="365">
        <f>(D150/ (1 + 0.4868%) ^ $B150)*-1</f>
        <v/>
      </c>
      <c r="J150" s="365">
        <f>(E150/ (1 + 0.4868%) ^ $B150)*-1</f>
        <v/>
      </c>
      <c r="K150" s="479">
        <f>(F150/ (1 + 0.4868%) ^ $B150)*-1</f>
        <v/>
      </c>
    </row>
    <row r="151">
      <c r="A151" s="368" t="n">
        <v>50131</v>
      </c>
      <c r="B151" s="51" t="n">
        <v>143</v>
      </c>
      <c r="C151" t="n">
        <v>-395000</v>
      </c>
      <c r="D151" t="n">
        <v>-271000</v>
      </c>
      <c r="E151" t="n">
        <v>-96000</v>
      </c>
      <c r="F151" s="477" t="n">
        <v>-2500000</v>
      </c>
      <c r="H151" s="365">
        <f>(C151/ (1 + 0.4868%) ^ $B151)*-1</f>
        <v/>
      </c>
      <c r="I151" s="365">
        <f>(D151/ (1 + 0.4868%) ^ $B151)*-1</f>
        <v/>
      </c>
      <c r="J151" s="365">
        <f>(E151/ (1 + 0.4868%) ^ $B151)*-1</f>
        <v/>
      </c>
      <c r="K151" s="479">
        <f>(F151/ (1 + 0.4868%) ^ $B151)*-1</f>
        <v/>
      </c>
    </row>
    <row r="152">
      <c r="A152" s="368" t="n">
        <v>50161</v>
      </c>
      <c r="B152" s="51" t="n">
        <v>144</v>
      </c>
      <c r="C152" t="n">
        <v>-395000</v>
      </c>
      <c r="D152" t="n">
        <v>-260000</v>
      </c>
      <c r="E152" t="n">
        <v>-86000</v>
      </c>
      <c r="F152" s="477" t="n">
        <v>-2400000</v>
      </c>
      <c r="H152" s="365">
        <f>(C152/ (1 + 0.4868%) ^ $B152)*-1</f>
        <v/>
      </c>
      <c r="I152" s="365">
        <f>(D152/ (1 + 0.4868%) ^ $B152)*-1</f>
        <v/>
      </c>
      <c r="J152" s="365">
        <f>(E152/ (1 + 0.4868%) ^ $B152)*-1</f>
        <v/>
      </c>
      <c r="K152" s="479">
        <f>(F152/ (1 + 0.4868%) ^ $B152)*-1</f>
        <v/>
      </c>
    </row>
    <row r="153">
      <c r="A153" s="368" t="n">
        <v>50192</v>
      </c>
      <c r="B153" s="51" t="n">
        <v>145</v>
      </c>
      <c r="C153" t="n">
        <v>-380000</v>
      </c>
      <c r="D153" t="n">
        <v>-248000</v>
      </c>
      <c r="E153" t="n">
        <v>-71000</v>
      </c>
      <c r="F153" s="477" t="n">
        <v>-2500000</v>
      </c>
      <c r="H153" s="365">
        <f>(C153/ (1 + 0.4868%) ^ $B153)*-1</f>
        <v/>
      </c>
      <c r="I153" s="365">
        <f>(D153/ (1 + 0.4868%) ^ $B153)*-1</f>
        <v/>
      </c>
      <c r="J153" s="365">
        <f>(E153/ (1 + 0.4868%) ^ $B153)*-1</f>
        <v/>
      </c>
      <c r="K153" s="479">
        <f>(F153/ (1 + 0.4868%) ^ $B153)*-1</f>
        <v/>
      </c>
    </row>
    <row r="154">
      <c r="A154" s="368" t="n">
        <v>50222</v>
      </c>
      <c r="B154" s="51" t="n">
        <v>146</v>
      </c>
      <c r="C154" t="n">
        <v>-370000</v>
      </c>
      <c r="D154" t="n">
        <v>-237000</v>
      </c>
      <c r="E154" t="n">
        <v>-45000</v>
      </c>
      <c r="F154" s="477" t="n">
        <v>-2400000</v>
      </c>
      <c r="H154" s="365">
        <f>(C154/ (1 + 0.4868%) ^ $B154)*-1</f>
        <v/>
      </c>
      <c r="I154" s="365">
        <f>(D154/ (1 + 0.4868%) ^ $B154)*-1</f>
        <v/>
      </c>
      <c r="J154" s="365">
        <f>(E154/ (1 + 0.4868%) ^ $B154)*-1</f>
        <v/>
      </c>
      <c r="K154" s="479">
        <f>(F154/ (1 + 0.4868%) ^ $B154)*-1</f>
        <v/>
      </c>
    </row>
    <row r="155">
      <c r="A155" s="368" t="n">
        <v>50253</v>
      </c>
      <c r="B155" s="51" t="n">
        <v>147</v>
      </c>
      <c r="C155" t="n">
        <v>-365000</v>
      </c>
      <c r="D155" t="n">
        <v>-225000</v>
      </c>
      <c r="E155" t="n">
        <v>-30000</v>
      </c>
      <c r="F155" s="477" t="n">
        <v>-2500000</v>
      </c>
      <c r="H155" s="365">
        <f>(C155/ (1 + 0.4868%) ^ $B155)*-1</f>
        <v/>
      </c>
      <c r="I155" s="365">
        <f>(D155/ (1 + 0.4868%) ^ $B155)*-1</f>
        <v/>
      </c>
      <c r="J155" s="365">
        <f>(E155/ (1 + 0.4868%) ^ $B155)*-1</f>
        <v/>
      </c>
      <c r="K155" s="479">
        <f>(F155/ (1 + 0.4868%) ^ $B155)*-1</f>
        <v/>
      </c>
    </row>
    <row r="156">
      <c r="A156" s="368" t="n">
        <v>50284</v>
      </c>
      <c r="B156" s="51" t="n">
        <v>148</v>
      </c>
      <c r="C156" t="n">
        <v>-355000</v>
      </c>
      <c r="D156" t="n">
        <v>-214000</v>
      </c>
      <c r="E156" t="n">
        <v>-15000</v>
      </c>
      <c r="F156" s="477" t="n">
        <v>-2400000</v>
      </c>
      <c r="H156" s="365">
        <f>(C156/ (1 + 0.4868%) ^ $B156)*-1</f>
        <v/>
      </c>
      <c r="I156" s="365">
        <f>(D156/ (1 + 0.4868%) ^ $B156)*-1</f>
        <v/>
      </c>
      <c r="J156" s="365">
        <f>(E156/ (1 + 0.4868%) ^ $B156)*-1</f>
        <v/>
      </c>
      <c r="K156" s="479">
        <f>(F156/ (1 + 0.4868%) ^ $B156)*-1</f>
        <v/>
      </c>
    </row>
    <row r="157">
      <c r="A157" s="368" t="n">
        <v>50314</v>
      </c>
      <c r="B157" s="51" t="n">
        <v>149</v>
      </c>
      <c r="C157" t="n">
        <v>-345000</v>
      </c>
      <c r="D157" t="n">
        <v>-202000</v>
      </c>
      <c r="E157" t="n">
        <v>-750</v>
      </c>
      <c r="F157" s="477" t="n">
        <v>-2000000</v>
      </c>
      <c r="H157" s="365">
        <f>(C157/ (1 + 0.4868%) ^ $B157)*-1</f>
        <v/>
      </c>
      <c r="I157" s="365">
        <f>(D157/ (1 + 0.4868%) ^ $B157)*-1</f>
        <v/>
      </c>
      <c r="J157" s="365">
        <f>(E157/ (1 + 0.4868%) ^ $B157)*-1</f>
        <v/>
      </c>
      <c r="K157" s="479">
        <f>(F157/ (1 + 0.4868%) ^ $B157)*-1</f>
        <v/>
      </c>
    </row>
    <row r="158">
      <c r="A158" s="368" t="n">
        <v>50345</v>
      </c>
      <c r="B158" s="51" t="n">
        <v>150</v>
      </c>
      <c r="C158" t="n">
        <v>-345000</v>
      </c>
      <c r="D158" t="n">
        <v>-190000</v>
      </c>
      <c r="E158" t="n">
        <v>-300</v>
      </c>
      <c r="F158" s="477" t="n">
        <v>-2000000</v>
      </c>
      <c r="H158" s="365">
        <f>(C158/ (1 + 0.4868%) ^ $B158)*-1</f>
        <v/>
      </c>
      <c r="I158" s="365">
        <f>(D158/ (1 + 0.4868%) ^ $B158)*-1</f>
        <v/>
      </c>
      <c r="J158" s="365">
        <f>(E158/ (1 + 0.4868%) ^ $B158)*-1</f>
        <v/>
      </c>
      <c r="K158" s="479">
        <f>(F158/ (1 + 0.4868%) ^ $B158)*-1</f>
        <v/>
      </c>
    </row>
    <row r="159">
      <c r="A159" s="368" t="n">
        <v>50375</v>
      </c>
      <c r="B159" s="51" t="n">
        <v>151</v>
      </c>
      <c r="C159" t="n">
        <v>-330000</v>
      </c>
      <c r="D159" t="n">
        <v>-179000</v>
      </c>
      <c r="E159" t="n">
        <v>0</v>
      </c>
      <c r="F159" s="477" t="n">
        <v>-2000000</v>
      </c>
      <c r="H159" s="365">
        <f>(C159/ (1 + 0.4868%) ^ $B159)*-1</f>
        <v/>
      </c>
      <c r="I159" s="365">
        <f>(D159/ (1 + 0.4868%) ^ $B159)*-1</f>
        <v/>
      </c>
      <c r="J159" s="365">
        <f>(E159/ (1 + 0.4868%) ^ $B159)*-1</f>
        <v/>
      </c>
      <c r="K159" s="479">
        <f>(F159/ (1 + 0.4868%) ^ $B159)*-1</f>
        <v/>
      </c>
    </row>
    <row r="160">
      <c r="A160" s="368" t="n">
        <v>50406</v>
      </c>
      <c r="B160" s="51" t="n">
        <v>152</v>
      </c>
      <c r="C160" t="n">
        <v>-320000</v>
      </c>
      <c r="D160" t="n">
        <v>-167000</v>
      </c>
      <c r="E160" t="n">
        <v>0</v>
      </c>
      <c r="F160" s="477" t="n">
        <v>-1900000</v>
      </c>
      <c r="H160" s="365">
        <f>(C160/ (1 + 0.4868%) ^ $B160)*-1</f>
        <v/>
      </c>
      <c r="I160" s="365">
        <f>(D160/ (1 + 0.4868%) ^ $B160)*-1</f>
        <v/>
      </c>
      <c r="J160" s="365">
        <f>(E160/ (1 + 0.4868%) ^ $B160)*-1</f>
        <v/>
      </c>
      <c r="K160" s="479">
        <f>(F160/ (1 + 0.4868%) ^ $B160)*-1</f>
        <v/>
      </c>
    </row>
    <row r="161">
      <c r="A161" s="368" t="n">
        <v>50437</v>
      </c>
      <c r="B161" s="51" t="n">
        <v>153</v>
      </c>
      <c r="C161" t="n">
        <v>-315000</v>
      </c>
      <c r="D161" t="n">
        <v>-154000</v>
      </c>
      <c r="E161" t="n">
        <v>0</v>
      </c>
      <c r="F161" s="477" t="n">
        <v>-1800000</v>
      </c>
      <c r="H161" s="365">
        <f>(C161/ (1 + 0.4868%) ^ $B161)*-1</f>
        <v/>
      </c>
      <c r="I161" s="365">
        <f>(D161/ (1 + 0.4868%) ^ $B161)*-1</f>
        <v/>
      </c>
      <c r="J161" s="365">
        <f>(E161/ (1 + 0.4868%) ^ $B161)*-1</f>
        <v/>
      </c>
      <c r="K161" s="479">
        <f>(F161/ (1 + 0.4868%) ^ $B161)*-1</f>
        <v/>
      </c>
    </row>
    <row r="162">
      <c r="A162" s="368" t="n">
        <v>50465</v>
      </c>
      <c r="B162" s="51" t="n">
        <v>154</v>
      </c>
      <c r="C162" t="n">
        <v>-305000</v>
      </c>
      <c r="D162" t="n">
        <v>-144000</v>
      </c>
      <c r="E162" t="n">
        <v>0</v>
      </c>
      <c r="F162" s="477" t="n">
        <v>-1700000</v>
      </c>
      <c r="H162" s="365">
        <f>(C162/ (1 + 0.4868%) ^ $B162)*-1</f>
        <v/>
      </c>
      <c r="I162" s="365">
        <f>(D162/ (1 + 0.4868%) ^ $B162)*-1</f>
        <v/>
      </c>
      <c r="J162" s="365">
        <f>(E162/ (1 + 0.4868%) ^ $B162)*-1</f>
        <v/>
      </c>
      <c r="K162" s="479">
        <f>(F162/ (1 + 0.4868%) ^ $B162)*-1</f>
        <v/>
      </c>
    </row>
    <row r="163">
      <c r="A163" s="368" t="n">
        <v>50496</v>
      </c>
      <c r="B163" s="51" t="n">
        <v>155</v>
      </c>
      <c r="C163" t="n">
        <v>-295000</v>
      </c>
      <c r="D163" t="n">
        <v>-132000</v>
      </c>
      <c r="E163" t="n">
        <v>0</v>
      </c>
      <c r="F163" s="477" t="n">
        <v>-1600000</v>
      </c>
      <c r="H163" s="365">
        <f>(C163/ (1 + 0.4868%) ^ $B163)*-1</f>
        <v/>
      </c>
      <c r="I163" s="365">
        <f>(D163/ (1 + 0.4868%) ^ $B163)*-1</f>
        <v/>
      </c>
      <c r="J163" s="365">
        <f>(E163/ (1 + 0.4868%) ^ $B163)*-1</f>
        <v/>
      </c>
      <c r="K163" s="479">
        <f>(F163/ (1 + 0.4868%) ^ $B163)*-1</f>
        <v/>
      </c>
    </row>
    <row r="164">
      <c r="A164" s="368" t="n">
        <v>50526</v>
      </c>
      <c r="B164" s="51" t="n">
        <v>156</v>
      </c>
      <c r="C164" t="n">
        <v>-290000</v>
      </c>
      <c r="D164" t="n">
        <v>-119000</v>
      </c>
      <c r="E164" t="n">
        <v>0</v>
      </c>
      <c r="F164" s="477" t="n">
        <v>-1800000</v>
      </c>
      <c r="H164" s="365">
        <f>(C164/ (1 + 0.4868%) ^ $B164)*-1</f>
        <v/>
      </c>
      <c r="I164" s="365">
        <f>(D164/ (1 + 0.4868%) ^ $B164)*-1</f>
        <v/>
      </c>
      <c r="J164" s="365">
        <f>(E164/ (1 + 0.4868%) ^ $B164)*-1</f>
        <v/>
      </c>
      <c r="K164" s="479">
        <f>(F164/ (1 + 0.4868%) ^ $B164)*-1</f>
        <v/>
      </c>
    </row>
    <row r="165">
      <c r="A165" s="368" t="n">
        <v>50557</v>
      </c>
      <c r="B165" s="51" t="n">
        <v>157</v>
      </c>
      <c r="C165" t="n">
        <v>-280000</v>
      </c>
      <c r="D165" t="n">
        <v>-108000</v>
      </c>
      <c r="E165" t="n">
        <v>0</v>
      </c>
      <c r="F165" s="477" t="n">
        <v>-1600000</v>
      </c>
      <c r="H165" s="365">
        <f>(C165/ (1 + 0.4868%) ^ $B165)*-1</f>
        <v/>
      </c>
      <c r="I165" s="365">
        <f>(D165/ (1 + 0.4868%) ^ $B165)*-1</f>
        <v/>
      </c>
      <c r="J165" s="365">
        <f>(E165/ (1 + 0.4868%) ^ $B165)*-1</f>
        <v/>
      </c>
      <c r="K165" s="479">
        <f>(F165/ (1 + 0.4868%) ^ $B165)*-1</f>
        <v/>
      </c>
    </row>
    <row r="166">
      <c r="A166" s="368" t="n">
        <v>50587</v>
      </c>
      <c r="B166" s="51" t="n">
        <v>158</v>
      </c>
      <c r="C166" t="n">
        <v>-275000</v>
      </c>
      <c r="D166" t="n">
        <v>-95000</v>
      </c>
      <c r="E166" t="n">
        <v>0</v>
      </c>
      <c r="F166" s="477" t="n">
        <v>-1500000</v>
      </c>
      <c r="H166" s="365">
        <f>(C166/ (1 + 0.4868%) ^ $B166)*-1</f>
        <v/>
      </c>
      <c r="I166" s="365">
        <f>(D166/ (1 + 0.4868%) ^ $B166)*-1</f>
        <v/>
      </c>
      <c r="J166" s="365">
        <f>(E166/ (1 + 0.4868%) ^ $B166)*-1</f>
        <v/>
      </c>
      <c r="K166" s="479">
        <f>(F166/ (1 + 0.4868%) ^ $B166)*-1</f>
        <v/>
      </c>
    </row>
    <row r="167">
      <c r="A167" s="368" t="n">
        <v>50618</v>
      </c>
      <c r="B167" s="51" t="n">
        <v>159</v>
      </c>
      <c r="C167" t="n">
        <v>-260000</v>
      </c>
      <c r="D167" t="n">
        <v>-83000</v>
      </c>
      <c r="E167" t="n">
        <v>0</v>
      </c>
      <c r="F167" s="477" t="n">
        <v>-1500000</v>
      </c>
      <c r="H167" s="365">
        <f>(C167/ (1 + 0.4868%) ^ $B167)*-1</f>
        <v/>
      </c>
      <c r="I167" s="365">
        <f>(D167/ (1 + 0.4868%) ^ $B167)*-1</f>
        <v/>
      </c>
      <c r="J167" s="365">
        <f>(E167/ (1 + 0.4868%) ^ $B167)*-1</f>
        <v/>
      </c>
      <c r="K167" s="479">
        <f>(F167/ (1 + 0.4868%) ^ $B167)*-1</f>
        <v/>
      </c>
    </row>
    <row r="168">
      <c r="A168" s="368" t="n">
        <v>50649</v>
      </c>
      <c r="B168" s="51" t="n">
        <v>160</v>
      </c>
      <c r="C168" t="n">
        <v>-255000</v>
      </c>
      <c r="D168" t="n">
        <v>-70000</v>
      </c>
      <c r="E168" t="n">
        <v>0</v>
      </c>
      <c r="F168" s="477" t="n">
        <v>-1200000</v>
      </c>
      <c r="H168" s="365">
        <f>(C168/ (1 + 0.4868%) ^ $B168)*-1</f>
        <v/>
      </c>
      <c r="I168" s="365">
        <f>(D168/ (1 + 0.4868%) ^ $B168)*-1</f>
        <v/>
      </c>
      <c r="J168" s="365">
        <f>(E168/ (1 + 0.4868%) ^ $B168)*-1</f>
        <v/>
      </c>
      <c r="K168" s="479">
        <f>(F168/ (1 + 0.4868%) ^ $B168)*-1</f>
        <v/>
      </c>
    </row>
    <row r="169">
      <c r="A169" s="368" t="n">
        <v>50679</v>
      </c>
      <c r="B169" s="51" t="n">
        <v>161</v>
      </c>
      <c r="C169" t="n">
        <v>-245000</v>
      </c>
      <c r="D169" t="n">
        <v>-60000</v>
      </c>
      <c r="E169" t="n">
        <v>0</v>
      </c>
      <c r="F169" s="477" t="n">
        <v>-900000</v>
      </c>
      <c r="H169" s="365">
        <f>(C169/ (1 + 0.4868%) ^ $B169)*-1</f>
        <v/>
      </c>
      <c r="I169" s="365">
        <f>(D169/ (1 + 0.4868%) ^ $B169)*-1</f>
        <v/>
      </c>
      <c r="J169" s="365">
        <f>(E169/ (1 + 0.4868%) ^ $B169)*-1</f>
        <v/>
      </c>
      <c r="K169" s="479">
        <f>(F169/ (1 + 0.4868%) ^ $B169)*-1</f>
        <v/>
      </c>
    </row>
    <row r="170">
      <c r="A170" s="368" t="n">
        <v>50710</v>
      </c>
      <c r="B170" s="51" t="n">
        <v>162</v>
      </c>
      <c r="C170" t="n">
        <v>-240000</v>
      </c>
      <c r="D170" t="n">
        <v>-46000</v>
      </c>
      <c r="E170" t="n">
        <v>0</v>
      </c>
      <c r="F170" s="477" t="n">
        <v>-800000</v>
      </c>
      <c r="H170" s="365">
        <f>(C170/ (1 + 0.4868%) ^ $B170)*-1</f>
        <v/>
      </c>
      <c r="I170" s="365">
        <f>(D170/ (1 + 0.4868%) ^ $B170)*-1</f>
        <v/>
      </c>
      <c r="J170" s="365">
        <f>(E170/ (1 + 0.4868%) ^ $B170)*-1</f>
        <v/>
      </c>
      <c r="K170" s="479">
        <f>(F170/ (1 + 0.4868%) ^ $B170)*-1</f>
        <v/>
      </c>
    </row>
    <row r="171">
      <c r="A171" s="368" t="n">
        <v>50740</v>
      </c>
      <c r="B171" s="51" t="n">
        <v>163</v>
      </c>
      <c r="C171" t="n">
        <v>-225000</v>
      </c>
      <c r="D171" t="n">
        <v>-36000</v>
      </c>
      <c r="E171" t="n">
        <v>0</v>
      </c>
      <c r="F171" s="477" t="n">
        <v>-800000</v>
      </c>
      <c r="H171" s="365">
        <f>(C171/ (1 + 0.4868%) ^ $B171)*-1</f>
        <v/>
      </c>
      <c r="I171" s="365">
        <f>(D171/ (1 + 0.4868%) ^ $B171)*-1</f>
        <v/>
      </c>
      <c r="J171" s="365">
        <f>(E171/ (1 + 0.4868%) ^ $B171)*-1</f>
        <v/>
      </c>
      <c r="K171" s="479">
        <f>(F171/ (1 + 0.4868%) ^ $B171)*-1</f>
        <v/>
      </c>
    </row>
    <row r="172">
      <c r="A172" s="368" t="n">
        <v>50771</v>
      </c>
      <c r="B172" s="51" t="n">
        <v>164</v>
      </c>
      <c r="C172" t="n">
        <v>-220000</v>
      </c>
      <c r="D172" t="n">
        <v>-22000</v>
      </c>
      <c r="E172" t="n">
        <v>0</v>
      </c>
      <c r="F172" s="477" t="n">
        <v>-800000</v>
      </c>
      <c r="H172" s="365">
        <f>(C172/ (1 + 0.4868%) ^ $B172)*-1</f>
        <v/>
      </c>
      <c r="I172" s="365">
        <f>(D172/ (1 + 0.4868%) ^ $B172)*-1</f>
        <v/>
      </c>
      <c r="J172" s="365">
        <f>(E172/ (1 + 0.4868%) ^ $B172)*-1</f>
        <v/>
      </c>
      <c r="K172" s="479">
        <f>(F172/ (1 + 0.4868%) ^ $B172)*-1</f>
        <v/>
      </c>
    </row>
    <row r="173">
      <c r="A173" s="368" t="n">
        <v>50802</v>
      </c>
      <c r="B173" s="51" t="n">
        <v>165</v>
      </c>
      <c r="C173" t="n">
        <v>-214000</v>
      </c>
      <c r="D173" t="n">
        <v>-9000</v>
      </c>
      <c r="E173" t="n">
        <v>0</v>
      </c>
      <c r="F173" s="477" t="n">
        <v>-800000</v>
      </c>
      <c r="H173" s="365">
        <f>(C173/ (1 + 0.4868%) ^ $B173)*-1</f>
        <v/>
      </c>
      <c r="I173" s="365">
        <f>(D173/ (1 + 0.4868%) ^ $B173)*-1</f>
        <v/>
      </c>
      <c r="J173" s="365">
        <f>(E173/ (1 + 0.4868%) ^ $B173)*-1</f>
        <v/>
      </c>
      <c r="K173" s="479">
        <f>(F173/ (1 + 0.4868%) ^ $B173)*-1</f>
        <v/>
      </c>
    </row>
    <row r="174">
      <c r="A174" s="368" t="n">
        <v>50830</v>
      </c>
      <c r="B174" s="51" t="n">
        <v>166</v>
      </c>
      <c r="C174" t="n">
        <v>-200000</v>
      </c>
      <c r="D174" t="n">
        <v>-9000</v>
      </c>
      <c r="E174" t="n">
        <v>0</v>
      </c>
      <c r="F174" s="477" t="n">
        <v>-700000</v>
      </c>
      <c r="H174" s="365">
        <f>(C174/ (1 + 0.4868%) ^ $B174)*-1</f>
        <v/>
      </c>
      <c r="I174" s="365">
        <f>(D174/ (1 + 0.4868%) ^ $B174)*-1</f>
        <v/>
      </c>
      <c r="J174" s="365">
        <f>(E174/ (1 + 0.4868%) ^ $B174)*-1</f>
        <v/>
      </c>
      <c r="K174" s="479">
        <f>(F174/ (1 + 0.4868%) ^ $B174)*-1</f>
        <v/>
      </c>
    </row>
    <row r="175">
      <c r="A175" s="368" t="n">
        <v>50861</v>
      </c>
      <c r="B175" s="51" t="n">
        <v>167</v>
      </c>
      <c r="C175" t="n">
        <v>-190000</v>
      </c>
      <c r="D175" t="n">
        <v>-2000</v>
      </c>
      <c r="E175" t="n">
        <v>0</v>
      </c>
      <c r="F175" s="477" t="n">
        <v>-600000</v>
      </c>
      <c r="H175" s="365">
        <f>(C175/ (1 + 0.4868%) ^ $B175)*-1</f>
        <v/>
      </c>
      <c r="I175" s="365">
        <f>(D175/ (1 + 0.4868%) ^ $B175)*-1</f>
        <v/>
      </c>
      <c r="J175" s="365">
        <f>(E175/ (1 + 0.4868%) ^ $B175)*-1</f>
        <v/>
      </c>
      <c r="K175" s="479">
        <f>(F175/ (1 + 0.4868%) ^ $B175)*-1</f>
        <v/>
      </c>
    </row>
    <row r="176">
      <c r="A176" s="368" t="n">
        <v>50891</v>
      </c>
      <c r="B176" s="51" t="n">
        <v>168</v>
      </c>
      <c r="C176" t="n">
        <v>-190000</v>
      </c>
      <c r="D176" t="n">
        <v>0</v>
      </c>
      <c r="E176" t="n">
        <v>0</v>
      </c>
      <c r="F176" s="477" t="n">
        <v>-600000</v>
      </c>
      <c r="H176" s="365">
        <f>(C176/ (1 + 0.4868%) ^ $B176)*-1</f>
        <v/>
      </c>
      <c r="I176" s="365">
        <f>(D176/ (1 + 0.4868%) ^ $B176)*-1</f>
        <v/>
      </c>
      <c r="J176" s="365">
        <f>(E176/ (1 + 0.4868%) ^ $B176)*-1</f>
        <v/>
      </c>
      <c r="K176" s="479">
        <f>(F176/ (1 + 0.4868%) ^ $B176)*-1</f>
        <v/>
      </c>
    </row>
    <row r="177">
      <c r="A177" s="368" t="n">
        <v>50922</v>
      </c>
      <c r="B177" s="51" t="n">
        <v>169</v>
      </c>
      <c r="C177" t="n">
        <v>-175000</v>
      </c>
      <c r="D177" t="n">
        <v>0</v>
      </c>
      <c r="E177" t="n">
        <v>0</v>
      </c>
      <c r="F177" s="477" t="n">
        <v>-600000</v>
      </c>
      <c r="H177" s="365">
        <f>(C177/ (1 + 0.4868%) ^ $B177)*-1</f>
        <v/>
      </c>
      <c r="I177" s="365">
        <f>(D177/ (1 + 0.4868%) ^ $B177)*-1</f>
        <v/>
      </c>
      <c r="J177" s="365">
        <f>(E177/ (1 + 0.4868%) ^ $B177)*-1</f>
        <v/>
      </c>
      <c r="K177" s="479">
        <f>(F177/ (1 + 0.4868%) ^ $B177)*-1</f>
        <v/>
      </c>
    </row>
    <row r="178">
      <c r="A178" s="368" t="n">
        <v>50952</v>
      </c>
      <c r="B178" s="51" t="n">
        <v>170</v>
      </c>
      <c r="C178" t="n">
        <v>-170000</v>
      </c>
      <c r="D178" t="n">
        <v>0</v>
      </c>
      <c r="E178" t="n">
        <v>0</v>
      </c>
      <c r="F178" s="477" t="n">
        <v>-600000</v>
      </c>
      <c r="H178" s="365">
        <f>(C178/ (1 + 0.4868%) ^ $B178)*-1</f>
        <v/>
      </c>
      <c r="I178" s="365">
        <f>(D178/ (1 + 0.4868%) ^ $B178)*-1</f>
        <v/>
      </c>
      <c r="J178" s="365">
        <f>(E178/ (1 + 0.4868%) ^ $B178)*-1</f>
        <v/>
      </c>
      <c r="K178" s="479">
        <f>(F178/ (1 + 0.4868%) ^ $B178)*-1</f>
        <v/>
      </c>
    </row>
    <row r="179">
      <c r="A179" s="368" t="n">
        <v>50983</v>
      </c>
      <c r="B179" s="51" t="n">
        <v>171</v>
      </c>
      <c r="C179" t="n">
        <v>-155000</v>
      </c>
      <c r="D179" t="n">
        <v>0</v>
      </c>
      <c r="E179" t="n">
        <v>0</v>
      </c>
      <c r="F179" s="477" t="n">
        <v>-400000</v>
      </c>
      <c r="H179" s="365">
        <f>(C179/ (1 + 0.4868%) ^ $B179)*-1</f>
        <v/>
      </c>
      <c r="I179" s="365">
        <f>(D179/ (1 + 0.4868%) ^ $B179)*-1</f>
        <v/>
      </c>
      <c r="J179" s="365">
        <f>(E179/ (1 + 0.4868%) ^ $B179)*-1</f>
        <v/>
      </c>
      <c r="K179" s="479">
        <f>(F179/ (1 + 0.4868%) ^ $B179)*-1</f>
        <v/>
      </c>
    </row>
    <row r="180">
      <c r="A180" s="368" t="n">
        <v>51014</v>
      </c>
      <c r="B180" s="51" t="n">
        <v>172</v>
      </c>
      <c r="C180" t="n">
        <v>-155000</v>
      </c>
      <c r="D180" t="n">
        <v>0</v>
      </c>
      <c r="E180" t="n">
        <v>0</v>
      </c>
      <c r="F180" s="477" t="n">
        <v>-500000</v>
      </c>
      <c r="H180" s="365">
        <f>(C180/ (1 + 0.4868%) ^ $B180)*-1</f>
        <v/>
      </c>
      <c r="I180" s="365">
        <f>(D180/ (1 + 0.4868%) ^ $B180)*-1</f>
        <v/>
      </c>
      <c r="J180" s="365">
        <f>(E180/ (1 + 0.4868%) ^ $B180)*-1</f>
        <v/>
      </c>
      <c r="K180" s="479">
        <f>(F180/ (1 + 0.4868%) ^ $B180)*-1</f>
        <v/>
      </c>
    </row>
    <row r="181">
      <c r="A181" s="368" t="n">
        <v>51044</v>
      </c>
      <c r="B181" s="51" t="n">
        <v>173</v>
      </c>
      <c r="C181" t="n">
        <v>-140000</v>
      </c>
      <c r="D181" t="n">
        <v>0</v>
      </c>
      <c r="E181" t="n">
        <v>0</v>
      </c>
      <c r="F181" s="477" t="n">
        <v>-400000</v>
      </c>
      <c r="H181" s="365">
        <f>(C181/ (1 + 0.4868%) ^ $B181)*-1</f>
        <v/>
      </c>
      <c r="I181" s="365">
        <f>(D181/ (1 + 0.4868%) ^ $B181)*-1</f>
        <v/>
      </c>
      <c r="J181" s="365">
        <f>(E181/ (1 + 0.4868%) ^ $B181)*-1</f>
        <v/>
      </c>
      <c r="K181" s="479">
        <f>(F181/ (1 + 0.4868%) ^ $B181)*-1</f>
        <v/>
      </c>
    </row>
    <row r="182">
      <c r="A182" s="368" t="n">
        <v>51075</v>
      </c>
      <c r="B182" s="51" t="n">
        <v>174</v>
      </c>
      <c r="C182" t="n">
        <v>-125000</v>
      </c>
      <c r="D182" t="n">
        <v>0</v>
      </c>
      <c r="E182" t="n">
        <v>0</v>
      </c>
      <c r="F182" s="477" t="n">
        <v>-400000</v>
      </c>
      <c r="H182" s="365">
        <f>(C182/ (1 + 0.4868%) ^ $B182)*-1</f>
        <v/>
      </c>
      <c r="I182" s="365">
        <f>(D182/ (1 + 0.4868%) ^ $B182)*-1</f>
        <v/>
      </c>
      <c r="J182" s="365">
        <f>(E182/ (1 + 0.4868%) ^ $B182)*-1</f>
        <v/>
      </c>
      <c r="K182" s="479">
        <f>(F182/ (1 + 0.4868%) ^ $B182)*-1</f>
        <v/>
      </c>
    </row>
    <row r="183">
      <c r="A183" s="368" t="n">
        <v>51105</v>
      </c>
      <c r="B183" s="51" t="n">
        <v>175</v>
      </c>
      <c r="C183" t="n">
        <v>-130000</v>
      </c>
      <c r="D183" t="n">
        <v>0</v>
      </c>
      <c r="E183" t="n">
        <v>0</v>
      </c>
      <c r="F183" s="477" t="n">
        <v>-400000</v>
      </c>
      <c r="H183" s="365">
        <f>(C183/ (1 + 0.4868%) ^ $B183)*-1</f>
        <v/>
      </c>
      <c r="I183" s="365">
        <f>(D183/ (1 + 0.4868%) ^ $B183)*-1</f>
        <v/>
      </c>
      <c r="J183" s="365">
        <f>(E183/ (1 + 0.4868%) ^ $B183)*-1</f>
        <v/>
      </c>
      <c r="K183" s="479">
        <f>(F183/ (1 + 0.4868%) ^ $B183)*-1</f>
        <v/>
      </c>
    </row>
    <row r="184">
      <c r="A184" s="368" t="n">
        <v>51136</v>
      </c>
      <c r="B184" s="51" t="n">
        <v>176</v>
      </c>
      <c r="C184" t="n">
        <v>-110000</v>
      </c>
      <c r="D184" t="n">
        <v>0</v>
      </c>
      <c r="E184" t="n">
        <v>0</v>
      </c>
      <c r="F184" s="477" t="n">
        <v>-400000</v>
      </c>
      <c r="H184" s="365">
        <f>(C184/ (1 + 0.4868%) ^ $B184)*-1</f>
        <v/>
      </c>
      <c r="I184" s="365">
        <f>(D184/ (1 + 0.4868%) ^ $B184)*-1</f>
        <v/>
      </c>
      <c r="J184" s="365">
        <f>(E184/ (1 + 0.4868%) ^ $B184)*-1</f>
        <v/>
      </c>
      <c r="K184" s="479">
        <f>(F184/ (1 + 0.4868%) ^ $B184)*-1</f>
        <v/>
      </c>
    </row>
    <row r="185">
      <c r="A185" s="368" t="n">
        <v>51167</v>
      </c>
      <c r="B185" s="51" t="n">
        <v>177</v>
      </c>
      <c r="C185" t="n">
        <v>-105000</v>
      </c>
      <c r="D185" t="n">
        <v>0</v>
      </c>
      <c r="E185" t="n">
        <v>0</v>
      </c>
      <c r="F185" s="477" t="n">
        <v>-400000</v>
      </c>
      <c r="H185" s="365">
        <f>(C185/ (1 + 0.4868%) ^ $B185)*-1</f>
        <v/>
      </c>
      <c r="I185" s="365">
        <f>(D185/ (1 + 0.4868%) ^ $B185)*-1</f>
        <v/>
      </c>
      <c r="J185" s="365">
        <f>(E185/ (1 + 0.4868%) ^ $B185)*-1</f>
        <v/>
      </c>
      <c r="K185" s="479">
        <f>(F185/ (1 + 0.4868%) ^ $B185)*-1</f>
        <v/>
      </c>
    </row>
    <row r="186">
      <c r="A186" s="368" t="n">
        <v>51196</v>
      </c>
      <c r="B186" s="51" t="n">
        <v>178</v>
      </c>
      <c r="C186" t="n">
        <v>-100000</v>
      </c>
      <c r="D186" t="n">
        <v>0</v>
      </c>
      <c r="E186" t="n">
        <v>0</v>
      </c>
      <c r="F186" s="477" t="n">
        <v>-400000</v>
      </c>
      <c r="H186" s="365">
        <f>(C186/ (1 + 0.4868%) ^ $B186)*-1</f>
        <v/>
      </c>
      <c r="I186" s="365">
        <f>(D186/ (1 + 0.4868%) ^ $B186)*-1</f>
        <v/>
      </c>
      <c r="J186" s="365">
        <f>(E186/ (1 + 0.4868%) ^ $B186)*-1</f>
        <v/>
      </c>
      <c r="K186" s="479">
        <f>(F186/ (1 + 0.4868%) ^ $B186)*-1</f>
        <v/>
      </c>
    </row>
    <row r="187">
      <c r="A187" s="368" t="n">
        <v>51227</v>
      </c>
      <c r="B187" s="51" t="n">
        <v>179</v>
      </c>
      <c r="C187" t="n">
        <v>-90000</v>
      </c>
      <c r="D187" t="n">
        <v>0</v>
      </c>
      <c r="E187" t="n">
        <v>0</v>
      </c>
      <c r="F187" s="477" t="n">
        <v>-400000</v>
      </c>
      <c r="H187" s="365">
        <f>(C187/ (1 + 0.4868%) ^ $B187)*-1</f>
        <v/>
      </c>
      <c r="I187" s="365">
        <f>(D187/ (1 + 0.4868%) ^ $B187)*-1</f>
        <v/>
      </c>
      <c r="J187" s="365">
        <f>(E187/ (1 + 0.4868%) ^ $B187)*-1</f>
        <v/>
      </c>
      <c r="K187" s="479">
        <f>(F187/ (1 + 0.4868%) ^ $B187)*-1</f>
        <v/>
      </c>
    </row>
    <row r="188">
      <c r="A188" s="368" t="n">
        <v>51257</v>
      </c>
      <c r="B188" s="51" t="n">
        <v>180</v>
      </c>
      <c r="C188" t="n">
        <v>-76000</v>
      </c>
      <c r="D188" t="n">
        <v>0</v>
      </c>
      <c r="E188" t="n">
        <v>0</v>
      </c>
      <c r="F188" s="477" t="n">
        <v>-350000</v>
      </c>
      <c r="H188" s="365">
        <f>(C188/ (1 + 0.4868%) ^ $B188)*-1</f>
        <v/>
      </c>
      <c r="I188" s="365">
        <f>(D188/ (1 + 0.4868%) ^ $B188)*-1</f>
        <v/>
      </c>
      <c r="J188" s="365">
        <f>(E188/ (1 + 0.4868%) ^ $B188)*-1</f>
        <v/>
      </c>
      <c r="K188" s="479">
        <f>(F188/ (1 + 0.4868%) ^ $B188)*-1</f>
        <v/>
      </c>
    </row>
    <row r="189">
      <c r="A189" s="368" t="n">
        <v>51288</v>
      </c>
      <c r="B189" s="51" t="n">
        <v>181</v>
      </c>
      <c r="C189" t="n">
        <v>-70000</v>
      </c>
      <c r="D189" t="n">
        <v>0</v>
      </c>
      <c r="E189" t="n">
        <v>0</v>
      </c>
      <c r="F189" s="477" t="n">
        <v>-360000</v>
      </c>
      <c r="H189" s="365">
        <f>(C189/ (1 + 0.4868%) ^ $B189)*-1</f>
        <v/>
      </c>
      <c r="I189" s="365">
        <f>(D189/ (1 + 0.4868%) ^ $B189)*-1</f>
        <v/>
      </c>
      <c r="J189" s="365">
        <f>(E189/ (1 + 0.4868%) ^ $B189)*-1</f>
        <v/>
      </c>
      <c r="K189" s="479">
        <f>(F189/ (1 + 0.4868%) ^ $B189)*-1</f>
        <v/>
      </c>
    </row>
    <row r="190">
      <c r="A190" s="368" t="n">
        <v>51318</v>
      </c>
      <c r="B190" s="51" t="n">
        <v>182</v>
      </c>
      <c r="C190" t="n">
        <v>-60000</v>
      </c>
      <c r="D190" t="n">
        <v>0</v>
      </c>
      <c r="E190" t="n">
        <v>0</v>
      </c>
      <c r="F190" s="477" t="n">
        <v>-350000</v>
      </c>
      <c r="H190" s="365">
        <f>(C190/ (1 + 0.4868%) ^ $B190)*-1</f>
        <v/>
      </c>
      <c r="I190" s="365">
        <f>(D190/ (1 + 0.4868%) ^ $B190)*-1</f>
        <v/>
      </c>
      <c r="J190" s="365">
        <f>(E190/ (1 + 0.4868%) ^ $B190)*-1</f>
        <v/>
      </c>
      <c r="K190" s="479">
        <f>(F190/ (1 + 0.4868%) ^ $B190)*-1</f>
        <v/>
      </c>
    </row>
    <row r="191">
      <c r="A191" s="368" t="n">
        <v>51349</v>
      </c>
      <c r="B191" s="51" t="n">
        <v>183</v>
      </c>
      <c r="C191" t="n">
        <v>-50000</v>
      </c>
      <c r="D191" t="n">
        <v>0</v>
      </c>
      <c r="E191" t="n">
        <v>0</v>
      </c>
      <c r="F191" s="477" t="n">
        <v>-360000</v>
      </c>
      <c r="H191" s="365">
        <f>(C191/ (1 + 0.4868%) ^ $B191)*-1</f>
        <v/>
      </c>
      <c r="I191" s="365">
        <f>(D191/ (1 + 0.4868%) ^ $B191)*-1</f>
        <v/>
      </c>
      <c r="J191" s="365">
        <f>(E191/ (1 + 0.4868%) ^ $B191)*-1</f>
        <v/>
      </c>
      <c r="K191" s="479">
        <f>(F191/ (1 + 0.4868%) ^ $B191)*-1</f>
        <v/>
      </c>
    </row>
    <row r="192">
      <c r="A192" s="368" t="n">
        <v>51380</v>
      </c>
      <c r="B192" s="51" t="n">
        <v>184</v>
      </c>
      <c r="C192" t="n">
        <v>-40000</v>
      </c>
      <c r="D192" t="n">
        <v>0</v>
      </c>
      <c r="E192" t="n">
        <v>0</v>
      </c>
      <c r="F192" s="477" t="n">
        <v>-350000</v>
      </c>
      <c r="H192" s="365">
        <f>(C192/ (1 + 0.4868%) ^ $B192)*-1</f>
        <v/>
      </c>
      <c r="I192" s="365">
        <f>(D192/ (1 + 0.4868%) ^ $B192)*-1</f>
        <v/>
      </c>
      <c r="J192" s="365">
        <f>(E192/ (1 + 0.4868%) ^ $B192)*-1</f>
        <v/>
      </c>
      <c r="K192" s="479">
        <f>(F192/ (1 + 0.4868%) ^ $B192)*-1</f>
        <v/>
      </c>
    </row>
    <row r="193">
      <c r="A193" s="368" t="n">
        <v>51410</v>
      </c>
      <c r="B193" s="51" t="n">
        <v>185</v>
      </c>
      <c r="C193" t="n">
        <v>-35000</v>
      </c>
      <c r="D193" t="n">
        <v>0</v>
      </c>
      <c r="E193" t="n">
        <v>0</v>
      </c>
      <c r="F193" s="477" t="n">
        <v>-300000</v>
      </c>
      <c r="H193" s="365">
        <f>(C193/ (1 + 0.4868%) ^ $B193)*-1</f>
        <v/>
      </c>
      <c r="I193" s="365">
        <f>(D193/ (1 + 0.4868%) ^ $B193)*-1</f>
        <v/>
      </c>
      <c r="J193" s="365">
        <f>(E193/ (1 + 0.4868%) ^ $B193)*-1</f>
        <v/>
      </c>
      <c r="K193" s="479">
        <f>(F193/ (1 + 0.4868%) ^ $B193)*-1</f>
        <v/>
      </c>
    </row>
    <row r="194">
      <c r="A194" s="368" t="n">
        <v>51441</v>
      </c>
      <c r="B194" s="51" t="n">
        <v>186</v>
      </c>
      <c r="C194" t="n">
        <v>-25000</v>
      </c>
      <c r="D194" t="n">
        <v>0</v>
      </c>
      <c r="E194" t="n">
        <v>0</v>
      </c>
      <c r="F194" s="477" t="n">
        <v>-330000</v>
      </c>
      <c r="H194" s="365">
        <f>(C194/ (1 + 0.4868%) ^ $B194)*-1</f>
        <v/>
      </c>
      <c r="I194" s="365">
        <f>(D194/ (1 + 0.4868%) ^ $B194)*-1</f>
        <v/>
      </c>
      <c r="J194" s="365">
        <f>(E194/ (1 + 0.4868%) ^ $B194)*-1</f>
        <v/>
      </c>
      <c r="K194" s="479">
        <f>(F194/ (1 + 0.4868%) ^ $B194)*-1</f>
        <v/>
      </c>
    </row>
    <row r="195">
      <c r="A195" s="368" t="n">
        <v>51471</v>
      </c>
      <c r="B195" s="51" t="n">
        <v>187</v>
      </c>
      <c r="C195" t="n">
        <v>-14000</v>
      </c>
      <c r="D195" t="n">
        <v>0</v>
      </c>
      <c r="E195" t="n">
        <v>0</v>
      </c>
      <c r="F195" s="477" t="n">
        <v>-315000</v>
      </c>
      <c r="H195" s="365">
        <f>(C195/ (1 + 0.4868%) ^ $B195)*-1</f>
        <v/>
      </c>
      <c r="I195" s="365">
        <f>(D195/ (1 + 0.4868%) ^ $B195)*-1</f>
        <v/>
      </c>
      <c r="J195" s="365">
        <f>(E195/ (1 + 0.4868%) ^ $B195)*-1</f>
        <v/>
      </c>
      <c r="K195" s="479">
        <f>(F195/ (1 + 0.4868%) ^ $B195)*-1</f>
        <v/>
      </c>
    </row>
    <row r="196">
      <c r="A196" s="368" t="n">
        <v>51502</v>
      </c>
      <c r="B196" s="51" t="n">
        <v>188</v>
      </c>
      <c r="C196" t="n">
        <v>-5000</v>
      </c>
      <c r="D196" t="n">
        <v>0</v>
      </c>
      <c r="E196" t="n">
        <v>0</v>
      </c>
      <c r="F196" s="477" t="n">
        <v>-310000</v>
      </c>
      <c r="H196" s="365">
        <f>(C196/ (1 + 0.4868%) ^ $B196)*-1</f>
        <v/>
      </c>
      <c r="I196" s="365">
        <f>(D196/ (1 + 0.4868%) ^ $B196)*-1</f>
        <v/>
      </c>
      <c r="J196" s="365">
        <f>(E196/ (1 + 0.4868%) ^ $B196)*-1</f>
        <v/>
      </c>
      <c r="K196" s="479">
        <f>(F196/ (1 + 0.4868%) ^ $B196)*-1</f>
        <v/>
      </c>
    </row>
    <row r="197">
      <c r="A197" s="368" t="n">
        <v>51533</v>
      </c>
      <c r="B197" s="51" t="n">
        <v>189</v>
      </c>
      <c r="C197" t="n">
        <v>0</v>
      </c>
      <c r="D197" t="n">
        <v>0</v>
      </c>
      <c r="E197" t="n">
        <v>0</v>
      </c>
      <c r="F197" s="477" t="n">
        <v>-310000</v>
      </c>
      <c r="H197" s="365">
        <f>(C197/ (1 + 0.4868%) ^ $B197)*-1</f>
        <v/>
      </c>
      <c r="I197" s="365">
        <f>(D197/ (1 + 0.4868%) ^ $B197)*-1</f>
        <v/>
      </c>
      <c r="J197" s="365">
        <f>(E197/ (1 + 0.4868%) ^ $B197)*-1</f>
        <v/>
      </c>
      <c r="K197" s="479">
        <f>(F197/ (1 + 0.4868%) ^ $B197)*-1</f>
        <v/>
      </c>
    </row>
    <row r="198">
      <c r="A198" s="368" t="n">
        <v>51561</v>
      </c>
      <c r="B198" s="51" t="n">
        <v>190</v>
      </c>
      <c r="C198" t="n">
        <v>0</v>
      </c>
      <c r="D198" t="n">
        <v>0</v>
      </c>
      <c r="E198" t="n">
        <v>0</v>
      </c>
      <c r="F198" s="477" t="n">
        <v>-295000</v>
      </c>
      <c r="H198" s="365">
        <f>(C198/ (1 + 0.4868%) ^ $B198)*-1</f>
        <v/>
      </c>
      <c r="I198" s="365">
        <f>(D198/ (1 + 0.4868%) ^ $B198)*-1</f>
        <v/>
      </c>
      <c r="J198" s="365">
        <f>(E198/ (1 + 0.4868%) ^ $B198)*-1</f>
        <v/>
      </c>
      <c r="K198" s="479">
        <f>(F198/ (1 + 0.4868%) ^ $B198)*-1</f>
        <v/>
      </c>
    </row>
    <row r="199">
      <c r="A199" s="368" t="n">
        <v>51592</v>
      </c>
      <c r="B199" s="51" t="n">
        <v>191</v>
      </c>
      <c r="C199" t="n">
        <v>0</v>
      </c>
      <c r="D199" t="n">
        <v>0</v>
      </c>
      <c r="E199" t="n">
        <v>0</v>
      </c>
      <c r="F199" s="477" t="n">
        <v>-290000</v>
      </c>
      <c r="H199" s="365">
        <f>(C199/ (1 + 0.4868%) ^ $B199)*-1</f>
        <v/>
      </c>
      <c r="I199" s="365">
        <f>(D199/ (1 + 0.4868%) ^ $B199)*-1</f>
        <v/>
      </c>
      <c r="J199" s="365">
        <f>(E199/ (1 + 0.4868%) ^ $B199)*-1</f>
        <v/>
      </c>
      <c r="K199" s="479">
        <f>(F199/ (1 + 0.4868%) ^ $B199)*-1</f>
        <v/>
      </c>
    </row>
    <row r="200">
      <c r="A200" s="368" t="n">
        <v>51622</v>
      </c>
      <c r="B200" s="51" t="n">
        <v>192</v>
      </c>
      <c r="C200" t="n">
        <v>0</v>
      </c>
      <c r="D200" t="n">
        <v>0</v>
      </c>
      <c r="E200" t="n">
        <v>0</v>
      </c>
      <c r="F200" s="477" t="n">
        <v>-288000</v>
      </c>
      <c r="H200" s="365">
        <f>(C200/ (1 + 0.4868%) ^ $B200)*-1</f>
        <v/>
      </c>
      <c r="I200" s="365">
        <f>(D200/ (1 + 0.4868%) ^ $B200)*-1</f>
        <v/>
      </c>
      <c r="J200" s="365">
        <f>(E200/ (1 + 0.4868%) ^ $B200)*-1</f>
        <v/>
      </c>
      <c r="K200" s="479">
        <f>(F200/ (1 + 0.4868%) ^ $B200)*-1</f>
        <v/>
      </c>
    </row>
    <row r="201">
      <c r="A201" s="368" t="n">
        <v>51653</v>
      </c>
      <c r="B201" s="51" t="n">
        <v>193</v>
      </c>
      <c r="C201" t="n">
        <v>0</v>
      </c>
      <c r="D201" t="n">
        <v>0</v>
      </c>
      <c r="E201" t="n">
        <v>0</v>
      </c>
      <c r="F201" s="477" t="n">
        <v>-280000</v>
      </c>
      <c r="H201" s="365">
        <f>(C201/ (1 + 0.4868%) ^ $B201)*-1</f>
        <v/>
      </c>
      <c r="I201" s="365">
        <f>(D201/ (1 + 0.4868%) ^ $B201)*-1</f>
        <v/>
      </c>
      <c r="J201" s="365">
        <f>(E201/ (1 + 0.4868%) ^ $B201)*-1</f>
        <v/>
      </c>
      <c r="K201" s="479">
        <f>(F201/ (1 + 0.4868%) ^ $B201)*-1</f>
        <v/>
      </c>
    </row>
    <row r="202">
      <c r="A202" s="368" t="n">
        <v>51683</v>
      </c>
      <c r="B202" s="51" t="n">
        <v>194</v>
      </c>
      <c r="C202" t="n">
        <v>0</v>
      </c>
      <c r="D202" t="n">
        <v>0</v>
      </c>
      <c r="E202" t="n">
        <v>0</v>
      </c>
      <c r="F202" s="477" t="n">
        <v>-275000</v>
      </c>
      <c r="H202" s="365">
        <f>(C202/ (1 + 0.4868%) ^ $B202)*-1</f>
        <v/>
      </c>
      <c r="I202" s="365">
        <f>(D202/ (1 + 0.4868%) ^ $B202)*-1</f>
        <v/>
      </c>
      <c r="J202" s="365">
        <f>(E202/ (1 + 0.4868%) ^ $B202)*-1</f>
        <v/>
      </c>
      <c r="K202" s="479">
        <f>(F202/ (1 + 0.4868%) ^ $B202)*-1</f>
        <v/>
      </c>
    </row>
    <row r="203">
      <c r="A203" s="368" t="n">
        <v>51714</v>
      </c>
      <c r="B203" s="51" t="n">
        <v>195</v>
      </c>
      <c r="C203" t="n">
        <v>0</v>
      </c>
      <c r="D203" t="n">
        <v>0</v>
      </c>
      <c r="E203" t="n">
        <v>0</v>
      </c>
      <c r="F203" s="477" t="n">
        <v>-270000</v>
      </c>
      <c r="H203" s="365">
        <f>(C203/ (1 + 0.4868%) ^ $B203)*-1</f>
        <v/>
      </c>
      <c r="I203" s="365">
        <f>(D203/ (1 + 0.4868%) ^ $B203)*-1</f>
        <v/>
      </c>
      <c r="J203" s="365">
        <f>(E203/ (1 + 0.4868%) ^ $B203)*-1</f>
        <v/>
      </c>
      <c r="K203" s="479">
        <f>(F203/ (1 + 0.4868%) ^ $B203)*-1</f>
        <v/>
      </c>
    </row>
    <row r="204">
      <c r="A204" s="368" t="n">
        <v>51745</v>
      </c>
      <c r="B204" s="51" t="n">
        <v>196</v>
      </c>
      <c r="C204" t="n">
        <v>0</v>
      </c>
      <c r="D204" t="n">
        <v>0</v>
      </c>
      <c r="E204" t="n">
        <v>0</v>
      </c>
      <c r="F204" s="477" t="n">
        <v>-260000</v>
      </c>
      <c r="H204" s="365">
        <f>(C204/ (1 + 0.4868%) ^ $B204)*-1</f>
        <v/>
      </c>
      <c r="I204" s="365">
        <f>(D204/ (1 + 0.4868%) ^ $B204)*-1</f>
        <v/>
      </c>
      <c r="J204" s="365">
        <f>(E204/ (1 + 0.4868%) ^ $B204)*-1</f>
        <v/>
      </c>
      <c r="K204" s="479">
        <f>(F204/ (1 + 0.4868%) ^ $B204)*-1</f>
        <v/>
      </c>
    </row>
    <row r="205">
      <c r="A205" s="368" t="n">
        <v>51775</v>
      </c>
      <c r="B205" s="51" t="n">
        <v>197</v>
      </c>
      <c r="F205" s="477" t="n">
        <v>-260000</v>
      </c>
      <c r="K205" s="479">
        <f>(F205/ (1 + 0.4868%) ^ $B205)*-1</f>
        <v/>
      </c>
    </row>
    <row r="206">
      <c r="A206" s="368" t="n">
        <v>51806</v>
      </c>
      <c r="B206" s="51" t="n">
        <v>198</v>
      </c>
      <c r="F206" s="477" t="n">
        <v>-260000</v>
      </c>
      <c r="K206" s="479">
        <f>(F206/ (1 + 0.4868%) ^ $B206)*-1</f>
        <v/>
      </c>
    </row>
    <row r="207">
      <c r="A207" s="368" t="n">
        <v>51836</v>
      </c>
      <c r="B207" s="51" t="n">
        <v>199</v>
      </c>
      <c r="F207" s="477" t="n">
        <v>-250000</v>
      </c>
      <c r="K207" s="479">
        <f>(F207/ (1 + 0.4868%) ^ $B207)*-1</f>
        <v/>
      </c>
    </row>
    <row r="208">
      <c r="A208" s="368" t="n">
        <v>51867</v>
      </c>
      <c r="B208" s="51" t="n">
        <v>200</v>
      </c>
      <c r="F208" s="477" t="n">
        <v>-240000</v>
      </c>
      <c r="K208" s="479">
        <f>(F208/ (1 + 0.4868%) ^ $B208)*-1</f>
        <v/>
      </c>
    </row>
    <row r="209">
      <c r="A209" s="368" t="n">
        <v>51898</v>
      </c>
      <c r="B209" s="51" t="n">
        <v>201</v>
      </c>
      <c r="F209" s="477" t="n">
        <v>-240000</v>
      </c>
      <c r="K209" s="479">
        <f>(F209/ (1 + 0.4868%) ^ $B209)*-1</f>
        <v/>
      </c>
    </row>
    <row r="210">
      <c r="A210" s="368" t="n">
        <v>51926</v>
      </c>
      <c r="B210" s="51" t="n">
        <v>202</v>
      </c>
      <c r="F210" s="477" t="n">
        <v>-240000</v>
      </c>
      <c r="K210" s="479">
        <f>(F210/ (1 + 0.4868%) ^ $B210)*-1</f>
        <v/>
      </c>
    </row>
    <row r="211">
      <c r="A211" s="368" t="n">
        <v>51957</v>
      </c>
      <c r="B211" s="51" t="n">
        <v>203</v>
      </c>
      <c r="F211" s="477" t="n">
        <v>-220000</v>
      </c>
      <c r="K211" s="479">
        <f>(F211/ (1 + 0.4868%) ^ $B211)*-1</f>
        <v/>
      </c>
    </row>
    <row r="212">
      <c r="A212" s="368" t="n">
        <v>51987</v>
      </c>
      <c r="B212" s="51" t="n">
        <v>204</v>
      </c>
      <c r="F212" s="477" t="n">
        <v>-220000</v>
      </c>
      <c r="K212" s="479">
        <f>(F212/ (1 + 0.4868%) ^ $B212)*-1</f>
        <v/>
      </c>
    </row>
    <row r="213">
      <c r="A213" s="368" t="n">
        <v>52018</v>
      </c>
      <c r="B213" s="51" t="n">
        <v>205</v>
      </c>
      <c r="F213" s="477" t="n">
        <v>-220000</v>
      </c>
      <c r="K213" s="479">
        <f>(F213/ (1 + 0.4868%) ^ $B213)*-1</f>
        <v/>
      </c>
    </row>
    <row r="214">
      <c r="A214" s="368" t="n">
        <v>52048</v>
      </c>
      <c r="B214" s="51" t="n">
        <v>206</v>
      </c>
      <c r="F214" s="477" t="n">
        <v>-220000</v>
      </c>
      <c r="K214" s="479">
        <f>(F214/ (1 + 0.4868%) ^ $B214)*-1</f>
        <v/>
      </c>
    </row>
    <row r="215">
      <c r="A215" s="368" t="n">
        <v>52079</v>
      </c>
      <c r="B215" s="51" t="n">
        <v>207</v>
      </c>
      <c r="F215" s="477" t="n">
        <v>-200000</v>
      </c>
      <c r="K215" s="479">
        <f>(F215/ (1 + 0.4868%) ^ $B215)*-1</f>
        <v/>
      </c>
    </row>
    <row r="216">
      <c r="A216" s="368" t="n">
        <v>52110</v>
      </c>
      <c r="B216" s="51" t="n">
        <v>208</v>
      </c>
      <c r="F216" s="477" t="n">
        <v>-200000</v>
      </c>
      <c r="K216" s="479">
        <f>(F216/ (1 + 0.4868%) ^ $B216)*-1</f>
        <v/>
      </c>
    </row>
    <row r="217">
      <c r="A217" s="368" t="n">
        <v>52140</v>
      </c>
      <c r="B217" s="51" t="n">
        <v>209</v>
      </c>
      <c r="F217" s="477" t="n">
        <v>-200000</v>
      </c>
      <c r="K217" s="479">
        <f>(F217/ (1 + 0.4868%) ^ $B217)*-1</f>
        <v/>
      </c>
    </row>
    <row r="218">
      <c r="A218" s="368" t="n">
        <v>52171</v>
      </c>
      <c r="B218" s="51" t="n">
        <v>210</v>
      </c>
      <c r="F218" s="477" t="n">
        <v>-195000</v>
      </c>
      <c r="K218" s="479">
        <f>(F218/ (1 + 0.4868%) ^ $B218)*-1</f>
        <v/>
      </c>
    </row>
    <row r="219">
      <c r="A219" s="368" t="n">
        <v>52201</v>
      </c>
      <c r="B219" s="51" t="n">
        <v>211</v>
      </c>
      <c r="F219" s="477" t="n">
        <v>-185000</v>
      </c>
      <c r="K219" s="479">
        <f>(F219/ (1 + 0.4868%) ^ $B219)*-1</f>
        <v/>
      </c>
    </row>
    <row r="220">
      <c r="A220" s="368" t="n">
        <v>52232</v>
      </c>
      <c r="B220" s="51" t="n">
        <v>212</v>
      </c>
      <c r="F220" s="477" t="n">
        <v>-180000</v>
      </c>
      <c r="K220" s="479">
        <f>(F220/ (1 + 0.4868%) ^ $B220)*-1</f>
        <v/>
      </c>
    </row>
    <row r="221">
      <c r="A221" s="368" t="n">
        <v>52263</v>
      </c>
      <c r="B221" s="51" t="n">
        <v>213</v>
      </c>
      <c r="F221" s="477" t="n">
        <v>-150000</v>
      </c>
      <c r="K221" s="479">
        <f>(F221/ (1 + 0.4868%) ^ $B221)*-1</f>
        <v/>
      </c>
    </row>
    <row r="222">
      <c r="A222" s="368" t="n">
        <v>52291</v>
      </c>
      <c r="B222" s="51" t="n">
        <v>214</v>
      </c>
      <c r="F222" s="477" t="n">
        <v>-190000</v>
      </c>
      <c r="K222" s="479">
        <f>(F222/ (1 + 0.4868%) ^ $B222)*-1</f>
        <v/>
      </c>
    </row>
    <row r="223">
      <c r="A223" s="368" t="n">
        <v>52322</v>
      </c>
      <c r="B223" s="51" t="n">
        <v>215</v>
      </c>
      <c r="F223" s="477" t="n">
        <v>-150000</v>
      </c>
      <c r="K223" s="479">
        <f>(F223/ (1 + 0.4868%) ^ $B223)*-1</f>
        <v/>
      </c>
    </row>
    <row r="224">
      <c r="A224" s="368" t="n">
        <v>52352</v>
      </c>
      <c r="B224" s="51" t="n">
        <v>216</v>
      </c>
      <c r="F224" s="477" t="n">
        <v>-150000</v>
      </c>
      <c r="K224" s="479">
        <f>(F224/ (1 + 0.4868%) ^ $B224)*-1</f>
        <v/>
      </c>
    </row>
    <row r="225">
      <c r="A225" s="368" t="n">
        <v>52383</v>
      </c>
      <c r="B225" s="51" t="n">
        <v>217</v>
      </c>
      <c r="F225" s="477" t="n">
        <v>-175000</v>
      </c>
      <c r="K225" s="479">
        <f>(F225/ (1 + 0.4868%) ^ $B225)*-1</f>
        <v/>
      </c>
    </row>
    <row r="226">
      <c r="A226" s="368" t="n">
        <v>52413</v>
      </c>
      <c r="B226" s="51" t="n">
        <v>218</v>
      </c>
      <c r="F226" s="477" t="n">
        <v>-150000</v>
      </c>
      <c r="K226" s="479">
        <f>(F226/ (1 + 0.4868%) ^ $B226)*-1</f>
        <v/>
      </c>
    </row>
    <row r="227">
      <c r="A227" s="368" t="n">
        <v>52444</v>
      </c>
      <c r="B227" s="51" t="n">
        <v>219</v>
      </c>
      <c r="F227" s="477" t="n">
        <v>-140000</v>
      </c>
      <c r="K227" s="479">
        <f>(F227/ (1 + 0.4868%) ^ $B227)*-1</f>
        <v/>
      </c>
    </row>
    <row r="228">
      <c r="A228" s="368" t="n">
        <v>52475</v>
      </c>
      <c r="B228" s="51" t="n">
        <v>220</v>
      </c>
      <c r="F228" s="477" t="n">
        <v>-140000</v>
      </c>
      <c r="K228" s="479">
        <f>(F228/ (1 + 0.4868%) ^ $B228)*-1</f>
        <v/>
      </c>
    </row>
    <row r="229">
      <c r="A229" s="368" t="n">
        <v>52505</v>
      </c>
      <c r="B229" s="51" t="n">
        <v>221</v>
      </c>
      <c r="F229" s="477" t="n">
        <v>-120000</v>
      </c>
      <c r="K229" s="479">
        <f>(F229/ (1 + 0.4868%) ^ $B229)*-1</f>
        <v/>
      </c>
    </row>
    <row r="230">
      <c r="A230" s="368" t="n">
        <v>52536</v>
      </c>
      <c r="B230" s="51" t="n">
        <v>222</v>
      </c>
      <c r="F230" s="477" t="n">
        <v>-120000</v>
      </c>
      <c r="K230" s="479">
        <f>(F230/ (1 + 0.4868%) ^ $B230)*-1</f>
        <v/>
      </c>
    </row>
    <row r="231">
      <c r="A231" s="368" t="n">
        <v>52566</v>
      </c>
      <c r="B231" s="51" t="n">
        <v>223</v>
      </c>
      <c r="F231" s="477" t="n">
        <v>-120000</v>
      </c>
      <c r="K231" s="479">
        <f>(F231/ (1 + 0.4868%) ^ $B231)*-1</f>
        <v/>
      </c>
    </row>
    <row r="232">
      <c r="A232" s="368" t="n">
        <v>52597</v>
      </c>
      <c r="B232" s="51" t="n">
        <v>224</v>
      </c>
      <c r="F232" s="477" t="n">
        <v>-120000</v>
      </c>
      <c r="K232" s="479">
        <f>(F232/ (1 + 0.4868%) ^ $B232)*-1</f>
        <v/>
      </c>
    </row>
    <row r="233">
      <c r="A233" s="368" t="n">
        <v>52628</v>
      </c>
      <c r="B233" s="51" t="n">
        <v>225</v>
      </c>
      <c r="F233" s="477" t="n">
        <v>-110000</v>
      </c>
      <c r="K233" s="479">
        <f>(F233/ (1 + 0.4868%) ^ $B233)*-1</f>
        <v/>
      </c>
    </row>
    <row r="234">
      <c r="A234" s="368" t="n">
        <v>52657</v>
      </c>
      <c r="B234" s="51" t="n">
        <v>226</v>
      </c>
      <c r="F234" s="477" t="n">
        <v>-110000</v>
      </c>
      <c r="K234" s="479">
        <f>(F234/ (1 + 0.4868%) ^ $B234)*-1</f>
        <v/>
      </c>
    </row>
    <row r="235">
      <c r="A235" s="368" t="n">
        <v>52688</v>
      </c>
      <c r="B235" s="51" t="n">
        <v>227</v>
      </c>
      <c r="F235" s="477" t="n">
        <v>-90000</v>
      </c>
      <c r="K235" s="479">
        <f>(F235/ (1 + 0.4868%) ^ $B235)*-1</f>
        <v/>
      </c>
    </row>
    <row r="236">
      <c r="A236" s="368" t="n">
        <v>52718</v>
      </c>
      <c r="B236" s="51" t="n">
        <v>228</v>
      </c>
      <c r="F236" s="477" t="n">
        <v>-90000</v>
      </c>
      <c r="K236" s="479">
        <f>(F236/ (1 + 0.4868%) ^ $B236)*-1</f>
        <v/>
      </c>
    </row>
    <row r="237">
      <c r="A237" s="368" t="n">
        <v>52749</v>
      </c>
      <c r="B237" s="51" t="n">
        <v>229</v>
      </c>
      <c r="F237" s="477" t="n">
        <v>-90000</v>
      </c>
      <c r="K237" s="479">
        <f>(F237/ (1 + 0.4868%) ^ $B237)*-1</f>
        <v/>
      </c>
    </row>
    <row r="238">
      <c r="A238" s="368" t="n">
        <v>52779</v>
      </c>
      <c r="B238" s="51" t="n">
        <v>230</v>
      </c>
      <c r="F238" s="477" t="n">
        <v>-80000</v>
      </c>
      <c r="K238" s="479">
        <f>(F238/ (1 + 0.4868%) ^ $B238)*-1</f>
        <v/>
      </c>
    </row>
    <row r="239">
      <c r="A239" s="368" t="n">
        <v>52810</v>
      </c>
      <c r="B239" s="51" t="n">
        <v>231</v>
      </c>
      <c r="F239" s="477" t="n">
        <v>-80000</v>
      </c>
      <c r="K239" s="479">
        <f>(F239/ (1 + 0.4868%) ^ $B239)*-1</f>
        <v/>
      </c>
    </row>
    <row r="240">
      <c r="A240" s="368" t="n">
        <v>52841</v>
      </c>
      <c r="B240" s="51" t="n">
        <v>232</v>
      </c>
      <c r="F240" s="477" t="n">
        <v>-70000</v>
      </c>
      <c r="K240" s="479">
        <f>(F240/ (1 + 0.4868%) ^ $B240)*-1</f>
        <v/>
      </c>
    </row>
    <row r="241">
      <c r="A241" s="368" t="n">
        <v>52871</v>
      </c>
      <c r="B241" s="51" t="n">
        <v>233</v>
      </c>
      <c r="F241" s="477" t="n">
        <v>-60000</v>
      </c>
      <c r="K241" s="479">
        <f>(F241/ (1 + 0.4868%) ^ $B241)*-1</f>
        <v/>
      </c>
    </row>
    <row r="242">
      <c r="A242" s="368" t="n">
        <v>52902</v>
      </c>
      <c r="B242" s="51" t="n">
        <v>234</v>
      </c>
      <c r="F242" s="477" t="n">
        <v>-60000</v>
      </c>
      <c r="K242" s="479">
        <f>(F242/ (1 + 0.4868%) ^ $B242)*-1</f>
        <v/>
      </c>
    </row>
    <row r="243">
      <c r="A243" s="368" t="n">
        <v>52932</v>
      </c>
      <c r="B243" s="51" t="n">
        <v>235</v>
      </c>
      <c r="F243" s="477" t="n">
        <v>-60000</v>
      </c>
      <c r="K243" s="479">
        <f>(F243/ (1 + 0.4868%) ^ $B243)*-1</f>
        <v/>
      </c>
    </row>
    <row r="244">
      <c r="A244" s="368" t="n">
        <v>52963</v>
      </c>
      <c r="B244" s="51" t="n">
        <v>236</v>
      </c>
      <c r="F244" s="477" t="n">
        <v>-45000</v>
      </c>
      <c r="K244" s="479">
        <f>(F244/ (1 + 0.4868%) ^ $B244)*-1</f>
        <v/>
      </c>
    </row>
    <row r="245">
      <c r="A245" s="368" t="n">
        <v>52994</v>
      </c>
      <c r="B245" s="51" t="n">
        <v>237</v>
      </c>
      <c r="F245" s="477" t="n">
        <v>-45000</v>
      </c>
      <c r="K245" s="479">
        <f>(F245/ (1 + 0.4868%) ^ $B245)*-1</f>
        <v/>
      </c>
    </row>
    <row r="246">
      <c r="A246" s="368" t="n">
        <v>53022</v>
      </c>
      <c r="B246" s="51" t="n">
        <v>238</v>
      </c>
      <c r="F246" s="477" t="n">
        <v>-30000</v>
      </c>
      <c r="K246" s="479">
        <f>(F246/ (1 + 0.4868%) ^ $B246)*-1</f>
        <v/>
      </c>
    </row>
    <row r="247">
      <c r="A247" s="368" t="n">
        <v>53053</v>
      </c>
      <c r="B247" s="51" t="n">
        <v>239</v>
      </c>
      <c r="F247" s="477" t="n">
        <v>-30000</v>
      </c>
      <c r="K247" s="479">
        <f>(F247/ (1 + 0.4868%) ^ $B247)*-1</f>
        <v/>
      </c>
    </row>
    <row r="248">
      <c r="A248" s="368" t="n">
        <v>53083</v>
      </c>
      <c r="B248" s="51" t="n">
        <v>240</v>
      </c>
      <c r="F248" s="477" t="n">
        <v>-30000</v>
      </c>
      <c r="K248" s="479">
        <f>(F248/ (1 + 0.4868%) ^ $B248)*-1</f>
        <v/>
      </c>
    </row>
    <row r="249">
      <c r="A249" s="368" t="n">
        <v>53114</v>
      </c>
      <c r="B249" s="51" t="n">
        <v>241</v>
      </c>
      <c r="F249" s="477" t="n">
        <v>-20000</v>
      </c>
      <c r="K249" s="479">
        <f>(F249/ (1 + 0.4868%) ^ $B249)*-1</f>
        <v/>
      </c>
    </row>
    <row r="250">
      <c r="A250" s="368" t="n">
        <v>53144</v>
      </c>
      <c r="B250" s="51" t="n">
        <v>242</v>
      </c>
      <c r="F250" s="477" t="n">
        <v>-10000</v>
      </c>
      <c r="K250" s="479">
        <f>(F250/ (1 + 0.4868%) ^ $B250)*-1</f>
        <v/>
      </c>
    </row>
    <row r="251">
      <c r="A251" s="368" t="n">
        <v>53175</v>
      </c>
      <c r="B251" s="51" t="n">
        <v>243</v>
      </c>
      <c r="F251" s="477" t="n">
        <v>-10000</v>
      </c>
      <c r="K251" s="479">
        <f>(F251/ (1 + 0.4868%) ^ $B251)*-1</f>
        <v/>
      </c>
    </row>
    <row r="252">
      <c r="A252" s="368" t="n">
        <v>53206</v>
      </c>
      <c r="B252" s="51" t="n">
        <v>244</v>
      </c>
      <c r="F252" s="477" t="n">
        <v>-10000</v>
      </c>
      <c r="K252" s="479">
        <f>(F252/ (1 + 0.4868%) ^ $B252)*-1</f>
        <v/>
      </c>
    </row>
    <row r="253">
      <c r="A253" s="368" t="n">
        <v>53236</v>
      </c>
      <c r="B253" s="51" t="n">
        <v>245</v>
      </c>
      <c r="F253" s="477" t="n">
        <v>-10000</v>
      </c>
      <c r="K253" s="479">
        <f>(F253/ (1 + 0.4868%) ^ $B253)*-1</f>
        <v/>
      </c>
    </row>
    <row r="254">
      <c r="A254" s="368" t="n">
        <v>53267</v>
      </c>
      <c r="B254" s="51" t="n">
        <v>246</v>
      </c>
      <c r="F254" s="477" t="n">
        <v>-1000</v>
      </c>
      <c r="K254" s="479">
        <f>(F254/ (1 + 0.4868%) ^ $B254)*-1</f>
        <v/>
      </c>
    </row>
    <row r="255">
      <c r="A255" s="368" t="n">
        <v>53297</v>
      </c>
      <c r="B255" s="51" t="n">
        <v>247</v>
      </c>
      <c r="F255" s="477" t="n">
        <v>-300</v>
      </c>
      <c r="K255" s="479">
        <f>(F255/ (1 + 0.4868%) ^ $B255)*-1</f>
        <v/>
      </c>
    </row>
    <row r="256">
      <c r="A256" s="368" t="n">
        <v>53328</v>
      </c>
      <c r="B256" s="51" t="n">
        <v>248</v>
      </c>
      <c r="F256" s="477" t="n">
        <v>-100</v>
      </c>
      <c r="K256" s="479">
        <f>(F256/ (1 + 0.4868%) ^ $B256)*-1</f>
        <v/>
      </c>
    </row>
    <row r="257">
      <c r="A257" s="368" t="n">
        <v>53359</v>
      </c>
      <c r="B257" s="51" t="n">
        <v>249</v>
      </c>
      <c r="F257" s="477" t="n">
        <v>0</v>
      </c>
      <c r="K257" s="479">
        <f>(F257/ (1 + 0.4868%) ^ $B257)*-1</f>
        <v/>
      </c>
    </row>
    <row r="258">
      <c r="A258" s="368" t="n">
        <v>53387</v>
      </c>
      <c r="B258" s="51" t="n">
        <v>250</v>
      </c>
      <c r="F258" s="477" t="n">
        <v>0</v>
      </c>
      <c r="K258" s="479">
        <f>(F258/ (1 + 0.4868%) ^ $B258)*-1</f>
        <v/>
      </c>
    </row>
    <row r="259">
      <c r="A259" s="368" t="n">
        <v>53418</v>
      </c>
      <c r="B259" s="51" t="n">
        <v>251</v>
      </c>
      <c r="F259" s="477" t="n">
        <v>0</v>
      </c>
      <c r="K259" s="479">
        <f>(F259/ (1 + 0.4868%) ^ $B259)*-1</f>
        <v/>
      </c>
    </row>
    <row r="260">
      <c r="A260" s="368" t="n">
        <v>53448</v>
      </c>
      <c r="B260" s="51" t="n">
        <v>252</v>
      </c>
      <c r="F260" s="477" t="n">
        <v>0</v>
      </c>
      <c r="K260" s="479">
        <f>(F260/ (1 + 0.4868%) ^ $B260)*-1</f>
        <v/>
      </c>
    </row>
    <row r="261">
      <c r="A261" s="368" t="n">
        <v>53479</v>
      </c>
      <c r="B261" s="51" t="n">
        <v>253</v>
      </c>
      <c r="F261" s="477" t="n">
        <v>0</v>
      </c>
      <c r="K261" s="479">
        <f>(F261/ (1 + 0.4868%) ^ $B261)*-1</f>
        <v/>
      </c>
    </row>
    <row r="262">
      <c r="A262" s="368" t="n">
        <v>53509</v>
      </c>
      <c r="B262" s="51" t="n">
        <v>254</v>
      </c>
      <c r="F262" s="477" t="n">
        <v>0</v>
      </c>
      <c r="K262" s="479">
        <f>(F262/ (1 + 0.4868%) ^ $B262)*-1</f>
        <v/>
      </c>
    </row>
    <row r="263">
      <c r="A263" s="368" t="n">
        <v>53540</v>
      </c>
      <c r="B263" s="51" t="n">
        <v>255</v>
      </c>
      <c r="F263" s="477" t="n">
        <v>0</v>
      </c>
      <c r="K263" s="479">
        <f>(F263/ (1 + 0.4868%) ^ $B263)*-1</f>
        <v/>
      </c>
    </row>
    <row r="264">
      <c r="A264" s="368" t="n">
        <v>53571</v>
      </c>
      <c r="B264" s="51" t="n">
        <v>256</v>
      </c>
      <c r="F264" s="477" t="n">
        <v>0</v>
      </c>
      <c r="K264" s="479">
        <f>(F264/ (1 + 0.4868%) ^ $B264)*-1</f>
        <v/>
      </c>
    </row>
    <row r="265">
      <c r="F265" s="477" t="n">
        <v>0</v>
      </c>
    </row>
    <row r="266">
      <c r="F266" s="477" t="n">
        <v>0</v>
      </c>
    </row>
    <row r="267">
      <c r="F267" s="477" t="n">
        <v>0</v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D5:AH59"/>
  <sheetViews>
    <sheetView topLeftCell="A28" zoomScale="60" zoomScaleNormal="60" workbookViewId="0">
      <selection activeCell="V75" sqref="V75"/>
    </sheetView>
  </sheetViews>
  <sheetFormatPr baseColWidth="8" defaultRowHeight="14.4"/>
  <cols>
    <col width="14.6640625" bestFit="1" customWidth="1" min="4" max="4"/>
    <col width="17.109375" customWidth="1" min="5" max="5"/>
    <col width="21" customWidth="1" min="7" max="7"/>
    <col width="16" bestFit="1" customWidth="1" min="8" max="8"/>
    <col width="14.6640625" bestFit="1" customWidth="1" min="9" max="9"/>
    <col width="13.5546875" bestFit="1" customWidth="1" min="10" max="10"/>
    <col width="13.5546875" customWidth="1" min="11" max="12"/>
    <col width="14.21875" bestFit="1" customWidth="1" min="13" max="13"/>
    <col width="12.88671875" customWidth="1" min="14" max="15"/>
    <col width="24.44140625" bestFit="1" customWidth="1" min="17" max="17"/>
    <col width="13.88671875" bestFit="1" customWidth="1" min="18" max="19"/>
    <col width="22.5546875" customWidth="1" min="21" max="21"/>
    <col width="19.5546875" bestFit="1" customWidth="1" min="22" max="22"/>
    <col width="23" customWidth="1" min="24" max="24"/>
    <col width="21.77734375" customWidth="1" min="25" max="25"/>
    <col width="20.109375" customWidth="1" min="26" max="26"/>
    <col width="16.33203125" bestFit="1" customWidth="1" min="27" max="27"/>
    <col width="24.44140625" bestFit="1" customWidth="1" min="28" max="28"/>
    <col width="26.5546875" bestFit="1" customWidth="1" min="29" max="29"/>
    <col width="17.21875" bestFit="1" customWidth="1" min="30" max="30"/>
    <col width="16.88671875" bestFit="1" customWidth="1" min="31" max="31"/>
    <col width="16.77734375" bestFit="1" customWidth="1" min="32" max="32"/>
    <col width="26.5546875" bestFit="1" customWidth="1" min="33" max="33"/>
  </cols>
  <sheetData>
    <row r="5">
      <c r="U5" s="504" t="inlineStr">
        <is>
          <t>Exposição de caixa</t>
        </is>
      </c>
      <c r="X5" s="505" t="inlineStr">
        <is>
          <t>Indicadores de resultado</t>
        </is>
      </c>
    </row>
    <row r="6">
      <c r="U6" s="358" t="inlineStr">
        <is>
          <t>Inicio da exposição</t>
        </is>
      </c>
      <c r="V6" s="356" t="n"/>
      <c r="X6" s="451" t="n"/>
      <c r="Y6" s="484" t="inlineStr">
        <is>
          <t>3 vendas p.m.</t>
        </is>
      </c>
      <c r="Z6" s="484" t="inlineStr">
        <is>
          <t>Viabilidade</t>
        </is>
      </c>
    </row>
    <row r="7">
      <c r="K7" s="348" t="n"/>
      <c r="L7" s="348" t="n"/>
      <c r="M7" s="348" t="n"/>
      <c r="U7" s="358" t="inlineStr">
        <is>
          <t>Primeiro aporte</t>
        </is>
      </c>
      <c r="V7" s="594" t="n"/>
      <c r="X7" s="451" t="inlineStr">
        <is>
          <t>Resultado nominal</t>
        </is>
      </c>
      <c r="Y7" s="595">
        <f>-#REF!</f>
        <v/>
      </c>
      <c r="Z7" s="595" t="n">
        <v>292981306</v>
      </c>
    </row>
    <row r="8">
      <c r="U8" s="358" t="inlineStr">
        <is>
          <t>Data Exp Máxima</t>
        </is>
      </c>
      <c r="V8" s="356" t="n"/>
      <c r="X8" s="451" t="inlineStr">
        <is>
          <t>Resultado a VP</t>
        </is>
      </c>
      <c r="Y8" s="596">
        <f>+'TIR e VPL'!P2</f>
        <v/>
      </c>
      <c r="Z8" s="595" t="n">
        <v>229985740</v>
      </c>
    </row>
    <row r="9">
      <c r="U9" s="358" t="inlineStr">
        <is>
          <t>Total a ser aportado</t>
        </is>
      </c>
      <c r="V9" s="594" t="n"/>
      <c r="X9" s="451" t="n"/>
      <c r="Y9" s="451" t="n"/>
      <c r="Z9" s="597" t="n"/>
    </row>
    <row r="10">
      <c r="K10" s="348" t="n"/>
      <c r="L10" s="348" t="n"/>
      <c r="M10" s="348" t="n"/>
      <c r="X10" s="451" t="inlineStr">
        <is>
          <t>TIR Nom</t>
        </is>
      </c>
      <c r="Y10" s="488">
        <f>+'TIR e VPL'!P4</f>
        <v/>
      </c>
      <c r="Z10" s="488" t="n">
        <v>8.17</v>
      </c>
    </row>
    <row r="11">
      <c r="X11" s="451" t="inlineStr">
        <is>
          <t>Margem</t>
        </is>
      </c>
      <c r="Y11" s="488">
        <f>Y7/E38</f>
        <v/>
      </c>
      <c r="Z11" s="488" t="n">
        <v>0.669</v>
      </c>
    </row>
    <row r="12">
      <c r="X12" s="451" t="inlineStr">
        <is>
          <t>Margem VP</t>
        </is>
      </c>
      <c r="Y12" s="488">
        <f>Y8/E38</f>
        <v/>
      </c>
      <c r="Z12" s="488">
        <f>Z8/444650058</f>
        <v/>
      </c>
    </row>
    <row r="14">
      <c r="X14" s="504" t="inlineStr">
        <is>
          <t>Indicadores de resultado</t>
        </is>
      </c>
    </row>
    <row r="15">
      <c r="U15" s="504" t="inlineStr">
        <is>
          <t>Exposição de caixa</t>
        </is>
      </c>
      <c r="X15" s="355" t="n"/>
      <c r="Y15" s="356" t="inlineStr">
        <is>
          <t>5 vendas p.m.</t>
        </is>
      </c>
      <c r="Z15" s="356" t="inlineStr">
        <is>
          <t>Viabilidade</t>
        </is>
      </c>
    </row>
    <row r="16">
      <c r="U16" s="358" t="inlineStr">
        <is>
          <t>Inicio da exposição</t>
        </is>
      </c>
      <c r="V16" s="356" t="inlineStr">
        <is>
          <t>Outubro de 2026</t>
        </is>
      </c>
      <c r="X16" s="355" t="inlineStr">
        <is>
          <t>Resultado nominal</t>
        </is>
      </c>
      <c r="Y16" s="598">
        <f>-'FC Total (5 lotes)'!$AR$66</f>
        <v/>
      </c>
      <c r="Z16" s="598" t="n">
        <v>292981306</v>
      </c>
      <c r="AA16" s="591" t="n"/>
    </row>
    <row r="17">
      <c r="U17" s="358" t="inlineStr">
        <is>
          <t>Primeiro aporte</t>
        </is>
      </c>
      <c r="V17" s="594" t="n">
        <v>200000</v>
      </c>
      <c r="X17" s="355" t="inlineStr">
        <is>
          <t>Resultado a VP</t>
        </is>
      </c>
      <c r="Y17" s="589">
        <f>+'TIR e VPL'!M2</f>
        <v/>
      </c>
      <c r="Z17" s="598" t="n">
        <v>229985740</v>
      </c>
      <c r="AA17" s="591" t="n"/>
    </row>
    <row r="18">
      <c r="U18" s="358" t="inlineStr">
        <is>
          <t>Data Exp Máxima</t>
        </is>
      </c>
      <c r="V18" s="356" t="inlineStr">
        <is>
          <t>Dezembro de 2026</t>
        </is>
      </c>
      <c r="X18" s="355" t="n"/>
      <c r="Y18" s="355" t="n"/>
      <c r="Z18" s="599" t="n"/>
    </row>
    <row r="19">
      <c r="U19" s="358" t="inlineStr">
        <is>
          <t>Total a ser aportado</t>
        </is>
      </c>
      <c r="V19" s="594">
        <f>'FC Total (5 lotes)'!$AR$15</f>
        <v/>
      </c>
      <c r="X19" s="355" t="inlineStr">
        <is>
          <t>TIR Nom</t>
        </is>
      </c>
      <c r="Y19" s="361">
        <f>+'TIR e VPL'!M4</f>
        <v/>
      </c>
      <c r="Z19" s="361" t="n">
        <v>8.17</v>
      </c>
    </row>
    <row r="20">
      <c r="X20" s="355" t="inlineStr">
        <is>
          <t>Margem</t>
        </is>
      </c>
      <c r="Y20" s="361">
        <f>Y16/E35</f>
        <v/>
      </c>
      <c r="Z20" s="361" t="n">
        <v>0.669</v>
      </c>
      <c r="AG20" s="370" t="n"/>
      <c r="AH20" s="370" t="n"/>
    </row>
    <row r="21">
      <c r="X21" s="355" t="inlineStr">
        <is>
          <t>Margem VP</t>
        </is>
      </c>
      <c r="Y21" s="361">
        <f>Y17/E35</f>
        <v/>
      </c>
      <c r="Z21" s="361">
        <f>Z17/444650058</f>
        <v/>
      </c>
    </row>
    <row r="22">
      <c r="X22" s="355" t="n"/>
      <c r="Y22" s="355" t="n"/>
      <c r="Z22" s="355" t="n"/>
    </row>
    <row r="23">
      <c r="U23" s="504" t="inlineStr">
        <is>
          <t>Exposição de caixa</t>
        </is>
      </c>
      <c r="X23" s="504" t="inlineStr">
        <is>
          <t>Indicadores de resultado</t>
        </is>
      </c>
    </row>
    <row r="24">
      <c r="U24" s="358" t="inlineStr">
        <is>
          <t>Inicio da exposição</t>
        </is>
      </c>
      <c r="V24" s="356" t="inlineStr">
        <is>
          <t>Novembro de 2026</t>
        </is>
      </c>
      <c r="X24" s="355" t="n"/>
      <c r="Y24" s="356" t="inlineStr">
        <is>
          <t>7 vendas p.m.</t>
        </is>
      </c>
      <c r="Z24" s="356" t="inlineStr">
        <is>
          <t>Viabilidade</t>
        </is>
      </c>
    </row>
    <row r="25">
      <c r="U25" s="358" t="inlineStr">
        <is>
          <t>Primeiro aporte</t>
        </is>
      </c>
      <c r="V25" s="594" t="n">
        <v>320000</v>
      </c>
      <c r="X25" s="355" t="inlineStr">
        <is>
          <t>Resultado nominal</t>
        </is>
      </c>
      <c r="Y25" s="598">
        <f>-'FC Total (7 lotes)'!$AR$66</f>
        <v/>
      </c>
      <c r="Z25" s="598" t="n">
        <v>292981306</v>
      </c>
    </row>
    <row r="26">
      <c r="U26" s="358" t="inlineStr">
        <is>
          <t>Data Exp Máxima</t>
        </is>
      </c>
      <c r="V26" s="356" t="inlineStr">
        <is>
          <t>Novembro de 2026</t>
        </is>
      </c>
      <c r="X26" s="355" t="inlineStr">
        <is>
          <t>Resultado a VP</t>
        </is>
      </c>
      <c r="Y26" s="598">
        <f>+'TIR e VPL'!N2</f>
        <v/>
      </c>
      <c r="Z26" s="598" t="n">
        <v>229985740</v>
      </c>
    </row>
    <row r="27">
      <c r="U27" s="358" t="inlineStr">
        <is>
          <t>Total a ser aportado</t>
        </is>
      </c>
      <c r="V27" s="594" t="n">
        <v>320000</v>
      </c>
      <c r="X27" s="355" t="n"/>
      <c r="Y27" s="355" t="n"/>
      <c r="Z27" s="599" t="n"/>
    </row>
    <row r="28">
      <c r="X28" s="355" t="inlineStr">
        <is>
          <t>TIR Nom</t>
        </is>
      </c>
      <c r="Y28" s="361">
        <f>+'TIR e VPL'!N4</f>
        <v/>
      </c>
      <c r="Z28" s="361" t="n">
        <v>8.17</v>
      </c>
    </row>
    <row r="29">
      <c r="X29" s="355" t="inlineStr">
        <is>
          <t>Margem</t>
        </is>
      </c>
      <c r="Y29" s="361">
        <f>Y25/E36</f>
        <v/>
      </c>
      <c r="Z29" s="361" t="n">
        <v>0.669</v>
      </c>
    </row>
    <row r="30">
      <c r="X30" s="355" t="inlineStr">
        <is>
          <t>Margem VP</t>
        </is>
      </c>
      <c r="Y30" s="361">
        <f>Y26/E36</f>
        <v/>
      </c>
      <c r="Z30" s="361">
        <f>Z26/444650058</f>
        <v/>
      </c>
    </row>
    <row r="31">
      <c r="T31" t="inlineStr">
        <is>
          <t>.</t>
        </is>
      </c>
      <c r="U31" s="504" t="inlineStr">
        <is>
          <t>Exposição de caixa</t>
        </is>
      </c>
      <c r="X31" s="355" t="n"/>
      <c r="Y31" s="355" t="n"/>
      <c r="Z31" s="355" t="n"/>
    </row>
    <row r="32">
      <c r="U32" s="358" t="inlineStr">
        <is>
          <t>Inicio da exposição</t>
        </is>
      </c>
      <c r="V32" s="356" t="n"/>
      <c r="X32" s="504" t="inlineStr">
        <is>
          <t>Indicadores de resultado</t>
        </is>
      </c>
    </row>
    <row r="33">
      <c r="U33" s="358" t="inlineStr">
        <is>
          <t>Primeiro aporte</t>
        </is>
      </c>
      <c r="V33" s="594" t="n"/>
      <c r="X33" s="355" t="n"/>
      <c r="Y33" s="356" t="inlineStr">
        <is>
          <t>10 vendas p.m.</t>
        </is>
      </c>
      <c r="Z33" s="356" t="inlineStr">
        <is>
          <t>Viabilidade</t>
        </is>
      </c>
    </row>
    <row r="34">
      <c r="U34" s="358" t="inlineStr">
        <is>
          <t>Data Exp Máxima</t>
        </is>
      </c>
      <c r="V34" s="356" t="n"/>
      <c r="X34" s="355" t="inlineStr">
        <is>
          <t>Resultado nominal</t>
        </is>
      </c>
      <c r="Y34" s="598">
        <f>-'FC Total (10 lotes)'!$AR$66</f>
        <v/>
      </c>
      <c r="Z34" s="598" t="n">
        <v>292981306</v>
      </c>
    </row>
    <row r="35">
      <c r="D35" t="inlineStr">
        <is>
          <t>VGV 5 Lotes</t>
        </is>
      </c>
      <c r="E35" s="362">
        <f>+'FC Total (5 lotes)'!$KG$9+'FC Total (5 lotes)'!$KH$9+'FC Total (5 lotes)'!$KH$12</f>
        <v/>
      </c>
      <c r="U35" s="358" t="inlineStr">
        <is>
          <t>Total a ser aportado</t>
        </is>
      </c>
      <c r="V35" s="594" t="n"/>
      <c r="X35" s="355" t="inlineStr">
        <is>
          <t>Resultado a VP</t>
        </is>
      </c>
      <c r="Y35" s="598">
        <f>+'TIR e VPL'!O2</f>
        <v/>
      </c>
      <c r="Z35" s="598" t="n">
        <v>229985740</v>
      </c>
    </row>
    <row r="36">
      <c r="D36" t="inlineStr">
        <is>
          <t>VGV 7 Lotes</t>
        </is>
      </c>
      <c r="E36" s="362">
        <f>+'FC Total (7 lotes)'!$KG$9+'FC Total (7 lotes)'!$KH$9+'FC Total (7 lotes)'!$KH$12</f>
        <v/>
      </c>
      <c r="X36" s="355" t="n"/>
      <c r="Y36" s="355" t="n"/>
      <c r="Z36" s="599" t="n"/>
    </row>
    <row r="37">
      <c r="D37" t="inlineStr">
        <is>
          <t>VGV 10 Lotes</t>
        </is>
      </c>
      <c r="E37" s="362">
        <f>+'FC Total (10 lotes)'!$KG$9+'FC Total (10 lotes)'!$KH$9+'FC Total (10 lotes)'!$KH$12</f>
        <v/>
      </c>
      <c r="X37" s="355" t="inlineStr">
        <is>
          <t>TIR Nom</t>
        </is>
      </c>
      <c r="Y37" s="361">
        <f>+'TIR e VPL'!O4</f>
        <v/>
      </c>
      <c r="Z37" s="361" t="n">
        <v>8.17</v>
      </c>
    </row>
    <row r="38">
      <c r="D38" s="493" t="inlineStr">
        <is>
          <t>VGV 3 Lotes</t>
        </is>
      </c>
      <c r="E38" s="494">
        <f>+#REF!+#REF!+#REF!</f>
        <v/>
      </c>
      <c r="X38" s="355" t="inlineStr">
        <is>
          <t>Margem</t>
        </is>
      </c>
      <c r="Y38" s="361">
        <f>Y34/E37</f>
        <v/>
      </c>
      <c r="Z38" s="361" t="n">
        <v>0.669</v>
      </c>
    </row>
    <row r="39">
      <c r="X39" s="355" t="inlineStr">
        <is>
          <t>Margem VP</t>
        </is>
      </c>
      <c r="Y39" s="361">
        <f>Y35/E37</f>
        <v/>
      </c>
      <c r="Z39" s="361">
        <f>Z35/444650058</f>
        <v/>
      </c>
    </row>
    <row r="42">
      <c r="AA42" s="591">
        <f>+Y25-Y16</f>
        <v/>
      </c>
    </row>
    <row r="43">
      <c r="AA43" s="591">
        <f>+Y34-Y16</f>
        <v/>
      </c>
    </row>
    <row r="51">
      <c r="D51" s="354" t="n"/>
    </row>
    <row r="52">
      <c r="D52" s="354" t="n"/>
    </row>
    <row r="53">
      <c r="D53" s="354" t="n"/>
    </row>
    <row r="54">
      <c r="D54" s="354" t="n"/>
      <c r="G54" s="353" t="n"/>
    </row>
    <row r="57">
      <c r="G57" s="600" t="n"/>
    </row>
    <row r="59">
      <c r="G59" s="362" t="n"/>
    </row>
  </sheetData>
  <mergeCells count="8">
    <mergeCell ref="U31:V31"/>
    <mergeCell ref="X14:Z14"/>
    <mergeCell ref="X32:Z32"/>
    <mergeCell ref="X5:Z5"/>
    <mergeCell ref="U15:V15"/>
    <mergeCell ref="X23:Z23"/>
    <mergeCell ref="U5:V5"/>
    <mergeCell ref="U23:V2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P75"/>
  <sheetViews>
    <sheetView showGridLines="0" topLeftCell="A28" zoomScale="90" zoomScaleNormal="90" workbookViewId="0">
      <selection activeCell="AA75" sqref="AA75"/>
    </sheetView>
  </sheetViews>
  <sheetFormatPr baseColWidth="8" defaultRowHeight="14.4"/>
  <cols>
    <col width="11" bestFit="1" customWidth="1" min="2" max="2"/>
    <col width="9.33203125" bestFit="1" customWidth="1" min="3" max="3"/>
    <col width="9.5546875" bestFit="1" customWidth="1" min="4" max="14"/>
    <col width="9.44140625" bestFit="1" customWidth="1" min="15" max="18"/>
    <col width="9.5546875" bestFit="1" customWidth="1" min="19" max="21"/>
    <col width="14.5546875" customWidth="1" min="22" max="22"/>
    <col width="8.5546875" bestFit="1" customWidth="1" min="23" max="24"/>
    <col width="9.5546875" bestFit="1" customWidth="1" min="25" max="26"/>
    <col width="10.77734375" bestFit="1" customWidth="1" min="40" max="41"/>
  </cols>
  <sheetData>
    <row r="3">
      <c r="B3" t="inlineStr">
        <is>
          <t>5 lotes</t>
        </is>
      </c>
      <c r="C3" s="374" t="n">
        <v>46419</v>
      </c>
      <c r="D3" s="374" t="n">
        <v>46447</v>
      </c>
      <c r="E3" s="374" t="n">
        <v>46478</v>
      </c>
      <c r="F3" s="374" t="n">
        <v>46508</v>
      </c>
      <c r="G3" s="374" t="n">
        <v>46539</v>
      </c>
      <c r="H3" s="374" t="n">
        <v>46569</v>
      </c>
      <c r="I3" s="374" t="n">
        <v>46600</v>
      </c>
      <c r="J3" s="374" t="n">
        <v>46631</v>
      </c>
      <c r="K3" s="374" t="n">
        <v>46661</v>
      </c>
      <c r="L3" s="374" t="n">
        <v>46692</v>
      </c>
      <c r="M3" s="374" t="n">
        <v>46722</v>
      </c>
      <c r="N3" s="374" t="n">
        <v>46753</v>
      </c>
      <c r="O3" s="374" t="n">
        <v>46784</v>
      </c>
      <c r="P3" s="374" t="n">
        <v>46813</v>
      </c>
      <c r="Q3" s="374" t="n">
        <v>46844</v>
      </c>
      <c r="R3" s="374" t="n">
        <v>46874</v>
      </c>
      <c r="S3" s="374" t="n">
        <v>46905</v>
      </c>
      <c r="T3" s="374" t="n">
        <v>46935</v>
      </c>
      <c r="U3" s="374" t="n">
        <v>46966</v>
      </c>
      <c r="V3" s="374" t="n">
        <v>46997</v>
      </c>
      <c r="W3" s="374" t="n">
        <v>47027</v>
      </c>
      <c r="X3" s="374" t="n">
        <v>47058</v>
      </c>
      <c r="Y3" s="374" t="n">
        <v>47088</v>
      </c>
      <c r="Z3" s="374" t="n">
        <v>47119</v>
      </c>
      <c r="AA3" s="374" t="n">
        <v>47150</v>
      </c>
      <c r="AB3" s="374" t="n">
        <v>47178</v>
      </c>
      <c r="AC3" s="374" t="n">
        <v>47209</v>
      </c>
      <c r="AD3" s="374" t="n">
        <v>47239</v>
      </c>
      <c r="AE3" s="374" t="n">
        <v>47270</v>
      </c>
      <c r="AF3" s="374" t="n">
        <v>47300</v>
      </c>
      <c r="AG3" s="374" t="n">
        <v>47331</v>
      </c>
      <c r="AH3" s="374" t="n">
        <v>47362</v>
      </c>
      <c r="AI3" s="374" t="n">
        <v>47392</v>
      </c>
      <c r="AJ3" s="374" t="n">
        <v>47423</v>
      </c>
      <c r="AK3" s="374" t="n">
        <v>47453</v>
      </c>
      <c r="AL3" s="374" t="n">
        <v>47484</v>
      </c>
    </row>
    <row r="4">
      <c r="C4" t="n">
        <v>450000</v>
      </c>
      <c r="D4" t="n">
        <v>1200000</v>
      </c>
      <c r="E4" t="n">
        <v>1800000</v>
      </c>
      <c r="F4" t="n">
        <v>1800000</v>
      </c>
      <c r="G4" t="n">
        <v>1400000</v>
      </c>
      <c r="H4" t="n">
        <v>2500000</v>
      </c>
      <c r="I4" t="n">
        <v>2400000</v>
      </c>
      <c r="J4" t="n">
        <v>1700000</v>
      </c>
      <c r="K4" t="n">
        <v>1750000</v>
      </c>
      <c r="L4" t="n">
        <v>2000000</v>
      </c>
      <c r="M4" t="n">
        <v>2500000</v>
      </c>
      <c r="N4" t="n">
        <v>2000000</v>
      </c>
      <c r="O4" t="n">
        <v>800000</v>
      </c>
      <c r="P4" t="n">
        <v>500000</v>
      </c>
      <c r="Q4" t="n">
        <v>500000</v>
      </c>
      <c r="R4" t="n">
        <v>350000</v>
      </c>
      <c r="S4" t="n">
        <v>2700000</v>
      </c>
      <c r="T4" t="n">
        <v>2780000</v>
      </c>
      <c r="U4" t="n">
        <v>2820000</v>
      </c>
      <c r="V4" t="n">
        <v>2850000</v>
      </c>
      <c r="W4" t="n">
        <v>2900000</v>
      </c>
      <c r="X4" t="n">
        <v>3000000</v>
      </c>
      <c r="Y4" t="n">
        <v>2900000</v>
      </c>
      <c r="Z4" t="n">
        <v>2900000</v>
      </c>
      <c r="AA4" t="n">
        <v>2900000</v>
      </c>
      <c r="AB4" t="n">
        <v>3000000</v>
      </c>
      <c r="AC4" t="n">
        <v>3200000</v>
      </c>
      <c r="AD4" t="n">
        <v>3300000</v>
      </c>
      <c r="AE4" t="n">
        <v>3100000</v>
      </c>
      <c r="AF4" t="n">
        <v>3090000</v>
      </c>
      <c r="AG4" t="n">
        <v>3150000</v>
      </c>
      <c r="AH4" t="n">
        <v>3100000</v>
      </c>
      <c r="AI4" t="n">
        <v>3100000</v>
      </c>
      <c r="AJ4" t="n">
        <v>3150000</v>
      </c>
      <c r="AK4" t="n">
        <v>3100000</v>
      </c>
      <c r="AL4" t="n">
        <v>3200000</v>
      </c>
    </row>
    <row r="7">
      <c r="B7" t="inlineStr">
        <is>
          <t>7 lotes</t>
        </is>
      </c>
      <c r="C7" s="374" t="n">
        <v>46388</v>
      </c>
      <c r="D7" s="374" t="n">
        <v>46419</v>
      </c>
      <c r="E7" s="374" t="n">
        <v>46447</v>
      </c>
      <c r="F7" s="374" t="n">
        <v>46478</v>
      </c>
      <c r="G7" s="374" t="n">
        <v>46508</v>
      </c>
      <c r="H7" s="374" t="n">
        <v>46539</v>
      </c>
      <c r="I7" s="374" t="n">
        <v>46569</v>
      </c>
      <c r="J7" s="374" t="n">
        <v>46600</v>
      </c>
      <c r="K7" s="374" t="n">
        <v>46631</v>
      </c>
      <c r="L7" s="374" t="n">
        <v>46661</v>
      </c>
      <c r="M7" s="374" t="n">
        <v>46692</v>
      </c>
      <c r="N7" s="374" t="n">
        <v>46722</v>
      </c>
      <c r="O7" s="374" t="n">
        <v>46753</v>
      </c>
      <c r="P7" s="374" t="n">
        <v>46784</v>
      </c>
      <c r="Q7" s="374" t="n">
        <v>46813</v>
      </c>
      <c r="R7" s="374" t="n">
        <v>46844</v>
      </c>
      <c r="S7" s="374" t="n">
        <v>46874</v>
      </c>
      <c r="T7" s="374" t="n">
        <v>46905</v>
      </c>
      <c r="U7" s="374" t="n">
        <v>46935</v>
      </c>
      <c r="V7" s="374" t="n">
        <v>46966</v>
      </c>
      <c r="W7" s="374" t="n">
        <v>46997</v>
      </c>
      <c r="X7" s="374" t="n">
        <v>47027</v>
      </c>
      <c r="Y7" s="374" t="n">
        <v>47058</v>
      </c>
      <c r="Z7" s="374" t="n">
        <v>47088</v>
      </c>
      <c r="AA7" s="374" t="n">
        <v>47119</v>
      </c>
      <c r="AB7" s="374" t="n">
        <v>47150</v>
      </c>
      <c r="AC7" s="374" t="n">
        <v>47178</v>
      </c>
      <c r="AD7" s="374" t="n">
        <v>47209</v>
      </c>
      <c r="AE7" s="374" t="n">
        <v>47239</v>
      </c>
      <c r="AF7" s="374" t="n">
        <v>47270</v>
      </c>
      <c r="AG7" s="374" t="n">
        <v>47300</v>
      </c>
      <c r="AH7" s="374" t="n">
        <v>47331</v>
      </c>
      <c r="AI7" s="374" t="n">
        <v>47362</v>
      </c>
      <c r="AJ7" s="374" t="n">
        <v>47392</v>
      </c>
      <c r="AK7" s="374" t="n">
        <v>47423</v>
      </c>
      <c r="AL7" s="374" t="n">
        <v>47453</v>
      </c>
    </row>
    <row r="8">
      <c r="C8" t="n">
        <v>880000</v>
      </c>
      <c r="D8" t="n">
        <v>2000000</v>
      </c>
      <c r="E8" t="n">
        <v>2400000</v>
      </c>
      <c r="F8" t="n">
        <v>2800000</v>
      </c>
      <c r="G8" t="n">
        <v>1400000</v>
      </c>
      <c r="H8" t="n">
        <v>1600000</v>
      </c>
      <c r="I8" t="n">
        <v>3300000</v>
      </c>
      <c r="J8" t="n">
        <v>3400000</v>
      </c>
      <c r="K8" t="n">
        <v>2800000</v>
      </c>
      <c r="L8" t="n">
        <v>2700000</v>
      </c>
      <c r="M8" t="n">
        <v>3200000</v>
      </c>
      <c r="N8" t="n">
        <v>3300000</v>
      </c>
      <c r="O8" t="n">
        <v>2800000</v>
      </c>
      <c r="P8" t="n">
        <v>2500000</v>
      </c>
      <c r="Q8" t="n">
        <v>1400000</v>
      </c>
      <c r="R8" t="n">
        <v>1300000</v>
      </c>
      <c r="S8" t="n">
        <v>1150000</v>
      </c>
      <c r="T8" t="n">
        <v>3850000</v>
      </c>
      <c r="U8" t="n">
        <v>4000000</v>
      </c>
      <c r="V8" t="n">
        <v>4050000</v>
      </c>
      <c r="W8" t="n">
        <v>4000000</v>
      </c>
      <c r="X8" t="n">
        <v>4000000</v>
      </c>
      <c r="Y8" t="n">
        <v>4100000</v>
      </c>
      <c r="Z8" t="n">
        <v>4100000</v>
      </c>
      <c r="AA8" t="n">
        <v>4150000</v>
      </c>
      <c r="AB8" t="n">
        <v>4150000</v>
      </c>
      <c r="AC8" t="n">
        <v>4200000</v>
      </c>
      <c r="AD8" t="n">
        <v>4450000</v>
      </c>
      <c r="AE8" t="n">
        <v>4650000</v>
      </c>
      <c r="AF8" t="n">
        <v>4380000</v>
      </c>
      <c r="AG8" t="n">
        <v>4350000</v>
      </c>
      <c r="AH8" t="n">
        <v>4500000</v>
      </c>
      <c r="AI8" t="n">
        <v>4450000</v>
      </c>
      <c r="AJ8" t="n">
        <v>4500000</v>
      </c>
      <c r="AK8" t="n">
        <v>4500000</v>
      </c>
      <c r="AL8" t="n">
        <v>4500000</v>
      </c>
    </row>
    <row r="11">
      <c r="B11" t="inlineStr">
        <is>
          <t>10 lotes</t>
        </is>
      </c>
      <c r="C11" s="374" t="n">
        <v>46357</v>
      </c>
      <c r="D11" s="374" t="n">
        <v>46388</v>
      </c>
      <c r="E11" s="374" t="n">
        <v>46419</v>
      </c>
      <c r="F11" s="374" t="n">
        <v>46447</v>
      </c>
      <c r="G11" s="374" t="n">
        <v>46478</v>
      </c>
      <c r="H11" s="374" t="n">
        <v>46508</v>
      </c>
      <c r="I11" s="374" t="n">
        <v>46539</v>
      </c>
      <c r="J11" s="374" t="n">
        <v>46569</v>
      </c>
      <c r="K11" s="374" t="n">
        <v>46600</v>
      </c>
      <c r="L11" s="374" t="n">
        <v>46631</v>
      </c>
      <c r="M11" s="374" t="n">
        <v>46661</v>
      </c>
      <c r="N11" s="374" t="n">
        <v>46692</v>
      </c>
      <c r="O11" s="374" t="n">
        <v>46722</v>
      </c>
      <c r="P11" s="374" t="n">
        <v>46753</v>
      </c>
      <c r="Q11" s="374" t="n">
        <v>46784</v>
      </c>
      <c r="R11" s="374" t="n">
        <v>46813</v>
      </c>
      <c r="S11" s="374" t="n">
        <v>46844</v>
      </c>
      <c r="T11" s="374" t="n">
        <v>46874</v>
      </c>
      <c r="U11" s="374" t="n">
        <v>46905</v>
      </c>
      <c r="V11" s="374" t="n">
        <v>46935</v>
      </c>
      <c r="W11" s="374" t="n">
        <v>46966</v>
      </c>
      <c r="X11" s="374" t="n">
        <v>46997</v>
      </c>
      <c r="Y11" s="374" t="n">
        <v>47027</v>
      </c>
      <c r="Z11" s="374" t="n">
        <v>47058</v>
      </c>
      <c r="AA11" s="374" t="n">
        <v>47088</v>
      </c>
      <c r="AB11" s="374" t="n">
        <v>47119</v>
      </c>
      <c r="AC11" s="374" t="n">
        <v>47150</v>
      </c>
      <c r="AD11" s="374" t="n">
        <v>47178</v>
      </c>
      <c r="AE11" s="374" t="n">
        <v>47209</v>
      </c>
      <c r="AF11" s="374" t="n">
        <v>47239</v>
      </c>
      <c r="AG11" s="374" t="n">
        <v>47270</v>
      </c>
      <c r="AH11" s="374" t="n">
        <v>47300</v>
      </c>
      <c r="AI11" s="374" t="n">
        <v>47331</v>
      </c>
      <c r="AJ11" s="374" t="n">
        <v>47362</v>
      </c>
      <c r="AK11" s="374" t="n">
        <v>47392</v>
      </c>
      <c r="AL11" s="374" t="n">
        <v>47423</v>
      </c>
    </row>
    <row r="12">
      <c r="C12" t="n">
        <v>1000000</v>
      </c>
      <c r="D12" t="n">
        <v>3600000</v>
      </c>
      <c r="E12" t="n">
        <v>2900000</v>
      </c>
      <c r="F12" t="n">
        <v>3000000</v>
      </c>
      <c r="G12" t="n">
        <v>4000000</v>
      </c>
      <c r="H12" t="n">
        <v>2300000</v>
      </c>
      <c r="I12" t="n">
        <v>3000000</v>
      </c>
      <c r="J12" t="n">
        <v>5000000</v>
      </c>
      <c r="K12" t="n">
        <v>4000000</v>
      </c>
      <c r="L12" t="n">
        <v>4000000</v>
      </c>
      <c r="M12" t="n">
        <v>4800000</v>
      </c>
      <c r="N12" t="n">
        <v>4500000</v>
      </c>
      <c r="O12" t="n">
        <v>5000000</v>
      </c>
      <c r="P12" t="n">
        <v>4700000</v>
      </c>
      <c r="Q12" t="n">
        <v>4400000</v>
      </c>
      <c r="R12" t="n">
        <v>3000000</v>
      </c>
      <c r="S12" t="n">
        <v>3200000</v>
      </c>
      <c r="T12" t="n">
        <v>3000000</v>
      </c>
      <c r="U12" t="n">
        <v>5650000</v>
      </c>
      <c r="V12" t="n">
        <v>6050000</v>
      </c>
      <c r="W12" t="n">
        <v>5900000</v>
      </c>
      <c r="X12" t="n">
        <v>6200000</v>
      </c>
      <c r="Y12" t="n">
        <v>6100000</v>
      </c>
      <c r="Z12" t="n">
        <v>6180000</v>
      </c>
      <c r="AA12" t="n">
        <v>6200000</v>
      </c>
      <c r="AB12" t="n">
        <v>6250000</v>
      </c>
      <c r="AC12" t="n">
        <v>6300000</v>
      </c>
      <c r="AD12" t="n">
        <v>6350000</v>
      </c>
      <c r="AE12" t="n">
        <v>6700000</v>
      </c>
      <c r="AF12" t="n">
        <v>7000000</v>
      </c>
      <c r="AG12" t="n">
        <v>6540000</v>
      </c>
      <c r="AH12" t="n">
        <v>6700000</v>
      </c>
      <c r="AI12" t="n">
        <v>6800000</v>
      </c>
      <c r="AJ12" t="n">
        <v>6500000</v>
      </c>
      <c r="AK12" t="n">
        <v>5500000</v>
      </c>
      <c r="AL12" t="n">
        <v>5400000</v>
      </c>
    </row>
    <row r="16">
      <c r="B16" t="inlineStr">
        <is>
          <t>5 lotes</t>
        </is>
      </c>
      <c r="C16" s="374" t="n">
        <v>46419</v>
      </c>
      <c r="D16" s="374" t="n">
        <v>46447</v>
      </c>
      <c r="E16" s="374" t="n">
        <v>46478</v>
      </c>
      <c r="F16" s="374" t="n">
        <v>46508</v>
      </c>
      <c r="G16" s="374" t="n">
        <v>46539</v>
      </c>
      <c r="H16" s="374" t="n">
        <v>46569</v>
      </c>
      <c r="I16" s="374" t="n">
        <v>46600</v>
      </c>
      <c r="J16" s="374" t="n">
        <v>46631</v>
      </c>
      <c r="K16" s="374" t="n">
        <v>46661</v>
      </c>
      <c r="L16" s="374" t="n">
        <v>46692</v>
      </c>
      <c r="M16" s="374" t="n">
        <v>46722</v>
      </c>
      <c r="N16" s="374" t="n">
        <v>46753</v>
      </c>
      <c r="O16" s="374" t="n">
        <v>46784</v>
      </c>
      <c r="P16" s="374" t="n">
        <v>46813</v>
      </c>
      <c r="Q16" s="374" t="n">
        <v>46844</v>
      </c>
      <c r="R16" s="374" t="n">
        <v>46874</v>
      </c>
      <c r="S16" s="374" t="n">
        <v>46905</v>
      </c>
      <c r="T16" s="374" t="n">
        <v>46935</v>
      </c>
      <c r="U16" s="374" t="n">
        <v>46966</v>
      </c>
      <c r="V16" s="374" t="n">
        <v>46997</v>
      </c>
      <c r="W16" s="374" t="n">
        <v>47027</v>
      </c>
      <c r="X16" s="374" t="n">
        <v>47058</v>
      </c>
      <c r="Y16" s="374" t="n">
        <v>47088</v>
      </c>
      <c r="Z16" s="374">
        <f>Z3</f>
        <v/>
      </c>
      <c r="AA16" s="374">
        <f>AA3</f>
        <v/>
      </c>
      <c r="AB16" s="374">
        <f>AB3</f>
        <v/>
      </c>
      <c r="AC16" s="374">
        <f>AC3</f>
        <v/>
      </c>
      <c r="AD16" s="374">
        <f>AD3</f>
        <v/>
      </c>
      <c r="AE16" s="374">
        <f>AE3</f>
        <v/>
      </c>
      <c r="AF16" s="374">
        <f>AF3</f>
        <v/>
      </c>
      <c r="AG16" s="374">
        <f>AG3</f>
        <v/>
      </c>
      <c r="AH16" s="374">
        <f>AH3</f>
        <v/>
      </c>
      <c r="AI16" s="374">
        <f>AI3</f>
        <v/>
      </c>
      <c r="AJ16" s="374">
        <f>AJ3</f>
        <v/>
      </c>
      <c r="AK16" s="374">
        <f>AK3</f>
        <v/>
      </c>
      <c r="AL16" s="374">
        <f>AL3</f>
        <v/>
      </c>
      <c r="AN16" t="inlineStr">
        <is>
          <t>1o ano</t>
        </is>
      </c>
      <c r="AO16" t="inlineStr">
        <is>
          <t>2o ano</t>
        </is>
      </c>
      <c r="AP16" t="inlineStr">
        <is>
          <t>3o ano</t>
        </is>
      </c>
    </row>
    <row r="17">
      <c r="B17" s="495">
        <f>SUM(C17:AL17)=(AN17+AO17+AP17)</f>
        <v/>
      </c>
      <c r="C17" s="362">
        <f>C4/1000</f>
        <v/>
      </c>
      <c r="D17" s="362">
        <f>D4/1000</f>
        <v/>
      </c>
      <c r="E17" s="362">
        <f>E4/1000</f>
        <v/>
      </c>
      <c r="F17" s="362">
        <f>F4/1000</f>
        <v/>
      </c>
      <c r="G17" s="362">
        <f>G4/1000</f>
        <v/>
      </c>
      <c r="H17" s="362">
        <f>H4/1000</f>
        <v/>
      </c>
      <c r="I17" s="362">
        <f>I4/1000</f>
        <v/>
      </c>
      <c r="J17" s="362">
        <f>J4/1000</f>
        <v/>
      </c>
      <c r="K17" s="362">
        <f>K4/1000</f>
        <v/>
      </c>
      <c r="L17" s="362">
        <f>L4/1000</f>
        <v/>
      </c>
      <c r="M17" s="362">
        <f>M4/1000</f>
        <v/>
      </c>
      <c r="N17" s="362">
        <f>N4/1000</f>
        <v/>
      </c>
      <c r="O17" s="362">
        <f>O4/1000</f>
        <v/>
      </c>
      <c r="P17" s="362">
        <f>P4/1000</f>
        <v/>
      </c>
      <c r="Q17" s="362">
        <f>Q4/1000</f>
        <v/>
      </c>
      <c r="R17" s="362">
        <f>R4/1000</f>
        <v/>
      </c>
      <c r="S17" s="362">
        <f>S4/1000</f>
        <v/>
      </c>
      <c r="T17" s="362">
        <f>T4/1000</f>
        <v/>
      </c>
      <c r="U17" s="362">
        <f>U4/1000</f>
        <v/>
      </c>
      <c r="V17" s="362">
        <f>V4/1000</f>
        <v/>
      </c>
      <c r="W17" s="362">
        <f>W4/1000</f>
        <v/>
      </c>
      <c r="X17" s="362">
        <f>X4/1000</f>
        <v/>
      </c>
      <c r="Y17" s="362">
        <f>Y4/1000</f>
        <v/>
      </c>
      <c r="Z17" s="362">
        <f>Z4/1000</f>
        <v/>
      </c>
      <c r="AA17" s="362">
        <f>AA4/1000</f>
        <v/>
      </c>
      <c r="AB17" s="362">
        <f>AB4/1000</f>
        <v/>
      </c>
      <c r="AC17" s="362">
        <f>AC4/1000</f>
        <v/>
      </c>
      <c r="AD17" s="362">
        <f>AD4/1000</f>
        <v/>
      </c>
      <c r="AE17" s="362">
        <f>AE4/1000</f>
        <v/>
      </c>
      <c r="AF17" s="362">
        <f>AF4/1000</f>
        <v/>
      </c>
      <c r="AG17" s="362">
        <f>AG4/1000</f>
        <v/>
      </c>
      <c r="AH17" s="362">
        <f>AH4/1000</f>
        <v/>
      </c>
      <c r="AI17" s="362">
        <f>AI4/1000</f>
        <v/>
      </c>
      <c r="AJ17" s="362">
        <f>AJ4/1000</f>
        <v/>
      </c>
      <c r="AK17" s="362">
        <f>AK4/1000</f>
        <v/>
      </c>
      <c r="AL17" s="362">
        <f>AL4/1000</f>
        <v/>
      </c>
      <c r="AN17" s="362">
        <f>SUM(C17:N17)</f>
        <v/>
      </c>
      <c r="AO17" s="362">
        <f>SUM(O17:Z17)</f>
        <v/>
      </c>
      <c r="AP17" s="362">
        <f>SUM(AA17:AL17)</f>
        <v/>
      </c>
    </row>
    <row r="20">
      <c r="B20" t="inlineStr">
        <is>
          <t>7 lotes</t>
        </is>
      </c>
      <c r="C20" s="374" t="n">
        <v>46388</v>
      </c>
      <c r="D20" s="374" t="n">
        <v>46419</v>
      </c>
      <c r="E20" s="374" t="n">
        <v>46447</v>
      </c>
      <c r="F20" s="374" t="n">
        <v>46478</v>
      </c>
      <c r="G20" s="374" t="n">
        <v>46508</v>
      </c>
      <c r="H20" s="374" t="n">
        <v>46539</v>
      </c>
      <c r="I20" s="374" t="n">
        <v>46569</v>
      </c>
      <c r="J20" s="374" t="n">
        <v>46600</v>
      </c>
      <c r="K20" s="374" t="n">
        <v>46631</v>
      </c>
      <c r="L20" s="374" t="n">
        <v>46661</v>
      </c>
      <c r="M20" s="374" t="n">
        <v>46692</v>
      </c>
      <c r="N20" s="374" t="n">
        <v>46722</v>
      </c>
      <c r="O20" s="374" t="n">
        <v>46753</v>
      </c>
      <c r="P20" s="374" t="n">
        <v>46784</v>
      </c>
      <c r="Q20" s="374" t="n">
        <v>46813</v>
      </c>
      <c r="R20" s="374" t="n">
        <v>46844</v>
      </c>
      <c r="S20" s="374" t="n">
        <v>46874</v>
      </c>
      <c r="T20" s="374" t="n">
        <v>46905</v>
      </c>
      <c r="U20" s="374" t="n">
        <v>46935</v>
      </c>
      <c r="V20" s="374" t="n">
        <v>46966</v>
      </c>
      <c r="W20" s="374" t="n">
        <v>46997</v>
      </c>
      <c r="X20" s="374" t="n">
        <v>47027</v>
      </c>
      <c r="Y20" s="374" t="n">
        <v>47058</v>
      </c>
      <c r="Z20" s="374">
        <f>Z7</f>
        <v/>
      </c>
      <c r="AA20" s="374">
        <f>AA7</f>
        <v/>
      </c>
      <c r="AB20" s="374">
        <f>AB7</f>
        <v/>
      </c>
      <c r="AC20" s="374">
        <f>AC7</f>
        <v/>
      </c>
      <c r="AD20" s="374">
        <f>AD7</f>
        <v/>
      </c>
      <c r="AE20" s="374">
        <f>AE7</f>
        <v/>
      </c>
      <c r="AF20" s="374">
        <f>AF7</f>
        <v/>
      </c>
      <c r="AG20" s="374">
        <f>AG7</f>
        <v/>
      </c>
      <c r="AH20" s="374">
        <f>AH7</f>
        <v/>
      </c>
      <c r="AI20" s="374">
        <f>AI7</f>
        <v/>
      </c>
      <c r="AJ20" s="374">
        <f>AJ7</f>
        <v/>
      </c>
      <c r="AK20" s="374">
        <f>AK7</f>
        <v/>
      </c>
      <c r="AL20" s="374">
        <f>AL7</f>
        <v/>
      </c>
      <c r="AN20" t="inlineStr">
        <is>
          <t>1o ano</t>
        </is>
      </c>
      <c r="AO20" t="inlineStr">
        <is>
          <t>2o ano</t>
        </is>
      </c>
      <c r="AP20" t="inlineStr">
        <is>
          <t>3o ano</t>
        </is>
      </c>
    </row>
    <row r="21">
      <c r="B21" s="495">
        <f>SUM(C21:AL21)=(AN21+AO21+AP21)</f>
        <v/>
      </c>
      <c r="C21" s="362">
        <f>C8/1000</f>
        <v/>
      </c>
      <c r="D21" s="362">
        <f>D8/1000</f>
        <v/>
      </c>
      <c r="E21" s="362">
        <f>E8/1000</f>
        <v/>
      </c>
      <c r="F21" s="362">
        <f>F8/1000</f>
        <v/>
      </c>
      <c r="G21" s="362">
        <f>G8/1000</f>
        <v/>
      </c>
      <c r="H21" s="362">
        <f>H8/1000</f>
        <v/>
      </c>
      <c r="I21" s="362">
        <f>I8/1000</f>
        <v/>
      </c>
      <c r="J21" s="362">
        <f>J8/1000</f>
        <v/>
      </c>
      <c r="K21" s="362">
        <f>K8/1000</f>
        <v/>
      </c>
      <c r="L21" s="362">
        <f>L8/1000</f>
        <v/>
      </c>
      <c r="M21" s="362">
        <f>M8/1000</f>
        <v/>
      </c>
      <c r="N21" s="362">
        <f>N8/1000</f>
        <v/>
      </c>
      <c r="O21" s="362">
        <f>O8/1000</f>
        <v/>
      </c>
      <c r="P21" s="362">
        <f>P8/1000</f>
        <v/>
      </c>
      <c r="Q21" s="362">
        <f>Q8/1000</f>
        <v/>
      </c>
      <c r="R21" s="362">
        <f>R8/1000</f>
        <v/>
      </c>
      <c r="S21" s="362">
        <f>S8/1000</f>
        <v/>
      </c>
      <c r="T21" s="362">
        <f>T8/1000</f>
        <v/>
      </c>
      <c r="U21" s="362">
        <f>U8/1000</f>
        <v/>
      </c>
      <c r="V21" s="362">
        <f>V8/1000</f>
        <v/>
      </c>
      <c r="W21" s="362">
        <f>W8/1000</f>
        <v/>
      </c>
      <c r="X21" s="362">
        <f>X8/1000</f>
        <v/>
      </c>
      <c r="Y21" s="362">
        <f>Y8/1000</f>
        <v/>
      </c>
      <c r="Z21" s="362">
        <f>Z8/1000</f>
        <v/>
      </c>
      <c r="AA21" s="362">
        <f>AA8/1000</f>
        <v/>
      </c>
      <c r="AB21" s="362">
        <f>AB8/1000</f>
        <v/>
      </c>
      <c r="AC21" s="362">
        <f>AC8/1000</f>
        <v/>
      </c>
      <c r="AD21" s="362">
        <f>AD8/1000</f>
        <v/>
      </c>
      <c r="AE21" s="362">
        <f>AE8/1000</f>
        <v/>
      </c>
      <c r="AF21" s="362">
        <f>AF8/1000</f>
        <v/>
      </c>
      <c r="AG21" s="362">
        <f>AG8/1000</f>
        <v/>
      </c>
      <c r="AH21" s="362">
        <f>AH8/1000</f>
        <v/>
      </c>
      <c r="AI21" s="362">
        <f>AI8/1000</f>
        <v/>
      </c>
      <c r="AJ21" s="362">
        <f>AJ8/1000</f>
        <v/>
      </c>
      <c r="AK21" s="362">
        <f>AK8/1000</f>
        <v/>
      </c>
      <c r="AL21" s="362">
        <f>AL8/1000</f>
        <v/>
      </c>
      <c r="AN21" s="362">
        <f>SUM(C21:N21)</f>
        <v/>
      </c>
      <c r="AO21" s="362">
        <f>SUM(O21:Z21)</f>
        <v/>
      </c>
      <c r="AP21" s="362">
        <f>SUM(AA21:AL21)</f>
        <v/>
      </c>
    </row>
    <row r="24">
      <c r="B24" t="inlineStr">
        <is>
          <t>10 lotes</t>
        </is>
      </c>
      <c r="C24" s="374" t="n">
        <v>46357</v>
      </c>
      <c r="D24" s="374" t="n">
        <v>46388</v>
      </c>
      <c r="E24" s="374" t="n">
        <v>46419</v>
      </c>
      <c r="F24" s="374" t="n">
        <v>46447</v>
      </c>
      <c r="G24" s="374" t="n">
        <v>46478</v>
      </c>
      <c r="H24" s="374" t="n">
        <v>46508</v>
      </c>
      <c r="I24" s="374" t="n">
        <v>46539</v>
      </c>
      <c r="J24" s="374" t="n">
        <v>46569</v>
      </c>
      <c r="K24" s="374" t="n">
        <v>46600</v>
      </c>
      <c r="L24" s="374" t="n">
        <v>46631</v>
      </c>
      <c r="M24" s="374" t="n">
        <v>46661</v>
      </c>
      <c r="N24" s="374" t="n">
        <v>46692</v>
      </c>
      <c r="O24" s="374" t="n">
        <v>46722</v>
      </c>
      <c r="P24" s="374" t="n">
        <v>46753</v>
      </c>
      <c r="Q24" s="374" t="n">
        <v>46784</v>
      </c>
      <c r="R24" s="374" t="n">
        <v>46813</v>
      </c>
      <c r="S24" s="374" t="n">
        <v>46844</v>
      </c>
      <c r="T24" s="374" t="n">
        <v>46874</v>
      </c>
      <c r="U24" s="374" t="n">
        <v>46905</v>
      </c>
      <c r="V24" s="374" t="n">
        <v>46935</v>
      </c>
      <c r="W24" s="374" t="n">
        <v>46966</v>
      </c>
      <c r="X24" s="374" t="n">
        <v>46997</v>
      </c>
      <c r="Y24" s="374" t="n">
        <v>47027</v>
      </c>
      <c r="Z24" s="374">
        <f>Z11</f>
        <v/>
      </c>
      <c r="AA24" s="374">
        <f>AA11</f>
        <v/>
      </c>
      <c r="AB24" s="374">
        <f>AB11</f>
        <v/>
      </c>
      <c r="AC24" s="374">
        <f>AC11</f>
        <v/>
      </c>
      <c r="AD24" s="374">
        <f>AD11</f>
        <v/>
      </c>
      <c r="AE24" s="374">
        <f>AE11</f>
        <v/>
      </c>
      <c r="AF24" s="374">
        <f>AF11</f>
        <v/>
      </c>
      <c r="AG24" s="374">
        <f>AG11</f>
        <v/>
      </c>
      <c r="AH24" s="374">
        <f>AH11</f>
        <v/>
      </c>
      <c r="AI24" s="374">
        <f>AI11</f>
        <v/>
      </c>
      <c r="AJ24" s="374">
        <f>AJ11</f>
        <v/>
      </c>
      <c r="AK24" s="374">
        <f>AK11</f>
        <v/>
      </c>
      <c r="AL24" s="374">
        <f>AL11</f>
        <v/>
      </c>
      <c r="AN24" t="inlineStr">
        <is>
          <t>1o ano</t>
        </is>
      </c>
      <c r="AO24" t="inlineStr">
        <is>
          <t>2o ano</t>
        </is>
      </c>
      <c r="AP24" t="inlineStr">
        <is>
          <t>3o ano</t>
        </is>
      </c>
    </row>
    <row r="25">
      <c r="B25" s="495">
        <f>SUM(C25:AL25)=(AN25+AO25+AP25)</f>
        <v/>
      </c>
      <c r="C25" s="362">
        <f>C12/1000</f>
        <v/>
      </c>
      <c r="D25" s="362">
        <f>D12/1000</f>
        <v/>
      </c>
      <c r="E25" s="362">
        <f>E12/1000</f>
        <v/>
      </c>
      <c r="F25" s="362">
        <f>F12/1000</f>
        <v/>
      </c>
      <c r="G25" s="362">
        <f>G12/1000</f>
        <v/>
      </c>
      <c r="H25" s="362">
        <f>H12/1000</f>
        <v/>
      </c>
      <c r="I25" s="362">
        <f>I12/1000</f>
        <v/>
      </c>
      <c r="J25" s="362">
        <f>J12/1000</f>
        <v/>
      </c>
      <c r="K25" s="362">
        <f>K12/1000</f>
        <v/>
      </c>
      <c r="L25" s="362">
        <f>L12/1000</f>
        <v/>
      </c>
      <c r="M25" s="362">
        <f>M12/1000</f>
        <v/>
      </c>
      <c r="N25" s="362">
        <f>N12/1000</f>
        <v/>
      </c>
      <c r="O25" s="362">
        <f>O12/1000</f>
        <v/>
      </c>
      <c r="P25" s="362">
        <f>P12/1000</f>
        <v/>
      </c>
      <c r="Q25" s="362">
        <f>Q12/1000</f>
        <v/>
      </c>
      <c r="R25" s="362">
        <f>R12/1000</f>
        <v/>
      </c>
      <c r="S25" s="362">
        <f>S12/1000</f>
        <v/>
      </c>
      <c r="T25" s="362">
        <f>T12/1000</f>
        <v/>
      </c>
      <c r="U25" s="362">
        <f>U12/1000</f>
        <v/>
      </c>
      <c r="V25" s="362">
        <f>V12/1000</f>
        <v/>
      </c>
      <c r="W25" s="362">
        <f>W12/1000</f>
        <v/>
      </c>
      <c r="X25" s="362">
        <f>X12/1000</f>
        <v/>
      </c>
      <c r="Y25" s="362">
        <f>Y12/1000</f>
        <v/>
      </c>
      <c r="Z25" s="362">
        <f>Z12/1000</f>
        <v/>
      </c>
      <c r="AA25" s="362">
        <f>AA12/1000</f>
        <v/>
      </c>
      <c r="AB25" s="362">
        <f>AB12/1000</f>
        <v/>
      </c>
      <c r="AC25" s="362">
        <f>AC12/1000</f>
        <v/>
      </c>
      <c r="AD25" s="362">
        <f>AD12/1000</f>
        <v/>
      </c>
      <c r="AE25" s="362">
        <f>AE12/1000</f>
        <v/>
      </c>
      <c r="AF25" s="362">
        <f>AF12/1000</f>
        <v/>
      </c>
      <c r="AG25" s="362">
        <f>AG12/1000</f>
        <v/>
      </c>
      <c r="AH25" s="362">
        <f>AH12/1000</f>
        <v/>
      </c>
      <c r="AI25" s="362">
        <f>AI12/1000</f>
        <v/>
      </c>
      <c r="AJ25" s="362">
        <f>AJ12/1000</f>
        <v/>
      </c>
      <c r="AK25" s="362">
        <f>AK12/1000</f>
        <v/>
      </c>
      <c r="AL25" s="362">
        <f>AL12/1000</f>
        <v/>
      </c>
      <c r="AN25" s="362">
        <f>SUM(C25:N25)</f>
        <v/>
      </c>
      <c r="AO25" s="362">
        <f>SUM(O25:Z25)</f>
        <v/>
      </c>
      <c r="AP25" s="362">
        <f>SUM(AA25:AL25)</f>
        <v/>
      </c>
    </row>
    <row r="32">
      <c r="W32" t="inlineStr">
        <is>
          <t>1o ano</t>
        </is>
      </c>
      <c r="X32" t="inlineStr">
        <is>
          <t>2o ano</t>
        </is>
      </c>
      <c r="Y32" t="inlineStr">
        <is>
          <t>3o ano</t>
        </is>
      </c>
    </row>
    <row r="33">
      <c r="W33" s="354">
        <f>+AN17</f>
        <v/>
      </c>
      <c r="X33" s="354">
        <f>+AO17</f>
        <v/>
      </c>
      <c r="Y33" s="354">
        <f>+AP17</f>
        <v/>
      </c>
    </row>
    <row r="34">
      <c r="Y34" s="354">
        <f>+Y33+X33+W33</f>
        <v/>
      </c>
    </row>
    <row r="51">
      <c r="W51" t="inlineStr">
        <is>
          <t>1o ano</t>
        </is>
      </c>
      <c r="X51" t="inlineStr">
        <is>
          <t>2o ano</t>
        </is>
      </c>
      <c r="Y51" t="inlineStr">
        <is>
          <t>3o ano</t>
        </is>
      </c>
    </row>
    <row r="52">
      <c r="W52" s="354">
        <f>+AN21</f>
        <v/>
      </c>
      <c r="X52" s="354">
        <f>+AO21</f>
        <v/>
      </c>
      <c r="Y52" s="354">
        <f>+AP21</f>
        <v/>
      </c>
    </row>
    <row r="53">
      <c r="Y53" s="354">
        <f>+Y52+X52+W52</f>
        <v/>
      </c>
    </row>
    <row r="73">
      <c r="W73" t="inlineStr">
        <is>
          <t>1o ano</t>
        </is>
      </c>
      <c r="X73" t="inlineStr">
        <is>
          <t>2o ano</t>
        </is>
      </c>
      <c r="Y73" t="inlineStr">
        <is>
          <t>3o ano</t>
        </is>
      </c>
    </row>
    <row r="74">
      <c r="W74" s="354">
        <f>+AN25</f>
        <v/>
      </c>
      <c r="X74" s="354">
        <f>+AO25</f>
        <v/>
      </c>
      <c r="Y74" s="354">
        <f>+AP25</f>
        <v/>
      </c>
    </row>
    <row r="75">
      <c r="Y75" s="354">
        <f>+Y74+X74+W74</f>
        <v/>
      </c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W51"/>
  <sheetViews>
    <sheetView showGridLines="0" zoomScale="90" zoomScaleNormal="90" workbookViewId="0">
      <selection activeCell="H51" sqref="H51"/>
    </sheetView>
  </sheetViews>
  <sheetFormatPr baseColWidth="8" defaultRowHeight="14.4"/>
  <cols>
    <col width="22.21875" bestFit="1" customWidth="1" min="2" max="2"/>
    <col width="14.33203125" customWidth="1" min="4" max="4"/>
    <col width="5.21875" customWidth="1" style="404" min="5" max="5"/>
    <col width="14.33203125" customWidth="1" min="6" max="6"/>
    <col width="5.21875" customWidth="1" style="404" min="7" max="7"/>
    <col width="14.33203125" customWidth="1" min="8" max="8"/>
    <col width="5.21875" customWidth="1" style="404" min="9" max="9"/>
    <col width="14.33203125" customWidth="1" min="11" max="11"/>
    <col width="5.21875" customWidth="1" style="404" min="12" max="12"/>
    <col width="14.33203125" customWidth="1" min="13" max="13"/>
    <col width="5.21875" customWidth="1" style="404" min="14" max="14"/>
    <col width="14.33203125" customWidth="1" min="15" max="15"/>
    <col width="5.21875" customWidth="1" style="404" min="16" max="16"/>
    <col width="14.33203125" customWidth="1" min="18" max="18"/>
    <col width="5.21875" customWidth="1" style="404" min="19" max="19"/>
    <col width="14.33203125" customWidth="1" min="20" max="20"/>
    <col width="5.21875" customWidth="1" style="404" min="21" max="21"/>
    <col width="14.33203125" customWidth="1" min="22" max="22"/>
    <col width="5.21875" customWidth="1" style="404" min="23" max="23"/>
  </cols>
  <sheetData>
    <row r="1" ht="15" customHeight="1" thickBot="1"/>
    <row r="2" ht="16.2" customHeight="1" thickBot="1">
      <c r="B2" s="412" t="inlineStr">
        <is>
          <t>DRE Resumo</t>
        </is>
      </c>
      <c r="D2" s="382" t="inlineStr">
        <is>
          <t>5 lotes</t>
        </is>
      </c>
      <c r="F2" s="382" t="inlineStr">
        <is>
          <t>5 lotes</t>
        </is>
      </c>
      <c r="H2" s="389" t="inlineStr">
        <is>
          <t>5 lotes</t>
        </is>
      </c>
      <c r="I2" s="407" t="n"/>
      <c r="K2" s="382" t="inlineStr">
        <is>
          <t>7 lotes</t>
        </is>
      </c>
      <c r="M2" s="382" t="inlineStr">
        <is>
          <t>7 lotes</t>
        </is>
      </c>
      <c r="O2" s="389" t="inlineStr">
        <is>
          <t>7 lotes</t>
        </is>
      </c>
      <c r="P2" s="407" t="n"/>
      <c r="R2" s="382" t="inlineStr">
        <is>
          <t>10 lotes</t>
        </is>
      </c>
      <c r="T2" s="382" t="inlineStr">
        <is>
          <t>10 lotes</t>
        </is>
      </c>
      <c r="V2" s="389" t="inlineStr">
        <is>
          <t>10 lotes</t>
        </is>
      </c>
      <c r="W2" s="407" t="n"/>
    </row>
    <row r="3">
      <c r="D3" s="387" t="inlineStr">
        <is>
          <t>Realizado</t>
        </is>
      </c>
      <c r="E3" s="405" t="n"/>
      <c r="F3" s="388" t="inlineStr">
        <is>
          <t>Projetado</t>
        </is>
      </c>
      <c r="G3" s="405" t="n"/>
      <c r="H3" s="390" t="inlineStr">
        <is>
          <t>TOTAL</t>
        </is>
      </c>
      <c r="I3" s="408" t="n"/>
      <c r="K3" s="387" t="inlineStr">
        <is>
          <t>Realizado</t>
        </is>
      </c>
      <c r="L3" s="405" t="n"/>
      <c r="M3" s="388" t="inlineStr">
        <is>
          <t>Projetado</t>
        </is>
      </c>
      <c r="N3" s="405" t="n"/>
      <c r="O3" s="390" t="inlineStr">
        <is>
          <t>TOTAL</t>
        </is>
      </c>
      <c r="P3" s="408" t="n"/>
      <c r="R3" s="387" t="inlineStr">
        <is>
          <t>Realizado</t>
        </is>
      </c>
      <c r="S3" s="405" t="n"/>
      <c r="T3" s="388" t="inlineStr">
        <is>
          <t>Projetado</t>
        </is>
      </c>
      <c r="U3" s="405" t="n"/>
      <c r="V3" s="390" t="inlineStr">
        <is>
          <t>TOTAL</t>
        </is>
      </c>
      <c r="W3" s="408" t="n"/>
    </row>
    <row r="4">
      <c r="H4" s="391" t="n"/>
      <c r="I4" s="409" t="n"/>
      <c r="O4" s="391" t="n"/>
      <c r="P4" s="409" t="n"/>
      <c r="V4" s="391" t="n"/>
      <c r="W4" s="409" t="n"/>
    </row>
    <row r="5">
      <c r="B5" t="inlineStr">
        <is>
          <t>Receita Bruta de Vendas</t>
        </is>
      </c>
      <c r="D5" s="354">
        <f>SUM('FC Total (5 lotes)'!$C$9:$AF$9)+SUM('FC Total (5 lotes)'!$C$12:$AF$12)</f>
        <v/>
      </c>
      <c r="F5" s="354">
        <f>SUM('FC Total (5 lotes)'!$AT$9:$HU$9)+SUM('FC Total (5 lotes)'!$AT$12:$HU$12)</f>
        <v/>
      </c>
      <c r="H5" s="392">
        <f>+D5+F5</f>
        <v/>
      </c>
      <c r="I5" s="409" t="n"/>
      <c r="K5" s="354">
        <f>SUM(#REF!)+SUM(#REF!)</f>
        <v/>
      </c>
      <c r="M5" s="354">
        <f>SUM(#REF!)+SUM(#REF!)</f>
        <v/>
      </c>
      <c r="O5" s="392">
        <f>+K5+M5</f>
        <v/>
      </c>
      <c r="P5" s="409" t="n"/>
      <c r="R5" s="354">
        <f>SUM(#REF!)+SUM(#REF!)</f>
        <v/>
      </c>
      <c r="T5" s="354">
        <f>SUM(#REF!)+SUM(#REF!)</f>
        <v/>
      </c>
      <c r="V5" s="392">
        <f>+R5+T5</f>
        <v/>
      </c>
      <c r="W5" s="409" t="n"/>
    </row>
    <row r="6">
      <c r="B6" t="inlineStr">
        <is>
          <t>Aporte</t>
        </is>
      </c>
      <c r="D6" s="354">
        <f>SUM('FC Total (5 lotes)'!$C$15:$AF$15)</f>
        <v/>
      </c>
      <c r="F6" s="354">
        <f>SUM('FC Total (5 lotes)'!$AT$15:$HU$15)</f>
        <v/>
      </c>
      <c r="H6" s="392">
        <f>+D6+F6</f>
        <v/>
      </c>
      <c r="I6" s="409" t="n"/>
      <c r="K6" s="354">
        <f>SUM(#REF!)</f>
        <v/>
      </c>
      <c r="M6" s="354">
        <f>SUM(#REF!)</f>
        <v/>
      </c>
      <c r="O6" s="392">
        <f>+K6+M6</f>
        <v/>
      </c>
      <c r="P6" s="409" t="n"/>
      <c r="R6" s="354">
        <f>SUM(#REF!)</f>
        <v/>
      </c>
      <c r="T6" s="354">
        <f>SUM(#REF!)</f>
        <v/>
      </c>
      <c r="V6" s="392">
        <f>+R6+T6</f>
        <v/>
      </c>
      <c r="W6" s="409" t="n"/>
    </row>
    <row r="7">
      <c r="B7" t="inlineStr">
        <is>
          <t>Receita Financeira</t>
        </is>
      </c>
      <c r="D7" s="354">
        <f>SUM('FC Total (5 lotes)'!$C$18:$AF$18)</f>
        <v/>
      </c>
      <c r="F7" s="354">
        <f>SUM('FC Total (5 lotes)'!$AT$18:$HU$18)</f>
        <v/>
      </c>
      <c r="H7" s="392">
        <f>+D7+F7</f>
        <v/>
      </c>
      <c r="I7" s="409" t="n"/>
      <c r="K7" s="354">
        <f>SUM(#REF!)</f>
        <v/>
      </c>
      <c r="M7" s="354">
        <f>SUM(#REF!)</f>
        <v/>
      </c>
      <c r="O7" s="392">
        <f>+K7+M7</f>
        <v/>
      </c>
      <c r="P7" s="409" t="n"/>
      <c r="R7" s="354">
        <f>SUM(#REF!)</f>
        <v/>
      </c>
      <c r="T7" s="354">
        <f>SUM(#REF!)</f>
        <v/>
      </c>
      <c r="V7" s="392">
        <f>+R7+T7</f>
        <v/>
      </c>
      <c r="W7" s="409" t="n"/>
    </row>
    <row r="8">
      <c r="B8" t="inlineStr">
        <is>
          <t>ITBI</t>
        </is>
      </c>
      <c r="D8" s="354">
        <f>SUM('FC Total (5 lotes)'!$C$8:$AF$8)</f>
        <v/>
      </c>
      <c r="F8" s="354">
        <f>SUM('FC Total (5 lotes)'!$AT$8:$HU$8)</f>
        <v/>
      </c>
      <c r="H8" s="392">
        <f>+D8+F8</f>
        <v/>
      </c>
      <c r="I8" s="409" t="n"/>
      <c r="K8" s="354">
        <f>SUM(#REF!)</f>
        <v/>
      </c>
      <c r="M8" s="354">
        <f>SUM(#REF!)</f>
        <v/>
      </c>
      <c r="O8" s="392">
        <f>+K8+M8</f>
        <v/>
      </c>
      <c r="P8" s="409" t="n"/>
      <c r="R8" s="354">
        <f>SUM(#REF!)</f>
        <v/>
      </c>
      <c r="T8" s="354">
        <f>SUM(#REF!)</f>
        <v/>
      </c>
      <c r="V8" s="392">
        <f>+R8+T8</f>
        <v/>
      </c>
      <c r="W8" s="409" t="n"/>
    </row>
    <row r="9">
      <c r="B9" t="inlineStr">
        <is>
          <t>Distratos</t>
        </is>
      </c>
      <c r="D9" s="354">
        <f>SUM('FC Total (5 lotes)'!$C$62:$AF$62)</f>
        <v/>
      </c>
      <c r="F9" s="354">
        <f>SUM('FC Total (5 lotes)'!$AT$62:$HU$62)</f>
        <v/>
      </c>
      <c r="H9" s="392">
        <f>+D9+F9</f>
        <v/>
      </c>
      <c r="I9" s="409" t="n"/>
      <c r="K9" s="354">
        <f>SUM(#REF!)</f>
        <v/>
      </c>
      <c r="M9" s="354">
        <f>SUM(#REF!)</f>
        <v/>
      </c>
      <c r="O9" s="392">
        <f>+K9+M9</f>
        <v/>
      </c>
      <c r="P9" s="409" t="n"/>
      <c r="R9" s="354">
        <f>SUM(#REF!)</f>
        <v/>
      </c>
      <c r="T9" s="354">
        <f>SUM(#REF!)</f>
        <v/>
      </c>
      <c r="V9" s="392">
        <f>+R9+T9</f>
        <v/>
      </c>
      <c r="W9" s="409" t="n"/>
    </row>
    <row r="10">
      <c r="H10" s="391" t="n"/>
      <c r="I10" s="409" t="n"/>
      <c r="O10" s="391" t="n"/>
      <c r="P10" s="409" t="n"/>
      <c r="V10" s="391" t="n"/>
      <c r="W10" s="409" t="n"/>
    </row>
    <row r="11" ht="15" customHeight="1" thickBot="1">
      <c r="B11" s="432" t="inlineStr">
        <is>
          <t>Total de Receitas</t>
        </is>
      </c>
      <c r="D11" s="402">
        <f>SUM(D5:D9)</f>
        <v/>
      </c>
      <c r="F11" s="402">
        <f>SUM(F5:F9)</f>
        <v/>
      </c>
      <c r="H11" s="403">
        <f>SUM(H5:H9)</f>
        <v/>
      </c>
      <c r="I11" s="409" t="n"/>
      <c r="K11" s="402">
        <f>SUM(K5:K9)</f>
        <v/>
      </c>
      <c r="M11" s="402">
        <f>SUM(M5:M9)</f>
        <v/>
      </c>
      <c r="O11" s="403">
        <f>SUM(O5:O9)</f>
        <v/>
      </c>
      <c r="P11" s="409" t="n"/>
      <c r="R11" s="402">
        <f>SUM(R5:R9)</f>
        <v/>
      </c>
      <c r="T11" s="402">
        <f>SUM(T5:T9)</f>
        <v/>
      </c>
      <c r="V11" s="403">
        <f>SUM(V5:V9)</f>
        <v/>
      </c>
      <c r="W11" s="409" t="n"/>
    </row>
    <row r="12" ht="15" customHeight="1" thickTop="1">
      <c r="H12" s="391" t="n"/>
      <c r="I12" s="409" t="n"/>
      <c r="O12" s="391" t="n"/>
      <c r="P12" s="409" t="n"/>
      <c r="V12" s="391" t="n"/>
      <c r="W12" s="409" t="n"/>
    </row>
    <row r="13">
      <c r="H13" s="391" t="n"/>
      <c r="I13" s="409" t="n"/>
      <c r="O13" s="391" t="n"/>
      <c r="P13" s="409" t="n"/>
      <c r="V13" s="391" t="n"/>
      <c r="W13" s="409" t="n"/>
    </row>
    <row r="14">
      <c r="B14" t="inlineStr">
        <is>
          <t>Impostos</t>
        </is>
      </c>
      <c r="D14" s="354">
        <f>SUM('FC Total (5 lotes)'!$C$56:$AF$56)</f>
        <v/>
      </c>
      <c r="F14" s="354">
        <f>SUM('FC Total (5 lotes)'!$AT$56:$HU$56)</f>
        <v/>
      </c>
      <c r="H14" s="392">
        <f>+D14+F14</f>
        <v/>
      </c>
      <c r="I14" s="409" t="n"/>
      <c r="K14" s="354">
        <f>SUM(#REF!)</f>
        <v/>
      </c>
      <c r="M14" s="354">
        <f>SUM(#REF!)</f>
        <v/>
      </c>
      <c r="O14" s="392">
        <f>+K14+M14</f>
        <v/>
      </c>
      <c r="P14" s="409" t="n"/>
      <c r="R14" s="354">
        <f>SUM(#REF!)</f>
        <v/>
      </c>
      <c r="T14" s="354">
        <f>SUM(#REF!)</f>
        <v/>
      </c>
      <c r="V14" s="392">
        <f>+R14+T14</f>
        <v/>
      </c>
      <c r="W14" s="409" t="n"/>
    </row>
    <row r="15">
      <c r="D15" s="377">
        <f>+D14/D5</f>
        <v/>
      </c>
      <c r="F15" s="377">
        <f>+F14/F5</f>
        <v/>
      </c>
      <c r="H15" s="394">
        <f>+H14/H5</f>
        <v/>
      </c>
      <c r="I15" s="409" t="n"/>
      <c r="K15" s="377">
        <f>+K14/K5</f>
        <v/>
      </c>
      <c r="M15" s="377">
        <f>+M14/M5</f>
        <v/>
      </c>
      <c r="O15" s="394">
        <f>+O14/O5</f>
        <v/>
      </c>
      <c r="P15" s="409" t="n"/>
      <c r="R15" s="377">
        <f>+R14/R5</f>
        <v/>
      </c>
      <c r="T15" s="377">
        <f>+T14/T5</f>
        <v/>
      </c>
      <c r="V15" s="394">
        <f>+V14/V5</f>
        <v/>
      </c>
      <c r="W15" s="409" t="n"/>
    </row>
    <row r="16">
      <c r="H16" s="391" t="n"/>
      <c r="I16" s="409" t="n"/>
      <c r="O16" s="391" t="n"/>
      <c r="P16" s="409" t="n"/>
      <c r="V16" s="391" t="n"/>
      <c r="W16" s="409" t="n"/>
    </row>
    <row r="17" ht="15" customHeight="1" thickBot="1">
      <c r="B17" s="432" t="inlineStr">
        <is>
          <t>Receita Líquida</t>
        </is>
      </c>
      <c r="D17" s="400">
        <f>+D11+D14</f>
        <v/>
      </c>
      <c r="F17" s="400">
        <f>+F11+F14</f>
        <v/>
      </c>
      <c r="H17" s="401">
        <f>+H11+H14</f>
        <v/>
      </c>
      <c r="I17" s="409" t="n"/>
      <c r="K17" s="400">
        <f>+K11+K14</f>
        <v/>
      </c>
      <c r="M17" s="400">
        <f>+M11+M14</f>
        <v/>
      </c>
      <c r="O17" s="401">
        <f>+O11+O14</f>
        <v/>
      </c>
      <c r="P17" s="409" t="n"/>
      <c r="R17" s="400">
        <f>+R11+R14</f>
        <v/>
      </c>
      <c r="T17" s="400">
        <f>+T11+T14</f>
        <v/>
      </c>
      <c r="V17" s="401">
        <f>+V11+V14</f>
        <v/>
      </c>
      <c r="W17" s="409" t="n"/>
    </row>
    <row r="18" ht="15" customHeight="1" thickTop="1">
      <c r="H18" s="391" t="n"/>
      <c r="I18" s="409" t="n"/>
      <c r="O18" s="391" t="n"/>
      <c r="P18" s="409" t="n"/>
      <c r="V18" s="391" t="n"/>
      <c r="W18" s="409" t="n"/>
    </row>
    <row r="19">
      <c r="B19" s="378" t="inlineStr">
        <is>
          <t>Custos</t>
        </is>
      </c>
      <c r="D19" s="378" t="n"/>
      <c r="F19" s="378" t="n"/>
      <c r="H19" s="395" t="n"/>
      <c r="I19" s="409" t="n"/>
      <c r="K19" s="378" t="n"/>
      <c r="M19" s="378" t="n"/>
      <c r="O19" s="395" t="n"/>
      <c r="P19" s="409" t="n"/>
      <c r="R19" s="378" t="n"/>
      <c r="T19" s="378" t="n"/>
      <c r="V19" s="395" t="n"/>
      <c r="W19" s="409" t="n"/>
    </row>
    <row r="20">
      <c r="B20" t="inlineStr">
        <is>
          <t>Obra</t>
        </is>
      </c>
      <c r="D20" s="354">
        <f>SUM('FC Total (5 lotes)'!$C$38:$AF$38)+SUM('FC Total (5 lotes)'!$C$40:$AF$40)</f>
        <v/>
      </c>
      <c r="E20" s="406">
        <f>+D20/$D$5</f>
        <v/>
      </c>
      <c r="F20" s="354">
        <f>SUM('FC Total (5 lotes)'!$AT$38:$HU$38)+SUM('FC Total (5 lotes)'!$AT$40:$HU$40)</f>
        <v/>
      </c>
      <c r="G20" s="406">
        <f>+F20/$F$5</f>
        <v/>
      </c>
      <c r="H20" s="392">
        <f>+D20+F20</f>
        <v/>
      </c>
      <c r="I20" s="410">
        <f>+H20/$H$5</f>
        <v/>
      </c>
      <c r="K20" s="354">
        <f>SUM(#REF!)+SUM(#REF!)</f>
        <v/>
      </c>
      <c r="L20" s="406">
        <f>+K20/$D$5</f>
        <v/>
      </c>
      <c r="M20" s="354">
        <f>SUM(#REF!)+SUM(#REF!)</f>
        <v/>
      </c>
      <c r="N20" s="406">
        <f>+M20/$F$5</f>
        <v/>
      </c>
      <c r="O20" s="392">
        <f>+K20+M20</f>
        <v/>
      </c>
      <c r="P20" s="410">
        <f>+O20/$H$5</f>
        <v/>
      </c>
      <c r="R20" s="354">
        <f>SUM(#REF!)+SUM(#REF!)</f>
        <v/>
      </c>
      <c r="S20" s="406">
        <f>+R20/$D$5</f>
        <v/>
      </c>
      <c r="T20" s="354">
        <f>SUM(#REF!)+SUM(#REF!)</f>
        <v/>
      </c>
      <c r="U20" s="406">
        <f>+T20/$F$5</f>
        <v/>
      </c>
      <c r="V20" s="392">
        <f>+R20+T20</f>
        <v/>
      </c>
      <c r="W20" s="410">
        <f>+V20/$H$5</f>
        <v/>
      </c>
    </row>
    <row r="21">
      <c r="B21" t="inlineStr">
        <is>
          <t>Incorporação</t>
        </is>
      </c>
      <c r="D21" s="354">
        <f>SUM('FC Total (5 lotes)'!$C$43:$AF$43)</f>
        <v/>
      </c>
      <c r="E21" s="406">
        <f>+D21/$D$5</f>
        <v/>
      </c>
      <c r="F21" s="354">
        <f>SUM('FC Total (5 lotes)'!$AT$43:$HU$43)</f>
        <v/>
      </c>
      <c r="G21" s="406">
        <f>+F21/$F$5</f>
        <v/>
      </c>
      <c r="H21" s="392">
        <f>+D21+F21</f>
        <v/>
      </c>
      <c r="I21" s="410">
        <f>+H21/$H$5</f>
        <v/>
      </c>
      <c r="K21" s="354">
        <f>SUM(#REF!)</f>
        <v/>
      </c>
      <c r="L21" s="406">
        <f>+K21/$D$5</f>
        <v/>
      </c>
      <c r="M21" s="354">
        <f>SUM(#REF!)</f>
        <v/>
      </c>
      <c r="N21" s="406">
        <f>+M21/$F$5</f>
        <v/>
      </c>
      <c r="O21" s="392">
        <f>+K21+M21</f>
        <v/>
      </c>
      <c r="P21" s="410">
        <f>+O21/$H$5</f>
        <v/>
      </c>
      <c r="R21" s="354">
        <f>SUM(#REF!)</f>
        <v/>
      </c>
      <c r="S21" s="406">
        <f>+R21/$D$5</f>
        <v/>
      </c>
      <c r="T21" s="354">
        <f>SUM(#REF!)</f>
        <v/>
      </c>
      <c r="U21" s="406">
        <f>+T21/$F$5</f>
        <v/>
      </c>
      <c r="V21" s="392">
        <f>+R21+T21</f>
        <v/>
      </c>
      <c r="W21" s="410">
        <f>+V21/$H$5</f>
        <v/>
      </c>
    </row>
    <row r="22">
      <c r="B22" t="inlineStr">
        <is>
          <t>Gerenciamento</t>
        </is>
      </c>
      <c r="D22" s="354">
        <f>SUM('FC Total (5 lotes)'!$C$44:$AF$44)</f>
        <v/>
      </c>
      <c r="E22" s="406">
        <f>+D22/$D$5</f>
        <v/>
      </c>
      <c r="F22" s="354">
        <f>SUM('FC Total (5 lotes)'!$AT$44:$HU$44)</f>
        <v/>
      </c>
      <c r="G22" s="406">
        <f>+F22/$F$5</f>
        <v/>
      </c>
      <c r="H22" s="392">
        <f>+D22+F22</f>
        <v/>
      </c>
      <c r="I22" s="410">
        <f>+H22/$H$5</f>
        <v/>
      </c>
      <c r="K22" s="354">
        <f>SUM(#REF!)</f>
        <v/>
      </c>
      <c r="L22" s="406">
        <f>+K22/$D$5</f>
        <v/>
      </c>
      <c r="M22" s="354">
        <f>SUM(#REF!)</f>
        <v/>
      </c>
      <c r="N22" s="406">
        <f>+M22/$F$5</f>
        <v/>
      </c>
      <c r="O22" s="392">
        <f>+K22+M22</f>
        <v/>
      </c>
      <c r="P22" s="410">
        <f>+O22/$H$5</f>
        <v/>
      </c>
      <c r="R22" s="354">
        <f>SUM(#REF!)</f>
        <v/>
      </c>
      <c r="S22" s="406">
        <f>+R22/$D$5</f>
        <v/>
      </c>
      <c r="T22" s="354">
        <f>SUM(#REF!)</f>
        <v/>
      </c>
      <c r="U22" s="406">
        <f>+T22/$F$5</f>
        <v/>
      </c>
      <c r="V22" s="392">
        <f>+R22+T22</f>
        <v/>
      </c>
      <c r="W22" s="410">
        <f>+V22/$H$5</f>
        <v/>
      </c>
    </row>
    <row r="23">
      <c r="B23" t="inlineStr">
        <is>
          <t>Terreno</t>
        </is>
      </c>
      <c r="D23" s="354">
        <f>SUM('FC Total (5 lotes)'!$C$59:$AF$59)</f>
        <v/>
      </c>
      <c r="E23" s="406">
        <f>+D23/$D$5</f>
        <v/>
      </c>
      <c r="F23" s="354">
        <f>SUM('FC Total (5 lotes)'!$AT$59:$HU$59)</f>
        <v/>
      </c>
      <c r="G23" s="406">
        <f>+F23/$F$5</f>
        <v/>
      </c>
      <c r="H23" s="392">
        <f>+D23+F23</f>
        <v/>
      </c>
      <c r="I23" s="410">
        <f>+H23/$H$5</f>
        <v/>
      </c>
      <c r="K23" s="354">
        <f>SUM(#REF!)</f>
        <v/>
      </c>
      <c r="L23" s="406">
        <f>+K23/$D$5</f>
        <v/>
      </c>
      <c r="M23" s="354">
        <f>SUM(#REF!)</f>
        <v/>
      </c>
      <c r="N23" s="406">
        <f>+M23/$F$5</f>
        <v/>
      </c>
      <c r="O23" s="392">
        <f>+K23+M23</f>
        <v/>
      </c>
      <c r="P23" s="410">
        <f>+O23/$H$5</f>
        <v/>
      </c>
      <c r="R23" s="354">
        <f>SUM(#REF!)</f>
        <v/>
      </c>
      <c r="S23" s="406">
        <f>+R23/$D$5</f>
        <v/>
      </c>
      <c r="T23" s="354">
        <f>SUM(#REF!)</f>
        <v/>
      </c>
      <c r="U23" s="406">
        <f>+T23/$F$5</f>
        <v/>
      </c>
      <c r="V23" s="392">
        <f>+R23+T23</f>
        <v/>
      </c>
      <c r="W23" s="410">
        <f>+V23/$H$5</f>
        <v/>
      </c>
    </row>
    <row r="24">
      <c r="B24" t="inlineStr">
        <is>
          <t>ITBI</t>
        </is>
      </c>
      <c r="D24" s="354">
        <f>SUM('FC Total (5 lotes)'!$C$32:$AF$32)</f>
        <v/>
      </c>
      <c r="E24" s="406">
        <f>+D24/$D$5</f>
        <v/>
      </c>
      <c r="F24" s="354">
        <f>SUM('FC Total (5 lotes)'!$AT$32:$HU$32)</f>
        <v/>
      </c>
      <c r="G24" s="406">
        <f>+F24/$F$5</f>
        <v/>
      </c>
      <c r="H24" s="392">
        <f>+D24+F24</f>
        <v/>
      </c>
      <c r="I24" s="410">
        <f>+H24/$H$5</f>
        <v/>
      </c>
      <c r="K24" s="354">
        <f>SUM(#REF!)</f>
        <v/>
      </c>
      <c r="L24" s="406">
        <f>+K24/$D$5</f>
        <v/>
      </c>
      <c r="M24" s="354">
        <f>SUM(#REF!)</f>
        <v/>
      </c>
      <c r="N24" s="406">
        <f>+M24/$F$5</f>
        <v/>
      </c>
      <c r="O24" s="392">
        <f>+K24+M24</f>
        <v/>
      </c>
      <c r="P24" s="410">
        <f>+O24/$H$5</f>
        <v/>
      </c>
      <c r="R24" s="354">
        <f>SUM(#REF!)</f>
        <v/>
      </c>
      <c r="S24" s="406">
        <f>+R24/$D$5</f>
        <v/>
      </c>
      <c r="T24" s="354">
        <f>SUM(#REF!)</f>
        <v/>
      </c>
      <c r="U24" s="406">
        <f>+T24/$F$5</f>
        <v/>
      </c>
      <c r="V24" s="392">
        <f>+R24+T24</f>
        <v/>
      </c>
      <c r="W24" s="410">
        <f>+V24/$H$5</f>
        <v/>
      </c>
    </row>
    <row r="25">
      <c r="B25" s="379" t="inlineStr">
        <is>
          <t>TOTAL DOS CUSTOS</t>
        </is>
      </c>
      <c r="D25" s="383">
        <f>SUM(D20:D24)</f>
        <v/>
      </c>
      <c r="F25" s="383">
        <f>SUM(F20:F24)</f>
        <v/>
      </c>
      <c r="H25" s="396">
        <f>SUM(H20:H24)</f>
        <v/>
      </c>
      <c r="I25" s="409" t="n"/>
      <c r="K25" s="383">
        <f>SUM(K20:K24)</f>
        <v/>
      </c>
      <c r="M25" s="383">
        <f>SUM(M20:M24)</f>
        <v/>
      </c>
      <c r="O25" s="396">
        <f>SUM(O20:O24)</f>
        <v/>
      </c>
      <c r="P25" s="409" t="n"/>
      <c r="R25" s="383">
        <f>SUM(R20:R24)</f>
        <v/>
      </c>
      <c r="T25" s="383">
        <f>SUM(T20:T24)</f>
        <v/>
      </c>
      <c r="V25" s="396">
        <f>SUM(V20:V24)</f>
        <v/>
      </c>
      <c r="W25" s="409" t="n"/>
    </row>
    <row r="26">
      <c r="H26" s="391" t="n"/>
      <c r="I26" s="409" t="n"/>
      <c r="O26" s="391" t="n"/>
      <c r="P26" s="409" t="n"/>
      <c r="V26" s="391" t="n"/>
      <c r="W26" s="409" t="n"/>
    </row>
    <row r="27">
      <c r="B27" t="inlineStr">
        <is>
          <t>Margem Bruta</t>
        </is>
      </c>
      <c r="D27" s="354">
        <f>+D17+D25</f>
        <v/>
      </c>
      <c r="F27" s="354">
        <f>+F17+F25</f>
        <v/>
      </c>
      <c r="H27" s="393">
        <f>+H17+H25</f>
        <v/>
      </c>
      <c r="I27" s="409" t="n"/>
      <c r="K27" s="354">
        <f>+K17+K25</f>
        <v/>
      </c>
      <c r="M27" s="354">
        <f>+M17+M25</f>
        <v/>
      </c>
      <c r="O27" s="393">
        <f>+O17+O25</f>
        <v/>
      </c>
      <c r="P27" s="409" t="n"/>
      <c r="R27" s="354">
        <f>+R17+R25</f>
        <v/>
      </c>
      <c r="T27" s="354">
        <f>+T17+T25</f>
        <v/>
      </c>
      <c r="V27" s="393">
        <f>+V17+V25</f>
        <v/>
      </c>
      <c r="W27" s="409" t="n"/>
    </row>
    <row r="28">
      <c r="D28" s="601">
        <f>+D27/D17</f>
        <v/>
      </c>
      <c r="F28" s="601">
        <f>+F27/F17</f>
        <v/>
      </c>
      <c r="H28" s="602">
        <f>+H27/H17</f>
        <v/>
      </c>
      <c r="I28" s="409" t="n"/>
      <c r="K28" s="601">
        <f>+K27/K17</f>
        <v/>
      </c>
      <c r="M28" s="601">
        <f>+M27/M17</f>
        <v/>
      </c>
      <c r="O28" s="602">
        <f>+O27/O17</f>
        <v/>
      </c>
      <c r="P28" s="409" t="n"/>
      <c r="R28" s="601">
        <f>+R27/R17</f>
        <v/>
      </c>
      <c r="T28" s="601">
        <f>+T27/T17</f>
        <v/>
      </c>
      <c r="V28" s="602">
        <f>+V27/V17</f>
        <v/>
      </c>
      <c r="W28" s="409" t="n"/>
    </row>
    <row r="29">
      <c r="B29" s="378" t="inlineStr">
        <is>
          <t>Despesas</t>
        </is>
      </c>
      <c r="D29" s="378" t="n"/>
      <c r="F29" s="378" t="n"/>
      <c r="H29" s="395" t="n"/>
      <c r="I29" s="409" t="n"/>
      <c r="K29" s="378" t="n"/>
      <c r="M29" s="378" t="n"/>
      <c r="O29" s="395" t="n"/>
      <c r="P29" s="409" t="n"/>
      <c r="R29" s="378" t="n"/>
      <c r="T29" s="378" t="n"/>
      <c r="V29" s="395" t="n"/>
      <c r="W29" s="409" t="n"/>
    </row>
    <row r="30">
      <c r="B30" t="inlineStr">
        <is>
          <t>Comissões</t>
        </is>
      </c>
      <c r="D30" s="354">
        <f>SUM('FC Total (5 lotes)'!$C$25:$AF$25)</f>
        <v/>
      </c>
      <c r="E30" s="406">
        <f>+D30/$D$5</f>
        <v/>
      </c>
      <c r="F30" s="354">
        <f>SUM('FC Total (5 lotes)'!$AT$25:$HU$25)</f>
        <v/>
      </c>
      <c r="G30" s="406">
        <f>+F30/$F$5</f>
        <v/>
      </c>
      <c r="H30" s="392">
        <f>+D30+F30</f>
        <v/>
      </c>
      <c r="I30" s="410">
        <f>+H30/$H$5</f>
        <v/>
      </c>
      <c r="K30" s="354">
        <f>SUM(#REF!)</f>
        <v/>
      </c>
      <c r="L30" s="406">
        <f>+K30/$D$5</f>
        <v/>
      </c>
      <c r="M30" s="354">
        <f>SUM(#REF!)</f>
        <v/>
      </c>
      <c r="N30" s="406">
        <f>+M30/$F$5</f>
        <v/>
      </c>
      <c r="O30" s="392">
        <f>+K30+M30</f>
        <v/>
      </c>
      <c r="P30" s="410">
        <f>+O30/$H$5</f>
        <v/>
      </c>
      <c r="R30" s="354">
        <f>SUM(#REF!)</f>
        <v/>
      </c>
      <c r="S30" s="406">
        <f>+R30/$D$5</f>
        <v/>
      </c>
      <c r="T30" s="354">
        <f>SUM(#REF!)</f>
        <v/>
      </c>
      <c r="U30" s="406">
        <f>+T30/$F$5</f>
        <v/>
      </c>
      <c r="V30" s="392">
        <f>+R30+T30</f>
        <v/>
      </c>
      <c r="W30" s="410">
        <f>+V30/$H$5</f>
        <v/>
      </c>
    </row>
    <row r="31">
      <c r="B31" t="inlineStr">
        <is>
          <t>Marketing</t>
        </is>
      </c>
      <c r="D31" s="354">
        <f>SUM('FC Total (5 lotes)'!$C$27:$AF$27)</f>
        <v/>
      </c>
      <c r="E31" s="406">
        <f>+D31/$D$5</f>
        <v/>
      </c>
      <c r="F31" s="354">
        <f>SUM('FC Total (5 lotes)'!$AT$27:$HU$27)</f>
        <v/>
      </c>
      <c r="G31" s="406">
        <f>+F31/$F$5</f>
        <v/>
      </c>
      <c r="H31" s="392">
        <f>+D31+F31</f>
        <v/>
      </c>
      <c r="I31" s="410">
        <f>+H31/$H$5</f>
        <v/>
      </c>
      <c r="K31" s="354">
        <f>SUM(#REF!)</f>
        <v/>
      </c>
      <c r="L31" s="406">
        <f>+K31/$D$5</f>
        <v/>
      </c>
      <c r="M31" s="354">
        <f>SUM(#REF!)</f>
        <v/>
      </c>
      <c r="N31" s="406">
        <f>+M31/$F$5</f>
        <v/>
      </c>
      <c r="O31" s="392">
        <f>+K31+M31</f>
        <v/>
      </c>
      <c r="P31" s="410">
        <f>+O31/$H$5</f>
        <v/>
      </c>
      <c r="R31" s="354">
        <f>SUM(#REF!)</f>
        <v/>
      </c>
      <c r="S31" s="406">
        <f>+R31/$D$5</f>
        <v/>
      </c>
      <c r="T31" s="354">
        <f>SUM(#REF!)</f>
        <v/>
      </c>
      <c r="U31" s="406">
        <f>+T31/$F$5</f>
        <v/>
      </c>
      <c r="V31" s="392">
        <f>+R31+T31</f>
        <v/>
      </c>
      <c r="W31" s="410">
        <f>+V31/$H$5</f>
        <v/>
      </c>
    </row>
    <row r="32">
      <c r="B32" t="inlineStr">
        <is>
          <t>Plantão</t>
        </is>
      </c>
      <c r="D32" s="354">
        <f>SUM('FC Total (5 lotes)'!$C$26:$AF$26)</f>
        <v/>
      </c>
      <c r="E32" s="406">
        <f>+D32/$D$5</f>
        <v/>
      </c>
      <c r="F32" s="354">
        <f>SUM('FC Total (5 lotes)'!$AT$26:$HU$26)</f>
        <v/>
      </c>
      <c r="G32" s="406">
        <f>+F32/$F$5</f>
        <v/>
      </c>
      <c r="H32" s="392">
        <f>+D32+F32</f>
        <v/>
      </c>
      <c r="I32" s="410">
        <f>+H32/$H$5</f>
        <v/>
      </c>
      <c r="K32" s="354">
        <f>SUM(#REF!)</f>
        <v/>
      </c>
      <c r="L32" s="406">
        <f>+K32/$D$5</f>
        <v/>
      </c>
      <c r="M32" s="354">
        <f>SUM(#REF!)</f>
        <v/>
      </c>
      <c r="N32" s="406">
        <f>+M32/$F$5</f>
        <v/>
      </c>
      <c r="O32" s="392">
        <f>+K32+M32</f>
        <v/>
      </c>
      <c r="P32" s="410">
        <f>+O32/$H$5</f>
        <v/>
      </c>
      <c r="R32" s="354">
        <f>SUM(#REF!)</f>
        <v/>
      </c>
      <c r="S32" s="406">
        <f>+R32/$D$5</f>
        <v/>
      </c>
      <c r="T32" s="354">
        <f>SUM(#REF!)</f>
        <v/>
      </c>
      <c r="U32" s="406">
        <f>+T32/$F$5</f>
        <v/>
      </c>
      <c r="V32" s="392">
        <f>+R32+T32</f>
        <v/>
      </c>
      <c r="W32" s="410">
        <f>+V32/$H$5</f>
        <v/>
      </c>
    </row>
    <row r="33">
      <c r="B33" t="inlineStr">
        <is>
          <t>IPTU/Cond Estoque</t>
        </is>
      </c>
      <c r="D33" s="354">
        <f>SUM('FC Total (5 lotes)'!$C$33:$AF$33)+SUM('FC Total (5 lotes)'!$C$34:$AF$34)</f>
        <v/>
      </c>
      <c r="E33" s="406">
        <f>+D33/$D$5</f>
        <v/>
      </c>
      <c r="F33" s="354">
        <f>SUM('FC Total (5 lotes)'!$AT$33:$HU$33)+SUM('FC Total (5 lotes)'!$AT$34:$HU$34)</f>
        <v/>
      </c>
      <c r="G33" s="406">
        <f>+F33/$F$5</f>
        <v/>
      </c>
      <c r="H33" s="392">
        <f>+D33+F33</f>
        <v/>
      </c>
      <c r="I33" s="410">
        <f>+H33/$H$5</f>
        <v/>
      </c>
      <c r="K33" s="354">
        <f>SUM(#REF!)+SUM(#REF!)</f>
        <v/>
      </c>
      <c r="L33" s="406">
        <f>+K33/$D$5</f>
        <v/>
      </c>
      <c r="M33" s="354">
        <f>SUM(#REF!)+SUM(#REF!)</f>
        <v/>
      </c>
      <c r="N33" s="406">
        <f>+M33/$F$5</f>
        <v/>
      </c>
      <c r="O33" s="392">
        <f>+K33+M33</f>
        <v/>
      </c>
      <c r="P33" s="410">
        <f>+O33/$H$5</f>
        <v/>
      </c>
      <c r="R33" s="354">
        <f>SUM(#REF!)+SUM(#REF!)</f>
        <v/>
      </c>
      <c r="S33" s="406">
        <f>+R33/$D$5</f>
        <v/>
      </c>
      <c r="T33" s="354">
        <f>SUM(#REF!)+SUM(#REF!)</f>
        <v/>
      </c>
      <c r="U33" s="406">
        <f>+T33/$F$5</f>
        <v/>
      </c>
      <c r="V33" s="392">
        <f>+R33+T33</f>
        <v/>
      </c>
      <c r="W33" s="410">
        <f>+V33/$H$5</f>
        <v/>
      </c>
    </row>
    <row r="34">
      <c r="B34" t="inlineStr">
        <is>
          <t>Outras adm.</t>
        </is>
      </c>
      <c r="D34" s="354">
        <f>SUM('FC Total (5 lotes)'!$C$47:$AF$47)+SUM('FC Total (5 lotes)'!$C$50:$AF$50)</f>
        <v/>
      </c>
      <c r="E34" s="406">
        <f>+D34/$D$5</f>
        <v/>
      </c>
      <c r="F34" s="354">
        <f>SUM('FC Total (5 lotes)'!$AT$47:$HU$47)+SUM('FC Total (5 lotes)'!$AT$50:$HU$50)</f>
        <v/>
      </c>
      <c r="G34" s="406">
        <f>+F34/$F$5</f>
        <v/>
      </c>
      <c r="H34" s="392">
        <f>+D34+F34</f>
        <v/>
      </c>
      <c r="I34" s="410">
        <f>+H34/$H$5</f>
        <v/>
      </c>
      <c r="K34" s="354">
        <f>SUM(#REF!)+SUM(#REF!)</f>
        <v/>
      </c>
      <c r="L34" s="406">
        <f>+K34/$D$5</f>
        <v/>
      </c>
      <c r="M34" s="354">
        <f>SUM(#REF!)+SUM(#REF!)</f>
        <v/>
      </c>
      <c r="N34" s="406">
        <f>+M34/$F$5</f>
        <v/>
      </c>
      <c r="O34" s="392">
        <f>+K34+M34</f>
        <v/>
      </c>
      <c r="P34" s="410">
        <f>+O34/$H$5</f>
        <v/>
      </c>
      <c r="R34" s="354">
        <f>SUM(#REF!)+SUM(#REF!)</f>
        <v/>
      </c>
      <c r="S34" s="406">
        <f>+R34/$D$5</f>
        <v/>
      </c>
      <c r="T34" s="354">
        <f>SUM(#REF!)+SUM(#REF!)</f>
        <v/>
      </c>
      <c r="U34" s="406">
        <f>+T34/$F$5</f>
        <v/>
      </c>
      <c r="V34" s="392">
        <f>+R34+T34</f>
        <v/>
      </c>
      <c r="W34" s="410">
        <f>+V34/$H$5</f>
        <v/>
      </c>
    </row>
    <row r="35">
      <c r="B35" s="379" t="inlineStr">
        <is>
          <t>TOTAL DAS DESPESAS</t>
        </is>
      </c>
      <c r="D35" s="383">
        <f>SUM(D30:D34)</f>
        <v/>
      </c>
      <c r="F35" s="383">
        <f>SUM(F30:F34)</f>
        <v/>
      </c>
      <c r="H35" s="396">
        <f>SUM(H30:H34)</f>
        <v/>
      </c>
      <c r="I35" s="409" t="n"/>
      <c r="K35" s="383">
        <f>SUM(K30:K34)</f>
        <v/>
      </c>
      <c r="M35" s="383">
        <f>SUM(M30:M34)</f>
        <v/>
      </c>
      <c r="O35" s="396">
        <f>SUM(O30:O34)</f>
        <v/>
      </c>
      <c r="P35" s="409" t="n"/>
      <c r="R35" s="383">
        <f>SUM(R30:R34)</f>
        <v/>
      </c>
      <c r="T35" s="383">
        <f>SUM(T30:T34)</f>
        <v/>
      </c>
      <c r="V35" s="396">
        <f>SUM(V30:V34)</f>
        <v/>
      </c>
      <c r="W35" s="409" t="n"/>
    </row>
    <row r="36">
      <c r="H36" s="391" t="n"/>
      <c r="I36" s="409" t="n"/>
      <c r="O36" s="391" t="n"/>
      <c r="P36" s="409" t="n"/>
      <c r="V36" s="391" t="n"/>
      <c r="W36" s="409" t="n"/>
    </row>
    <row r="37">
      <c r="B37" t="inlineStr">
        <is>
          <t>Margem Líquida</t>
        </is>
      </c>
      <c r="D37" s="354">
        <f>+D27+D35</f>
        <v/>
      </c>
      <c r="F37" s="354">
        <f>+F27+F35</f>
        <v/>
      </c>
      <c r="H37" s="393">
        <f>+H27+H35</f>
        <v/>
      </c>
      <c r="I37" s="409" t="n"/>
      <c r="K37" s="354">
        <f>+K27+K35</f>
        <v/>
      </c>
      <c r="M37" s="354">
        <f>+M27+M35</f>
        <v/>
      </c>
      <c r="O37" s="393">
        <f>+O27+O35</f>
        <v/>
      </c>
      <c r="P37" s="409" t="n"/>
      <c r="R37" s="354">
        <f>+R27+R35</f>
        <v/>
      </c>
      <c r="T37" s="354">
        <f>+T27+T35</f>
        <v/>
      </c>
      <c r="V37" s="393">
        <f>+V27+V35</f>
        <v/>
      </c>
      <c r="W37" s="409" t="n"/>
    </row>
    <row r="38">
      <c r="D38" s="601">
        <f>+D37/D17</f>
        <v/>
      </c>
      <c r="F38" s="601">
        <f>+F37/F17</f>
        <v/>
      </c>
      <c r="H38" s="602">
        <f>+H37/H17</f>
        <v/>
      </c>
      <c r="I38" s="409" t="n"/>
      <c r="K38" s="601">
        <f>+K37/K17</f>
        <v/>
      </c>
      <c r="M38" s="601">
        <f>+M37/M17</f>
        <v/>
      </c>
      <c r="O38" s="602">
        <f>+O37/O17</f>
        <v/>
      </c>
      <c r="P38" s="409" t="n"/>
      <c r="R38" s="601">
        <f>+R37/R17</f>
        <v/>
      </c>
      <c r="T38" s="601">
        <f>+T37/T17</f>
        <v/>
      </c>
      <c r="V38" s="602">
        <f>+V37/V17</f>
        <v/>
      </c>
      <c r="W38" s="409" t="n"/>
    </row>
    <row r="39">
      <c r="H39" s="391" t="n"/>
      <c r="I39" s="409" t="n"/>
      <c r="O39" s="391" t="n"/>
      <c r="P39" s="409" t="n"/>
      <c r="V39" s="391" t="n"/>
      <c r="W39" s="409" t="n"/>
    </row>
    <row r="40">
      <c r="B40" t="inlineStr">
        <is>
          <t>DL Sócios</t>
        </is>
      </c>
      <c r="D40" s="376">
        <f>SUM('FC Total (5 lotes)'!$C$65:$AF$65)</f>
        <v/>
      </c>
      <c r="F40" s="376">
        <f>SUM('FC Total (5 lotes)'!$AT$65:$HU$65)</f>
        <v/>
      </c>
      <c r="H40" s="392">
        <f>+D40+F40</f>
        <v/>
      </c>
      <c r="I40" s="409" t="n"/>
      <c r="K40" s="376">
        <f>SUM(#REF!)</f>
        <v/>
      </c>
      <c r="M40" s="376">
        <f>SUM(#REF!)</f>
        <v/>
      </c>
      <c r="O40" s="392">
        <f>+K40+M40</f>
        <v/>
      </c>
      <c r="P40" s="409" t="n"/>
      <c r="R40" s="376">
        <f>SUM(#REF!)</f>
        <v/>
      </c>
      <c r="T40" s="376">
        <f>SUM(#REF!)</f>
        <v/>
      </c>
      <c r="V40" s="392">
        <f>+R40+T40</f>
        <v/>
      </c>
      <c r="W40" s="409" t="n"/>
    </row>
    <row r="41">
      <c r="H41" s="391" t="n"/>
      <c r="I41" s="409" t="n"/>
      <c r="O41" s="391" t="n"/>
      <c r="P41" s="409" t="n"/>
      <c r="V41" s="391" t="n"/>
      <c r="W41" s="409" t="n"/>
    </row>
    <row r="42">
      <c r="B42" s="380" t="inlineStr">
        <is>
          <t>Margem Final (dist)</t>
        </is>
      </c>
      <c r="D42" s="381">
        <f>+D37+D40</f>
        <v/>
      </c>
      <c r="F42" s="381">
        <f>+F37+F40</f>
        <v/>
      </c>
      <c r="H42" s="398">
        <f>+H37+H40</f>
        <v/>
      </c>
      <c r="I42" s="409" t="n"/>
      <c r="K42" s="381">
        <f>+K37+K40</f>
        <v/>
      </c>
      <c r="M42" s="381">
        <f>+M37+M40</f>
        <v/>
      </c>
      <c r="O42" s="398">
        <f>+O37+O40</f>
        <v/>
      </c>
      <c r="P42" s="409" t="n"/>
      <c r="R42" s="381">
        <f>+R37+R40</f>
        <v/>
      </c>
      <c r="T42" s="381">
        <f>+T37+T40</f>
        <v/>
      </c>
      <c r="V42" s="398">
        <f>+V37+V40</f>
        <v/>
      </c>
      <c r="W42" s="409" t="n"/>
    </row>
    <row r="43" ht="15" customHeight="1" thickBot="1">
      <c r="D43" s="601">
        <f>+D42/D17</f>
        <v/>
      </c>
      <c r="F43" s="601">
        <f>+F42/F17</f>
        <v/>
      </c>
      <c r="H43" s="603">
        <f>+H42/H17</f>
        <v/>
      </c>
      <c r="I43" s="411" t="n"/>
      <c r="K43" s="601">
        <f>+K42/K17</f>
        <v/>
      </c>
      <c r="M43" s="601">
        <f>+M42/M17</f>
        <v/>
      </c>
      <c r="O43" s="603">
        <f>+O42/O17</f>
        <v/>
      </c>
      <c r="P43" s="411" t="n"/>
      <c r="R43" s="601">
        <f>+R42/R17</f>
        <v/>
      </c>
      <c r="T43" s="601">
        <f>+T42/T17</f>
        <v/>
      </c>
      <c r="V43" s="603">
        <f>+V42/V17</f>
        <v/>
      </c>
      <c r="W43" s="411" t="n"/>
    </row>
    <row r="46">
      <c r="H46" s="354" t="n"/>
      <c r="O46" s="354">
        <f>+O42-H42</f>
        <v/>
      </c>
      <c r="V46" s="354">
        <f>+V42-H42</f>
        <v/>
      </c>
    </row>
    <row r="51">
      <c r="F51" t="inlineStr">
        <is>
          <t>Variação aporte</t>
        </is>
      </c>
      <c r="H51" s="604">
        <f>+H6+H40</f>
        <v/>
      </c>
      <c r="O51" s="604">
        <f>+O6+O40</f>
        <v/>
      </c>
      <c r="V51" s="604">
        <f>+V6+V40</f>
        <v/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198"/>
  <sheetViews>
    <sheetView workbookViewId="0">
      <selection activeCell="B32" sqref="B32"/>
    </sheetView>
  </sheetViews>
  <sheetFormatPr baseColWidth="8" defaultRowHeight="14.4"/>
  <cols>
    <col width="8.88671875" customWidth="1" style="351" min="10" max="10"/>
    <col width="6.88671875" bestFit="1" customWidth="1" min="11" max="11"/>
    <col width="12.21875" customWidth="1" min="12" max="14"/>
  </cols>
  <sheetData>
    <row r="1">
      <c r="K1" s="416" t="inlineStr">
        <is>
          <t>Distribuição Mensal</t>
        </is>
      </c>
      <c r="L1" s="416" t="n"/>
      <c r="M1" s="416" t="n"/>
      <c r="N1" s="416" t="n"/>
    </row>
    <row r="2">
      <c r="L2" s="417" t="n">
        <v>5</v>
      </c>
      <c r="M2" s="417" t="n">
        <v>7</v>
      </c>
      <c r="N2" s="417" t="n">
        <v>10</v>
      </c>
    </row>
    <row r="3">
      <c r="B3" t="inlineStr">
        <is>
          <t>Fundo de caixa pós obra</t>
        </is>
      </c>
      <c r="J3" s="351" t="inlineStr">
        <is>
          <t>3º TRI</t>
        </is>
      </c>
      <c r="K3" s="586" t="n">
        <v>45870</v>
      </c>
      <c r="L3" s="362">
        <f>'FC Total (5 lotes)'!#REF!</f>
        <v/>
      </c>
      <c r="M3" s="362" t="n">
        <v>0</v>
      </c>
      <c r="N3" s="362" t="n">
        <v>0</v>
      </c>
    </row>
    <row r="4">
      <c r="B4" t="inlineStr">
        <is>
          <t>1º ano</t>
        </is>
      </c>
      <c r="F4" t="inlineStr">
        <is>
          <t>R$ 1 MM</t>
        </is>
      </c>
      <c r="J4" s="351" t="inlineStr">
        <is>
          <t>3º TRI</t>
        </is>
      </c>
      <c r="K4" s="586" t="n">
        <v>45901</v>
      </c>
      <c r="L4" s="362">
        <f>'FC Total (5 lotes)'!#REF!</f>
        <v/>
      </c>
      <c r="M4" s="362" t="n">
        <v>0</v>
      </c>
      <c r="N4" s="362" t="n">
        <v>0</v>
      </c>
    </row>
    <row r="5">
      <c r="B5" t="inlineStr">
        <is>
          <t>2º ano</t>
        </is>
      </c>
      <c r="F5" t="inlineStr">
        <is>
          <t>R$ 500k</t>
        </is>
      </c>
      <c r="J5" s="351" t="inlineStr">
        <is>
          <t>4º TRI</t>
        </is>
      </c>
      <c r="K5" s="586" t="n">
        <v>45931</v>
      </c>
      <c r="L5" s="362" t="n">
        <v>0</v>
      </c>
      <c r="M5" s="362" t="n">
        <v>0</v>
      </c>
      <c r="N5" s="362" t="n">
        <v>0</v>
      </c>
    </row>
    <row r="6">
      <c r="B6" t="inlineStr">
        <is>
          <t>3º ano e demais</t>
        </is>
      </c>
      <c r="F6" t="inlineStr">
        <is>
          <t>R$ 250k</t>
        </is>
      </c>
      <c r="J6" s="351" t="inlineStr">
        <is>
          <t>4º TRI</t>
        </is>
      </c>
      <c r="K6" s="586" t="n">
        <v>45962</v>
      </c>
      <c r="L6" s="362" t="n">
        <v>0</v>
      </c>
      <c r="M6" s="362" t="n">
        <v>0</v>
      </c>
      <c r="N6" s="362" t="n">
        <v>0</v>
      </c>
    </row>
    <row r="7">
      <c r="J7" s="417" t="inlineStr">
        <is>
          <t>4º TRI</t>
        </is>
      </c>
      <c r="K7" s="605" t="n">
        <v>45992</v>
      </c>
      <c r="L7" s="419" t="n">
        <v>0</v>
      </c>
      <c r="M7" s="419" t="n">
        <v>0</v>
      </c>
      <c r="N7" s="419" t="n">
        <v>0</v>
      </c>
    </row>
    <row r="8">
      <c r="J8" s="351" t="inlineStr">
        <is>
          <t>1º TRI</t>
        </is>
      </c>
      <c r="K8" s="586" t="n">
        <v>46023</v>
      </c>
      <c r="L8" s="362" t="n">
        <v>0</v>
      </c>
      <c r="M8" s="362" t="n">
        <v>0</v>
      </c>
      <c r="N8" s="362" t="n">
        <v>-800000</v>
      </c>
    </row>
    <row r="9">
      <c r="J9" s="351" t="inlineStr">
        <is>
          <t>1º TRI</t>
        </is>
      </c>
      <c r="K9" s="586" t="n">
        <v>46054</v>
      </c>
      <c r="L9" s="362" t="n">
        <v>0</v>
      </c>
      <c r="M9" s="362" t="n">
        <v>0</v>
      </c>
      <c r="N9" s="362" t="n">
        <v>0</v>
      </c>
    </row>
    <row r="10">
      <c r="J10" s="417" t="inlineStr">
        <is>
          <t>1º TRI</t>
        </is>
      </c>
      <c r="K10" s="605" t="n">
        <v>46082</v>
      </c>
      <c r="L10" s="419" t="n">
        <v>0</v>
      </c>
      <c r="M10" s="419" t="n">
        <v>0</v>
      </c>
      <c r="N10" s="419" t="n">
        <v>-6000000</v>
      </c>
    </row>
    <row r="11">
      <c r="J11" s="351" t="inlineStr">
        <is>
          <t>2º TRI</t>
        </is>
      </c>
      <c r="K11" s="586" t="n">
        <v>46113</v>
      </c>
      <c r="L11" s="362" t="n">
        <v>0</v>
      </c>
      <c r="M11" s="362" t="n">
        <v>0</v>
      </c>
      <c r="N11" s="362" t="n">
        <v>-2400000</v>
      </c>
    </row>
    <row r="12">
      <c r="B12" t="inlineStr">
        <is>
          <t>Painel resumo</t>
        </is>
      </c>
      <c r="J12" s="351" t="inlineStr">
        <is>
          <t>2º TRI</t>
        </is>
      </c>
      <c r="K12" s="586" t="n">
        <v>46143</v>
      </c>
      <c r="L12" s="362" t="n">
        <v>0</v>
      </c>
      <c r="M12" s="362" t="n">
        <v>0</v>
      </c>
      <c r="N12" s="362" t="n">
        <v>0</v>
      </c>
    </row>
    <row r="13">
      <c r="J13" s="417" t="inlineStr">
        <is>
          <t>2º TRI</t>
        </is>
      </c>
      <c r="K13" s="605" t="n">
        <v>46174</v>
      </c>
      <c r="L13" s="419" t="n">
        <v>0</v>
      </c>
      <c r="M13" s="419" t="n">
        <v>0</v>
      </c>
      <c r="N13" s="419" t="n"/>
    </row>
    <row r="14">
      <c r="B14" t="inlineStr">
        <is>
          <t>Por trimestre, distribuição e saldo (5/7/10)</t>
        </is>
      </c>
      <c r="J14" s="351" t="inlineStr">
        <is>
          <t>3º TRI</t>
        </is>
      </c>
      <c r="K14" s="586" t="n">
        <v>46204</v>
      </c>
      <c r="L14" s="362" t="n">
        <v>0</v>
      </c>
      <c r="M14" s="362" t="n">
        <v>0</v>
      </c>
      <c r="N14" s="362" t="n">
        <v>-1200000</v>
      </c>
    </row>
    <row r="15">
      <c r="J15" s="351" t="inlineStr">
        <is>
          <t>3º TRI</t>
        </is>
      </c>
      <c r="K15" s="586" t="n">
        <v>46235</v>
      </c>
      <c r="L15" s="362" t="n">
        <v>0</v>
      </c>
      <c r="M15" s="362" t="n">
        <v>0</v>
      </c>
      <c r="N15" s="362" t="n">
        <v>0</v>
      </c>
    </row>
    <row r="16">
      <c r="B16" t="inlineStr">
        <is>
          <t>marcos principais (obra, vendas)</t>
        </is>
      </c>
      <c r="J16" s="417" t="inlineStr">
        <is>
          <t>3º TRI</t>
        </is>
      </c>
      <c r="K16" s="605" t="n">
        <v>46266</v>
      </c>
      <c r="L16" s="419" t="n">
        <v>0</v>
      </c>
      <c r="M16" s="419" t="n">
        <v>0</v>
      </c>
      <c r="N16" s="419" t="n">
        <v>0</v>
      </c>
    </row>
    <row r="17">
      <c r="J17" s="351" t="inlineStr">
        <is>
          <t>4º TRI</t>
        </is>
      </c>
      <c r="K17" s="586" t="n">
        <v>46296</v>
      </c>
      <c r="L17" s="362" t="n">
        <v>0</v>
      </c>
      <c r="M17" s="362" t="n">
        <v>0</v>
      </c>
      <c r="N17" s="362" t="n">
        <v>0</v>
      </c>
    </row>
    <row r="18">
      <c r="J18" s="351" t="inlineStr">
        <is>
          <t>4º TRI</t>
        </is>
      </c>
      <c r="K18" s="586" t="n">
        <v>46327</v>
      </c>
      <c r="L18" s="362" t="n">
        <v>0</v>
      </c>
      <c r="M18" s="362" t="n">
        <v>0</v>
      </c>
      <c r="N18" s="362" t="n">
        <v>0</v>
      </c>
    </row>
    <row r="19">
      <c r="J19" s="417" t="inlineStr">
        <is>
          <t>4º TRI</t>
        </is>
      </c>
      <c r="K19" s="605" t="n">
        <v>46357</v>
      </c>
      <c r="L19" s="419" t="n">
        <v>0</v>
      </c>
      <c r="M19" s="419" t="n">
        <v>0</v>
      </c>
      <c r="N19" s="419" t="n">
        <v>-1000000</v>
      </c>
    </row>
    <row r="20">
      <c r="J20" s="351" t="inlineStr">
        <is>
          <t>1º TRI</t>
        </is>
      </c>
      <c r="K20" s="586" t="n">
        <v>46388</v>
      </c>
      <c r="L20" s="362" t="n">
        <v>0</v>
      </c>
      <c r="M20" s="362" t="n">
        <v>0</v>
      </c>
      <c r="N20" s="362" t="n">
        <v>-1600000</v>
      </c>
    </row>
    <row r="21">
      <c r="J21" s="351" t="inlineStr">
        <is>
          <t>1º TRI</t>
        </is>
      </c>
      <c r="K21" s="586" t="n">
        <v>46419</v>
      </c>
      <c r="L21" s="362" t="n">
        <v>0</v>
      </c>
      <c r="M21" s="362" t="n">
        <v>0</v>
      </c>
      <c r="N21" s="362" t="n">
        <v>-2500000</v>
      </c>
    </row>
    <row r="22">
      <c r="J22" s="417" t="inlineStr">
        <is>
          <t>1º TRI</t>
        </is>
      </c>
      <c r="K22" s="605" t="n">
        <v>46447</v>
      </c>
      <c r="L22" s="419" t="n">
        <v>0</v>
      </c>
      <c r="M22" s="419" t="n">
        <v>0</v>
      </c>
      <c r="N22" s="419" t="n">
        <v>-1000000</v>
      </c>
    </row>
    <row r="23">
      <c r="J23" s="351" t="inlineStr">
        <is>
          <t>2º TRI</t>
        </is>
      </c>
      <c r="K23" s="586" t="n">
        <v>46478</v>
      </c>
      <c r="L23" s="362" t="n">
        <v>0</v>
      </c>
      <c r="M23" s="362" t="n">
        <v>0</v>
      </c>
      <c r="N23" s="362" t="n">
        <v>-1600000</v>
      </c>
    </row>
    <row r="24">
      <c r="J24" s="351" t="inlineStr">
        <is>
          <t>2º TRI</t>
        </is>
      </c>
      <c r="K24" s="586" t="n">
        <v>46508</v>
      </c>
      <c r="L24" s="362" t="n">
        <v>0</v>
      </c>
      <c r="M24" s="362" t="n">
        <v>-800000</v>
      </c>
      <c r="N24" s="362" t="n">
        <v>-3800000</v>
      </c>
    </row>
    <row r="25">
      <c r="J25" s="417" t="inlineStr">
        <is>
          <t>2º TRI</t>
        </is>
      </c>
      <c r="K25" s="605" t="n">
        <v>46539</v>
      </c>
      <c r="L25" s="419" t="n">
        <v>0</v>
      </c>
      <c r="M25" s="419" t="n">
        <v>-2000000</v>
      </c>
      <c r="N25" s="419" t="n">
        <v>-4800000</v>
      </c>
    </row>
    <row r="26">
      <c r="J26" s="351" t="inlineStr">
        <is>
          <t>3º TRI</t>
        </is>
      </c>
      <c r="K26" s="586" t="n">
        <v>46569</v>
      </c>
      <c r="L26" s="362" t="n">
        <v>0</v>
      </c>
      <c r="M26" s="362" t="n">
        <v>-3800000</v>
      </c>
      <c r="N26" s="362" t="n">
        <v>-4400000</v>
      </c>
    </row>
    <row r="27">
      <c r="J27" s="351" t="inlineStr">
        <is>
          <t>3º TRI</t>
        </is>
      </c>
      <c r="K27" s="586" t="n">
        <v>46600</v>
      </c>
      <c r="L27" s="362" t="n">
        <v>0</v>
      </c>
      <c r="M27" s="362" t="n">
        <v>-2700000</v>
      </c>
      <c r="N27" s="362" t="n">
        <v>-4100000</v>
      </c>
    </row>
    <row r="28">
      <c r="J28" s="417" t="inlineStr">
        <is>
          <t>3º TRI</t>
        </is>
      </c>
      <c r="K28" s="605" t="n">
        <v>46631</v>
      </c>
      <c r="L28" s="419" t="n">
        <v>0</v>
      </c>
      <c r="M28" s="419" t="n">
        <v>-1600000</v>
      </c>
      <c r="N28" s="419" t="n">
        <v>-3400000</v>
      </c>
    </row>
    <row r="29">
      <c r="J29" s="351" t="inlineStr">
        <is>
          <t>4º TRI</t>
        </is>
      </c>
      <c r="K29" s="586" t="n">
        <v>46661</v>
      </c>
      <c r="L29" s="362" t="n">
        <v>0</v>
      </c>
      <c r="M29" s="362" t="n">
        <v>-1700000</v>
      </c>
      <c r="N29" s="362" t="n">
        <v>-3900000</v>
      </c>
    </row>
    <row r="30">
      <c r="J30" s="351" t="inlineStr">
        <is>
          <t>4º TRI</t>
        </is>
      </c>
      <c r="K30" s="586" t="n">
        <v>46692</v>
      </c>
      <c r="L30" s="362" t="n">
        <v>0</v>
      </c>
      <c r="M30" s="362" t="n">
        <v>-1700000</v>
      </c>
      <c r="N30" s="362" t="n">
        <v>-3900000</v>
      </c>
    </row>
    <row r="31">
      <c r="J31" s="417" t="inlineStr">
        <is>
          <t>4º TRI</t>
        </is>
      </c>
      <c r="K31" s="605" t="n">
        <v>46722</v>
      </c>
      <c r="L31" s="419" t="n">
        <v>0</v>
      </c>
      <c r="M31" s="419" t="n">
        <v>-2600000</v>
      </c>
      <c r="N31" s="419" t="n">
        <v>-4800000</v>
      </c>
    </row>
    <row r="32">
      <c r="J32" s="351" t="inlineStr">
        <is>
          <t>1º TRI</t>
        </is>
      </c>
      <c r="K32" s="586" t="n">
        <v>46753</v>
      </c>
      <c r="L32" s="362" t="n">
        <v>0</v>
      </c>
      <c r="M32" s="362" t="n">
        <v>-2600000</v>
      </c>
      <c r="N32" s="362" t="n">
        <v>-3900000</v>
      </c>
    </row>
    <row r="33">
      <c r="J33" s="351" t="inlineStr">
        <is>
          <t>1º TRI</t>
        </is>
      </c>
      <c r="K33" s="586" t="n">
        <v>46784</v>
      </c>
      <c r="L33" s="362" t="n">
        <v>0</v>
      </c>
      <c r="M33" s="362" t="n">
        <v>-2600000</v>
      </c>
      <c r="N33" s="362" t="n">
        <v>-4900000</v>
      </c>
    </row>
    <row r="34">
      <c r="J34" s="417" t="inlineStr">
        <is>
          <t>1º TRI</t>
        </is>
      </c>
      <c r="K34" s="605" t="n">
        <v>46813</v>
      </c>
      <c r="L34" s="419" t="n">
        <v>0</v>
      </c>
      <c r="M34" s="419" t="n">
        <v>-3000000</v>
      </c>
      <c r="N34" s="419" t="n">
        <v>-4000000</v>
      </c>
    </row>
    <row r="35">
      <c r="J35" s="351" t="inlineStr">
        <is>
          <t>2º TRI</t>
        </is>
      </c>
      <c r="K35" s="586" t="n">
        <v>46844</v>
      </c>
      <c r="L35" s="362" t="n">
        <v>-2600000</v>
      </c>
      <c r="M35" s="362" t="n">
        <v>-3000000</v>
      </c>
      <c r="N35" s="362" t="n">
        <v>-4900000</v>
      </c>
    </row>
    <row r="36">
      <c r="J36" s="351" t="inlineStr">
        <is>
          <t>2º TRI</t>
        </is>
      </c>
      <c r="K36" s="586" t="n">
        <v>46874</v>
      </c>
      <c r="L36" s="362" t="n">
        <v>-1250000</v>
      </c>
      <c r="M36" s="362" t="n">
        <v>-3000000</v>
      </c>
      <c r="N36" s="362" t="n">
        <v>-4900000</v>
      </c>
    </row>
    <row r="37">
      <c r="J37" s="417" t="inlineStr">
        <is>
          <t>2º TRI</t>
        </is>
      </c>
      <c r="K37" s="605" t="n">
        <v>46905</v>
      </c>
      <c r="L37" s="419" t="n">
        <v>-2600000</v>
      </c>
      <c r="M37" s="419" t="n">
        <v>-4000000</v>
      </c>
      <c r="N37" s="419" t="n">
        <v>-5900000</v>
      </c>
    </row>
    <row r="38">
      <c r="J38" s="351" t="inlineStr">
        <is>
          <t>3º TRI</t>
        </is>
      </c>
      <c r="K38" s="586" t="n">
        <v>46935</v>
      </c>
      <c r="L38" s="362" t="n">
        <v>-2600000</v>
      </c>
      <c r="M38" s="362" t="n">
        <v>-4000000</v>
      </c>
      <c r="N38" s="362" t="n">
        <v>-5900000</v>
      </c>
    </row>
    <row r="39">
      <c r="J39" s="351" t="inlineStr">
        <is>
          <t>3º TRI</t>
        </is>
      </c>
      <c r="K39" s="586" t="n">
        <v>46966</v>
      </c>
      <c r="L39" s="362" t="n">
        <v>-2600000</v>
      </c>
      <c r="M39" s="362" t="n">
        <v>-4000000</v>
      </c>
      <c r="N39" s="362" t="n">
        <v>-6900000</v>
      </c>
    </row>
    <row r="40">
      <c r="J40" s="417" t="inlineStr">
        <is>
          <t>3º TRI</t>
        </is>
      </c>
      <c r="K40" s="605" t="n">
        <v>46997</v>
      </c>
      <c r="L40" s="419" t="n">
        <v>-2600000</v>
      </c>
      <c r="M40" s="419" t="n">
        <v>-4000000</v>
      </c>
      <c r="N40" s="419" t="n">
        <v>-6500000</v>
      </c>
    </row>
    <row r="41">
      <c r="J41" s="351" t="inlineStr">
        <is>
          <t>4º TRI</t>
        </is>
      </c>
      <c r="K41" s="586" t="n">
        <v>47027</v>
      </c>
      <c r="L41" s="362" t="n">
        <v>-3000000</v>
      </c>
      <c r="M41" s="362" t="n">
        <v>-4000000</v>
      </c>
      <c r="N41" s="362" t="n">
        <v>-6300000</v>
      </c>
    </row>
    <row r="42">
      <c r="J42" s="351" t="inlineStr">
        <is>
          <t>4º TRI</t>
        </is>
      </c>
      <c r="K42" s="586" t="n">
        <v>47058</v>
      </c>
      <c r="L42" s="362" t="n">
        <v>-2900000</v>
      </c>
      <c r="M42" s="362" t="n">
        <v>-4900000</v>
      </c>
      <c r="N42" s="362" t="n">
        <v>-6900000</v>
      </c>
    </row>
    <row r="43">
      <c r="J43" s="417" t="inlineStr">
        <is>
          <t>4º TRI</t>
        </is>
      </c>
      <c r="K43" s="605" t="n">
        <v>47088</v>
      </c>
      <c r="L43" s="419" t="n">
        <v>-3500000</v>
      </c>
      <c r="M43" s="419" t="n">
        <v>-4000000</v>
      </c>
      <c r="N43" s="419" t="n">
        <v>-6700000</v>
      </c>
    </row>
    <row r="44">
      <c r="J44" s="351" t="inlineStr">
        <is>
          <t>1º TRI</t>
        </is>
      </c>
      <c r="K44" s="586" t="n">
        <v>47119</v>
      </c>
      <c r="L44" s="362" t="n">
        <v>-2800000</v>
      </c>
      <c r="M44" s="362" t="n">
        <v>-4000000</v>
      </c>
      <c r="N44" s="362" t="n">
        <v>-6900000</v>
      </c>
    </row>
    <row r="45">
      <c r="J45" s="351" t="inlineStr">
        <is>
          <t>1º TRI</t>
        </is>
      </c>
      <c r="K45" s="586" t="n">
        <v>47150</v>
      </c>
      <c r="L45" s="362" t="n">
        <v>-3000000</v>
      </c>
      <c r="M45" s="362" t="n">
        <v>-4000000</v>
      </c>
      <c r="N45" s="362" t="n">
        <v>-6900000</v>
      </c>
    </row>
    <row r="46">
      <c r="J46" s="417" t="inlineStr">
        <is>
          <t>1º TRI</t>
        </is>
      </c>
      <c r="K46" s="605" t="n">
        <v>47178</v>
      </c>
      <c r="L46" s="419" t="n">
        <v>-3000000</v>
      </c>
      <c r="M46" s="419" t="n">
        <v>-5000000</v>
      </c>
      <c r="N46" s="419" t="n">
        <v>-6900000</v>
      </c>
    </row>
    <row r="47">
      <c r="J47" s="351" t="inlineStr">
        <is>
          <t>2º TRI</t>
        </is>
      </c>
      <c r="K47" s="586" t="n">
        <v>47209</v>
      </c>
      <c r="L47" s="362" t="n">
        <v>-3000000</v>
      </c>
      <c r="M47" s="362" t="n">
        <v>-5000000</v>
      </c>
      <c r="N47" s="362" t="n">
        <v>-7400000</v>
      </c>
    </row>
    <row r="48">
      <c r="J48" s="351" t="inlineStr">
        <is>
          <t>2º TRI</t>
        </is>
      </c>
      <c r="K48" s="586" t="n">
        <v>47239</v>
      </c>
      <c r="L48" s="362" t="n">
        <v>-3000000</v>
      </c>
      <c r="M48" s="362" t="n">
        <v>-4000000</v>
      </c>
      <c r="N48" s="362" t="n">
        <v>-7400000</v>
      </c>
    </row>
    <row r="49">
      <c r="J49" s="417" t="inlineStr">
        <is>
          <t>2º TRI</t>
        </is>
      </c>
      <c r="K49" s="605" t="n">
        <v>47270</v>
      </c>
      <c r="L49" s="419" t="n">
        <v>-3000000</v>
      </c>
      <c r="M49" s="419" t="n">
        <v>-4500000</v>
      </c>
      <c r="N49" s="419" t="n">
        <v>-7400000</v>
      </c>
    </row>
    <row r="50">
      <c r="J50" s="351" t="inlineStr">
        <is>
          <t>3º TRI</t>
        </is>
      </c>
      <c r="K50" s="586" t="n">
        <v>47300</v>
      </c>
      <c r="L50" s="362" t="n">
        <v>-3000000</v>
      </c>
      <c r="M50" s="362" t="n">
        <v>-4500000</v>
      </c>
      <c r="N50" s="362" t="n">
        <v>-6900000</v>
      </c>
    </row>
    <row r="51">
      <c r="J51" s="351" t="inlineStr">
        <is>
          <t>3º TRI</t>
        </is>
      </c>
      <c r="K51" s="586" t="n">
        <v>47331</v>
      </c>
      <c r="L51" s="362" t="n">
        <v>-3000000</v>
      </c>
      <c r="M51" s="362" t="n">
        <v>-5000000</v>
      </c>
      <c r="N51" s="362" t="n">
        <v>-6300000</v>
      </c>
    </row>
    <row r="52">
      <c r="J52" s="417" t="inlineStr">
        <is>
          <t>3º TRI</t>
        </is>
      </c>
      <c r="K52" s="605" t="n">
        <v>47362</v>
      </c>
      <c r="L52" s="419" t="n">
        <v>-3000000</v>
      </c>
      <c r="M52" s="419" t="n">
        <v>-5000000</v>
      </c>
      <c r="N52" s="419" t="n">
        <v>-5900000</v>
      </c>
    </row>
    <row r="53">
      <c r="J53" s="351" t="inlineStr">
        <is>
          <t>4º TRI</t>
        </is>
      </c>
      <c r="K53" s="586" t="n">
        <v>47392</v>
      </c>
      <c r="L53" s="362" t="n">
        <v>-3200000</v>
      </c>
      <c r="M53" s="362" t="n">
        <v>-5000000</v>
      </c>
      <c r="N53" s="362" t="n">
        <v>-5900000</v>
      </c>
    </row>
    <row r="54">
      <c r="J54" s="351" t="inlineStr">
        <is>
          <t>4º TRI</t>
        </is>
      </c>
      <c r="K54" s="586" t="n">
        <v>47423</v>
      </c>
      <c r="L54" s="362" t="n">
        <v>-3100000</v>
      </c>
      <c r="M54" s="362" t="n">
        <v>-5000000</v>
      </c>
      <c r="N54" s="362" t="n">
        <v>-5900000</v>
      </c>
    </row>
    <row r="55">
      <c r="J55" s="417" t="inlineStr">
        <is>
          <t>4º TRI</t>
        </is>
      </c>
      <c r="K55" s="605" t="n">
        <v>47453</v>
      </c>
      <c r="L55" s="419" t="n">
        <v>-3100000</v>
      </c>
      <c r="M55" s="419" t="n">
        <v>-4700000</v>
      </c>
      <c r="N55" s="419" t="n">
        <v>-5500000</v>
      </c>
    </row>
    <row r="56">
      <c r="J56" s="351" t="inlineStr">
        <is>
          <t>1º TRI</t>
        </is>
      </c>
      <c r="K56" s="586" t="n">
        <v>47484</v>
      </c>
      <c r="L56" s="362" t="n">
        <v>-3100000</v>
      </c>
      <c r="M56" s="362" t="n">
        <v>-5000000</v>
      </c>
      <c r="N56" s="362" t="n">
        <v>-5300000</v>
      </c>
    </row>
    <row r="57">
      <c r="J57" s="351" t="inlineStr">
        <is>
          <t>1º TRI</t>
        </is>
      </c>
      <c r="K57" s="586" t="n">
        <v>47515</v>
      </c>
      <c r="L57" s="362" t="n">
        <v>-3100000</v>
      </c>
      <c r="M57" s="362" t="n">
        <v>-5000000</v>
      </c>
      <c r="N57" s="362" t="n">
        <v>-5000000</v>
      </c>
    </row>
    <row r="58">
      <c r="J58" s="417" t="inlineStr">
        <is>
          <t>1º TRI</t>
        </is>
      </c>
      <c r="K58" s="605" t="n">
        <v>47543</v>
      </c>
      <c r="L58" s="419" t="n">
        <v>-3100000</v>
      </c>
      <c r="M58" s="419" t="n">
        <v>-4900000</v>
      </c>
      <c r="N58" s="419" t="n">
        <v>-5000000</v>
      </c>
    </row>
    <row r="59">
      <c r="J59" s="351" t="inlineStr">
        <is>
          <t>2º TRI</t>
        </is>
      </c>
      <c r="K59" s="586" t="n">
        <v>47574</v>
      </c>
      <c r="L59" s="362" t="n">
        <v>-3300000</v>
      </c>
      <c r="M59" s="362" t="n">
        <v>-5000000</v>
      </c>
      <c r="N59" s="362" t="n">
        <v>-5000000</v>
      </c>
    </row>
    <row r="60">
      <c r="J60" s="351" t="inlineStr">
        <is>
          <t>2º TRI</t>
        </is>
      </c>
      <c r="K60" s="586" t="n">
        <v>47604</v>
      </c>
      <c r="L60" s="362" t="n">
        <v>-3300000</v>
      </c>
      <c r="M60" s="362" t="n">
        <v>-5000000</v>
      </c>
      <c r="N60" s="362" t="n">
        <v>-5000000</v>
      </c>
    </row>
    <row r="61">
      <c r="J61" s="417" t="inlineStr">
        <is>
          <t>2º TRI</t>
        </is>
      </c>
      <c r="K61" s="605" t="n">
        <v>47635</v>
      </c>
      <c r="L61" s="419" t="n">
        <v>-3500000</v>
      </c>
      <c r="M61" s="419" t="n">
        <v>-5000000</v>
      </c>
      <c r="N61" s="419" t="n">
        <v>-4400000</v>
      </c>
    </row>
    <row r="62">
      <c r="J62" s="351" t="inlineStr">
        <is>
          <t>3º TRI</t>
        </is>
      </c>
      <c r="K62" s="586" t="n">
        <v>47665</v>
      </c>
      <c r="L62" s="362" t="n">
        <v>-3100000</v>
      </c>
      <c r="M62" s="362" t="n">
        <v>-5500000</v>
      </c>
      <c r="N62" s="362" t="n">
        <v>-4000000</v>
      </c>
    </row>
    <row r="63">
      <c r="J63" s="351" t="inlineStr">
        <is>
          <t>3º TRI</t>
        </is>
      </c>
      <c r="K63" s="586" t="n">
        <v>47696</v>
      </c>
      <c r="L63" s="362" t="n">
        <v>-3100000</v>
      </c>
      <c r="M63" s="362" t="n">
        <v>-5000000</v>
      </c>
      <c r="N63" s="362" t="n">
        <v>-3000000</v>
      </c>
    </row>
    <row r="64">
      <c r="J64" s="417" t="inlineStr">
        <is>
          <t>3º TRI</t>
        </is>
      </c>
      <c r="K64" s="605" t="n">
        <v>47727</v>
      </c>
      <c r="L64" s="419" t="n">
        <v>-3100000</v>
      </c>
      <c r="M64" s="419" t="n">
        <v>-5000000</v>
      </c>
      <c r="N64" s="419" t="n">
        <v>-3000000</v>
      </c>
    </row>
    <row r="65">
      <c r="J65" s="351" t="inlineStr">
        <is>
          <t>4º TRI</t>
        </is>
      </c>
      <c r="K65" s="586" t="n">
        <v>47757</v>
      </c>
      <c r="L65" s="362" t="n">
        <v>-3600000</v>
      </c>
      <c r="M65" s="362" t="n">
        <v>-5200000</v>
      </c>
      <c r="N65" s="362" t="n">
        <v>-2800000</v>
      </c>
    </row>
    <row r="66">
      <c r="J66" s="351" t="inlineStr">
        <is>
          <t>4º TRI</t>
        </is>
      </c>
      <c r="K66" s="586" t="n">
        <v>47788</v>
      </c>
      <c r="L66" s="362" t="n">
        <v>-3100000</v>
      </c>
      <c r="M66" s="362" t="n">
        <v>-5200000</v>
      </c>
      <c r="N66" s="362" t="n">
        <v>-2600000</v>
      </c>
    </row>
    <row r="67">
      <c r="J67" s="417" t="inlineStr">
        <is>
          <t>4º TRI</t>
        </is>
      </c>
      <c r="K67" s="605" t="n">
        <v>47818</v>
      </c>
      <c r="L67" s="419" t="n">
        <v>-3700000</v>
      </c>
      <c r="M67" s="419" t="n">
        <v>-5900000</v>
      </c>
      <c r="N67" s="419" t="n">
        <v>-2200000</v>
      </c>
    </row>
    <row r="68">
      <c r="J68" s="351" t="inlineStr">
        <is>
          <t>1º TRI</t>
        </is>
      </c>
      <c r="K68" s="586" t="n">
        <v>47849</v>
      </c>
      <c r="L68" s="362" t="n">
        <v>-3100000</v>
      </c>
      <c r="M68" s="362" t="n">
        <v>-5000000</v>
      </c>
      <c r="N68" s="362" t="n">
        <v>-2600000</v>
      </c>
    </row>
    <row r="69">
      <c r="J69" s="351" t="inlineStr">
        <is>
          <t>1º TRI</t>
        </is>
      </c>
      <c r="K69" s="586" t="n">
        <v>47880</v>
      </c>
      <c r="L69" s="362" t="n">
        <v>-3700000</v>
      </c>
      <c r="M69" s="362" t="n">
        <v>-5000000</v>
      </c>
      <c r="N69" s="362" t="n">
        <v>-2200000</v>
      </c>
    </row>
    <row r="70">
      <c r="J70" s="417" t="inlineStr">
        <is>
          <t>1º TRI</t>
        </is>
      </c>
      <c r="K70" s="605" t="n">
        <v>47908</v>
      </c>
      <c r="L70" s="419" t="n">
        <v>-3700000</v>
      </c>
      <c r="M70" s="419" t="n">
        <v>-6000000</v>
      </c>
      <c r="N70" s="419" t="n">
        <v>-2200000</v>
      </c>
    </row>
    <row r="71">
      <c r="J71" s="351" t="inlineStr">
        <is>
          <t>2º TRI</t>
        </is>
      </c>
      <c r="K71" s="586" t="n">
        <v>47939</v>
      </c>
      <c r="L71" s="362" t="n">
        <v>-3700000</v>
      </c>
      <c r="M71" s="362" t="n">
        <v>-5000000</v>
      </c>
      <c r="N71" s="362" t="n">
        <v>-2200000</v>
      </c>
    </row>
    <row r="72">
      <c r="J72" s="351" t="inlineStr">
        <is>
          <t>2º TRI</t>
        </is>
      </c>
      <c r="K72" s="586" t="n">
        <v>47969</v>
      </c>
      <c r="L72" s="362" t="n">
        <v>-3700000</v>
      </c>
      <c r="M72" s="362" t="n">
        <v>-4000000</v>
      </c>
      <c r="N72" s="362" t="n">
        <v>-1900000</v>
      </c>
    </row>
    <row r="73">
      <c r="J73" s="417" t="inlineStr">
        <is>
          <t>2º TRI</t>
        </is>
      </c>
      <c r="K73" s="605" t="n">
        <v>48000</v>
      </c>
      <c r="L73" s="419" t="n">
        <v>-3200000</v>
      </c>
      <c r="M73" s="419" t="n">
        <v>-4000000</v>
      </c>
      <c r="N73" s="419" t="n">
        <v>-1600000</v>
      </c>
    </row>
    <row r="74">
      <c r="J74" s="351" t="inlineStr">
        <is>
          <t>3º TRI</t>
        </is>
      </c>
      <c r="K74" s="586" t="n">
        <v>48030</v>
      </c>
      <c r="L74" s="362" t="n">
        <v>-3600000</v>
      </c>
      <c r="M74" s="362" t="n">
        <v>-4200000</v>
      </c>
      <c r="N74" s="362" t="n">
        <v>-1400000</v>
      </c>
    </row>
    <row r="75">
      <c r="J75" s="351" t="inlineStr">
        <is>
          <t>3º TRI</t>
        </is>
      </c>
      <c r="K75" s="586" t="n">
        <v>48061</v>
      </c>
      <c r="L75" s="362" t="n">
        <v>-3600000</v>
      </c>
      <c r="M75" s="362" t="n">
        <v>-5000000</v>
      </c>
      <c r="N75" s="362" t="n">
        <v>-1400000</v>
      </c>
    </row>
    <row r="76">
      <c r="J76" s="417" t="inlineStr">
        <is>
          <t>3º TRI</t>
        </is>
      </c>
      <c r="K76" s="605" t="n">
        <v>48092</v>
      </c>
      <c r="L76" s="419" t="n">
        <v>-3600000</v>
      </c>
      <c r="M76" s="419" t="n">
        <v>-4200000</v>
      </c>
      <c r="N76" s="419" t="n">
        <v>-1400000</v>
      </c>
    </row>
    <row r="77">
      <c r="J77" s="351" t="inlineStr">
        <is>
          <t>4º TRI</t>
        </is>
      </c>
      <c r="K77" s="586" t="n">
        <v>48122</v>
      </c>
      <c r="L77" s="362" t="n">
        <v>-3600000</v>
      </c>
      <c r="M77" s="362" t="n">
        <v>-4000000</v>
      </c>
      <c r="N77" s="362" t="n">
        <v>-1400000</v>
      </c>
    </row>
    <row r="78">
      <c r="J78" s="351" t="inlineStr">
        <is>
          <t>4º TRI</t>
        </is>
      </c>
      <c r="K78" s="586" t="n">
        <v>48153</v>
      </c>
      <c r="L78" s="362" t="n">
        <v>-3600000</v>
      </c>
      <c r="M78" s="362" t="n">
        <v>-4000000</v>
      </c>
      <c r="N78" s="362" t="n">
        <v>-1300000</v>
      </c>
    </row>
    <row r="79">
      <c r="J79" s="417" t="inlineStr">
        <is>
          <t>4º TRI</t>
        </is>
      </c>
      <c r="K79" s="605" t="n">
        <v>48183</v>
      </c>
      <c r="L79" s="419" t="n">
        <v>-3600000</v>
      </c>
      <c r="M79" s="419" t="n">
        <v>-4000000</v>
      </c>
      <c r="N79" s="419" t="n">
        <v>-1300000</v>
      </c>
    </row>
    <row r="80">
      <c r="J80" s="351" t="inlineStr">
        <is>
          <t>1º TRI</t>
        </is>
      </c>
      <c r="K80" s="586" t="n">
        <v>48214</v>
      </c>
      <c r="L80" s="362" t="n">
        <v>-3600000</v>
      </c>
      <c r="M80" s="362" t="n">
        <v>-3000000</v>
      </c>
      <c r="N80" s="362" t="n">
        <v>-1000000</v>
      </c>
    </row>
    <row r="81">
      <c r="J81" s="351" t="inlineStr">
        <is>
          <t>1º TRI</t>
        </is>
      </c>
      <c r="K81" s="586" t="n">
        <v>48245</v>
      </c>
      <c r="L81" s="362" t="n">
        <v>-3600000</v>
      </c>
      <c r="M81" s="362" t="n">
        <v>-3000000</v>
      </c>
      <c r="N81" s="362" t="n">
        <v>-1400000</v>
      </c>
    </row>
    <row r="82">
      <c r="J82" s="417" t="inlineStr">
        <is>
          <t>1º TRI</t>
        </is>
      </c>
      <c r="K82" s="605" t="n">
        <v>48274</v>
      </c>
      <c r="L82" s="419" t="n">
        <v>-3600000</v>
      </c>
      <c r="M82" s="419" t="n">
        <v>-4000000</v>
      </c>
      <c r="N82" s="419" t="n">
        <v>-1100000</v>
      </c>
    </row>
    <row r="83">
      <c r="J83" s="351" t="inlineStr">
        <is>
          <t>2º TRI</t>
        </is>
      </c>
      <c r="K83" s="586" t="n">
        <v>48305</v>
      </c>
      <c r="L83" s="362" t="n">
        <v>-4600000</v>
      </c>
      <c r="M83" s="362" t="n">
        <v>-3000000</v>
      </c>
      <c r="N83" s="362" t="n">
        <v>-1300000</v>
      </c>
    </row>
    <row r="84">
      <c r="J84" s="351" t="inlineStr">
        <is>
          <t>2º TRI</t>
        </is>
      </c>
      <c r="K84" s="586" t="n">
        <v>48335</v>
      </c>
      <c r="L84" s="362" t="n">
        <v>-3600000</v>
      </c>
      <c r="M84" s="362" t="n">
        <v>-2000000</v>
      </c>
      <c r="N84" s="362" t="n">
        <v>-1200000</v>
      </c>
    </row>
    <row r="85">
      <c r="J85" s="417" t="inlineStr">
        <is>
          <t>2º TRI</t>
        </is>
      </c>
      <c r="K85" s="605" t="n">
        <v>48366</v>
      </c>
      <c r="L85" s="419" t="n">
        <v>-3600000</v>
      </c>
      <c r="M85" s="419" t="n">
        <v>-3000000</v>
      </c>
      <c r="N85" s="419" t="n">
        <v>-1200000</v>
      </c>
    </row>
    <row r="86">
      <c r="J86" s="351" t="inlineStr">
        <is>
          <t>3º TRI</t>
        </is>
      </c>
      <c r="K86" s="586" t="n">
        <v>48396</v>
      </c>
      <c r="L86" s="362" t="n">
        <v>-4600000</v>
      </c>
      <c r="M86" s="362" t="n">
        <v>-2000000</v>
      </c>
      <c r="N86" s="362" t="n">
        <v>-1000000</v>
      </c>
    </row>
    <row r="87">
      <c r="J87" s="351" t="inlineStr">
        <is>
          <t>3º TRI</t>
        </is>
      </c>
      <c r="K87" s="586" t="n">
        <v>48427</v>
      </c>
      <c r="L87" s="362" t="n">
        <v>-3600000</v>
      </c>
      <c r="M87" s="362" t="n">
        <v>-2000000</v>
      </c>
      <c r="N87" s="362" t="n">
        <v>-1000000</v>
      </c>
    </row>
    <row r="88">
      <c r="J88" s="417" t="inlineStr">
        <is>
          <t>3º TRI</t>
        </is>
      </c>
      <c r="K88" s="605" t="n">
        <v>48458</v>
      </c>
      <c r="L88" s="419" t="n">
        <v>-3600000</v>
      </c>
      <c r="M88" s="419" t="n">
        <v>-1700000</v>
      </c>
      <c r="N88" s="419" t="n">
        <v>-1000000</v>
      </c>
    </row>
    <row r="89">
      <c r="J89" s="351" t="inlineStr">
        <is>
          <t>4º TRI</t>
        </is>
      </c>
      <c r="K89" s="586" t="n">
        <v>48488</v>
      </c>
      <c r="L89" s="362" t="n">
        <v>-4600000</v>
      </c>
      <c r="M89" s="362" t="n">
        <v>-1700000</v>
      </c>
      <c r="N89" s="362" t="n">
        <v>-1000000</v>
      </c>
    </row>
    <row r="90">
      <c r="J90" s="351" t="inlineStr">
        <is>
          <t>4º TRI</t>
        </is>
      </c>
      <c r="K90" s="586" t="n">
        <v>48519</v>
      </c>
      <c r="L90" s="362" t="n">
        <v>-3600000</v>
      </c>
      <c r="M90" s="362" t="n">
        <v>-2000000</v>
      </c>
      <c r="N90" s="362" t="n">
        <v>-800000</v>
      </c>
    </row>
    <row r="91">
      <c r="J91" s="417" t="inlineStr">
        <is>
          <t>4º TRI</t>
        </is>
      </c>
      <c r="K91" s="605" t="n">
        <v>48549</v>
      </c>
      <c r="L91" s="419" t="n">
        <v>-3600000</v>
      </c>
      <c r="M91" s="419" t="n">
        <v>-1700000</v>
      </c>
      <c r="N91" s="419" t="n">
        <v>-800000</v>
      </c>
    </row>
    <row r="92">
      <c r="J92" s="351" t="inlineStr">
        <is>
          <t>1º TRI</t>
        </is>
      </c>
      <c r="K92" s="586" t="n">
        <v>48580</v>
      </c>
      <c r="L92" s="362" t="n">
        <v>-4600000</v>
      </c>
      <c r="M92" s="362" t="n">
        <v>-1600000</v>
      </c>
      <c r="N92" s="362" t="n">
        <v>-800000</v>
      </c>
    </row>
    <row r="93">
      <c r="J93" s="351" t="inlineStr">
        <is>
          <t>1º TRI</t>
        </is>
      </c>
      <c r="K93" s="586" t="n">
        <v>48611</v>
      </c>
      <c r="L93" s="362" t="n">
        <v>-3600000</v>
      </c>
      <c r="M93" s="362" t="n">
        <v>-1200000</v>
      </c>
      <c r="N93" s="362" t="n">
        <v>-800000</v>
      </c>
    </row>
    <row r="94">
      <c r="J94" s="417" t="inlineStr">
        <is>
          <t>1º TRI</t>
        </is>
      </c>
      <c r="K94" s="605" t="n">
        <v>48639</v>
      </c>
      <c r="L94" s="419" t="n">
        <v>-4600000</v>
      </c>
      <c r="M94" s="419" t="n">
        <v>-1200000</v>
      </c>
      <c r="N94" s="419" t="n">
        <v>-800000</v>
      </c>
    </row>
    <row r="95">
      <c r="J95" s="351" t="inlineStr">
        <is>
          <t>2º TRI</t>
        </is>
      </c>
      <c r="K95" s="586" t="n">
        <v>48670</v>
      </c>
      <c r="L95" s="362" t="n">
        <v>-3600000</v>
      </c>
      <c r="M95" s="362" t="n">
        <v>-1200000</v>
      </c>
      <c r="N95" s="362" t="n">
        <v>-800000</v>
      </c>
    </row>
    <row r="96">
      <c r="J96" s="351" t="inlineStr">
        <is>
          <t>2º TRI</t>
        </is>
      </c>
      <c r="K96" s="586" t="n">
        <v>48700</v>
      </c>
      <c r="L96" s="362" t="n">
        <v>-3600000</v>
      </c>
      <c r="M96" s="362" t="n">
        <v>-1200000</v>
      </c>
      <c r="N96" s="362" t="n">
        <v>-800000</v>
      </c>
    </row>
    <row r="97">
      <c r="J97" s="417" t="inlineStr">
        <is>
          <t>2º TRI</t>
        </is>
      </c>
      <c r="K97" s="605" t="n">
        <v>48731</v>
      </c>
      <c r="L97" s="419" t="n">
        <v>-4600000</v>
      </c>
      <c r="M97" s="419" t="n">
        <v>-1200000</v>
      </c>
      <c r="N97" s="419" t="n">
        <v>-700000</v>
      </c>
    </row>
    <row r="98">
      <c r="J98" s="351" t="inlineStr">
        <is>
          <t>3º TRI</t>
        </is>
      </c>
      <c r="K98" s="586" t="n">
        <v>48761</v>
      </c>
      <c r="L98" s="362" t="n">
        <v>-3600000</v>
      </c>
      <c r="M98" s="362" t="n">
        <v>-1000000</v>
      </c>
      <c r="N98" s="362" t="n">
        <v>-500000</v>
      </c>
    </row>
    <row r="99">
      <c r="J99" s="351" t="inlineStr">
        <is>
          <t>3º TRI</t>
        </is>
      </c>
      <c r="K99" s="586" t="n">
        <v>48792</v>
      </c>
      <c r="L99" s="362" t="n">
        <v>-4600000</v>
      </c>
      <c r="M99" s="362" t="n">
        <v>-1000000</v>
      </c>
      <c r="N99" s="362" t="n">
        <v>-500000</v>
      </c>
    </row>
    <row r="100">
      <c r="J100" s="417" t="inlineStr">
        <is>
          <t>3º TRI</t>
        </is>
      </c>
      <c r="K100" s="605" t="n">
        <v>48823</v>
      </c>
      <c r="L100" s="419" t="n">
        <v>-3300000</v>
      </c>
      <c r="M100" s="419" t="n">
        <v>-1000000</v>
      </c>
      <c r="N100" s="419" t="n">
        <v>-500000</v>
      </c>
    </row>
    <row r="101">
      <c r="J101" s="351" t="inlineStr">
        <is>
          <t>4º TRI</t>
        </is>
      </c>
      <c r="K101" s="586" t="n">
        <v>48853</v>
      </c>
      <c r="L101" s="362" t="n">
        <v>-3300000</v>
      </c>
      <c r="M101" s="362" t="n">
        <v>-1000000</v>
      </c>
      <c r="N101" s="362" t="n">
        <v>-500000</v>
      </c>
    </row>
    <row r="102">
      <c r="J102" s="351" t="inlineStr">
        <is>
          <t>4º TRI</t>
        </is>
      </c>
      <c r="K102" s="586" t="n">
        <v>48884</v>
      </c>
      <c r="L102" s="362" t="n">
        <v>-3300000</v>
      </c>
      <c r="M102" s="362" t="n">
        <v>-600000</v>
      </c>
      <c r="N102" s="362" t="n">
        <v>-280000</v>
      </c>
    </row>
    <row r="103">
      <c r="J103" s="417" t="inlineStr">
        <is>
          <t>4º TRI</t>
        </is>
      </c>
      <c r="K103" s="605" t="n">
        <v>48914</v>
      </c>
      <c r="L103" s="419" t="n">
        <v>-3000000</v>
      </c>
      <c r="M103" s="419" t="n">
        <v>-600000</v>
      </c>
      <c r="N103" s="419" t="n">
        <v>-600000</v>
      </c>
    </row>
    <row r="104">
      <c r="J104" s="351" t="inlineStr">
        <is>
          <t>1º TRI</t>
        </is>
      </c>
      <c r="K104" s="586" t="n">
        <v>48945</v>
      </c>
      <c r="L104" s="362" t="n">
        <v>-3000000</v>
      </c>
      <c r="M104" s="362" t="n">
        <v>-600000</v>
      </c>
      <c r="N104" s="362" t="n">
        <v>-400000</v>
      </c>
    </row>
    <row r="105">
      <c r="J105" s="351" t="inlineStr">
        <is>
          <t>1º TRI</t>
        </is>
      </c>
      <c r="K105" s="586" t="n">
        <v>48976</v>
      </c>
      <c r="L105" s="362" t="n">
        <v>-2700000</v>
      </c>
      <c r="M105" s="362" t="n">
        <v>-1600000</v>
      </c>
      <c r="N105" s="362" t="n">
        <v>-400000</v>
      </c>
    </row>
    <row r="106">
      <c r="J106" s="417" t="inlineStr">
        <is>
          <t>1º TRI</t>
        </is>
      </c>
      <c r="K106" s="605" t="n">
        <v>49004</v>
      </c>
      <c r="L106" s="419" t="n">
        <v>-2700000</v>
      </c>
      <c r="M106" s="419" t="n">
        <v>-500000</v>
      </c>
      <c r="N106" s="419" t="n">
        <v>-400000</v>
      </c>
    </row>
    <row r="107">
      <c r="J107" s="351" t="inlineStr">
        <is>
          <t>2º TRI</t>
        </is>
      </c>
      <c r="K107" s="586" t="n">
        <v>49035</v>
      </c>
      <c r="L107" s="362" t="n">
        <v>-2700000</v>
      </c>
      <c r="M107" s="362" t="n">
        <v>-700000</v>
      </c>
      <c r="N107" s="362" t="n">
        <v>-400000</v>
      </c>
    </row>
    <row r="108">
      <c r="J108" s="351" t="inlineStr">
        <is>
          <t>2º TRI</t>
        </is>
      </c>
      <c r="K108" s="586" t="n">
        <v>49065</v>
      </c>
      <c r="L108" s="362" t="n">
        <v>-2500000</v>
      </c>
      <c r="M108" s="362" t="n">
        <v>-700000</v>
      </c>
      <c r="N108" s="362" t="n">
        <v>-400000</v>
      </c>
    </row>
    <row r="109">
      <c r="J109" s="417" t="inlineStr">
        <is>
          <t>2º TRI</t>
        </is>
      </c>
      <c r="K109" s="605" t="n">
        <v>49096</v>
      </c>
      <c r="L109" s="419" t="n">
        <v>-2500000</v>
      </c>
      <c r="M109" s="419" t="n">
        <v>-700000</v>
      </c>
      <c r="N109" s="419" t="n">
        <v>-400000</v>
      </c>
    </row>
    <row r="110">
      <c r="J110" s="351" t="inlineStr">
        <is>
          <t>3º TRI</t>
        </is>
      </c>
      <c r="K110" s="586" t="n">
        <v>49126</v>
      </c>
      <c r="L110" s="362" t="n">
        <v>-2000000</v>
      </c>
      <c r="M110" s="362" t="n">
        <v>-600000</v>
      </c>
      <c r="N110" s="362" t="n">
        <v>-400000</v>
      </c>
    </row>
    <row r="111">
      <c r="J111" s="351" t="inlineStr">
        <is>
          <t>3º TRI</t>
        </is>
      </c>
      <c r="K111" s="586" t="n">
        <v>49157</v>
      </c>
      <c r="L111" s="362" t="n">
        <v>-2000000</v>
      </c>
      <c r="M111" s="362" t="n">
        <v>-600000</v>
      </c>
      <c r="N111" s="362" t="n">
        <v>-300000</v>
      </c>
    </row>
    <row r="112">
      <c r="J112" s="417" t="inlineStr">
        <is>
          <t>3º TRI</t>
        </is>
      </c>
      <c r="K112" s="605" t="n">
        <v>49188</v>
      </c>
      <c r="L112" s="419" t="n">
        <v>-1700000</v>
      </c>
      <c r="M112" s="419" t="n">
        <v>-600000</v>
      </c>
      <c r="N112" s="419" t="n">
        <v>-300000</v>
      </c>
    </row>
    <row r="113">
      <c r="J113" s="351" t="inlineStr">
        <is>
          <t>4º TRI</t>
        </is>
      </c>
      <c r="K113" s="586" t="n">
        <v>49218</v>
      </c>
      <c r="L113" s="362" t="n">
        <v>-1700000</v>
      </c>
      <c r="M113" s="362" t="n">
        <v>-600000</v>
      </c>
      <c r="N113" s="362" t="n">
        <v>-300000</v>
      </c>
    </row>
    <row r="114">
      <c r="J114" s="351" t="inlineStr">
        <is>
          <t>4º TRI</t>
        </is>
      </c>
      <c r="K114" s="586" t="n">
        <v>49249</v>
      </c>
      <c r="L114" s="362" t="n">
        <v>-1700000</v>
      </c>
      <c r="M114" s="362" t="n">
        <v>-600000</v>
      </c>
      <c r="N114" s="362" t="n">
        <v>-300000</v>
      </c>
    </row>
    <row r="115">
      <c r="J115" s="417" t="inlineStr">
        <is>
          <t>4º TRI</t>
        </is>
      </c>
      <c r="K115" s="605" t="n">
        <v>49279</v>
      </c>
      <c r="L115" s="419" t="n">
        <v>-1400000</v>
      </c>
      <c r="M115" s="419" t="n">
        <v>-600000</v>
      </c>
      <c r="N115" s="419" t="n">
        <v>-400000</v>
      </c>
    </row>
    <row r="116">
      <c r="J116" s="351" t="inlineStr">
        <is>
          <t>1º TRI</t>
        </is>
      </c>
      <c r="K116" s="586" t="n">
        <v>49310</v>
      </c>
      <c r="L116" s="362" t="n">
        <v>-1400000</v>
      </c>
      <c r="M116" s="362" t="n">
        <v>-600000</v>
      </c>
      <c r="N116" s="362" t="n">
        <v>-400000</v>
      </c>
    </row>
    <row r="117">
      <c r="J117" s="351" t="inlineStr">
        <is>
          <t>1º TRI</t>
        </is>
      </c>
      <c r="K117" s="586" t="n">
        <v>49341</v>
      </c>
      <c r="L117" s="362" t="n">
        <v>-1400000</v>
      </c>
      <c r="M117" s="362" t="n">
        <v>-400000</v>
      </c>
      <c r="N117" s="362" t="n">
        <v>-300000</v>
      </c>
    </row>
    <row r="118">
      <c r="J118" s="417" t="inlineStr">
        <is>
          <t>1º TRI</t>
        </is>
      </c>
      <c r="K118" s="605" t="n">
        <v>49369</v>
      </c>
      <c r="L118" s="419" t="n">
        <v>-1400000</v>
      </c>
      <c r="M118" s="419" t="n">
        <v>-400000</v>
      </c>
      <c r="N118" s="419" t="n">
        <v>-300000</v>
      </c>
    </row>
    <row r="119">
      <c r="J119" s="351" t="inlineStr">
        <is>
          <t>2º TRI</t>
        </is>
      </c>
      <c r="K119" s="586" t="n">
        <v>49400</v>
      </c>
      <c r="L119" s="362" t="n">
        <v>-1200000</v>
      </c>
      <c r="M119" s="362" t="n">
        <v>-400000</v>
      </c>
      <c r="N119" s="362" t="n">
        <v>-300000</v>
      </c>
    </row>
    <row r="120">
      <c r="J120" s="351" t="inlineStr">
        <is>
          <t>2º TRI</t>
        </is>
      </c>
      <c r="K120" s="586" t="n">
        <v>49430</v>
      </c>
      <c r="L120" s="362" t="n">
        <v>-1200000</v>
      </c>
      <c r="M120" s="362" t="n">
        <v>-300000</v>
      </c>
      <c r="N120" s="362" t="n">
        <v>-290000</v>
      </c>
    </row>
    <row r="121">
      <c r="J121" s="417" t="inlineStr">
        <is>
          <t>2º TRI</t>
        </is>
      </c>
      <c r="K121" s="605" t="n">
        <v>49461</v>
      </c>
      <c r="L121" s="419" t="n">
        <v>-1200000</v>
      </c>
      <c r="M121" s="419" t="n">
        <v>-300000</v>
      </c>
      <c r="N121" s="419" t="n">
        <v>-300000</v>
      </c>
    </row>
    <row r="122">
      <c r="J122" s="351" t="inlineStr">
        <is>
          <t>3º TRI</t>
        </is>
      </c>
      <c r="K122" s="586" t="n">
        <v>49491</v>
      </c>
      <c r="L122" s="362" t="n">
        <v>-700000</v>
      </c>
      <c r="M122" s="362" t="n">
        <v>-300000</v>
      </c>
      <c r="N122" s="362" t="n">
        <v>-200000</v>
      </c>
    </row>
    <row r="123">
      <c r="J123" s="351" t="inlineStr">
        <is>
          <t>3º TRI</t>
        </is>
      </c>
      <c r="K123" s="586" t="n">
        <v>49522</v>
      </c>
      <c r="L123" s="362" t="n">
        <v>-800000</v>
      </c>
      <c r="M123" s="362" t="n">
        <v>-300000</v>
      </c>
      <c r="N123" s="362" t="n">
        <v>-200000</v>
      </c>
    </row>
    <row r="124">
      <c r="J124" s="417" t="inlineStr">
        <is>
          <t>3º TRI</t>
        </is>
      </c>
      <c r="K124" s="605" t="n">
        <v>49553</v>
      </c>
      <c r="L124" s="419" t="n">
        <v>-800000</v>
      </c>
      <c r="M124" s="419" t="n">
        <v>-300000</v>
      </c>
      <c r="N124" s="419" t="n">
        <v>-300000</v>
      </c>
    </row>
    <row r="125">
      <c r="J125" s="351" t="inlineStr">
        <is>
          <t>4º TRI</t>
        </is>
      </c>
      <c r="K125" s="586" t="n">
        <v>49583</v>
      </c>
      <c r="L125" s="362" t="n">
        <v>-700000</v>
      </c>
      <c r="M125" s="362" t="n">
        <v>-300000</v>
      </c>
      <c r="N125" s="362" t="n">
        <v>-200000</v>
      </c>
    </row>
    <row r="126">
      <c r="J126" s="351" t="inlineStr">
        <is>
          <t>4º TRI</t>
        </is>
      </c>
      <c r="K126" s="586" t="n">
        <v>49614</v>
      </c>
      <c r="L126" s="362" t="n">
        <v>-700000</v>
      </c>
      <c r="M126" s="362" t="n">
        <v>-300000</v>
      </c>
      <c r="N126" s="362" t="n">
        <v>-200000</v>
      </c>
    </row>
    <row r="127">
      <c r="J127" s="417" t="inlineStr">
        <is>
          <t>4º TRI</t>
        </is>
      </c>
      <c r="K127" s="605" t="n">
        <v>49644</v>
      </c>
      <c r="L127" s="419" t="n">
        <v>-700000</v>
      </c>
      <c r="M127" s="419" t="n">
        <v>-300000</v>
      </c>
      <c r="N127" s="419" t="n">
        <v>-200000</v>
      </c>
    </row>
    <row r="128">
      <c r="J128" s="351" t="inlineStr">
        <is>
          <t>1º TRI</t>
        </is>
      </c>
      <c r="K128" s="586" t="n">
        <v>49675</v>
      </c>
      <c r="L128" s="362" t="n">
        <v>-700000</v>
      </c>
      <c r="M128" s="362" t="n">
        <v>-300000</v>
      </c>
      <c r="N128" s="362" t="n">
        <v>-200000</v>
      </c>
    </row>
    <row r="129">
      <c r="J129" s="351" t="inlineStr">
        <is>
          <t>1º TRI</t>
        </is>
      </c>
      <c r="K129" s="586" t="n">
        <v>49706</v>
      </c>
      <c r="L129" s="362" t="n">
        <v>-700000</v>
      </c>
      <c r="M129" s="362" t="n">
        <v>-300000</v>
      </c>
      <c r="N129" s="362" t="n">
        <v>-200000</v>
      </c>
    </row>
    <row r="130">
      <c r="J130" s="417" t="inlineStr">
        <is>
          <t>1º TRI</t>
        </is>
      </c>
      <c r="K130" s="605" t="n">
        <v>49735</v>
      </c>
      <c r="L130" s="419" t="n">
        <v>-700000</v>
      </c>
      <c r="M130" s="419" t="n">
        <v>-300000</v>
      </c>
      <c r="N130" s="419" t="n">
        <v>-200000</v>
      </c>
    </row>
    <row r="131">
      <c r="J131" s="351" t="inlineStr">
        <is>
          <t>2º TRI</t>
        </is>
      </c>
      <c r="K131" s="586" t="n">
        <v>49766</v>
      </c>
      <c r="L131" s="362" t="n">
        <v>-600000</v>
      </c>
      <c r="M131" s="362" t="n">
        <v>-250000</v>
      </c>
      <c r="N131" s="362" t="n">
        <v>-200000</v>
      </c>
    </row>
    <row r="132">
      <c r="J132" s="351" t="inlineStr">
        <is>
          <t>2º TRI</t>
        </is>
      </c>
      <c r="K132" s="586" t="n">
        <v>49796</v>
      </c>
      <c r="L132" s="362" t="n">
        <v>-500000</v>
      </c>
      <c r="M132" s="362" t="n">
        <v>-250000</v>
      </c>
      <c r="N132" s="362" t="n">
        <v>-100000</v>
      </c>
    </row>
    <row r="133">
      <c r="J133" s="417" t="inlineStr">
        <is>
          <t>2º TRI</t>
        </is>
      </c>
      <c r="K133" s="605" t="n">
        <v>49827</v>
      </c>
      <c r="L133" s="419" t="n">
        <v>-500000</v>
      </c>
      <c r="M133" s="419" t="n">
        <v>-250000</v>
      </c>
      <c r="N133" s="419" t="n">
        <v>-100000</v>
      </c>
    </row>
    <row r="134">
      <c r="J134" s="351" t="inlineStr">
        <is>
          <t>3º TRI</t>
        </is>
      </c>
      <c r="K134" s="586" t="n">
        <v>49857</v>
      </c>
      <c r="L134" s="362" t="n">
        <v>-500000</v>
      </c>
      <c r="M134" s="362" t="n">
        <v>-250000</v>
      </c>
      <c r="N134" s="362" t="n">
        <v>-190000</v>
      </c>
    </row>
    <row r="135">
      <c r="J135" s="351" t="inlineStr">
        <is>
          <t>3º TRI</t>
        </is>
      </c>
      <c r="K135" s="586" t="n">
        <v>49888</v>
      </c>
      <c r="L135" s="362" t="n">
        <v>-500000</v>
      </c>
      <c r="M135" s="362" t="n">
        <v>-250000</v>
      </c>
      <c r="N135" s="362" t="n">
        <v>-200000</v>
      </c>
    </row>
    <row r="136">
      <c r="J136" s="417" t="inlineStr">
        <is>
          <t>3º TRI</t>
        </is>
      </c>
      <c r="K136" s="605" t="n">
        <v>49919</v>
      </c>
      <c r="L136" s="419" t="n">
        <v>-500000</v>
      </c>
      <c r="M136" s="419" t="n">
        <v>-250000</v>
      </c>
      <c r="N136" s="419" t="n">
        <v>-100000</v>
      </c>
    </row>
    <row r="137">
      <c r="J137" s="351" t="inlineStr">
        <is>
          <t>4º TRI</t>
        </is>
      </c>
      <c r="K137" s="586" t="n">
        <v>49949</v>
      </c>
      <c r="L137" s="362" t="n">
        <v>-500000</v>
      </c>
      <c r="M137" s="362" t="n">
        <v>-200000</v>
      </c>
      <c r="N137" s="362" t="n">
        <v>-100000</v>
      </c>
    </row>
    <row r="138">
      <c r="J138" s="351" t="inlineStr">
        <is>
          <t>4º TRI</t>
        </is>
      </c>
      <c r="K138" s="586" t="n">
        <v>49980</v>
      </c>
      <c r="L138" s="362" t="n">
        <v>-500000</v>
      </c>
      <c r="M138" s="362" t="n">
        <v>-200000</v>
      </c>
      <c r="N138" s="362" t="n">
        <v>-100000</v>
      </c>
    </row>
    <row r="139">
      <c r="J139" s="417" t="inlineStr">
        <is>
          <t>4º TRI</t>
        </is>
      </c>
      <c r="K139" s="605" t="n">
        <v>50010</v>
      </c>
      <c r="L139" s="419" t="n">
        <v>-500000</v>
      </c>
      <c r="M139" s="419" t="n">
        <v>-200000</v>
      </c>
      <c r="N139" s="419" t="n">
        <v>-100000</v>
      </c>
    </row>
    <row r="140">
      <c r="J140" s="351" t="inlineStr">
        <is>
          <t>1º TRI</t>
        </is>
      </c>
      <c r="K140" s="586" t="n">
        <v>50041</v>
      </c>
      <c r="L140" s="362" t="n">
        <v>-400000</v>
      </c>
      <c r="M140" s="362" t="n">
        <v>-200000</v>
      </c>
      <c r="N140" s="362" t="n">
        <v>-50000</v>
      </c>
    </row>
    <row r="141">
      <c r="J141" s="351" t="inlineStr">
        <is>
          <t>1º TRI</t>
        </is>
      </c>
      <c r="K141" s="586" t="n">
        <v>50072</v>
      </c>
      <c r="L141" s="362" t="n">
        <v>-400000</v>
      </c>
      <c r="M141" s="362" t="n">
        <v>-200000</v>
      </c>
      <c r="N141" s="362" t="n">
        <v>-50000</v>
      </c>
    </row>
    <row r="142">
      <c r="J142" s="417" t="inlineStr">
        <is>
          <t>1º TRI</t>
        </is>
      </c>
      <c r="K142" s="605" t="n">
        <v>50100</v>
      </c>
      <c r="L142" s="419" t="n">
        <v>-400000</v>
      </c>
      <c r="M142" s="419" t="n">
        <v>-200000</v>
      </c>
      <c r="N142" s="419" t="n">
        <v>-50000</v>
      </c>
    </row>
    <row r="143">
      <c r="J143" s="351" t="inlineStr">
        <is>
          <t>2º TRI</t>
        </is>
      </c>
      <c r="K143" s="586" t="n">
        <v>50131</v>
      </c>
      <c r="L143" s="362" t="n">
        <v>-300000</v>
      </c>
      <c r="M143" s="362" t="n">
        <v>-200000</v>
      </c>
      <c r="N143" s="362" t="n">
        <v>-50000</v>
      </c>
    </row>
    <row r="144">
      <c r="J144" s="351" t="inlineStr">
        <is>
          <t>2º TRI</t>
        </is>
      </c>
      <c r="K144" s="586" t="n">
        <v>50161</v>
      </c>
      <c r="L144" s="362" t="n">
        <v>-300000</v>
      </c>
      <c r="M144" s="362" t="n">
        <v>-200000</v>
      </c>
      <c r="N144" s="362" t="n">
        <v>-50000</v>
      </c>
    </row>
    <row r="145">
      <c r="J145" s="417" t="inlineStr">
        <is>
          <t>2º TRI</t>
        </is>
      </c>
      <c r="K145" s="605" t="n">
        <v>50192</v>
      </c>
      <c r="L145" s="419" t="n">
        <v>-300000</v>
      </c>
      <c r="M145" s="419" t="n">
        <v>-200000</v>
      </c>
      <c r="N145" s="419" t="n">
        <v>-30000</v>
      </c>
    </row>
    <row r="146">
      <c r="J146" s="351" t="inlineStr">
        <is>
          <t>3º TRI</t>
        </is>
      </c>
      <c r="K146" s="586" t="n">
        <v>50222</v>
      </c>
      <c r="L146" s="362" t="n">
        <v>-300000</v>
      </c>
      <c r="M146" s="362" t="n">
        <v>-150000</v>
      </c>
      <c r="N146" s="362" t="n">
        <v>-29271.5</v>
      </c>
    </row>
    <row r="147">
      <c r="J147" s="351" t="inlineStr">
        <is>
          <t>3º TRI</t>
        </is>
      </c>
      <c r="K147" s="586" t="n">
        <v>50253</v>
      </c>
      <c r="L147" s="362" t="n">
        <v>-300000</v>
      </c>
      <c r="M147" s="362" t="n">
        <v>-150000</v>
      </c>
      <c r="N147" s="362" t="n"/>
    </row>
    <row r="148">
      <c r="J148" s="417" t="inlineStr">
        <is>
          <t>3º TRI</t>
        </is>
      </c>
      <c r="K148" s="605" t="n">
        <v>50284</v>
      </c>
      <c r="L148" s="419" t="n">
        <v>-300000</v>
      </c>
      <c r="M148" s="419" t="n">
        <v>-150000</v>
      </c>
      <c r="N148" s="419" t="n"/>
    </row>
    <row r="149">
      <c r="J149" s="351" t="inlineStr">
        <is>
          <t>4º TRI</t>
        </is>
      </c>
      <c r="K149" s="586" t="n">
        <v>50314</v>
      </c>
      <c r="L149" s="362" t="n">
        <v>-200000</v>
      </c>
      <c r="M149" s="362" t="n">
        <v>-150000</v>
      </c>
      <c r="N149" s="362" t="n"/>
    </row>
    <row r="150">
      <c r="J150" s="351" t="inlineStr">
        <is>
          <t>4º TRI</t>
        </is>
      </c>
      <c r="K150" s="586" t="n">
        <v>50345</v>
      </c>
      <c r="L150" s="362" t="n">
        <v>-200000</v>
      </c>
      <c r="M150" s="362" t="n">
        <v>-150000</v>
      </c>
      <c r="N150" s="362" t="n"/>
    </row>
    <row r="151">
      <c r="J151" s="417" t="inlineStr">
        <is>
          <t>4º TRI</t>
        </is>
      </c>
      <c r="K151" s="605" t="n">
        <v>50375</v>
      </c>
      <c r="L151" s="419" t="n">
        <v>-200000</v>
      </c>
      <c r="M151" s="419" t="n">
        <v>-150000</v>
      </c>
      <c r="N151" s="419" t="n"/>
    </row>
    <row r="152">
      <c r="J152" s="351" t="inlineStr">
        <is>
          <t>1º TRI</t>
        </is>
      </c>
      <c r="K152" s="586" t="n">
        <v>50406</v>
      </c>
      <c r="L152" s="362" t="n">
        <v>-200000</v>
      </c>
      <c r="M152" s="362" t="n">
        <v>-150000</v>
      </c>
      <c r="N152" s="362" t="n">
        <v>0</v>
      </c>
    </row>
    <row r="153">
      <c r="J153" s="351" t="inlineStr">
        <is>
          <t>1º TRI</t>
        </is>
      </c>
      <c r="K153" s="586" t="n">
        <v>50437</v>
      </c>
      <c r="L153" s="362" t="n">
        <v>-200000</v>
      </c>
      <c r="M153" s="362" t="n">
        <v>-150000</v>
      </c>
      <c r="N153" s="362" t="n">
        <v>0</v>
      </c>
    </row>
    <row r="154">
      <c r="J154" s="417" t="inlineStr">
        <is>
          <t>1º TRI</t>
        </is>
      </c>
      <c r="K154" s="605" t="n">
        <v>50465</v>
      </c>
      <c r="L154" s="419" t="n">
        <v>-200000</v>
      </c>
      <c r="M154" s="419" t="n">
        <v>-70000</v>
      </c>
      <c r="N154" s="419" t="n">
        <v>0</v>
      </c>
    </row>
    <row r="155">
      <c r="J155" s="351" t="inlineStr">
        <is>
          <t>2º TRI</t>
        </is>
      </c>
      <c r="K155" s="586" t="n">
        <v>50496</v>
      </c>
      <c r="L155" s="362" t="n">
        <v>-200000</v>
      </c>
      <c r="M155" s="362" t="n">
        <v>-70000</v>
      </c>
      <c r="N155" s="362" t="n">
        <v>0</v>
      </c>
    </row>
    <row r="156">
      <c r="J156" s="351" t="inlineStr">
        <is>
          <t>2º TRI</t>
        </is>
      </c>
      <c r="K156" s="586" t="n">
        <v>50526</v>
      </c>
      <c r="L156" s="362" t="n">
        <v>-200000</v>
      </c>
      <c r="M156" s="362" t="n">
        <v>-70000</v>
      </c>
      <c r="N156" s="362" t="n">
        <v>0</v>
      </c>
    </row>
    <row r="157">
      <c r="J157" s="417" t="inlineStr">
        <is>
          <t>2º TRI</t>
        </is>
      </c>
      <c r="K157" s="605" t="n">
        <v>50557</v>
      </c>
      <c r="L157" s="419" t="n">
        <v>-200000</v>
      </c>
      <c r="M157" s="419" t="n">
        <v>-70000</v>
      </c>
      <c r="N157" s="419" t="n">
        <v>0</v>
      </c>
    </row>
    <row r="158">
      <c r="J158" s="351" t="inlineStr">
        <is>
          <t>3º TRI</t>
        </is>
      </c>
      <c r="K158" s="586" t="n">
        <v>50587</v>
      </c>
      <c r="L158" s="362" t="n">
        <v>-200000</v>
      </c>
      <c r="M158" s="362" t="n">
        <v>-70000</v>
      </c>
      <c r="N158" s="362" t="n">
        <v>0</v>
      </c>
    </row>
    <row r="159">
      <c r="J159" s="351" t="inlineStr">
        <is>
          <t>3º TRI</t>
        </is>
      </c>
      <c r="K159" s="586" t="n">
        <v>50618</v>
      </c>
      <c r="L159" s="362" t="n">
        <v>-200000</v>
      </c>
      <c r="M159" s="362" t="n">
        <v>-70000</v>
      </c>
      <c r="N159" s="362" t="n">
        <v>0</v>
      </c>
    </row>
    <row r="160">
      <c r="J160" s="417" t="inlineStr">
        <is>
          <t>3º TRI</t>
        </is>
      </c>
      <c r="K160" s="605" t="n">
        <v>50649</v>
      </c>
      <c r="L160" s="419" t="n">
        <v>-200000</v>
      </c>
      <c r="M160" s="419" t="n">
        <v>-70000</v>
      </c>
      <c r="N160" s="419" t="n">
        <v>0</v>
      </c>
    </row>
    <row r="161">
      <c r="J161" s="351" t="inlineStr">
        <is>
          <t>4º TRI</t>
        </is>
      </c>
      <c r="K161" s="586" t="n">
        <v>50679</v>
      </c>
      <c r="L161" s="362" t="n">
        <v>-200000</v>
      </c>
      <c r="M161" s="362" t="n">
        <v>-50000</v>
      </c>
      <c r="N161" s="362" t="n">
        <v>0</v>
      </c>
    </row>
    <row r="162">
      <c r="J162" s="351" t="inlineStr">
        <is>
          <t>4º TRI</t>
        </is>
      </c>
      <c r="K162" s="586" t="n">
        <v>50710</v>
      </c>
      <c r="L162" s="362" t="n">
        <v>-200000</v>
      </c>
      <c r="M162" s="362" t="n">
        <v>-50000</v>
      </c>
      <c r="N162" s="362" t="n">
        <v>0</v>
      </c>
    </row>
    <row r="163">
      <c r="J163" s="417" t="inlineStr">
        <is>
          <t>4º TRI</t>
        </is>
      </c>
      <c r="K163" s="605" t="n">
        <v>50740</v>
      </c>
      <c r="L163" s="419" t="n">
        <v>-200000</v>
      </c>
      <c r="M163" s="419" t="n">
        <v>-50000</v>
      </c>
      <c r="N163" s="419" t="n">
        <v>0</v>
      </c>
    </row>
    <row r="164">
      <c r="J164" s="351" t="inlineStr">
        <is>
          <t>1º TRI</t>
        </is>
      </c>
      <c r="K164" s="586" t="n">
        <v>50771</v>
      </c>
      <c r="L164" s="362" t="n">
        <v>-200000</v>
      </c>
      <c r="M164" s="362" t="n">
        <v>-50000</v>
      </c>
      <c r="N164" s="362" t="n">
        <v>0</v>
      </c>
    </row>
    <row r="165">
      <c r="J165" s="351" t="inlineStr">
        <is>
          <t>1º TRI</t>
        </is>
      </c>
      <c r="K165" s="586" t="n">
        <v>50802</v>
      </c>
      <c r="L165" s="362" t="n">
        <v>-100000</v>
      </c>
      <c r="M165" s="362" t="n">
        <v>-50000</v>
      </c>
      <c r="N165" s="362" t="n">
        <v>0</v>
      </c>
    </row>
    <row r="166">
      <c r="J166" s="417" t="inlineStr">
        <is>
          <t>1º TRI</t>
        </is>
      </c>
      <c r="K166" s="605" t="n">
        <v>50830</v>
      </c>
      <c r="L166" s="419" t="n">
        <v>-200000</v>
      </c>
      <c r="M166" s="419" t="n">
        <v>-15000</v>
      </c>
      <c r="N166" s="419" t="n">
        <v>0</v>
      </c>
    </row>
    <row r="167">
      <c r="J167" s="351" t="inlineStr">
        <is>
          <t>2º TRI</t>
        </is>
      </c>
      <c r="K167" s="586" t="n">
        <v>50861</v>
      </c>
      <c r="L167" s="362" t="n">
        <v>-100000</v>
      </c>
      <c r="M167" s="362" t="n">
        <v>-9510</v>
      </c>
      <c r="N167" s="362" t="n">
        <v>0</v>
      </c>
    </row>
    <row r="168">
      <c r="J168" s="351" t="inlineStr">
        <is>
          <t>2º TRI</t>
        </is>
      </c>
      <c r="K168" s="586" t="n">
        <v>50891</v>
      </c>
      <c r="L168" s="362" t="n">
        <v>-200000</v>
      </c>
      <c r="M168" s="362" t="n"/>
      <c r="N168" s="362" t="n">
        <v>0</v>
      </c>
    </row>
    <row r="169">
      <c r="J169" s="417" t="inlineStr">
        <is>
          <t>2º TRI</t>
        </is>
      </c>
      <c r="K169" s="605" t="n">
        <v>50922</v>
      </c>
      <c r="L169" s="419" t="n">
        <v>-150000</v>
      </c>
      <c r="M169" s="419" t="n"/>
      <c r="N169" s="419" t="n">
        <v>0</v>
      </c>
    </row>
    <row r="170">
      <c r="J170" s="351" t="inlineStr">
        <is>
          <t>3º TRI</t>
        </is>
      </c>
      <c r="K170" s="586" t="n">
        <v>50952</v>
      </c>
      <c r="L170" s="362" t="n">
        <v>-200000</v>
      </c>
      <c r="M170" s="362" t="n"/>
      <c r="N170" s="362" t="n"/>
    </row>
    <row r="171">
      <c r="J171" s="351" t="inlineStr">
        <is>
          <t>3º TRI</t>
        </is>
      </c>
      <c r="K171" s="586" t="n">
        <v>50983</v>
      </c>
      <c r="L171" s="362" t="n">
        <v>-100000</v>
      </c>
      <c r="M171" s="362" t="n"/>
      <c r="N171" s="362" t="n"/>
    </row>
    <row r="172">
      <c r="J172" s="417" t="inlineStr">
        <is>
          <t>3º TRI</t>
        </is>
      </c>
      <c r="K172" s="605" t="n">
        <v>51014</v>
      </c>
      <c r="L172" s="419" t="n">
        <v>-100000</v>
      </c>
      <c r="M172" s="419" t="n">
        <v>0</v>
      </c>
      <c r="N172" s="419" t="n">
        <v>0</v>
      </c>
    </row>
    <row r="173">
      <c r="J173" s="351" t="inlineStr">
        <is>
          <t>4º TRI</t>
        </is>
      </c>
      <c r="K173" s="586" t="n">
        <v>51044</v>
      </c>
      <c r="L173" s="362" t="n">
        <v>-150000</v>
      </c>
      <c r="M173" s="362" t="n">
        <v>0</v>
      </c>
      <c r="N173" s="362" t="n">
        <v>0</v>
      </c>
    </row>
    <row r="174">
      <c r="J174" s="351" t="inlineStr">
        <is>
          <t>4º TRI</t>
        </is>
      </c>
      <c r="K174" s="586" t="n">
        <v>51075</v>
      </c>
      <c r="L174" s="362" t="n">
        <v>-100000</v>
      </c>
      <c r="M174" s="362" t="n">
        <v>0</v>
      </c>
      <c r="N174" s="362" t="n">
        <v>0</v>
      </c>
    </row>
    <row r="175">
      <c r="J175" s="417" t="inlineStr">
        <is>
          <t>4º TRI</t>
        </is>
      </c>
      <c r="K175" s="605" t="n">
        <v>51105</v>
      </c>
      <c r="L175" s="419" t="n">
        <v>-150000</v>
      </c>
      <c r="M175" s="419" t="n">
        <v>0</v>
      </c>
      <c r="N175" s="419" t="n">
        <v>0</v>
      </c>
    </row>
    <row r="176">
      <c r="J176" s="351" t="inlineStr">
        <is>
          <t>1º TRI</t>
        </is>
      </c>
      <c r="K176" s="586" t="n">
        <v>51136</v>
      </c>
      <c r="L176" s="362" t="n">
        <v>-100000</v>
      </c>
      <c r="M176" s="362" t="n">
        <v>0</v>
      </c>
      <c r="N176" s="362" t="n">
        <v>0</v>
      </c>
    </row>
    <row r="177">
      <c r="J177" s="351" t="inlineStr">
        <is>
          <t>1º TRI</t>
        </is>
      </c>
      <c r="K177" s="586" t="n">
        <v>51167</v>
      </c>
      <c r="L177" s="362" t="n">
        <v>-100000</v>
      </c>
      <c r="M177" s="362" t="n">
        <v>0</v>
      </c>
      <c r="N177" s="362" t="n">
        <v>0</v>
      </c>
    </row>
    <row r="178">
      <c r="J178" s="417" t="inlineStr">
        <is>
          <t>1º TRI</t>
        </is>
      </c>
      <c r="K178" s="605" t="n">
        <v>51196</v>
      </c>
      <c r="L178" s="419" t="n">
        <v>-100000</v>
      </c>
      <c r="M178" s="419" t="n">
        <v>0</v>
      </c>
      <c r="N178" s="419" t="n">
        <v>0</v>
      </c>
    </row>
    <row r="179">
      <c r="J179" s="351" t="inlineStr">
        <is>
          <t>2º TRI</t>
        </is>
      </c>
      <c r="K179" s="586" t="n">
        <v>51227</v>
      </c>
      <c r="L179" s="362" t="n">
        <v>-100000</v>
      </c>
      <c r="M179" s="362" t="n">
        <v>0</v>
      </c>
      <c r="N179" s="362" t="n">
        <v>0</v>
      </c>
    </row>
    <row r="180">
      <c r="J180" s="351" t="inlineStr">
        <is>
          <t>2º TRI</t>
        </is>
      </c>
      <c r="K180" s="586" t="n">
        <v>51257</v>
      </c>
      <c r="L180" s="362" t="n">
        <v>-90000</v>
      </c>
      <c r="M180" s="362" t="n">
        <v>0</v>
      </c>
      <c r="N180" s="362" t="n">
        <v>0</v>
      </c>
    </row>
    <row r="181">
      <c r="J181" s="417" t="inlineStr">
        <is>
          <t>2º TRI</t>
        </is>
      </c>
      <c r="K181" s="605" t="n">
        <v>51288</v>
      </c>
      <c r="L181" s="419" t="n">
        <v>-100000</v>
      </c>
      <c r="M181" s="419" t="n">
        <v>0</v>
      </c>
      <c r="N181" s="419" t="n">
        <v>0</v>
      </c>
    </row>
    <row r="182">
      <c r="J182" s="351" t="inlineStr">
        <is>
          <t>3º TRI</t>
        </is>
      </c>
      <c r="K182" s="586" t="n">
        <v>51318</v>
      </c>
      <c r="L182" s="362" t="n">
        <v>-80000</v>
      </c>
      <c r="M182" s="362" t="n">
        <v>0</v>
      </c>
      <c r="N182" s="362" t="n">
        <v>0</v>
      </c>
    </row>
    <row r="183">
      <c r="J183" s="351" t="inlineStr">
        <is>
          <t>3º TRI</t>
        </is>
      </c>
      <c r="K183" s="586" t="n">
        <v>51349</v>
      </c>
      <c r="L183" s="362" t="n">
        <v>-80000</v>
      </c>
      <c r="M183" s="362" t="n">
        <v>0</v>
      </c>
      <c r="N183" s="362" t="n">
        <v>0</v>
      </c>
    </row>
    <row r="184">
      <c r="J184" s="417" t="inlineStr">
        <is>
          <t>3º TRI</t>
        </is>
      </c>
      <c r="K184" s="605" t="n">
        <v>51380</v>
      </c>
      <c r="L184" s="419" t="n">
        <v>-80000</v>
      </c>
      <c r="M184" s="419" t="n">
        <v>0</v>
      </c>
      <c r="N184" s="419" t="n">
        <v>0</v>
      </c>
    </row>
    <row r="185">
      <c r="J185" s="351" t="inlineStr">
        <is>
          <t>4º TRI</t>
        </is>
      </c>
      <c r="K185" s="586" t="n">
        <v>51410</v>
      </c>
      <c r="L185" s="362" t="n">
        <v>-50000</v>
      </c>
      <c r="M185" s="362" t="n">
        <v>0</v>
      </c>
      <c r="N185" s="362" t="n">
        <v>0</v>
      </c>
    </row>
    <row r="186">
      <c r="J186" s="351" t="inlineStr">
        <is>
          <t>4º TRI</t>
        </is>
      </c>
      <c r="K186" s="586" t="n">
        <v>51441</v>
      </c>
      <c r="L186" s="362" t="n">
        <v>-50000</v>
      </c>
      <c r="M186" s="362" t="n">
        <v>0</v>
      </c>
      <c r="N186" s="362" t="n">
        <v>0</v>
      </c>
    </row>
    <row r="187">
      <c r="J187" s="417" t="inlineStr">
        <is>
          <t>4º TRI</t>
        </is>
      </c>
      <c r="K187" s="605" t="n">
        <v>51471</v>
      </c>
      <c r="L187" s="419" t="n">
        <v>-50000</v>
      </c>
      <c r="M187" s="419" t="n">
        <v>0</v>
      </c>
      <c r="N187" s="419" t="n">
        <v>0</v>
      </c>
    </row>
    <row r="188">
      <c r="J188" s="351" t="inlineStr">
        <is>
          <t>1º TRI</t>
        </is>
      </c>
      <c r="K188" s="586" t="n">
        <v>51502</v>
      </c>
      <c r="L188" s="362" t="n">
        <v>-50000</v>
      </c>
      <c r="M188" s="362" t="n">
        <v>0</v>
      </c>
      <c r="N188" s="362" t="n">
        <v>0</v>
      </c>
    </row>
    <row r="189">
      <c r="J189" s="351" t="inlineStr">
        <is>
          <t>1º TRI</t>
        </is>
      </c>
      <c r="K189" s="586" t="n">
        <v>51533</v>
      </c>
      <c r="L189" s="362" t="n">
        <v>-50000</v>
      </c>
      <c r="M189" s="362" t="n">
        <v>0</v>
      </c>
      <c r="N189" s="362" t="n">
        <v>0</v>
      </c>
    </row>
    <row r="190">
      <c r="J190" s="417" t="inlineStr">
        <is>
          <t>1º TRI</t>
        </is>
      </c>
      <c r="K190" s="605" t="n">
        <v>51561</v>
      </c>
      <c r="L190" s="419" t="n">
        <v>-50000</v>
      </c>
      <c r="M190" s="419" t="n">
        <v>0</v>
      </c>
      <c r="N190" s="419" t="n">
        <v>0</v>
      </c>
    </row>
    <row r="191">
      <c r="J191" s="351" t="inlineStr">
        <is>
          <t>2º TRI</t>
        </is>
      </c>
      <c r="K191" s="586" t="n">
        <v>51592</v>
      </c>
      <c r="L191" s="362" t="n">
        <v>-50000</v>
      </c>
      <c r="M191" s="362" t="n">
        <v>0</v>
      </c>
      <c r="N191" s="362" t="n">
        <v>0</v>
      </c>
    </row>
    <row r="192">
      <c r="J192" s="351" t="inlineStr">
        <is>
          <t>2º TRI</t>
        </is>
      </c>
      <c r="K192" s="586" t="n">
        <v>51622</v>
      </c>
      <c r="L192" s="362" t="n">
        <v>-50000</v>
      </c>
      <c r="M192" s="362" t="n">
        <v>0</v>
      </c>
      <c r="N192" s="362" t="n">
        <v>0</v>
      </c>
    </row>
    <row r="193">
      <c r="J193" s="417" t="inlineStr">
        <is>
          <t>2º TRI</t>
        </is>
      </c>
      <c r="K193" s="605" t="n">
        <v>51653</v>
      </c>
      <c r="L193" s="419" t="n">
        <v>-50000</v>
      </c>
      <c r="M193" s="419" t="n">
        <v>0</v>
      </c>
      <c r="N193" s="419" t="n">
        <v>0</v>
      </c>
    </row>
    <row r="194">
      <c r="J194" s="351" t="inlineStr">
        <is>
          <t>3º TRI</t>
        </is>
      </c>
      <c r="K194" s="586" t="n">
        <v>51683</v>
      </c>
      <c r="L194" s="362" t="n">
        <v>-50000</v>
      </c>
      <c r="M194" s="362" t="n">
        <v>0</v>
      </c>
      <c r="N194" s="362" t="n">
        <v>0</v>
      </c>
    </row>
    <row r="195">
      <c r="J195" s="351" t="inlineStr">
        <is>
          <t>3º TRI</t>
        </is>
      </c>
      <c r="K195" s="586" t="n">
        <v>51714</v>
      </c>
      <c r="L195" s="362" t="n">
        <v>-20529</v>
      </c>
      <c r="M195" s="362" t="n">
        <v>0</v>
      </c>
      <c r="N195" s="362" t="n">
        <v>0</v>
      </c>
    </row>
    <row r="196">
      <c r="J196" s="417" t="inlineStr">
        <is>
          <t>3º TRI</t>
        </is>
      </c>
      <c r="K196" s="605" t="n">
        <v>51745</v>
      </c>
      <c r="L196" s="419" t="n"/>
      <c r="M196" s="419" t="n">
        <v>0</v>
      </c>
      <c r="N196" s="419" t="n">
        <v>0</v>
      </c>
    </row>
    <row r="197">
      <c r="K197" s="586" t="n"/>
      <c r="L197" s="362" t="n"/>
      <c r="M197" s="362" t="n"/>
      <c r="N197" s="362" t="n"/>
    </row>
    <row r="198">
      <c r="K198" s="586" t="n"/>
      <c r="L198" s="362" t="n"/>
      <c r="M198" s="362" t="n"/>
      <c r="N198" s="362" t="n"/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E95"/>
  <sheetViews>
    <sheetView zoomScale="90" zoomScaleNormal="90" workbookViewId="0">
      <selection activeCell="AS11" sqref="AS11"/>
    </sheetView>
  </sheetViews>
  <sheetFormatPr baseColWidth="8" defaultRowHeight="14.4"/>
  <cols>
    <col width="20.44140625" customWidth="1" min="2" max="2"/>
    <col width="3" customWidth="1" min="3" max="3"/>
    <col width="12.21875" bestFit="1" customWidth="1" min="4" max="4"/>
    <col width="6.109375" customWidth="1" min="5" max="5"/>
    <col hidden="1" outlineLevel="1" width="6.109375" customWidth="1" min="6" max="9"/>
    <col collapsed="1" width="6.109375" customWidth="1" min="10" max="10"/>
    <col hidden="1" outlineLevel="1" width="6.109375" customWidth="1" min="11" max="14"/>
    <col collapsed="1" width="6.109375" customWidth="1" min="15" max="15"/>
    <col hidden="1" outlineLevel="1" width="6.109375" customWidth="1" min="16" max="19"/>
    <col collapsed="1" width="6.109375" customWidth="1" min="20" max="20"/>
    <col hidden="1" outlineLevel="1" width="6.109375" customWidth="1" min="21" max="24"/>
    <col collapsed="1" width="6.109375" customWidth="1" min="25" max="25"/>
    <col hidden="1" outlineLevel="1" width="6.109375" customWidth="1" min="26" max="29"/>
    <col collapsed="1" width="6.109375" customWidth="1" min="30" max="30"/>
    <col width="6.109375" customWidth="1" min="31" max="41"/>
    <col width="13.109375" customWidth="1" min="44" max="44"/>
  </cols>
  <sheetData>
    <row r="1">
      <c r="F1" s="423">
        <f>F2&amp;F3</f>
        <v/>
      </c>
      <c r="G1" s="423">
        <f>G2&amp;G3</f>
        <v/>
      </c>
      <c r="H1" s="423">
        <f>H2&amp;H3</f>
        <v/>
      </c>
      <c r="I1" s="423">
        <f>I2&amp;I3</f>
        <v/>
      </c>
      <c r="K1" s="423">
        <f>K2&amp;K3</f>
        <v/>
      </c>
      <c r="L1" s="423">
        <f>L2&amp;L3</f>
        <v/>
      </c>
      <c r="M1" s="423">
        <f>M2&amp;M3</f>
        <v/>
      </c>
      <c r="N1" s="423">
        <f>N2&amp;N3</f>
        <v/>
      </c>
      <c r="P1" s="423">
        <f>P2&amp;P3</f>
        <v/>
      </c>
      <c r="Q1" s="423">
        <f>Q2&amp;Q3</f>
        <v/>
      </c>
      <c r="R1" s="423">
        <f>R2&amp;R3</f>
        <v/>
      </c>
      <c r="S1" s="423">
        <f>S2&amp;S3</f>
        <v/>
      </c>
      <c r="U1" s="423">
        <f>U2&amp;U3</f>
        <v/>
      </c>
      <c r="V1" s="423">
        <f>V2&amp;V3</f>
        <v/>
      </c>
      <c r="W1" s="423">
        <f>W2&amp;W3</f>
        <v/>
      </c>
      <c r="X1" s="423">
        <f>X2&amp;X3</f>
        <v/>
      </c>
      <c r="Z1" s="423">
        <f>Z2&amp;Z3</f>
        <v/>
      </c>
      <c r="AA1" s="423">
        <f>AA2&amp;AA3</f>
        <v/>
      </c>
      <c r="AB1" s="423">
        <f>AB2&amp;AB3</f>
        <v/>
      </c>
      <c r="AC1" s="423">
        <f>AC2&amp;AC3</f>
        <v/>
      </c>
      <c r="AS1" s="423">
        <f>AS2&amp;AS3</f>
        <v/>
      </c>
      <c r="AT1" s="423">
        <f>AT2&amp;AT3</f>
        <v/>
      </c>
      <c r="AU1" s="423">
        <f>AU2&amp;AU3</f>
        <v/>
      </c>
      <c r="AV1" s="423">
        <f>AV2&amp;AV3</f>
        <v/>
      </c>
      <c r="AW1" s="423">
        <f>AW2&amp;AW3</f>
        <v/>
      </c>
      <c r="AX1" s="423">
        <f>AX2&amp;AX3</f>
        <v/>
      </c>
      <c r="AY1" s="423">
        <f>AY2&amp;AY3</f>
        <v/>
      </c>
      <c r="AZ1" s="423">
        <f>AZ2&amp;AZ3</f>
        <v/>
      </c>
      <c r="BA1" s="423">
        <f>BA2&amp;BA3</f>
        <v/>
      </c>
      <c r="BB1" s="423">
        <f>BB2&amp;BB3</f>
        <v/>
      </c>
      <c r="BC1" s="423">
        <f>BC2&amp;BC3</f>
        <v/>
      </c>
      <c r="BD1" s="423">
        <f>BD2&amp;BD3</f>
        <v/>
      </c>
      <c r="BE1" s="423">
        <f>BE2&amp;BE3</f>
        <v/>
      </c>
      <c r="BF1" s="423">
        <f>BF2&amp;BF3</f>
        <v/>
      </c>
      <c r="BG1" s="423">
        <f>BG2&amp;BG3</f>
        <v/>
      </c>
      <c r="BH1" s="423">
        <f>BH2&amp;BH3</f>
        <v/>
      </c>
      <c r="BI1" s="423">
        <f>BI2&amp;BI3</f>
        <v/>
      </c>
      <c r="BJ1" s="423">
        <f>BJ2&amp;BJ3</f>
        <v/>
      </c>
      <c r="BK1" s="423">
        <f>BK2&amp;BK3</f>
        <v/>
      </c>
      <c r="BL1" s="423">
        <f>BL2&amp;BL3</f>
        <v/>
      </c>
      <c r="BM1" s="423">
        <f>BM2&amp;BM3</f>
        <v/>
      </c>
      <c r="BN1" s="423">
        <f>BN2&amp;BN3</f>
        <v/>
      </c>
      <c r="BO1" s="423">
        <f>BO2&amp;BO3</f>
        <v/>
      </c>
      <c r="BP1" s="423">
        <f>BP2&amp;BP3</f>
        <v/>
      </c>
      <c r="BQ1" s="423">
        <f>BQ2&amp;BQ3</f>
        <v/>
      </c>
      <c r="BR1" s="423">
        <f>BR2&amp;BR3</f>
        <v/>
      </c>
      <c r="BS1" s="423">
        <f>BS2&amp;BS3</f>
        <v/>
      </c>
      <c r="BT1" s="423">
        <f>BT2&amp;BT3</f>
        <v/>
      </c>
      <c r="BU1" s="423">
        <f>BU2&amp;BU3</f>
        <v/>
      </c>
      <c r="BV1" s="423">
        <f>BV2&amp;BV3</f>
        <v/>
      </c>
      <c r="BW1" s="423">
        <f>BW2&amp;BW3</f>
        <v/>
      </c>
      <c r="BX1" s="423">
        <f>BX2&amp;BX3</f>
        <v/>
      </c>
      <c r="BY1" s="423">
        <f>BY2&amp;BY3</f>
        <v/>
      </c>
      <c r="BZ1" s="423">
        <f>BZ2&amp;BZ3</f>
        <v/>
      </c>
      <c r="CA1" s="423">
        <f>CA2&amp;CA3</f>
        <v/>
      </c>
      <c r="CB1" s="423">
        <f>CB2&amp;CB3</f>
        <v/>
      </c>
      <c r="CC1" s="423">
        <f>CC2&amp;CC3</f>
        <v/>
      </c>
      <c r="CD1" s="423">
        <f>CD2&amp;CD3</f>
        <v/>
      </c>
      <c r="CE1" s="423">
        <f>CE2&amp;CE3</f>
        <v/>
      </c>
      <c r="CF1" s="423">
        <f>CF2&amp;CF3</f>
        <v/>
      </c>
      <c r="CG1" s="423">
        <f>CG2&amp;CG3</f>
        <v/>
      </c>
      <c r="CH1" s="423">
        <f>CH2&amp;CH3</f>
        <v/>
      </c>
      <c r="CI1" s="423">
        <f>CI2&amp;CI3</f>
        <v/>
      </c>
      <c r="CJ1" s="423">
        <f>CJ2&amp;CJ3</f>
        <v/>
      </c>
      <c r="CK1" s="423">
        <f>CK2&amp;CK3</f>
        <v/>
      </c>
      <c r="CL1" s="423">
        <f>CL2&amp;CL3</f>
        <v/>
      </c>
      <c r="CM1" s="423">
        <f>CM2&amp;CM3</f>
        <v/>
      </c>
      <c r="CN1" s="423">
        <f>CN2&amp;CN3</f>
        <v/>
      </c>
      <c r="CO1" s="423">
        <f>CO2&amp;CO3</f>
        <v/>
      </c>
      <c r="CP1" s="423">
        <f>CP2&amp;CP3</f>
        <v/>
      </c>
      <c r="CQ1" s="423">
        <f>CQ2&amp;CQ3</f>
        <v/>
      </c>
      <c r="CR1" s="423">
        <f>CR2&amp;CR3</f>
        <v/>
      </c>
      <c r="CS1" s="423">
        <f>CS2&amp;CS3</f>
        <v/>
      </c>
      <c r="CT1" s="423">
        <f>CT2&amp;CT3</f>
        <v/>
      </c>
      <c r="CU1" s="423">
        <f>CU2&amp;CU3</f>
        <v/>
      </c>
      <c r="CV1" s="423">
        <f>CV2&amp;CV3</f>
        <v/>
      </c>
      <c r="CW1" s="423">
        <f>CW2&amp;CW3</f>
        <v/>
      </c>
      <c r="CX1" s="423">
        <f>CX2&amp;CX3</f>
        <v/>
      </c>
      <c r="CY1" s="423">
        <f>CY2&amp;CY3</f>
        <v/>
      </c>
      <c r="CZ1" s="423">
        <f>CZ2&amp;CZ3</f>
        <v/>
      </c>
      <c r="DA1" s="423">
        <f>DA2&amp;DA3</f>
        <v/>
      </c>
      <c r="DB1" s="423">
        <f>DB2&amp;DB3</f>
        <v/>
      </c>
      <c r="DC1" s="423">
        <f>DC2&amp;DC3</f>
        <v/>
      </c>
      <c r="DD1" s="423">
        <f>DD2&amp;DD3</f>
        <v/>
      </c>
      <c r="DE1" s="423">
        <f>DE2&amp;DE3</f>
        <v/>
      </c>
      <c r="DF1" s="423">
        <f>DF2&amp;DF3</f>
        <v/>
      </c>
      <c r="DG1" s="423">
        <f>DG2&amp;DG3</f>
        <v/>
      </c>
      <c r="DH1" s="423">
        <f>DH2&amp;DH3</f>
        <v/>
      </c>
      <c r="DI1" s="423">
        <f>DI2&amp;DI3</f>
        <v/>
      </c>
      <c r="DJ1" s="423">
        <f>DJ2&amp;DJ3</f>
        <v/>
      </c>
      <c r="DK1" s="423">
        <f>DK2&amp;DK3</f>
        <v/>
      </c>
      <c r="DL1" s="423">
        <f>DL2&amp;DL3</f>
        <v/>
      </c>
      <c r="DM1" s="423">
        <f>DM2&amp;DM3</f>
        <v/>
      </c>
      <c r="DN1" s="423">
        <f>DN2&amp;DN3</f>
        <v/>
      </c>
      <c r="DO1" s="423">
        <f>DO2&amp;DO3</f>
        <v/>
      </c>
      <c r="DP1" s="423">
        <f>DP2&amp;DP3</f>
        <v/>
      </c>
      <c r="DQ1" s="423">
        <f>DQ2&amp;DQ3</f>
        <v/>
      </c>
      <c r="DR1" s="423">
        <f>DR2&amp;DR3</f>
        <v/>
      </c>
      <c r="DS1" s="423">
        <f>DS2&amp;DS3</f>
        <v/>
      </c>
      <c r="DT1" s="423">
        <f>DT2&amp;DT3</f>
        <v/>
      </c>
      <c r="DU1" s="423">
        <f>DU2&amp;DU3</f>
        <v/>
      </c>
      <c r="DV1" s="423">
        <f>DV2&amp;DV3</f>
        <v/>
      </c>
      <c r="DW1" s="423">
        <f>DW2&amp;DW3</f>
        <v/>
      </c>
      <c r="DX1" s="423">
        <f>DX2&amp;DX3</f>
        <v/>
      </c>
      <c r="DY1" s="423">
        <f>DY2&amp;DY3</f>
        <v/>
      </c>
      <c r="DZ1" s="423">
        <f>DZ2&amp;DZ3</f>
        <v/>
      </c>
      <c r="EA1" s="423">
        <f>EA2&amp;EA3</f>
        <v/>
      </c>
      <c r="EB1" s="423">
        <f>EB2&amp;EB3</f>
        <v/>
      </c>
      <c r="EC1" s="423">
        <f>EC2&amp;EC3</f>
        <v/>
      </c>
      <c r="ED1" s="423">
        <f>ED2&amp;ED3</f>
        <v/>
      </c>
      <c r="EE1" s="423">
        <f>EE2&amp;EE3</f>
        <v/>
      </c>
      <c r="EF1" s="423">
        <f>EF2&amp;EF3</f>
        <v/>
      </c>
      <c r="EG1" s="423">
        <f>EG2&amp;EG3</f>
        <v/>
      </c>
      <c r="EH1" s="423">
        <f>EH2&amp;EH3</f>
        <v/>
      </c>
      <c r="EI1" s="423">
        <f>EI2&amp;EI3</f>
        <v/>
      </c>
      <c r="EJ1" s="423">
        <f>EJ2&amp;EJ3</f>
        <v/>
      </c>
      <c r="EK1" s="423">
        <f>EK2&amp;EK3</f>
        <v/>
      </c>
      <c r="EL1" s="423">
        <f>EL2&amp;EL3</f>
        <v/>
      </c>
      <c r="EM1" s="423">
        <f>EM2&amp;EM3</f>
        <v/>
      </c>
      <c r="EN1" s="423">
        <f>EN2&amp;EN3</f>
        <v/>
      </c>
      <c r="EO1" s="423">
        <f>EO2&amp;EO3</f>
        <v/>
      </c>
      <c r="EP1" s="423">
        <f>EP2&amp;EP3</f>
        <v/>
      </c>
      <c r="EQ1" s="423">
        <f>EQ2&amp;EQ3</f>
        <v/>
      </c>
      <c r="ER1" s="423">
        <f>ER2&amp;ER3</f>
        <v/>
      </c>
      <c r="ES1" s="423">
        <f>ES2&amp;ES3</f>
        <v/>
      </c>
      <c r="ET1" s="423">
        <f>ET2&amp;ET3</f>
        <v/>
      </c>
      <c r="EU1" s="423">
        <f>EU2&amp;EU3</f>
        <v/>
      </c>
      <c r="EV1" s="423">
        <f>EV2&amp;EV3</f>
        <v/>
      </c>
      <c r="EW1" s="423">
        <f>EW2&amp;EW3</f>
        <v/>
      </c>
      <c r="EX1" s="423">
        <f>EX2&amp;EX3</f>
        <v/>
      </c>
      <c r="EY1" s="423">
        <f>EY2&amp;EY3</f>
        <v/>
      </c>
      <c r="EZ1" s="423">
        <f>EZ2&amp;EZ3</f>
        <v/>
      </c>
      <c r="FA1" s="423">
        <f>FA2&amp;FA3</f>
        <v/>
      </c>
      <c r="FB1" s="423">
        <f>FB2&amp;FB3</f>
        <v/>
      </c>
      <c r="FC1" s="423">
        <f>FC2&amp;FC3</f>
        <v/>
      </c>
      <c r="FD1" s="423">
        <f>FD2&amp;FD3</f>
        <v/>
      </c>
      <c r="FE1" s="423">
        <f>FE2&amp;FE3</f>
        <v/>
      </c>
      <c r="FF1" s="423">
        <f>FF2&amp;FF3</f>
        <v/>
      </c>
      <c r="FG1" s="423">
        <f>FG2&amp;FG3</f>
        <v/>
      </c>
      <c r="FH1" s="423">
        <f>FH2&amp;FH3</f>
        <v/>
      </c>
      <c r="FI1" s="423">
        <f>FI2&amp;FI3</f>
        <v/>
      </c>
      <c r="FJ1" s="423">
        <f>FJ2&amp;FJ3</f>
        <v/>
      </c>
      <c r="FK1" s="423">
        <f>FK2&amp;FK3</f>
        <v/>
      </c>
      <c r="FL1" s="423">
        <f>FL2&amp;FL3</f>
        <v/>
      </c>
      <c r="FM1" s="423">
        <f>FM2&amp;FM3</f>
        <v/>
      </c>
      <c r="FN1" s="423">
        <f>FN2&amp;FN3</f>
        <v/>
      </c>
      <c r="FO1" s="423">
        <f>FO2&amp;FO3</f>
        <v/>
      </c>
      <c r="FP1" s="423">
        <f>FP2&amp;FP3</f>
        <v/>
      </c>
      <c r="FQ1" s="423">
        <f>FQ2&amp;FQ3</f>
        <v/>
      </c>
      <c r="FR1" s="423">
        <f>FR2&amp;FR3</f>
        <v/>
      </c>
      <c r="FS1" s="423">
        <f>FS2&amp;FS3</f>
        <v/>
      </c>
      <c r="FT1" s="423">
        <f>FT2&amp;FT3</f>
        <v/>
      </c>
      <c r="FU1" s="423">
        <f>FU2&amp;FU3</f>
        <v/>
      </c>
      <c r="FV1" s="423">
        <f>FV2&amp;FV3</f>
        <v/>
      </c>
      <c r="FW1" s="423">
        <f>FW2&amp;FW3</f>
        <v/>
      </c>
      <c r="FX1" s="423">
        <f>FX2&amp;FX3</f>
        <v/>
      </c>
      <c r="FY1" s="423">
        <f>FY2&amp;FY3</f>
        <v/>
      </c>
      <c r="FZ1" s="423">
        <f>FZ2&amp;FZ3</f>
        <v/>
      </c>
      <c r="GA1" s="423">
        <f>GA2&amp;GA3</f>
        <v/>
      </c>
      <c r="GB1" s="423">
        <f>GB2&amp;GB3</f>
        <v/>
      </c>
      <c r="GC1" s="423">
        <f>GC2&amp;GC3</f>
        <v/>
      </c>
      <c r="GD1" s="423">
        <f>GD2&amp;GD3</f>
        <v/>
      </c>
      <c r="GE1" s="423">
        <f>GE2&amp;GE3</f>
        <v/>
      </c>
      <c r="GF1" s="423">
        <f>GF2&amp;GF3</f>
        <v/>
      </c>
      <c r="GG1" s="423">
        <f>GG2&amp;GG3</f>
        <v/>
      </c>
      <c r="GH1" s="423">
        <f>GH2&amp;GH3</f>
        <v/>
      </c>
      <c r="GI1" s="423">
        <f>GI2&amp;GI3</f>
        <v/>
      </c>
      <c r="GJ1" s="423">
        <f>GJ2&amp;GJ3</f>
        <v/>
      </c>
      <c r="GK1" s="423">
        <f>GK2&amp;GK3</f>
        <v/>
      </c>
      <c r="GL1" s="423">
        <f>GL2&amp;GL3</f>
        <v/>
      </c>
      <c r="GM1" s="423">
        <f>GM2&amp;GM3</f>
        <v/>
      </c>
      <c r="GN1" s="423">
        <f>GN2&amp;GN3</f>
        <v/>
      </c>
      <c r="GO1" s="423">
        <f>GO2&amp;GO3</f>
        <v/>
      </c>
      <c r="GP1" s="423">
        <f>GP2&amp;GP3</f>
        <v/>
      </c>
      <c r="GQ1" s="423">
        <f>GQ2&amp;GQ3</f>
        <v/>
      </c>
      <c r="GR1" s="423">
        <f>GR2&amp;GR3</f>
        <v/>
      </c>
      <c r="GS1" s="423">
        <f>GS2&amp;GS3</f>
        <v/>
      </c>
      <c r="GT1" s="423">
        <f>GT2&amp;GT3</f>
        <v/>
      </c>
      <c r="GU1" s="423">
        <f>GU2&amp;GU3</f>
        <v/>
      </c>
      <c r="GV1" s="423">
        <f>GV2&amp;GV3</f>
        <v/>
      </c>
      <c r="GW1" s="423">
        <f>GW2&amp;GW3</f>
        <v/>
      </c>
      <c r="GX1" s="423">
        <f>GX2&amp;GX3</f>
        <v/>
      </c>
      <c r="GY1" s="423">
        <f>GY2&amp;GY3</f>
        <v/>
      </c>
      <c r="GZ1" s="423">
        <f>GZ2&amp;GZ3</f>
        <v/>
      </c>
      <c r="HA1" s="423">
        <f>HA2&amp;HA3</f>
        <v/>
      </c>
      <c r="HB1" s="423">
        <f>HB2&amp;HB3</f>
        <v/>
      </c>
      <c r="HC1" s="423">
        <f>HC2&amp;HC3</f>
        <v/>
      </c>
      <c r="HD1" s="423">
        <f>HD2&amp;HD3</f>
        <v/>
      </c>
      <c r="HE1" s="423">
        <f>HE2&amp;HE3</f>
        <v/>
      </c>
      <c r="HF1" s="423">
        <f>HF2&amp;HF3</f>
        <v/>
      </c>
      <c r="HG1" s="423">
        <f>HG2&amp;HG3</f>
        <v/>
      </c>
      <c r="HH1" s="423">
        <f>HH2&amp;HH3</f>
        <v/>
      </c>
      <c r="HI1" s="423">
        <f>HI2&amp;HI3</f>
        <v/>
      </c>
      <c r="HJ1" s="423">
        <f>HJ2&amp;HJ3</f>
        <v/>
      </c>
      <c r="HK1" s="423">
        <f>HK2&amp;HK3</f>
        <v/>
      </c>
      <c r="HL1" s="423">
        <f>HL2&amp;HL3</f>
        <v/>
      </c>
      <c r="HM1" s="423">
        <f>HM2&amp;HM3</f>
        <v/>
      </c>
      <c r="HN1" s="423">
        <f>HN2&amp;HN3</f>
        <v/>
      </c>
      <c r="HO1" s="423">
        <f>HO2&amp;HO3</f>
        <v/>
      </c>
      <c r="HP1" s="423">
        <f>HP2&amp;HP3</f>
        <v/>
      </c>
      <c r="HQ1" s="423">
        <f>HQ2&amp;HQ3</f>
        <v/>
      </c>
      <c r="HR1" s="423">
        <f>HR2&amp;HR3</f>
        <v/>
      </c>
      <c r="HS1" s="423">
        <f>HS2&amp;HS3</f>
        <v/>
      </c>
      <c r="HT1" s="423">
        <f>HT2&amp;HT3</f>
        <v/>
      </c>
      <c r="HU1" s="423">
        <f>HU2&amp;HU3</f>
        <v/>
      </c>
      <c r="HV1" s="423">
        <f>HV2&amp;HV3</f>
        <v/>
      </c>
      <c r="HW1" s="423">
        <f>HW2&amp;HW3</f>
        <v/>
      </c>
      <c r="HX1" s="423">
        <f>HX2&amp;HX3</f>
        <v/>
      </c>
      <c r="HY1" s="423">
        <f>HY2&amp;HY3</f>
        <v/>
      </c>
      <c r="HZ1" s="423">
        <f>HZ2&amp;HZ3</f>
        <v/>
      </c>
      <c r="IA1" s="423">
        <f>IA2&amp;IA3</f>
        <v/>
      </c>
      <c r="IB1" s="423">
        <f>IB2&amp;IB3</f>
        <v/>
      </c>
      <c r="IC1" s="423">
        <f>IC2&amp;IC3</f>
        <v/>
      </c>
      <c r="ID1" s="423">
        <f>ID2&amp;ID3</f>
        <v/>
      </c>
    </row>
    <row r="2">
      <c r="D2" s="370" t="inlineStr">
        <is>
          <t>TOTAL GERAL</t>
        </is>
      </c>
      <c r="E2" s="351" t="n">
        <v>2025</v>
      </c>
      <c r="F2" s="351" t="n">
        <v>2025</v>
      </c>
      <c r="G2" s="351" t="n">
        <v>2025</v>
      </c>
      <c r="H2" s="351" t="n">
        <v>2025</v>
      </c>
      <c r="I2" s="351" t="n">
        <v>2025</v>
      </c>
      <c r="J2" s="351" t="n">
        <v>2026</v>
      </c>
      <c r="K2" s="351" t="n">
        <v>2026</v>
      </c>
      <c r="L2" s="351" t="n">
        <v>2026</v>
      </c>
      <c r="M2" s="351" t="n">
        <v>2026</v>
      </c>
      <c r="N2" s="351" t="n">
        <v>2026</v>
      </c>
      <c r="O2" s="351" t="n">
        <v>2027</v>
      </c>
      <c r="P2" s="351" t="n">
        <v>2027</v>
      </c>
      <c r="Q2" s="351" t="n">
        <v>2027</v>
      </c>
      <c r="R2" s="351" t="n">
        <v>2027</v>
      </c>
      <c r="S2" s="351" t="n">
        <v>2027</v>
      </c>
      <c r="T2" s="351" t="n">
        <v>2028</v>
      </c>
      <c r="U2" s="351" t="n">
        <v>2028</v>
      </c>
      <c r="V2" s="351" t="n">
        <v>2028</v>
      </c>
      <c r="W2" s="351" t="n">
        <v>2028</v>
      </c>
      <c r="X2" s="351" t="n">
        <v>2028</v>
      </c>
      <c r="Y2" s="351" t="n">
        <v>2029</v>
      </c>
      <c r="Z2" s="351" t="n">
        <v>2029</v>
      </c>
      <c r="AA2" s="351" t="n">
        <v>2029</v>
      </c>
      <c r="AB2" s="351" t="n">
        <v>2029</v>
      </c>
      <c r="AC2" s="351" t="n">
        <v>2029</v>
      </c>
      <c r="AD2" s="351" t="n">
        <v>2030</v>
      </c>
      <c r="AE2" s="351" t="n">
        <v>2031</v>
      </c>
      <c r="AF2" s="351" t="n">
        <v>2032</v>
      </c>
      <c r="AG2" s="351" t="n">
        <v>2033</v>
      </c>
      <c r="AH2" s="351" t="n">
        <v>2034</v>
      </c>
      <c r="AI2" s="351" t="n">
        <v>2035</v>
      </c>
      <c r="AJ2" s="351" t="n">
        <v>2036</v>
      </c>
      <c r="AK2" s="351" t="n">
        <v>2037</v>
      </c>
      <c r="AL2" s="351" t="n">
        <v>2038</v>
      </c>
      <c r="AM2" s="351" t="n">
        <v>2039</v>
      </c>
      <c r="AN2" s="351" t="n">
        <v>2040</v>
      </c>
      <c r="AO2" s="351" t="n">
        <v>2041</v>
      </c>
      <c r="AP2" s="351" t="n"/>
      <c r="AQ2" s="351" t="n"/>
      <c r="AR2" s="351" t="n"/>
      <c r="AS2" s="351">
        <f>YEAR(AS6)</f>
        <v/>
      </c>
      <c r="AT2" s="351">
        <f>YEAR(AT6)</f>
        <v/>
      </c>
      <c r="AU2" s="351">
        <f>YEAR(AU6)</f>
        <v/>
      </c>
      <c r="AV2" s="351">
        <f>YEAR(AV6)</f>
        <v/>
      </c>
      <c r="AW2" s="351">
        <f>YEAR(AW6)</f>
        <v/>
      </c>
      <c r="AX2" s="351">
        <f>YEAR(AX6)</f>
        <v/>
      </c>
      <c r="AY2" s="351">
        <f>YEAR(AY6)</f>
        <v/>
      </c>
      <c r="AZ2" s="351">
        <f>YEAR(AZ6)</f>
        <v/>
      </c>
      <c r="BA2" s="351">
        <f>YEAR(BA6)</f>
        <v/>
      </c>
      <c r="BB2" s="351">
        <f>YEAR(BB6)</f>
        <v/>
      </c>
      <c r="BC2" s="351">
        <f>YEAR(BC6)</f>
        <v/>
      </c>
      <c r="BD2" s="351">
        <f>YEAR(BD6)</f>
        <v/>
      </c>
      <c r="BE2" s="351">
        <f>YEAR(BE6)</f>
        <v/>
      </c>
      <c r="BF2" s="351">
        <f>YEAR(BF6)</f>
        <v/>
      </c>
      <c r="BG2" s="351">
        <f>YEAR(BG6)</f>
        <v/>
      </c>
      <c r="BH2" s="351">
        <f>YEAR(BH6)</f>
        <v/>
      </c>
      <c r="BI2" s="351">
        <f>YEAR(BI6)</f>
        <v/>
      </c>
      <c r="BJ2" s="351">
        <f>YEAR(BJ6)</f>
        <v/>
      </c>
      <c r="BK2" s="351">
        <f>YEAR(BK6)</f>
        <v/>
      </c>
      <c r="BL2" s="351">
        <f>YEAR(BL6)</f>
        <v/>
      </c>
      <c r="BM2" s="351">
        <f>YEAR(BM6)</f>
        <v/>
      </c>
      <c r="BN2" s="351">
        <f>YEAR(BN6)</f>
        <v/>
      </c>
      <c r="BO2" s="351">
        <f>YEAR(BO6)</f>
        <v/>
      </c>
      <c r="BP2" s="351">
        <f>YEAR(BP6)</f>
        <v/>
      </c>
      <c r="BQ2" s="351">
        <f>YEAR(BQ6)</f>
        <v/>
      </c>
      <c r="BR2" s="351">
        <f>YEAR(BR6)</f>
        <v/>
      </c>
      <c r="BS2" s="351">
        <f>YEAR(BS6)</f>
        <v/>
      </c>
      <c r="BT2" s="351">
        <f>YEAR(BT6)</f>
        <v/>
      </c>
      <c r="BU2" s="351">
        <f>YEAR(BU6)</f>
        <v/>
      </c>
      <c r="BV2" s="351">
        <f>YEAR(BV6)</f>
        <v/>
      </c>
      <c r="BW2" s="351">
        <f>YEAR(BW6)</f>
        <v/>
      </c>
      <c r="BX2" s="351">
        <f>YEAR(BX6)</f>
        <v/>
      </c>
      <c r="BY2" s="351">
        <f>YEAR(BY6)</f>
        <v/>
      </c>
      <c r="BZ2" s="351">
        <f>YEAR(BZ6)</f>
        <v/>
      </c>
      <c r="CA2" s="351">
        <f>YEAR(CA6)</f>
        <v/>
      </c>
      <c r="CB2" s="351">
        <f>YEAR(CB6)</f>
        <v/>
      </c>
      <c r="CC2" s="351">
        <f>YEAR(CC6)</f>
        <v/>
      </c>
      <c r="CD2" s="351">
        <f>YEAR(CD6)</f>
        <v/>
      </c>
      <c r="CE2" s="351">
        <f>YEAR(CE6)</f>
        <v/>
      </c>
      <c r="CF2" s="351">
        <f>YEAR(CF6)</f>
        <v/>
      </c>
      <c r="CG2" s="351">
        <f>YEAR(CG6)</f>
        <v/>
      </c>
      <c r="CH2" s="351">
        <f>YEAR(CH6)</f>
        <v/>
      </c>
      <c r="CI2" s="351">
        <f>YEAR(CI6)</f>
        <v/>
      </c>
      <c r="CJ2" s="351">
        <f>YEAR(CJ6)</f>
        <v/>
      </c>
      <c r="CK2" s="351">
        <f>YEAR(CK6)</f>
        <v/>
      </c>
      <c r="CL2" s="351">
        <f>YEAR(CL6)</f>
        <v/>
      </c>
      <c r="CM2" s="351">
        <f>YEAR(CM6)</f>
        <v/>
      </c>
      <c r="CN2" s="351">
        <f>YEAR(CN6)</f>
        <v/>
      </c>
      <c r="CO2" s="351">
        <f>YEAR(CO6)</f>
        <v/>
      </c>
      <c r="CP2" s="351">
        <f>YEAR(CP6)</f>
        <v/>
      </c>
      <c r="CQ2" s="351">
        <f>YEAR(CQ6)</f>
        <v/>
      </c>
      <c r="CR2" s="351">
        <f>YEAR(CR6)</f>
        <v/>
      </c>
      <c r="CS2" s="351">
        <f>YEAR(CS6)</f>
        <v/>
      </c>
      <c r="CT2" s="351">
        <f>YEAR(CT6)</f>
        <v/>
      </c>
      <c r="CU2" s="351">
        <f>YEAR(CU6)</f>
        <v/>
      </c>
      <c r="CV2" s="351">
        <f>YEAR(CV6)</f>
        <v/>
      </c>
      <c r="CW2" s="351">
        <f>YEAR(CW6)</f>
        <v/>
      </c>
      <c r="CX2" s="351">
        <f>YEAR(CX6)</f>
        <v/>
      </c>
      <c r="CY2" s="351">
        <f>YEAR(CY6)</f>
        <v/>
      </c>
      <c r="CZ2" s="351">
        <f>YEAR(CZ6)</f>
        <v/>
      </c>
      <c r="DA2" s="351">
        <f>YEAR(DA6)</f>
        <v/>
      </c>
      <c r="DB2" s="351">
        <f>YEAR(DB6)</f>
        <v/>
      </c>
      <c r="DC2" s="351">
        <f>YEAR(DC6)</f>
        <v/>
      </c>
      <c r="DD2" s="351">
        <f>YEAR(DD6)</f>
        <v/>
      </c>
      <c r="DE2" s="351">
        <f>YEAR(DE6)</f>
        <v/>
      </c>
      <c r="DF2" s="351">
        <f>YEAR(DF6)</f>
        <v/>
      </c>
      <c r="DG2" s="351">
        <f>YEAR(DG6)</f>
        <v/>
      </c>
      <c r="DH2" s="351">
        <f>YEAR(DH6)</f>
        <v/>
      </c>
      <c r="DI2" s="351">
        <f>YEAR(DI6)</f>
        <v/>
      </c>
      <c r="DJ2" s="351">
        <f>YEAR(DJ6)</f>
        <v/>
      </c>
      <c r="DK2" s="351">
        <f>YEAR(DK6)</f>
        <v/>
      </c>
      <c r="DL2" s="351">
        <f>YEAR(DL6)</f>
        <v/>
      </c>
      <c r="DM2" s="351">
        <f>YEAR(DM6)</f>
        <v/>
      </c>
      <c r="DN2" s="351">
        <f>YEAR(DN6)</f>
        <v/>
      </c>
      <c r="DO2" s="351">
        <f>YEAR(DO6)</f>
        <v/>
      </c>
      <c r="DP2" s="351">
        <f>YEAR(DP6)</f>
        <v/>
      </c>
      <c r="DQ2" s="351">
        <f>YEAR(DQ6)</f>
        <v/>
      </c>
      <c r="DR2" s="351">
        <f>YEAR(DR6)</f>
        <v/>
      </c>
      <c r="DS2" s="351">
        <f>YEAR(DS6)</f>
        <v/>
      </c>
      <c r="DT2" s="351">
        <f>YEAR(DT6)</f>
        <v/>
      </c>
      <c r="DU2" s="351">
        <f>YEAR(DU6)</f>
        <v/>
      </c>
      <c r="DV2" s="351">
        <f>YEAR(DV6)</f>
        <v/>
      </c>
      <c r="DW2" s="351">
        <f>YEAR(DW6)</f>
        <v/>
      </c>
      <c r="DX2" s="351">
        <f>YEAR(DX6)</f>
        <v/>
      </c>
      <c r="DY2" s="351">
        <f>YEAR(DY6)</f>
        <v/>
      </c>
      <c r="DZ2" s="351">
        <f>YEAR(DZ6)</f>
        <v/>
      </c>
      <c r="EA2" s="351">
        <f>YEAR(EA6)</f>
        <v/>
      </c>
      <c r="EB2" s="351">
        <f>YEAR(EB6)</f>
        <v/>
      </c>
      <c r="EC2" s="351">
        <f>YEAR(EC6)</f>
        <v/>
      </c>
      <c r="ED2" s="351">
        <f>YEAR(ED6)</f>
        <v/>
      </c>
      <c r="EE2" s="351">
        <f>YEAR(EE6)</f>
        <v/>
      </c>
      <c r="EF2" s="351">
        <f>YEAR(EF6)</f>
        <v/>
      </c>
      <c r="EG2" s="351">
        <f>YEAR(EG6)</f>
        <v/>
      </c>
      <c r="EH2" s="351">
        <f>YEAR(EH6)</f>
        <v/>
      </c>
      <c r="EI2" s="351">
        <f>YEAR(EI6)</f>
        <v/>
      </c>
      <c r="EJ2" s="351">
        <f>YEAR(EJ6)</f>
        <v/>
      </c>
      <c r="EK2" s="351">
        <f>YEAR(EK6)</f>
        <v/>
      </c>
      <c r="EL2" s="351">
        <f>YEAR(EL6)</f>
        <v/>
      </c>
      <c r="EM2" s="351">
        <f>YEAR(EM6)</f>
        <v/>
      </c>
      <c r="EN2" s="351">
        <f>YEAR(EN6)</f>
        <v/>
      </c>
      <c r="EO2" s="351">
        <f>YEAR(EO6)</f>
        <v/>
      </c>
      <c r="EP2" s="351">
        <f>YEAR(EP6)</f>
        <v/>
      </c>
      <c r="EQ2" s="351">
        <f>YEAR(EQ6)</f>
        <v/>
      </c>
      <c r="ER2" s="351">
        <f>YEAR(ER6)</f>
        <v/>
      </c>
      <c r="ES2" s="351">
        <f>YEAR(ES6)</f>
        <v/>
      </c>
      <c r="ET2" s="351">
        <f>YEAR(ET6)</f>
        <v/>
      </c>
      <c r="EU2" s="351">
        <f>YEAR(EU6)</f>
        <v/>
      </c>
      <c r="EV2" s="351">
        <f>YEAR(EV6)</f>
        <v/>
      </c>
      <c r="EW2" s="351">
        <f>YEAR(EW6)</f>
        <v/>
      </c>
      <c r="EX2" s="351">
        <f>YEAR(EX6)</f>
        <v/>
      </c>
      <c r="EY2" s="351">
        <f>YEAR(EY6)</f>
        <v/>
      </c>
      <c r="EZ2" s="351">
        <f>YEAR(EZ6)</f>
        <v/>
      </c>
      <c r="FA2" s="351">
        <f>YEAR(FA6)</f>
        <v/>
      </c>
      <c r="FB2" s="351">
        <f>YEAR(FB6)</f>
        <v/>
      </c>
      <c r="FC2" s="351">
        <f>YEAR(FC6)</f>
        <v/>
      </c>
      <c r="FD2" s="351">
        <f>YEAR(FD6)</f>
        <v/>
      </c>
      <c r="FE2" s="351">
        <f>YEAR(FE6)</f>
        <v/>
      </c>
      <c r="FF2" s="351">
        <f>YEAR(FF6)</f>
        <v/>
      </c>
      <c r="FG2" s="351">
        <f>YEAR(FG6)</f>
        <v/>
      </c>
      <c r="FH2" s="351">
        <f>YEAR(FH6)</f>
        <v/>
      </c>
      <c r="FI2" s="351">
        <f>YEAR(FI6)</f>
        <v/>
      </c>
      <c r="FJ2" s="351">
        <f>YEAR(FJ6)</f>
        <v/>
      </c>
      <c r="FK2" s="351">
        <f>YEAR(FK6)</f>
        <v/>
      </c>
      <c r="FL2" s="351">
        <f>YEAR(FL6)</f>
        <v/>
      </c>
      <c r="FM2" s="351">
        <f>YEAR(FM6)</f>
        <v/>
      </c>
      <c r="FN2" s="351">
        <f>YEAR(FN6)</f>
        <v/>
      </c>
      <c r="FO2" s="351">
        <f>YEAR(FO6)</f>
        <v/>
      </c>
      <c r="FP2" s="351">
        <f>YEAR(FP6)</f>
        <v/>
      </c>
      <c r="FQ2" s="351">
        <f>YEAR(FQ6)</f>
        <v/>
      </c>
      <c r="FR2" s="351">
        <f>YEAR(FR6)</f>
        <v/>
      </c>
      <c r="FS2" s="351">
        <f>YEAR(FS6)</f>
        <v/>
      </c>
      <c r="FT2" s="351">
        <f>YEAR(FT6)</f>
        <v/>
      </c>
      <c r="FU2" s="351">
        <f>YEAR(FU6)</f>
        <v/>
      </c>
      <c r="FV2" s="351">
        <f>YEAR(FV6)</f>
        <v/>
      </c>
      <c r="FW2" s="351">
        <f>YEAR(FW6)</f>
        <v/>
      </c>
      <c r="FX2" s="351">
        <f>YEAR(FX6)</f>
        <v/>
      </c>
      <c r="FY2" s="351">
        <f>YEAR(FY6)</f>
        <v/>
      </c>
      <c r="FZ2" s="351">
        <f>YEAR(FZ6)</f>
        <v/>
      </c>
      <c r="GA2" s="351">
        <f>YEAR(GA6)</f>
        <v/>
      </c>
      <c r="GB2" s="351">
        <f>YEAR(GB6)</f>
        <v/>
      </c>
      <c r="GC2" s="351">
        <f>YEAR(GC6)</f>
        <v/>
      </c>
      <c r="GD2" s="351">
        <f>YEAR(GD6)</f>
        <v/>
      </c>
      <c r="GE2" s="351">
        <f>YEAR(GE6)</f>
        <v/>
      </c>
      <c r="GF2" s="351">
        <f>YEAR(GF6)</f>
        <v/>
      </c>
      <c r="GG2" s="351">
        <f>YEAR(GG6)</f>
        <v/>
      </c>
      <c r="GH2" s="351">
        <f>YEAR(GH6)</f>
        <v/>
      </c>
      <c r="GI2" s="351">
        <f>YEAR(GI6)</f>
        <v/>
      </c>
      <c r="GJ2" s="351">
        <f>YEAR(GJ6)</f>
        <v/>
      </c>
      <c r="GK2" s="351">
        <f>YEAR(GK6)</f>
        <v/>
      </c>
      <c r="GL2" s="351">
        <f>YEAR(GL6)</f>
        <v/>
      </c>
      <c r="GM2" s="351">
        <f>YEAR(GM6)</f>
        <v/>
      </c>
      <c r="GN2" s="351">
        <f>YEAR(GN6)</f>
        <v/>
      </c>
      <c r="GO2" s="351">
        <f>YEAR(GO6)</f>
        <v/>
      </c>
      <c r="GP2" s="351">
        <f>YEAR(GP6)</f>
        <v/>
      </c>
      <c r="GQ2" s="351">
        <f>YEAR(GQ6)</f>
        <v/>
      </c>
      <c r="GR2" s="351">
        <f>YEAR(GR6)</f>
        <v/>
      </c>
      <c r="GS2" s="351">
        <f>YEAR(GS6)</f>
        <v/>
      </c>
      <c r="GT2" s="351">
        <f>YEAR(GT6)</f>
        <v/>
      </c>
      <c r="GU2" s="351">
        <f>YEAR(GU6)</f>
        <v/>
      </c>
      <c r="GV2" s="351">
        <f>YEAR(GV6)</f>
        <v/>
      </c>
      <c r="GW2" s="351">
        <f>YEAR(GW6)</f>
        <v/>
      </c>
      <c r="GX2" s="351">
        <f>YEAR(GX6)</f>
        <v/>
      </c>
      <c r="GY2" s="351">
        <f>YEAR(GY6)</f>
        <v/>
      </c>
      <c r="GZ2" s="351">
        <f>YEAR(GZ6)</f>
        <v/>
      </c>
      <c r="HA2" s="351">
        <f>YEAR(HA6)</f>
        <v/>
      </c>
      <c r="HB2" s="351">
        <f>YEAR(HB6)</f>
        <v/>
      </c>
      <c r="HC2" s="351">
        <f>YEAR(HC6)</f>
        <v/>
      </c>
      <c r="HD2" s="351">
        <f>YEAR(HD6)</f>
        <v/>
      </c>
      <c r="HE2" s="351">
        <f>YEAR(HE6)</f>
        <v/>
      </c>
      <c r="HF2" s="351">
        <f>YEAR(HF6)</f>
        <v/>
      </c>
      <c r="HG2" s="351">
        <f>YEAR(HG6)</f>
        <v/>
      </c>
      <c r="HH2" s="351">
        <f>YEAR(HH6)</f>
        <v/>
      </c>
      <c r="HI2" s="351">
        <f>YEAR(HI6)</f>
        <v/>
      </c>
      <c r="HJ2" s="351">
        <f>YEAR(HJ6)</f>
        <v/>
      </c>
      <c r="HK2" s="351">
        <f>YEAR(HK6)</f>
        <v/>
      </c>
      <c r="HL2" s="351">
        <f>YEAR(HL6)</f>
        <v/>
      </c>
      <c r="HM2" s="351">
        <f>YEAR(HM6)</f>
        <v/>
      </c>
      <c r="HN2" s="351">
        <f>YEAR(HN6)</f>
        <v/>
      </c>
      <c r="HO2" s="351">
        <f>YEAR(HO6)</f>
        <v/>
      </c>
      <c r="HP2" s="351">
        <f>YEAR(HP6)</f>
        <v/>
      </c>
      <c r="HQ2" s="351">
        <f>YEAR(HQ6)</f>
        <v/>
      </c>
      <c r="HR2" s="351">
        <f>YEAR(HR6)</f>
        <v/>
      </c>
      <c r="HS2" s="351">
        <f>YEAR(HS6)</f>
        <v/>
      </c>
      <c r="HT2" s="351">
        <f>YEAR(HT6)</f>
        <v/>
      </c>
      <c r="HU2" s="351">
        <f>YEAR(HU6)</f>
        <v/>
      </c>
      <c r="HV2" s="351">
        <f>YEAR(HV6)</f>
        <v/>
      </c>
      <c r="HW2" s="351">
        <f>YEAR(HW6)</f>
        <v/>
      </c>
      <c r="HX2" s="351">
        <f>YEAR(HX6)</f>
        <v/>
      </c>
      <c r="HY2" s="351">
        <f>YEAR(HY6)</f>
        <v/>
      </c>
      <c r="HZ2" s="351">
        <f>YEAR(HZ6)</f>
        <v/>
      </c>
      <c r="IA2" s="351">
        <f>YEAR(IA6)</f>
        <v/>
      </c>
      <c r="IB2" s="351">
        <f>YEAR(IB6)</f>
        <v/>
      </c>
      <c r="IC2" s="351">
        <f>YEAR(IC6)</f>
        <v/>
      </c>
      <c r="ID2" s="351">
        <f>YEAR(ID6)</f>
        <v/>
      </c>
    </row>
    <row r="3">
      <c r="D3" s="351" t="n"/>
      <c r="E3" s="351" t="inlineStr">
        <is>
          <t>Total</t>
        </is>
      </c>
      <c r="F3" s="351" t="inlineStr">
        <is>
          <t>1ºTRI</t>
        </is>
      </c>
      <c r="G3" s="351" t="inlineStr">
        <is>
          <t>2ºTRI</t>
        </is>
      </c>
      <c r="H3" s="351" t="inlineStr">
        <is>
          <t>3ºTRI</t>
        </is>
      </c>
      <c r="I3" s="351" t="inlineStr">
        <is>
          <t>4ºTRI</t>
        </is>
      </c>
      <c r="J3" s="351" t="inlineStr">
        <is>
          <t>Total</t>
        </is>
      </c>
      <c r="K3" s="351" t="inlineStr">
        <is>
          <t>1ºTRI</t>
        </is>
      </c>
      <c r="L3" s="351" t="inlineStr">
        <is>
          <t>2ºTRI</t>
        </is>
      </c>
      <c r="M3" s="351" t="inlineStr">
        <is>
          <t>3ºTRI</t>
        </is>
      </c>
      <c r="N3" s="351" t="inlineStr">
        <is>
          <t>4ºTRI</t>
        </is>
      </c>
      <c r="O3" s="351" t="inlineStr">
        <is>
          <t>Total</t>
        </is>
      </c>
      <c r="P3" s="351" t="inlineStr">
        <is>
          <t>1ºTRI</t>
        </is>
      </c>
      <c r="Q3" s="351" t="inlineStr">
        <is>
          <t>2ºTRI</t>
        </is>
      </c>
      <c r="R3" s="351" t="inlineStr">
        <is>
          <t>3ºTRI</t>
        </is>
      </c>
      <c r="S3" s="351" t="inlineStr">
        <is>
          <t>4ºTRI</t>
        </is>
      </c>
      <c r="T3" s="351" t="inlineStr">
        <is>
          <t>Total</t>
        </is>
      </c>
      <c r="U3" s="351" t="inlineStr">
        <is>
          <t>1ºTRI</t>
        </is>
      </c>
      <c r="V3" s="351" t="inlineStr">
        <is>
          <t>2ºTRI</t>
        </is>
      </c>
      <c r="W3" s="351" t="inlineStr">
        <is>
          <t>3ºTRI</t>
        </is>
      </c>
      <c r="X3" s="351" t="inlineStr">
        <is>
          <t>4ºTRI</t>
        </is>
      </c>
      <c r="Y3" s="351" t="inlineStr">
        <is>
          <t>Total</t>
        </is>
      </c>
      <c r="Z3" s="351" t="inlineStr">
        <is>
          <t>1ºTRI</t>
        </is>
      </c>
      <c r="AA3" s="351" t="inlineStr">
        <is>
          <t>2ºTRI</t>
        </is>
      </c>
      <c r="AB3" s="351" t="inlineStr">
        <is>
          <t>3ºTRI</t>
        </is>
      </c>
      <c r="AC3" s="351" t="inlineStr">
        <is>
          <t>4ºTRI</t>
        </is>
      </c>
      <c r="AD3" s="351" t="inlineStr">
        <is>
          <t>Total</t>
        </is>
      </c>
      <c r="AE3" s="351" t="inlineStr">
        <is>
          <t>Total</t>
        </is>
      </c>
      <c r="AF3" s="351" t="inlineStr">
        <is>
          <t>Total</t>
        </is>
      </c>
      <c r="AG3" s="351" t="inlineStr">
        <is>
          <t>Total</t>
        </is>
      </c>
      <c r="AH3" s="351" t="inlineStr">
        <is>
          <t>Total</t>
        </is>
      </c>
      <c r="AI3" s="351" t="inlineStr">
        <is>
          <t>Total</t>
        </is>
      </c>
      <c r="AJ3" s="351" t="inlineStr">
        <is>
          <t>Total</t>
        </is>
      </c>
      <c r="AK3" s="351" t="inlineStr">
        <is>
          <t>Total</t>
        </is>
      </c>
      <c r="AL3" s="351" t="inlineStr">
        <is>
          <t>Total</t>
        </is>
      </c>
      <c r="AM3" s="351" t="inlineStr">
        <is>
          <t>Total</t>
        </is>
      </c>
      <c r="AN3" s="351" t="inlineStr">
        <is>
          <t>Total</t>
        </is>
      </c>
      <c r="AO3" s="351" t="inlineStr">
        <is>
          <t>Total</t>
        </is>
      </c>
      <c r="AP3" s="351" t="n"/>
      <c r="AQ3" s="351" t="n"/>
      <c r="AR3" s="351" t="n"/>
      <c r="AS3" s="351" t="inlineStr">
        <is>
          <t>3ºTRI</t>
        </is>
      </c>
      <c r="AT3" s="351" t="inlineStr">
        <is>
          <t>3ºTRI</t>
        </is>
      </c>
      <c r="AU3" s="351" t="inlineStr">
        <is>
          <t>4ºTRI</t>
        </is>
      </c>
      <c r="AV3" s="351" t="inlineStr">
        <is>
          <t>4ºTRI</t>
        </is>
      </c>
      <c r="AW3" s="351" t="inlineStr">
        <is>
          <t>4ºTRI</t>
        </is>
      </c>
      <c r="AX3" s="351" t="inlineStr">
        <is>
          <t>1ºTRI</t>
        </is>
      </c>
      <c r="AY3" s="351" t="inlineStr">
        <is>
          <t>1ºTRI</t>
        </is>
      </c>
      <c r="AZ3" s="351" t="inlineStr">
        <is>
          <t>1ºTRI</t>
        </is>
      </c>
      <c r="BA3" s="351" t="inlineStr">
        <is>
          <t>2ºTRI</t>
        </is>
      </c>
      <c r="BB3" s="351" t="inlineStr">
        <is>
          <t>2ºTRI</t>
        </is>
      </c>
      <c r="BC3" s="351" t="inlineStr">
        <is>
          <t>2ºTRI</t>
        </is>
      </c>
      <c r="BD3" s="351" t="inlineStr">
        <is>
          <t>3ºTRI</t>
        </is>
      </c>
      <c r="BE3" s="351" t="inlineStr">
        <is>
          <t>3ºTRI</t>
        </is>
      </c>
      <c r="BF3" s="351" t="inlineStr">
        <is>
          <t>3ºTRI</t>
        </is>
      </c>
      <c r="BG3" s="351" t="inlineStr">
        <is>
          <t>4ºTRI</t>
        </is>
      </c>
      <c r="BH3" s="351" t="inlineStr">
        <is>
          <t>4ºTRI</t>
        </is>
      </c>
      <c r="BI3" s="351" t="inlineStr">
        <is>
          <t>4ºTRI</t>
        </is>
      </c>
      <c r="BJ3" s="351" t="inlineStr">
        <is>
          <t>1ºTRI</t>
        </is>
      </c>
      <c r="BK3" s="351" t="inlineStr">
        <is>
          <t>1ºTRI</t>
        </is>
      </c>
      <c r="BL3" s="351" t="inlineStr">
        <is>
          <t>1ºTRI</t>
        </is>
      </c>
      <c r="BM3" s="351" t="inlineStr">
        <is>
          <t>2ºTRI</t>
        </is>
      </c>
      <c r="BN3" s="351" t="inlineStr">
        <is>
          <t>2ºTRI</t>
        </is>
      </c>
      <c r="BO3" s="351" t="inlineStr">
        <is>
          <t>2ºTRI</t>
        </is>
      </c>
      <c r="BP3" s="351" t="inlineStr">
        <is>
          <t>3ºTRI</t>
        </is>
      </c>
      <c r="BQ3" s="351" t="inlineStr">
        <is>
          <t>3ºTRI</t>
        </is>
      </c>
      <c r="BR3" s="351" t="inlineStr">
        <is>
          <t>3ºTRI</t>
        </is>
      </c>
      <c r="BS3" s="351" t="inlineStr">
        <is>
          <t>4ºTRI</t>
        </is>
      </c>
      <c r="BT3" s="351" t="inlineStr">
        <is>
          <t>4ºTRI</t>
        </is>
      </c>
      <c r="BU3" s="351" t="inlineStr">
        <is>
          <t>4ºTRI</t>
        </is>
      </c>
      <c r="BV3" s="351" t="inlineStr">
        <is>
          <t>1ºTRI</t>
        </is>
      </c>
      <c r="BW3" s="351" t="inlineStr">
        <is>
          <t>1ºTRI</t>
        </is>
      </c>
      <c r="BX3" s="351" t="inlineStr">
        <is>
          <t>1ºTRI</t>
        </is>
      </c>
      <c r="BY3" s="351" t="inlineStr">
        <is>
          <t>2ºTRI</t>
        </is>
      </c>
      <c r="BZ3" s="351" t="inlineStr">
        <is>
          <t>2ºTRI</t>
        </is>
      </c>
      <c r="CA3" s="351" t="inlineStr">
        <is>
          <t>2ºTRI</t>
        </is>
      </c>
      <c r="CB3" s="351" t="inlineStr">
        <is>
          <t>3ºTRI</t>
        </is>
      </c>
      <c r="CC3" s="351" t="inlineStr">
        <is>
          <t>3ºTRI</t>
        </is>
      </c>
      <c r="CD3" s="351" t="inlineStr">
        <is>
          <t>3ºTRI</t>
        </is>
      </c>
      <c r="CE3" s="351" t="inlineStr">
        <is>
          <t>4ºTRI</t>
        </is>
      </c>
      <c r="CF3" s="351" t="inlineStr">
        <is>
          <t>4ºTRI</t>
        </is>
      </c>
      <c r="CG3" s="351" t="inlineStr">
        <is>
          <t>4ºTRI</t>
        </is>
      </c>
      <c r="CH3" s="351" t="inlineStr">
        <is>
          <t>1ºTRI</t>
        </is>
      </c>
      <c r="CI3" s="351" t="inlineStr">
        <is>
          <t>1ºTRI</t>
        </is>
      </c>
      <c r="CJ3" s="351" t="inlineStr">
        <is>
          <t>1ºTRI</t>
        </is>
      </c>
      <c r="CK3" s="351" t="inlineStr">
        <is>
          <t>2ºTRI</t>
        </is>
      </c>
      <c r="CL3" s="351" t="inlineStr">
        <is>
          <t>2ºTRI</t>
        </is>
      </c>
      <c r="CM3" s="351" t="inlineStr">
        <is>
          <t>2ºTRI</t>
        </is>
      </c>
      <c r="CN3" s="351" t="inlineStr">
        <is>
          <t>3ºTRI</t>
        </is>
      </c>
      <c r="CO3" s="351" t="inlineStr">
        <is>
          <t>3ºTRI</t>
        </is>
      </c>
      <c r="CP3" s="351" t="inlineStr">
        <is>
          <t>3ºTRI</t>
        </is>
      </c>
      <c r="CQ3" s="351" t="inlineStr">
        <is>
          <t>4ºTRI</t>
        </is>
      </c>
      <c r="CR3" s="351" t="inlineStr">
        <is>
          <t>4ºTRI</t>
        </is>
      </c>
      <c r="CS3" s="351" t="inlineStr">
        <is>
          <t>4ºTRI</t>
        </is>
      </c>
      <c r="CT3" s="351" t="inlineStr">
        <is>
          <t>1ºTRI</t>
        </is>
      </c>
      <c r="CU3" s="351" t="inlineStr">
        <is>
          <t>1ºTRI</t>
        </is>
      </c>
      <c r="CV3" s="351" t="inlineStr">
        <is>
          <t>1ºTRI</t>
        </is>
      </c>
      <c r="CW3" s="351" t="inlineStr">
        <is>
          <t>2ºTRI</t>
        </is>
      </c>
      <c r="CX3" s="351" t="inlineStr">
        <is>
          <t>2ºTRI</t>
        </is>
      </c>
      <c r="CY3" s="351" t="inlineStr">
        <is>
          <t>2ºTRI</t>
        </is>
      </c>
      <c r="CZ3" s="351" t="inlineStr">
        <is>
          <t>3ºTRI</t>
        </is>
      </c>
      <c r="DA3" s="351" t="inlineStr">
        <is>
          <t>3ºTRI</t>
        </is>
      </c>
      <c r="DB3" s="351" t="inlineStr">
        <is>
          <t>3ºTRI</t>
        </is>
      </c>
      <c r="DC3" s="351" t="inlineStr">
        <is>
          <t>4ºTRI</t>
        </is>
      </c>
      <c r="DD3" s="351" t="inlineStr">
        <is>
          <t>4ºTRI</t>
        </is>
      </c>
      <c r="DE3" s="351" t="inlineStr">
        <is>
          <t>4ºTRI</t>
        </is>
      </c>
      <c r="DF3" s="351" t="inlineStr">
        <is>
          <t>1ºTRI</t>
        </is>
      </c>
      <c r="DG3" s="351" t="inlineStr">
        <is>
          <t>1ºTRI</t>
        </is>
      </c>
      <c r="DH3" s="351" t="inlineStr">
        <is>
          <t>1ºTRI</t>
        </is>
      </c>
      <c r="DI3" s="351" t="inlineStr">
        <is>
          <t>2ºTRI</t>
        </is>
      </c>
      <c r="DJ3" s="351" t="inlineStr">
        <is>
          <t>2ºTRI</t>
        </is>
      </c>
      <c r="DK3" s="351" t="inlineStr">
        <is>
          <t>2ºTRI</t>
        </is>
      </c>
      <c r="DL3" s="351" t="inlineStr">
        <is>
          <t>3ºTRI</t>
        </is>
      </c>
      <c r="DM3" s="351" t="inlineStr">
        <is>
          <t>3ºTRI</t>
        </is>
      </c>
      <c r="DN3" s="351" t="inlineStr">
        <is>
          <t>3ºTRI</t>
        </is>
      </c>
      <c r="DO3" s="351" t="inlineStr">
        <is>
          <t>4ºTRI</t>
        </is>
      </c>
      <c r="DP3" s="351" t="inlineStr">
        <is>
          <t>4ºTRI</t>
        </is>
      </c>
      <c r="DQ3" s="351" t="inlineStr">
        <is>
          <t>4ºTRI</t>
        </is>
      </c>
      <c r="DR3" s="351" t="inlineStr">
        <is>
          <t>1ºTRI</t>
        </is>
      </c>
      <c r="DS3" s="351" t="inlineStr">
        <is>
          <t>1ºTRI</t>
        </is>
      </c>
      <c r="DT3" s="351" t="inlineStr">
        <is>
          <t>1ºTRI</t>
        </is>
      </c>
      <c r="DU3" s="351" t="inlineStr">
        <is>
          <t>2ºTRI</t>
        </is>
      </c>
      <c r="DV3" s="351" t="inlineStr">
        <is>
          <t>2ºTRI</t>
        </is>
      </c>
      <c r="DW3" s="351" t="inlineStr">
        <is>
          <t>2ºTRI</t>
        </is>
      </c>
      <c r="DX3" s="351" t="inlineStr">
        <is>
          <t>3ºTRI</t>
        </is>
      </c>
      <c r="DY3" s="351" t="inlineStr">
        <is>
          <t>3ºTRI</t>
        </is>
      </c>
      <c r="DZ3" s="351" t="inlineStr">
        <is>
          <t>3ºTRI</t>
        </is>
      </c>
      <c r="EA3" s="351" t="inlineStr">
        <is>
          <t>4ºTRI</t>
        </is>
      </c>
      <c r="EB3" s="351" t="inlineStr">
        <is>
          <t>4ºTRI</t>
        </is>
      </c>
      <c r="EC3" s="351" t="inlineStr">
        <is>
          <t>4ºTRI</t>
        </is>
      </c>
      <c r="ED3" s="351" t="inlineStr">
        <is>
          <t>1ºTRI</t>
        </is>
      </c>
      <c r="EE3" s="351" t="inlineStr">
        <is>
          <t>1ºTRI</t>
        </is>
      </c>
      <c r="EF3" s="351" t="inlineStr">
        <is>
          <t>1ºTRI</t>
        </is>
      </c>
      <c r="EG3" s="351" t="inlineStr">
        <is>
          <t>2ºTRI</t>
        </is>
      </c>
      <c r="EH3" s="351" t="inlineStr">
        <is>
          <t>2ºTRI</t>
        </is>
      </c>
      <c r="EI3" s="351" t="inlineStr">
        <is>
          <t>2ºTRI</t>
        </is>
      </c>
      <c r="EJ3" s="351" t="inlineStr">
        <is>
          <t>3ºTRI</t>
        </is>
      </c>
      <c r="EK3" s="351" t="inlineStr">
        <is>
          <t>3ºTRI</t>
        </is>
      </c>
      <c r="EL3" s="351" t="inlineStr">
        <is>
          <t>3ºTRI</t>
        </is>
      </c>
      <c r="EM3" s="351" t="inlineStr">
        <is>
          <t>4ºTRI</t>
        </is>
      </c>
      <c r="EN3" s="351" t="inlineStr">
        <is>
          <t>4ºTRI</t>
        </is>
      </c>
      <c r="EO3" s="351" t="inlineStr">
        <is>
          <t>4ºTRI</t>
        </is>
      </c>
      <c r="EP3" s="351" t="inlineStr">
        <is>
          <t>1ºTRI</t>
        </is>
      </c>
      <c r="EQ3" s="351" t="inlineStr">
        <is>
          <t>1ºTRI</t>
        </is>
      </c>
      <c r="ER3" s="351" t="inlineStr">
        <is>
          <t>1ºTRI</t>
        </is>
      </c>
      <c r="ES3" s="351" t="inlineStr">
        <is>
          <t>2ºTRI</t>
        </is>
      </c>
      <c r="ET3" s="351" t="inlineStr">
        <is>
          <t>2ºTRI</t>
        </is>
      </c>
      <c r="EU3" s="351" t="inlineStr">
        <is>
          <t>2ºTRI</t>
        </is>
      </c>
      <c r="EV3" s="351" t="inlineStr">
        <is>
          <t>3ºTRI</t>
        </is>
      </c>
      <c r="EW3" s="351" t="inlineStr">
        <is>
          <t>3ºTRI</t>
        </is>
      </c>
      <c r="EX3" s="351" t="inlineStr">
        <is>
          <t>3ºTRI</t>
        </is>
      </c>
      <c r="EY3" s="351" t="inlineStr">
        <is>
          <t>4ºTRI</t>
        </is>
      </c>
      <c r="EZ3" s="351" t="inlineStr">
        <is>
          <t>4ºTRI</t>
        </is>
      </c>
      <c r="FA3" s="351" t="inlineStr">
        <is>
          <t>4ºTRI</t>
        </is>
      </c>
      <c r="FB3" s="351" t="inlineStr">
        <is>
          <t>1ºTRI</t>
        </is>
      </c>
      <c r="FC3" s="351" t="inlineStr">
        <is>
          <t>1ºTRI</t>
        </is>
      </c>
      <c r="FD3" s="351" t="inlineStr">
        <is>
          <t>1ºTRI</t>
        </is>
      </c>
      <c r="FE3" s="351" t="inlineStr">
        <is>
          <t>2ºTRI</t>
        </is>
      </c>
      <c r="FF3" s="351" t="inlineStr">
        <is>
          <t>2ºTRI</t>
        </is>
      </c>
      <c r="FG3" s="351" t="inlineStr">
        <is>
          <t>2ºTRI</t>
        </is>
      </c>
      <c r="FH3" s="351" t="inlineStr">
        <is>
          <t>3ºTRI</t>
        </is>
      </c>
      <c r="FI3" s="351" t="inlineStr">
        <is>
          <t>3ºTRI</t>
        </is>
      </c>
      <c r="FJ3" s="351" t="inlineStr">
        <is>
          <t>3ºTRI</t>
        </is>
      </c>
      <c r="FK3" s="351" t="inlineStr">
        <is>
          <t>4ºTRI</t>
        </is>
      </c>
      <c r="FL3" s="351" t="inlineStr">
        <is>
          <t>4ºTRI</t>
        </is>
      </c>
      <c r="FM3" s="351" t="inlineStr">
        <is>
          <t>4ºTRI</t>
        </is>
      </c>
      <c r="FN3" s="351" t="inlineStr">
        <is>
          <t>1ºTRI</t>
        </is>
      </c>
      <c r="FO3" s="351" t="inlineStr">
        <is>
          <t>1ºTRI</t>
        </is>
      </c>
      <c r="FP3" s="351" t="inlineStr">
        <is>
          <t>1ºTRI</t>
        </is>
      </c>
      <c r="FQ3" s="351" t="inlineStr">
        <is>
          <t>2ºTRI</t>
        </is>
      </c>
      <c r="FR3" s="351" t="inlineStr">
        <is>
          <t>2ºTRI</t>
        </is>
      </c>
      <c r="FS3" s="351" t="inlineStr">
        <is>
          <t>2ºTRI</t>
        </is>
      </c>
      <c r="FT3" s="351" t="inlineStr">
        <is>
          <t>3ºTRI</t>
        </is>
      </c>
      <c r="FU3" s="351" t="inlineStr">
        <is>
          <t>3ºTRI</t>
        </is>
      </c>
      <c r="FV3" s="351" t="inlineStr">
        <is>
          <t>3ºTRI</t>
        </is>
      </c>
      <c r="FW3" s="351" t="inlineStr">
        <is>
          <t>4ºTRI</t>
        </is>
      </c>
      <c r="FX3" s="351" t="inlineStr">
        <is>
          <t>4ºTRI</t>
        </is>
      </c>
      <c r="FY3" s="351" t="inlineStr">
        <is>
          <t>4ºTRI</t>
        </is>
      </c>
      <c r="FZ3" s="351" t="inlineStr">
        <is>
          <t>1ºTRI</t>
        </is>
      </c>
      <c r="GA3" s="351" t="inlineStr">
        <is>
          <t>1ºTRI</t>
        </is>
      </c>
      <c r="GB3" s="351" t="inlineStr">
        <is>
          <t>1ºTRI</t>
        </is>
      </c>
      <c r="GC3" s="351" t="inlineStr">
        <is>
          <t>2ºTRI</t>
        </is>
      </c>
      <c r="GD3" s="351" t="inlineStr">
        <is>
          <t>2ºTRI</t>
        </is>
      </c>
      <c r="GE3" s="351" t="inlineStr">
        <is>
          <t>2ºTRI</t>
        </is>
      </c>
      <c r="GF3" s="351" t="inlineStr">
        <is>
          <t>3ºTRI</t>
        </is>
      </c>
      <c r="GG3" s="351" t="inlineStr">
        <is>
          <t>3ºTRI</t>
        </is>
      </c>
      <c r="GH3" s="351" t="inlineStr">
        <is>
          <t>3ºTRI</t>
        </is>
      </c>
      <c r="GI3" s="351" t="inlineStr">
        <is>
          <t>4ºTRI</t>
        </is>
      </c>
      <c r="GJ3" s="351" t="inlineStr">
        <is>
          <t>4ºTRI</t>
        </is>
      </c>
      <c r="GK3" s="351" t="inlineStr">
        <is>
          <t>4ºTRI</t>
        </is>
      </c>
      <c r="GL3" s="351" t="inlineStr">
        <is>
          <t>1ºTRI</t>
        </is>
      </c>
      <c r="GM3" s="351" t="inlineStr">
        <is>
          <t>1ºTRI</t>
        </is>
      </c>
      <c r="GN3" s="351" t="inlineStr">
        <is>
          <t>1ºTRI</t>
        </is>
      </c>
      <c r="GO3" s="351" t="inlineStr">
        <is>
          <t>2ºTRI</t>
        </is>
      </c>
      <c r="GP3" s="351" t="inlineStr">
        <is>
          <t>2ºTRI</t>
        </is>
      </c>
      <c r="GQ3" s="351" t="inlineStr">
        <is>
          <t>2ºTRI</t>
        </is>
      </c>
      <c r="GR3" s="351" t="inlineStr">
        <is>
          <t>3ºTRI</t>
        </is>
      </c>
      <c r="GS3" s="351" t="inlineStr">
        <is>
          <t>3ºTRI</t>
        </is>
      </c>
      <c r="GT3" s="351" t="inlineStr">
        <is>
          <t>3ºTRI</t>
        </is>
      </c>
      <c r="GU3" s="351" t="inlineStr">
        <is>
          <t>4ºTRI</t>
        </is>
      </c>
      <c r="GV3" s="351" t="inlineStr">
        <is>
          <t>4ºTRI</t>
        </is>
      </c>
      <c r="GW3" s="351" t="inlineStr">
        <is>
          <t>4ºTRI</t>
        </is>
      </c>
      <c r="GX3" s="351" t="inlineStr">
        <is>
          <t>1ºTRI</t>
        </is>
      </c>
      <c r="GY3" s="351" t="inlineStr">
        <is>
          <t>1ºTRI</t>
        </is>
      </c>
      <c r="GZ3" s="351" t="inlineStr">
        <is>
          <t>1ºTRI</t>
        </is>
      </c>
      <c r="HA3" s="351" t="inlineStr">
        <is>
          <t>2ºTRI</t>
        </is>
      </c>
      <c r="HB3" s="351" t="inlineStr">
        <is>
          <t>2ºTRI</t>
        </is>
      </c>
      <c r="HC3" s="351" t="inlineStr">
        <is>
          <t>2ºTRI</t>
        </is>
      </c>
      <c r="HD3" s="351" t="inlineStr">
        <is>
          <t>3ºTRI</t>
        </is>
      </c>
      <c r="HE3" s="351" t="inlineStr">
        <is>
          <t>3ºTRI</t>
        </is>
      </c>
      <c r="HF3" s="351" t="inlineStr">
        <is>
          <t>3ºTRI</t>
        </is>
      </c>
      <c r="HG3" s="351" t="inlineStr">
        <is>
          <t>4ºTRI</t>
        </is>
      </c>
      <c r="HH3" s="351" t="inlineStr">
        <is>
          <t>4ºTRI</t>
        </is>
      </c>
      <c r="HI3" s="351" t="inlineStr">
        <is>
          <t>4ºTRI</t>
        </is>
      </c>
      <c r="HJ3" s="351" t="inlineStr">
        <is>
          <t>1ºTRI</t>
        </is>
      </c>
      <c r="HK3" s="351" t="inlineStr">
        <is>
          <t>1ºTRI</t>
        </is>
      </c>
      <c r="HL3" s="351" t="inlineStr">
        <is>
          <t>1ºTRI</t>
        </is>
      </c>
      <c r="HM3" s="351" t="inlineStr">
        <is>
          <t>2ºTRI</t>
        </is>
      </c>
      <c r="HN3" s="351" t="inlineStr">
        <is>
          <t>2ºTRI</t>
        </is>
      </c>
      <c r="HO3" s="351" t="inlineStr">
        <is>
          <t>2ºTRI</t>
        </is>
      </c>
      <c r="HP3" s="351" t="inlineStr">
        <is>
          <t>3ºTRI</t>
        </is>
      </c>
      <c r="HQ3" s="351" t="inlineStr">
        <is>
          <t>3ºTRI</t>
        </is>
      </c>
      <c r="HR3" s="351" t="inlineStr">
        <is>
          <t>3ºTRI</t>
        </is>
      </c>
      <c r="HS3" s="351" t="inlineStr">
        <is>
          <t>4ºTRI</t>
        </is>
      </c>
      <c r="HT3" s="351" t="inlineStr">
        <is>
          <t>4ºTRI</t>
        </is>
      </c>
      <c r="HU3" s="351" t="inlineStr">
        <is>
          <t>4ºTRI</t>
        </is>
      </c>
      <c r="HV3" s="351" t="inlineStr">
        <is>
          <t>1ºTRI</t>
        </is>
      </c>
      <c r="HW3" s="351" t="inlineStr">
        <is>
          <t>1ºTRI</t>
        </is>
      </c>
      <c r="HX3" s="351" t="inlineStr">
        <is>
          <t>1ºTRI</t>
        </is>
      </c>
      <c r="HY3" s="351" t="inlineStr">
        <is>
          <t>2ºTRI</t>
        </is>
      </c>
      <c r="HZ3" s="351" t="inlineStr">
        <is>
          <t>2ºTRI</t>
        </is>
      </c>
      <c r="IA3" s="351" t="inlineStr">
        <is>
          <t>2ºTRI</t>
        </is>
      </c>
      <c r="IB3" s="351" t="inlineStr">
        <is>
          <t>3ºTRI</t>
        </is>
      </c>
      <c r="IC3" s="351" t="inlineStr">
        <is>
          <t>3ºTRI</t>
        </is>
      </c>
      <c r="ID3" s="351" t="inlineStr">
        <is>
          <t>3ºTRI</t>
        </is>
      </c>
    </row>
    <row r="4" ht="15" customHeight="1" thickBot="1"/>
    <row r="5" ht="15" customHeight="1" thickBot="1">
      <c r="B5" s="428" t="inlineStr">
        <is>
          <t>5 lotes (em R$ MM)</t>
        </is>
      </c>
      <c r="AR5" t="inlineStr">
        <is>
          <t>5 lotes (em R$ MM)</t>
        </is>
      </c>
    </row>
    <row r="6">
      <c r="AS6" s="348">
        <f>'FC Total (5 lotes)'!#REF!</f>
        <v/>
      </c>
      <c r="AT6" s="348">
        <f>'FC Total (5 lotes)'!#REF!</f>
        <v/>
      </c>
      <c r="AU6" s="348">
        <f>'FC Total (5 lotes)'!#REF!</f>
        <v/>
      </c>
      <c r="AV6" s="348">
        <f>'FC Total (5 lotes)'!#REF!</f>
        <v/>
      </c>
      <c r="AW6" s="348">
        <f>'FC Total (5 lotes)'!#REF!</f>
        <v/>
      </c>
      <c r="AX6" s="348">
        <f>'FC Total (5 lotes)'!#REF!</f>
        <v/>
      </c>
      <c r="AY6" s="348">
        <f>'FC Total (5 lotes)'!#REF!</f>
        <v/>
      </c>
      <c r="AZ6" s="348">
        <f>'FC Total (5 lotes)'!#REF!</f>
        <v/>
      </c>
      <c r="BA6" s="348">
        <f>'FC Total (5 lotes)'!#REF!</f>
        <v/>
      </c>
      <c r="BB6" s="348">
        <f>'FC Total (5 lotes)'!#REF!</f>
        <v/>
      </c>
      <c r="BC6" s="348">
        <f>'FC Total (5 lotes)'!AT78</f>
        <v/>
      </c>
      <c r="BD6" s="348">
        <f>'FC Total (5 lotes)'!AU78</f>
        <v/>
      </c>
      <c r="BE6" s="348">
        <f>'FC Total (5 lotes)'!AV78</f>
        <v/>
      </c>
      <c r="BF6" s="348">
        <f>'FC Total (5 lotes)'!AW78</f>
        <v/>
      </c>
      <c r="BG6" s="348">
        <f>'FC Total (5 lotes)'!AX78</f>
        <v/>
      </c>
      <c r="BH6" s="348">
        <f>'FC Total (5 lotes)'!AY78</f>
        <v/>
      </c>
      <c r="BI6" s="348">
        <f>'FC Total (5 lotes)'!AZ78</f>
        <v/>
      </c>
      <c r="BJ6" s="348">
        <f>'FC Total (5 lotes)'!BA78</f>
        <v/>
      </c>
      <c r="BK6" s="348">
        <f>'FC Total (5 lotes)'!BB78</f>
        <v/>
      </c>
      <c r="BL6" s="348">
        <f>'FC Total (5 lotes)'!BC78</f>
        <v/>
      </c>
      <c r="BM6" s="348">
        <f>'FC Total (5 lotes)'!BD78</f>
        <v/>
      </c>
      <c r="BN6" s="348">
        <f>'FC Total (5 lotes)'!BE78</f>
        <v/>
      </c>
      <c r="BO6" s="348">
        <f>'FC Total (5 lotes)'!BF78</f>
        <v/>
      </c>
      <c r="BP6" s="348">
        <f>'FC Total (5 lotes)'!BG78</f>
        <v/>
      </c>
      <c r="BQ6" s="348">
        <f>'FC Total (5 lotes)'!BH78</f>
        <v/>
      </c>
      <c r="BR6" s="348">
        <f>'FC Total (5 lotes)'!BI78</f>
        <v/>
      </c>
      <c r="BS6" s="348">
        <f>'FC Total (5 lotes)'!BJ78</f>
        <v/>
      </c>
      <c r="BT6" s="348">
        <f>'FC Total (5 lotes)'!BK78</f>
        <v/>
      </c>
      <c r="BU6" s="348">
        <f>'FC Total (5 lotes)'!BL78</f>
        <v/>
      </c>
      <c r="BV6" s="348">
        <f>'FC Total (5 lotes)'!BM78</f>
        <v/>
      </c>
      <c r="BW6" s="348">
        <f>'FC Total (5 lotes)'!BN78</f>
        <v/>
      </c>
      <c r="BX6" s="348">
        <f>'FC Total (5 lotes)'!BO78</f>
        <v/>
      </c>
      <c r="BY6" s="348">
        <f>'FC Total (5 lotes)'!BP78</f>
        <v/>
      </c>
      <c r="BZ6" s="348">
        <f>'FC Total (5 lotes)'!BQ78</f>
        <v/>
      </c>
      <c r="CA6" s="348">
        <f>'FC Total (5 lotes)'!BR78</f>
        <v/>
      </c>
      <c r="CB6" s="348">
        <f>'FC Total (5 lotes)'!BS78</f>
        <v/>
      </c>
      <c r="CC6" s="348">
        <f>'FC Total (5 lotes)'!BT78</f>
        <v/>
      </c>
      <c r="CD6" s="348">
        <f>'FC Total (5 lotes)'!BU78</f>
        <v/>
      </c>
      <c r="CE6" s="348">
        <f>'FC Total (5 lotes)'!BV78</f>
        <v/>
      </c>
      <c r="CF6" s="348">
        <f>'FC Total (5 lotes)'!BW78</f>
        <v/>
      </c>
      <c r="CG6" s="348">
        <f>'FC Total (5 lotes)'!BX78</f>
        <v/>
      </c>
      <c r="CH6" s="348">
        <f>'FC Total (5 lotes)'!BY78</f>
        <v/>
      </c>
      <c r="CI6" s="348">
        <f>'FC Total (5 lotes)'!BZ78</f>
        <v/>
      </c>
      <c r="CJ6" s="348">
        <f>'FC Total (5 lotes)'!CA78</f>
        <v/>
      </c>
      <c r="CK6" s="348">
        <f>'FC Total (5 lotes)'!CB78</f>
        <v/>
      </c>
      <c r="CL6" s="348">
        <f>'FC Total (5 lotes)'!CC78</f>
        <v/>
      </c>
      <c r="CM6" s="348">
        <f>'FC Total (5 lotes)'!CD78</f>
        <v/>
      </c>
      <c r="CN6" s="348">
        <f>'FC Total (5 lotes)'!CE78</f>
        <v/>
      </c>
      <c r="CO6" s="348">
        <f>'FC Total (5 lotes)'!CF78</f>
        <v/>
      </c>
      <c r="CP6" s="348">
        <f>'FC Total (5 lotes)'!CG78</f>
        <v/>
      </c>
      <c r="CQ6" s="348">
        <f>'FC Total (5 lotes)'!CH78</f>
        <v/>
      </c>
      <c r="CR6" s="348">
        <f>'FC Total (5 lotes)'!CI78</f>
        <v/>
      </c>
      <c r="CS6" s="348">
        <f>'FC Total (5 lotes)'!CJ78</f>
        <v/>
      </c>
      <c r="CT6" s="348">
        <f>'FC Total (5 lotes)'!CK78</f>
        <v/>
      </c>
      <c r="CU6" s="348">
        <f>'FC Total (5 lotes)'!CL78</f>
        <v/>
      </c>
      <c r="CV6" s="348">
        <f>'FC Total (5 lotes)'!CM78</f>
        <v/>
      </c>
      <c r="CW6" s="348">
        <f>'FC Total (5 lotes)'!CN78</f>
        <v/>
      </c>
      <c r="CX6" s="348">
        <f>'FC Total (5 lotes)'!CO78</f>
        <v/>
      </c>
      <c r="CY6" s="348">
        <f>'FC Total (5 lotes)'!CP78</f>
        <v/>
      </c>
      <c r="CZ6" s="348">
        <f>'FC Total (5 lotes)'!CQ78</f>
        <v/>
      </c>
      <c r="DA6" s="348">
        <f>'FC Total (5 lotes)'!CR78</f>
        <v/>
      </c>
      <c r="DB6" s="348">
        <f>'FC Total (5 lotes)'!CS78</f>
        <v/>
      </c>
      <c r="DC6" s="348">
        <f>'FC Total (5 lotes)'!CT78</f>
        <v/>
      </c>
      <c r="DD6" s="348">
        <f>'FC Total (5 lotes)'!CU78</f>
        <v/>
      </c>
      <c r="DE6" s="348">
        <f>'FC Total (5 lotes)'!CV78</f>
        <v/>
      </c>
      <c r="DF6" s="348">
        <f>'FC Total (5 lotes)'!CW78</f>
        <v/>
      </c>
      <c r="DG6" s="348">
        <f>'FC Total (5 lotes)'!CX78</f>
        <v/>
      </c>
      <c r="DH6" s="348">
        <f>'FC Total (5 lotes)'!CY78</f>
        <v/>
      </c>
      <c r="DI6" s="348">
        <f>'FC Total (5 lotes)'!CZ78</f>
        <v/>
      </c>
      <c r="DJ6" s="348">
        <f>'FC Total (5 lotes)'!DA78</f>
        <v/>
      </c>
      <c r="DK6" s="348">
        <f>'FC Total (5 lotes)'!DB78</f>
        <v/>
      </c>
      <c r="DL6" s="348">
        <f>'FC Total (5 lotes)'!DC78</f>
        <v/>
      </c>
      <c r="DM6" s="348">
        <f>'FC Total (5 lotes)'!DD78</f>
        <v/>
      </c>
      <c r="DN6" s="348">
        <f>'FC Total (5 lotes)'!DE78</f>
        <v/>
      </c>
      <c r="DO6" s="348">
        <f>'FC Total (5 lotes)'!DF78</f>
        <v/>
      </c>
      <c r="DP6" s="348">
        <f>'FC Total (5 lotes)'!DG78</f>
        <v/>
      </c>
      <c r="DQ6" s="348">
        <f>'FC Total (5 lotes)'!DH78</f>
        <v/>
      </c>
      <c r="DR6" s="348">
        <f>'FC Total (5 lotes)'!DI78</f>
        <v/>
      </c>
      <c r="DS6" s="348">
        <f>'FC Total (5 lotes)'!DJ78</f>
        <v/>
      </c>
      <c r="DT6" s="348">
        <f>'FC Total (5 lotes)'!DK78</f>
        <v/>
      </c>
      <c r="DU6" s="348">
        <f>'FC Total (5 lotes)'!DL78</f>
        <v/>
      </c>
      <c r="DV6" s="348">
        <f>'FC Total (5 lotes)'!DM78</f>
        <v/>
      </c>
      <c r="DW6" s="348">
        <f>'FC Total (5 lotes)'!DN78</f>
        <v/>
      </c>
      <c r="DX6" s="348">
        <f>'FC Total (5 lotes)'!DO78</f>
        <v/>
      </c>
      <c r="DY6" s="348">
        <f>'FC Total (5 lotes)'!DP78</f>
        <v/>
      </c>
      <c r="DZ6" s="348">
        <f>'FC Total (5 lotes)'!DQ78</f>
        <v/>
      </c>
      <c r="EA6" s="348">
        <f>'FC Total (5 lotes)'!DR78</f>
        <v/>
      </c>
      <c r="EB6" s="348">
        <f>'FC Total (5 lotes)'!DS78</f>
        <v/>
      </c>
      <c r="EC6" s="348">
        <f>'FC Total (5 lotes)'!DT78</f>
        <v/>
      </c>
      <c r="ED6" s="348">
        <f>'FC Total (5 lotes)'!DU78</f>
        <v/>
      </c>
      <c r="EE6" s="348">
        <f>'FC Total (5 lotes)'!DV78</f>
        <v/>
      </c>
      <c r="EF6" s="348">
        <f>'FC Total (5 lotes)'!DW78</f>
        <v/>
      </c>
      <c r="EG6" s="348">
        <f>'FC Total (5 lotes)'!DX78</f>
        <v/>
      </c>
      <c r="EH6" s="348">
        <f>'FC Total (5 lotes)'!DY78</f>
        <v/>
      </c>
      <c r="EI6" s="348">
        <f>'FC Total (5 lotes)'!DZ78</f>
        <v/>
      </c>
      <c r="EJ6" s="348">
        <f>'FC Total (5 lotes)'!EA78</f>
        <v/>
      </c>
      <c r="EK6" s="348">
        <f>'FC Total (5 lotes)'!EB78</f>
        <v/>
      </c>
      <c r="EL6" s="348">
        <f>'FC Total (5 lotes)'!EC78</f>
        <v/>
      </c>
      <c r="EM6" s="348">
        <f>'FC Total (5 lotes)'!ED78</f>
        <v/>
      </c>
      <c r="EN6" s="348">
        <f>'FC Total (5 lotes)'!EE78</f>
        <v/>
      </c>
      <c r="EO6" s="348">
        <f>'FC Total (5 lotes)'!EF78</f>
        <v/>
      </c>
      <c r="EP6" s="348">
        <f>'FC Total (5 lotes)'!EG78</f>
        <v/>
      </c>
      <c r="EQ6" s="348">
        <f>'FC Total (5 lotes)'!EH78</f>
        <v/>
      </c>
      <c r="ER6" s="348">
        <f>'FC Total (5 lotes)'!EI78</f>
        <v/>
      </c>
      <c r="ES6" s="348">
        <f>'FC Total (5 lotes)'!EJ78</f>
        <v/>
      </c>
      <c r="ET6" s="348">
        <f>'FC Total (5 lotes)'!EK78</f>
        <v/>
      </c>
      <c r="EU6" s="348">
        <f>'FC Total (5 lotes)'!EL78</f>
        <v/>
      </c>
      <c r="EV6" s="348">
        <f>'FC Total (5 lotes)'!EM78</f>
        <v/>
      </c>
      <c r="EW6" s="348">
        <f>'FC Total (5 lotes)'!EN78</f>
        <v/>
      </c>
      <c r="EX6" s="348">
        <f>'FC Total (5 lotes)'!EO78</f>
        <v/>
      </c>
      <c r="EY6" s="348">
        <f>'FC Total (5 lotes)'!EP78</f>
        <v/>
      </c>
      <c r="EZ6" s="348">
        <f>'FC Total (5 lotes)'!EQ78</f>
        <v/>
      </c>
      <c r="FA6" s="348">
        <f>'FC Total (5 lotes)'!ER78</f>
        <v/>
      </c>
      <c r="FB6" s="348">
        <f>'FC Total (5 lotes)'!ES78</f>
        <v/>
      </c>
      <c r="FC6" s="348">
        <f>'FC Total (5 lotes)'!ET78</f>
        <v/>
      </c>
      <c r="FD6" s="348">
        <f>'FC Total (5 lotes)'!EU78</f>
        <v/>
      </c>
      <c r="FE6" s="348">
        <f>'FC Total (5 lotes)'!EV78</f>
        <v/>
      </c>
      <c r="FF6" s="348">
        <f>'FC Total (5 lotes)'!EW78</f>
        <v/>
      </c>
      <c r="FG6" s="348">
        <f>'FC Total (5 lotes)'!EX78</f>
        <v/>
      </c>
      <c r="FH6" s="348">
        <f>'FC Total (5 lotes)'!EY78</f>
        <v/>
      </c>
      <c r="FI6" s="348">
        <f>'FC Total (5 lotes)'!EZ78</f>
        <v/>
      </c>
      <c r="FJ6" s="348">
        <f>'FC Total (5 lotes)'!FA78</f>
        <v/>
      </c>
      <c r="FK6" s="348">
        <f>'FC Total (5 lotes)'!FB78</f>
        <v/>
      </c>
      <c r="FL6" s="348">
        <f>'FC Total (5 lotes)'!FC78</f>
        <v/>
      </c>
      <c r="FM6" s="348">
        <f>'FC Total (5 lotes)'!FD78</f>
        <v/>
      </c>
      <c r="FN6" s="348">
        <f>'FC Total (5 lotes)'!FE78</f>
        <v/>
      </c>
      <c r="FO6" s="348">
        <f>'FC Total (5 lotes)'!FF78</f>
        <v/>
      </c>
      <c r="FP6" s="348">
        <f>'FC Total (5 lotes)'!FG78</f>
        <v/>
      </c>
      <c r="FQ6" s="348">
        <f>'FC Total (5 lotes)'!FH78</f>
        <v/>
      </c>
      <c r="FR6" s="348">
        <f>'FC Total (5 lotes)'!FI78</f>
        <v/>
      </c>
      <c r="FS6" s="348">
        <f>'FC Total (5 lotes)'!FJ78</f>
        <v/>
      </c>
      <c r="FT6" s="348">
        <f>'FC Total (5 lotes)'!FK78</f>
        <v/>
      </c>
      <c r="FU6" s="348">
        <f>'FC Total (5 lotes)'!FL78</f>
        <v/>
      </c>
      <c r="FV6" s="348">
        <f>'FC Total (5 lotes)'!FM78</f>
        <v/>
      </c>
      <c r="FW6" s="348">
        <f>'FC Total (5 lotes)'!FN78</f>
        <v/>
      </c>
      <c r="FX6" s="348">
        <f>'FC Total (5 lotes)'!FO78</f>
        <v/>
      </c>
      <c r="FY6" s="348">
        <f>'FC Total (5 lotes)'!FP78</f>
        <v/>
      </c>
      <c r="FZ6" s="348">
        <f>'FC Total (5 lotes)'!FQ78</f>
        <v/>
      </c>
      <c r="GA6" s="348">
        <f>'FC Total (5 lotes)'!FR78</f>
        <v/>
      </c>
      <c r="GB6" s="348">
        <f>'FC Total (5 lotes)'!FS78</f>
        <v/>
      </c>
      <c r="GC6" s="348">
        <f>'FC Total (5 lotes)'!FT78</f>
        <v/>
      </c>
      <c r="GD6" s="348">
        <f>'FC Total (5 lotes)'!FU78</f>
        <v/>
      </c>
      <c r="GE6" s="348">
        <f>'FC Total (5 lotes)'!FV78</f>
        <v/>
      </c>
      <c r="GF6" s="348">
        <f>'FC Total (5 lotes)'!FW78</f>
        <v/>
      </c>
      <c r="GG6" s="348">
        <f>'FC Total (5 lotes)'!FX78</f>
        <v/>
      </c>
      <c r="GH6" s="348">
        <f>'FC Total (5 lotes)'!FY78</f>
        <v/>
      </c>
      <c r="GI6" s="348">
        <f>'FC Total (5 lotes)'!FZ78</f>
        <v/>
      </c>
      <c r="GJ6" s="348">
        <f>'FC Total (5 lotes)'!GA78</f>
        <v/>
      </c>
      <c r="GK6" s="348">
        <f>'FC Total (5 lotes)'!GB78</f>
        <v/>
      </c>
      <c r="GL6" s="348">
        <f>'FC Total (5 lotes)'!GC78</f>
        <v/>
      </c>
      <c r="GM6" s="348">
        <f>'FC Total (5 lotes)'!GD78</f>
        <v/>
      </c>
      <c r="GN6" s="348">
        <f>'FC Total (5 lotes)'!GE78</f>
        <v/>
      </c>
      <c r="GO6" s="348">
        <f>'FC Total (5 lotes)'!GF78</f>
        <v/>
      </c>
      <c r="GP6" s="348">
        <f>'FC Total (5 lotes)'!GG78</f>
        <v/>
      </c>
      <c r="GQ6" s="348">
        <f>'FC Total (5 lotes)'!GH78</f>
        <v/>
      </c>
      <c r="GR6" s="348">
        <f>'FC Total (5 lotes)'!GI78</f>
        <v/>
      </c>
      <c r="GS6" s="348">
        <f>'FC Total (5 lotes)'!GJ78</f>
        <v/>
      </c>
      <c r="GT6" s="348">
        <f>'FC Total (5 lotes)'!GK78</f>
        <v/>
      </c>
      <c r="GU6" s="348">
        <f>'FC Total (5 lotes)'!GL78</f>
        <v/>
      </c>
      <c r="GV6" s="348">
        <f>'FC Total (5 lotes)'!GM78</f>
        <v/>
      </c>
      <c r="GW6" s="348">
        <f>'FC Total (5 lotes)'!GN78</f>
        <v/>
      </c>
      <c r="GX6" s="348">
        <f>'FC Total (5 lotes)'!GO78</f>
        <v/>
      </c>
      <c r="GY6" s="348">
        <f>'FC Total (5 lotes)'!GP78</f>
        <v/>
      </c>
      <c r="GZ6" s="348">
        <f>'FC Total (5 lotes)'!GQ78</f>
        <v/>
      </c>
      <c r="HA6" s="348">
        <f>'FC Total (5 lotes)'!GR78</f>
        <v/>
      </c>
      <c r="HB6" s="348">
        <f>'FC Total (5 lotes)'!GS78</f>
        <v/>
      </c>
      <c r="HC6" s="348">
        <f>'FC Total (5 lotes)'!GT78</f>
        <v/>
      </c>
      <c r="HD6" s="348">
        <f>'FC Total (5 lotes)'!GU78</f>
        <v/>
      </c>
      <c r="HE6" s="348">
        <f>'FC Total (5 lotes)'!GV78</f>
        <v/>
      </c>
      <c r="HF6" s="348">
        <f>'FC Total (5 lotes)'!GW78</f>
        <v/>
      </c>
      <c r="HG6" s="348">
        <f>'FC Total (5 lotes)'!GX78</f>
        <v/>
      </c>
      <c r="HH6" s="348">
        <f>'FC Total (5 lotes)'!GY78</f>
        <v/>
      </c>
      <c r="HI6" s="348">
        <f>'FC Total (5 lotes)'!GZ78</f>
        <v/>
      </c>
      <c r="HJ6" s="348">
        <f>'FC Total (5 lotes)'!HA78</f>
        <v/>
      </c>
      <c r="HK6" s="348">
        <f>'FC Total (5 lotes)'!HB78</f>
        <v/>
      </c>
      <c r="HL6" s="348">
        <f>'FC Total (5 lotes)'!HC78</f>
        <v/>
      </c>
      <c r="HM6" s="348">
        <f>'FC Total (5 lotes)'!HD78</f>
        <v/>
      </c>
      <c r="HN6" s="348">
        <f>'FC Total (5 lotes)'!HE78</f>
        <v/>
      </c>
      <c r="HO6" s="348">
        <f>'FC Total (5 lotes)'!HF78</f>
        <v/>
      </c>
      <c r="HP6" s="348">
        <f>'FC Total (5 lotes)'!HG78</f>
        <v/>
      </c>
      <c r="HQ6" s="348">
        <f>'FC Total (5 lotes)'!HH78</f>
        <v/>
      </c>
      <c r="HR6" s="348">
        <f>'FC Total (5 lotes)'!HI78</f>
        <v/>
      </c>
      <c r="HS6" s="348">
        <f>'FC Total (5 lotes)'!HJ78</f>
        <v/>
      </c>
      <c r="HT6" s="348">
        <f>'FC Total (5 lotes)'!HK78</f>
        <v/>
      </c>
      <c r="HU6" s="348">
        <f>'FC Total (5 lotes)'!HL78</f>
        <v/>
      </c>
      <c r="HV6" s="348">
        <f>'FC Total (5 lotes)'!HM78</f>
        <v/>
      </c>
      <c r="HW6" s="348">
        <f>'FC Total (5 lotes)'!HN78</f>
        <v/>
      </c>
      <c r="HX6" s="348">
        <f>'FC Total (5 lotes)'!HO78</f>
        <v/>
      </c>
      <c r="HY6" s="348">
        <f>'FC Total (5 lotes)'!HP78</f>
        <v/>
      </c>
      <c r="HZ6" s="348">
        <f>'FC Total (5 lotes)'!HQ78</f>
        <v/>
      </c>
      <c r="IA6" s="348">
        <f>'FC Total (5 lotes)'!HR78</f>
        <v/>
      </c>
      <c r="IB6" s="348">
        <f>'FC Total (5 lotes)'!HS78</f>
        <v/>
      </c>
      <c r="IC6" s="348">
        <f>'FC Total (5 lotes)'!HT78</f>
        <v/>
      </c>
      <c r="ID6" s="348">
        <f>'FC Total (5 lotes)'!HU78</f>
        <v/>
      </c>
      <c r="IE6" s="348" t="n"/>
    </row>
    <row r="7">
      <c r="B7" t="inlineStr">
        <is>
          <t>Aporte</t>
        </is>
      </c>
      <c r="D7" s="606">
        <f>+E7+J7+O7+T7+Y7+AD7+AE7+AF7+AG7+AH7+AI7+AJ7+AK7+AL7+AM7+AN7+AO7</f>
        <v/>
      </c>
      <c r="E7" s="606">
        <f>SUM(F7:I7)</f>
        <v/>
      </c>
      <c r="F7" s="606">
        <f>SUMIF($AS$1:$ID$1,F$1,$AS7:$ID7)</f>
        <v/>
      </c>
      <c r="G7" s="606">
        <f>SUMIF($AS$1:$ID$1,G$1,$AS7:$ID7)</f>
        <v/>
      </c>
      <c r="H7" s="606">
        <f>SUMIF($AS$1:$ID$1,H$1,$AS7:$ID7)</f>
        <v/>
      </c>
      <c r="I7" s="606">
        <f>SUMIF($AS$1:$ID$1,I$1,$AS7:$ID7)</f>
        <v/>
      </c>
      <c r="J7" s="606">
        <f>SUM(K7:N7)</f>
        <v/>
      </c>
      <c r="K7" s="606">
        <f>SUMIF($AS$1:$ID$1,K$1,$AS7:$ID7)</f>
        <v/>
      </c>
      <c r="L7" s="606">
        <f>SUMIF($AS$1:$ID$1,L$1,$AS7:$ID7)</f>
        <v/>
      </c>
      <c r="M7" s="606">
        <f>SUMIF($AS$1:$ID$1,M$1,$AS7:$ID7)</f>
        <v/>
      </c>
      <c r="N7" s="606">
        <f>SUMIF($AS$1:$ID$1,N$1,$AS7:$ID7)</f>
        <v/>
      </c>
      <c r="O7" s="606">
        <f>SUM(P7:S7)</f>
        <v/>
      </c>
      <c r="P7" s="606">
        <f>SUMIF($AS$1:$ID$1,P$1,$AS7:$ID7)</f>
        <v/>
      </c>
      <c r="Q7" s="606">
        <f>SUMIF($AS$1:$ID$1,Q$1,$AS7:$ID7)</f>
        <v/>
      </c>
      <c r="R7" s="606">
        <f>SUMIF($AS$1:$ID$1,R$1,$AS7:$ID7)</f>
        <v/>
      </c>
      <c r="S7" s="606">
        <f>SUMIF($AS$1:$ID$1,S$1,$AS7:$ID7)</f>
        <v/>
      </c>
      <c r="T7" s="606">
        <f>SUM(U7:X7)</f>
        <v/>
      </c>
      <c r="U7" s="606">
        <f>SUMIF($AS$1:$ID$1,U$1,$AS7:$ID7)</f>
        <v/>
      </c>
      <c r="V7" s="606">
        <f>SUMIF($AS$1:$ID$1,V$1,$AS7:$ID7)</f>
        <v/>
      </c>
      <c r="W7" s="606">
        <f>SUMIF($AS$1:$ID$1,W$1,$AS7:$ID7)</f>
        <v/>
      </c>
      <c r="X7" s="606">
        <f>SUMIF($AS$1:$ID$1,X$1,$AS7:$ID7)</f>
        <v/>
      </c>
      <c r="Y7" s="606">
        <f>SUM(Z7:AC7)</f>
        <v/>
      </c>
      <c r="Z7" s="606">
        <f>SUMIF($AS$1:$ID$1,Z$1,$AS7:$ID7)</f>
        <v/>
      </c>
      <c r="AA7" s="606">
        <f>SUMIF($AS$1:$ID$1,AA$1,$AS7:$ID7)</f>
        <v/>
      </c>
      <c r="AB7" s="606">
        <f>SUMIF($AS$1:$ID$1,AB$1,$AS7:$ID7)</f>
        <v/>
      </c>
      <c r="AC7" s="606">
        <f>SUMIF($AS$1:$ID$1,AC$1,$AS7:$ID7)</f>
        <v/>
      </c>
      <c r="AD7" s="606">
        <f>SUMIF($AS$2:$ID$2,AD$2,$AS7:$ID7)</f>
        <v/>
      </c>
      <c r="AE7" s="606">
        <f>SUMIF($AS$2:$ID$2,AE$2,$AS7:$ID7)</f>
        <v/>
      </c>
      <c r="AF7" s="606">
        <f>SUMIF($AS$2:$ID$2,AF$2,$AS7:$ID7)</f>
        <v/>
      </c>
      <c r="AG7" s="606">
        <f>SUMIF($AS$2:$ID$2,AG$2,$AS7:$ID7)</f>
        <v/>
      </c>
      <c r="AH7" s="606">
        <f>SUMIF($AS$2:$ID$2,AH$2,$AS7:$ID7)</f>
        <v/>
      </c>
      <c r="AI7" s="606">
        <f>SUMIF($AS$2:$ID$2,AI$2,$AS7:$ID7)</f>
        <v/>
      </c>
      <c r="AJ7" s="606">
        <f>SUMIF($AS$2:$ID$2,AJ$2,$AS7:$ID7)</f>
        <v/>
      </c>
      <c r="AK7" s="606">
        <f>SUMIF($AS$2:$ID$2,AK$2,$AS7:$ID7)</f>
        <v/>
      </c>
      <c r="AL7" s="606">
        <f>SUMIF($AS$2:$ID$2,AL$2,$AS7:$ID7)</f>
        <v/>
      </c>
      <c r="AM7" s="606">
        <f>SUMIF($AS$2:$ID$2,AM$2,$AS7:$ID7)</f>
        <v/>
      </c>
      <c r="AN7" s="606">
        <f>SUMIF($AS$2:$ID$2,AN$2,$AS7:$ID7)</f>
        <v/>
      </c>
      <c r="AO7" s="606">
        <f>SUMIF($AS$2:$ID$2,AO$2,$AS7:$ID7)</f>
        <v/>
      </c>
      <c r="AQ7" s="607">
        <f>SUM(AS7:ID7)</f>
        <v/>
      </c>
      <c r="AR7" t="inlineStr">
        <is>
          <t>Aporte</t>
        </is>
      </c>
      <c r="AS7" s="608">
        <f>'FC Total (5 lotes)'!#REF!/1000000</f>
        <v/>
      </c>
      <c r="AT7" s="608">
        <f>'FC Total (5 lotes)'!#REF!/1000000</f>
        <v/>
      </c>
      <c r="AU7" s="608">
        <f>'FC Total (5 lotes)'!#REF!/1000000</f>
        <v/>
      </c>
      <c r="AV7" s="608">
        <f>'FC Total (5 lotes)'!#REF!/1000000</f>
        <v/>
      </c>
      <c r="AW7" s="608">
        <f>'FC Total (5 lotes)'!#REF!/1000000</f>
        <v/>
      </c>
      <c r="AX7" s="608">
        <f>'FC Total (5 lotes)'!#REF!/1000000</f>
        <v/>
      </c>
      <c r="AY7" s="608">
        <f>'FC Total (5 lotes)'!#REF!/1000000</f>
        <v/>
      </c>
      <c r="AZ7" s="608">
        <f>'FC Total (5 lotes)'!#REF!/1000000</f>
        <v/>
      </c>
      <c r="BA7" s="608">
        <f>'FC Total (5 lotes)'!#REF!/1000000</f>
        <v/>
      </c>
      <c r="BB7" s="608">
        <f>'FC Total (5 lotes)'!#REF!/1000000</f>
        <v/>
      </c>
      <c r="BC7" s="608">
        <f>'FC Total (5 lotes)'!AT15/1000000</f>
        <v/>
      </c>
      <c r="BD7" s="608">
        <f>'FC Total (5 lotes)'!AU15/1000000</f>
        <v/>
      </c>
      <c r="BE7" s="608">
        <f>'FC Total (5 lotes)'!AV15/1000000</f>
        <v/>
      </c>
      <c r="BF7" s="608">
        <f>'FC Total (5 lotes)'!AW15/1000000</f>
        <v/>
      </c>
      <c r="BG7" s="608">
        <f>'FC Total (5 lotes)'!AX15/1000000</f>
        <v/>
      </c>
      <c r="BH7" s="608">
        <f>'FC Total (5 lotes)'!AY15/1000000</f>
        <v/>
      </c>
      <c r="BI7" s="608">
        <f>'FC Total (5 lotes)'!AZ15/1000000</f>
        <v/>
      </c>
      <c r="BJ7" s="608">
        <f>'FC Total (5 lotes)'!BA15/1000000</f>
        <v/>
      </c>
      <c r="BK7" s="608">
        <f>'FC Total (5 lotes)'!BB15/1000000</f>
        <v/>
      </c>
      <c r="BL7" s="608">
        <f>'FC Total (5 lotes)'!BC15/1000000</f>
        <v/>
      </c>
      <c r="BM7" s="608">
        <f>'FC Total (5 lotes)'!BD15/1000000</f>
        <v/>
      </c>
      <c r="BN7" s="608">
        <f>'FC Total (5 lotes)'!BE15/1000000</f>
        <v/>
      </c>
      <c r="BO7" s="608">
        <f>'FC Total (5 lotes)'!BF15/1000000</f>
        <v/>
      </c>
      <c r="BP7" s="608">
        <f>'FC Total (5 lotes)'!BG15/1000000</f>
        <v/>
      </c>
      <c r="BQ7" s="608">
        <f>'FC Total (5 lotes)'!BH15/1000000</f>
        <v/>
      </c>
      <c r="BR7" s="608">
        <f>'FC Total (5 lotes)'!BI15/1000000</f>
        <v/>
      </c>
      <c r="BS7" s="608">
        <f>'FC Total (5 lotes)'!BJ15/1000000</f>
        <v/>
      </c>
      <c r="BT7" s="608">
        <f>'FC Total (5 lotes)'!BK15/1000000</f>
        <v/>
      </c>
      <c r="BU7" s="608">
        <f>'FC Total (5 lotes)'!BL15/1000000</f>
        <v/>
      </c>
      <c r="BV7" s="608">
        <f>'FC Total (5 lotes)'!BM15/1000000</f>
        <v/>
      </c>
      <c r="BW7" s="608">
        <f>'FC Total (5 lotes)'!BN15/1000000</f>
        <v/>
      </c>
      <c r="BX7" s="608">
        <f>'FC Total (5 lotes)'!BO15/1000000</f>
        <v/>
      </c>
      <c r="BY7" s="608">
        <f>'FC Total (5 lotes)'!BP15/1000000</f>
        <v/>
      </c>
      <c r="BZ7" s="608">
        <f>'FC Total (5 lotes)'!BQ15/1000000</f>
        <v/>
      </c>
      <c r="CA7" s="608">
        <f>'FC Total (5 lotes)'!BR15/1000000</f>
        <v/>
      </c>
      <c r="CB7" s="608">
        <f>'FC Total (5 lotes)'!BS15/1000000</f>
        <v/>
      </c>
      <c r="CC7" s="608">
        <f>'FC Total (5 lotes)'!BT15/1000000</f>
        <v/>
      </c>
      <c r="CD7" s="608">
        <f>'FC Total (5 lotes)'!BU15/1000000</f>
        <v/>
      </c>
      <c r="CE7" s="608">
        <f>'FC Total (5 lotes)'!BV15/1000000</f>
        <v/>
      </c>
      <c r="CF7" s="608">
        <f>'FC Total (5 lotes)'!BW15/1000000</f>
        <v/>
      </c>
      <c r="CG7" s="608">
        <f>'FC Total (5 lotes)'!BX15/1000000</f>
        <v/>
      </c>
      <c r="CH7" s="608">
        <f>'FC Total (5 lotes)'!BY15/1000000</f>
        <v/>
      </c>
      <c r="CI7" s="608">
        <f>'FC Total (5 lotes)'!BZ15/1000000</f>
        <v/>
      </c>
      <c r="CJ7" s="608">
        <f>'FC Total (5 lotes)'!CA15/1000000</f>
        <v/>
      </c>
      <c r="CK7" s="608">
        <f>'FC Total (5 lotes)'!CB15/1000000</f>
        <v/>
      </c>
      <c r="CL7" s="608">
        <f>'FC Total (5 lotes)'!CC15/1000000</f>
        <v/>
      </c>
      <c r="CM7" s="608">
        <f>'FC Total (5 lotes)'!CD15/1000000</f>
        <v/>
      </c>
      <c r="CN7" s="608">
        <f>'FC Total (5 lotes)'!CE15/1000000</f>
        <v/>
      </c>
      <c r="CO7" s="608">
        <f>'FC Total (5 lotes)'!CF15/1000000</f>
        <v/>
      </c>
      <c r="CP7" s="608">
        <f>'FC Total (5 lotes)'!CG15/1000000</f>
        <v/>
      </c>
      <c r="CQ7" s="608">
        <f>'FC Total (5 lotes)'!CH15/1000000</f>
        <v/>
      </c>
      <c r="CR7" s="608">
        <f>'FC Total (5 lotes)'!CI15/1000000</f>
        <v/>
      </c>
      <c r="CS7" s="608">
        <f>'FC Total (5 lotes)'!CJ15/1000000</f>
        <v/>
      </c>
      <c r="CT7" s="608">
        <f>'FC Total (5 lotes)'!CK15/1000000</f>
        <v/>
      </c>
      <c r="CU7" s="608">
        <f>'FC Total (5 lotes)'!CL15/1000000</f>
        <v/>
      </c>
      <c r="CV7" s="608">
        <f>'FC Total (5 lotes)'!CM15/1000000</f>
        <v/>
      </c>
      <c r="CW7" s="608">
        <f>'FC Total (5 lotes)'!CN15/1000000</f>
        <v/>
      </c>
      <c r="CX7" s="608">
        <f>'FC Total (5 lotes)'!CO15/1000000</f>
        <v/>
      </c>
      <c r="CY7" s="608">
        <f>'FC Total (5 lotes)'!CP15/1000000</f>
        <v/>
      </c>
      <c r="CZ7" s="608">
        <f>'FC Total (5 lotes)'!CQ15/1000000</f>
        <v/>
      </c>
      <c r="DA7" s="608">
        <f>'FC Total (5 lotes)'!CR15/1000000</f>
        <v/>
      </c>
      <c r="DB7" s="608">
        <f>'FC Total (5 lotes)'!CS15/1000000</f>
        <v/>
      </c>
      <c r="DC7" s="608">
        <f>'FC Total (5 lotes)'!CT15/1000000</f>
        <v/>
      </c>
      <c r="DD7" s="608">
        <f>'FC Total (5 lotes)'!CU15/1000000</f>
        <v/>
      </c>
      <c r="DE7" s="608">
        <f>'FC Total (5 lotes)'!CV15/1000000</f>
        <v/>
      </c>
      <c r="DF7" s="608">
        <f>'FC Total (5 lotes)'!CW15/1000000</f>
        <v/>
      </c>
      <c r="DG7" s="608">
        <f>'FC Total (5 lotes)'!CX15/1000000</f>
        <v/>
      </c>
      <c r="DH7" s="608">
        <f>'FC Total (5 lotes)'!CY15/1000000</f>
        <v/>
      </c>
      <c r="DI7" s="608">
        <f>'FC Total (5 lotes)'!CZ15/1000000</f>
        <v/>
      </c>
      <c r="DJ7" s="608">
        <f>'FC Total (5 lotes)'!DA15/1000000</f>
        <v/>
      </c>
      <c r="DK7" s="608">
        <f>'FC Total (5 lotes)'!DB15/1000000</f>
        <v/>
      </c>
      <c r="DL7" s="608">
        <f>'FC Total (5 lotes)'!DC15/1000000</f>
        <v/>
      </c>
      <c r="DM7" s="608">
        <f>'FC Total (5 lotes)'!DD15/1000000</f>
        <v/>
      </c>
      <c r="DN7" s="608">
        <f>'FC Total (5 lotes)'!DE15/1000000</f>
        <v/>
      </c>
      <c r="DO7" s="608">
        <f>'FC Total (5 lotes)'!DF15/1000000</f>
        <v/>
      </c>
      <c r="DP7" s="608">
        <f>'FC Total (5 lotes)'!DG15/1000000</f>
        <v/>
      </c>
      <c r="DQ7" s="608">
        <f>'FC Total (5 lotes)'!DH15/1000000</f>
        <v/>
      </c>
      <c r="DR7" s="608">
        <f>'FC Total (5 lotes)'!DI15/1000000</f>
        <v/>
      </c>
      <c r="DS7" s="608">
        <f>'FC Total (5 lotes)'!DJ15/1000000</f>
        <v/>
      </c>
      <c r="DT7" s="608">
        <f>'FC Total (5 lotes)'!DK15/1000000</f>
        <v/>
      </c>
      <c r="DU7" s="608">
        <f>'FC Total (5 lotes)'!DL15/1000000</f>
        <v/>
      </c>
      <c r="DV7" s="608">
        <f>'FC Total (5 lotes)'!DM15/1000000</f>
        <v/>
      </c>
      <c r="DW7" s="608">
        <f>'FC Total (5 lotes)'!DN15/1000000</f>
        <v/>
      </c>
      <c r="DX7" s="608">
        <f>'FC Total (5 lotes)'!DO15/1000000</f>
        <v/>
      </c>
      <c r="DY7" s="608">
        <f>'FC Total (5 lotes)'!DP15/1000000</f>
        <v/>
      </c>
      <c r="DZ7" s="608">
        <f>'FC Total (5 lotes)'!DQ15/1000000</f>
        <v/>
      </c>
      <c r="EA7" s="608">
        <f>'FC Total (5 lotes)'!DR15/1000000</f>
        <v/>
      </c>
      <c r="EB7" s="608">
        <f>'FC Total (5 lotes)'!DS15/1000000</f>
        <v/>
      </c>
      <c r="EC7" s="608">
        <f>'FC Total (5 lotes)'!DT15/1000000</f>
        <v/>
      </c>
      <c r="ED7" s="608">
        <f>'FC Total (5 lotes)'!DU15/1000000</f>
        <v/>
      </c>
      <c r="EE7" s="608">
        <f>'FC Total (5 lotes)'!DV15/1000000</f>
        <v/>
      </c>
      <c r="EF7" s="608">
        <f>'FC Total (5 lotes)'!DW15/1000000</f>
        <v/>
      </c>
      <c r="EG7" s="608">
        <f>'FC Total (5 lotes)'!DX15/1000000</f>
        <v/>
      </c>
      <c r="EH7" s="608">
        <f>'FC Total (5 lotes)'!DY15/1000000</f>
        <v/>
      </c>
      <c r="EI7" s="608">
        <f>'FC Total (5 lotes)'!DZ15/1000000</f>
        <v/>
      </c>
      <c r="EJ7" s="608">
        <f>'FC Total (5 lotes)'!EA15/1000000</f>
        <v/>
      </c>
      <c r="EK7" s="608">
        <f>'FC Total (5 lotes)'!EB15/1000000</f>
        <v/>
      </c>
      <c r="EL7" s="608">
        <f>'FC Total (5 lotes)'!EC15/1000000</f>
        <v/>
      </c>
      <c r="EM7" s="608">
        <f>'FC Total (5 lotes)'!ED15/1000000</f>
        <v/>
      </c>
      <c r="EN7" s="608">
        <f>'FC Total (5 lotes)'!EE15/1000000</f>
        <v/>
      </c>
      <c r="EO7" s="608">
        <f>'FC Total (5 lotes)'!EF15/1000000</f>
        <v/>
      </c>
      <c r="EP7" s="608">
        <f>'FC Total (5 lotes)'!EG15/1000000</f>
        <v/>
      </c>
      <c r="EQ7" s="608">
        <f>'FC Total (5 lotes)'!EH15/1000000</f>
        <v/>
      </c>
      <c r="ER7" s="608">
        <f>'FC Total (5 lotes)'!EI15/1000000</f>
        <v/>
      </c>
      <c r="ES7" s="608">
        <f>'FC Total (5 lotes)'!EJ15/1000000</f>
        <v/>
      </c>
      <c r="ET7" s="608">
        <f>'FC Total (5 lotes)'!EK15/1000000</f>
        <v/>
      </c>
      <c r="EU7" s="608">
        <f>'FC Total (5 lotes)'!EL15/1000000</f>
        <v/>
      </c>
      <c r="EV7" s="608">
        <f>'FC Total (5 lotes)'!EM15/1000000</f>
        <v/>
      </c>
      <c r="EW7" s="608">
        <f>'FC Total (5 lotes)'!EN15/1000000</f>
        <v/>
      </c>
      <c r="EX7" s="608">
        <f>'FC Total (5 lotes)'!EO15/1000000</f>
        <v/>
      </c>
      <c r="EY7" s="608">
        <f>'FC Total (5 lotes)'!EP15/1000000</f>
        <v/>
      </c>
      <c r="EZ7" s="608">
        <f>'FC Total (5 lotes)'!EQ15/1000000</f>
        <v/>
      </c>
      <c r="FA7" s="608">
        <f>'FC Total (5 lotes)'!ER15/1000000</f>
        <v/>
      </c>
      <c r="FB7" s="608">
        <f>'FC Total (5 lotes)'!ES15/1000000</f>
        <v/>
      </c>
      <c r="FC7" s="608">
        <f>'FC Total (5 lotes)'!ET15/1000000</f>
        <v/>
      </c>
      <c r="FD7" s="608">
        <f>'FC Total (5 lotes)'!EU15/1000000</f>
        <v/>
      </c>
      <c r="FE7" s="608">
        <f>'FC Total (5 lotes)'!EV15/1000000</f>
        <v/>
      </c>
      <c r="FF7" s="608">
        <f>'FC Total (5 lotes)'!EW15/1000000</f>
        <v/>
      </c>
      <c r="FG7" s="608">
        <f>'FC Total (5 lotes)'!EX15/1000000</f>
        <v/>
      </c>
      <c r="FH7" s="608">
        <f>'FC Total (5 lotes)'!EY15/1000000</f>
        <v/>
      </c>
      <c r="FI7" s="608">
        <f>'FC Total (5 lotes)'!EZ15/1000000</f>
        <v/>
      </c>
      <c r="FJ7" s="608">
        <f>'FC Total (5 lotes)'!FA15/1000000</f>
        <v/>
      </c>
      <c r="FK7" s="608">
        <f>'FC Total (5 lotes)'!FB15/1000000</f>
        <v/>
      </c>
      <c r="FL7" s="608">
        <f>'FC Total (5 lotes)'!FC15/1000000</f>
        <v/>
      </c>
      <c r="FM7" s="608">
        <f>'FC Total (5 lotes)'!FD15/1000000</f>
        <v/>
      </c>
      <c r="FN7" s="608">
        <f>'FC Total (5 lotes)'!FE15/1000000</f>
        <v/>
      </c>
      <c r="FO7" s="608">
        <f>'FC Total (5 lotes)'!FF15/1000000</f>
        <v/>
      </c>
      <c r="FP7" s="608">
        <f>'FC Total (5 lotes)'!FG15/1000000</f>
        <v/>
      </c>
      <c r="FQ7" s="608">
        <f>'FC Total (5 lotes)'!FH15/1000000</f>
        <v/>
      </c>
      <c r="FR7" s="608">
        <f>'FC Total (5 lotes)'!FI15/1000000</f>
        <v/>
      </c>
      <c r="FS7" s="608">
        <f>'FC Total (5 lotes)'!FJ15/1000000</f>
        <v/>
      </c>
      <c r="FT7" s="608">
        <f>'FC Total (5 lotes)'!FK15/1000000</f>
        <v/>
      </c>
      <c r="FU7" s="608">
        <f>'FC Total (5 lotes)'!FL15/1000000</f>
        <v/>
      </c>
      <c r="FV7" s="608">
        <f>'FC Total (5 lotes)'!FM15/1000000</f>
        <v/>
      </c>
      <c r="FW7" s="608">
        <f>'FC Total (5 lotes)'!FN15/1000000</f>
        <v/>
      </c>
      <c r="FX7" s="608">
        <f>'FC Total (5 lotes)'!FO15/1000000</f>
        <v/>
      </c>
      <c r="FY7" s="608">
        <f>'FC Total (5 lotes)'!FP15/1000000</f>
        <v/>
      </c>
      <c r="FZ7" s="608">
        <f>'FC Total (5 lotes)'!FQ15/1000000</f>
        <v/>
      </c>
      <c r="GA7" s="608">
        <f>'FC Total (5 lotes)'!FR15/1000000</f>
        <v/>
      </c>
      <c r="GB7" s="608">
        <f>'FC Total (5 lotes)'!FS15/1000000</f>
        <v/>
      </c>
      <c r="GC7" s="608">
        <f>'FC Total (5 lotes)'!FT15/1000000</f>
        <v/>
      </c>
      <c r="GD7" s="608">
        <f>'FC Total (5 lotes)'!FU15/1000000</f>
        <v/>
      </c>
      <c r="GE7" s="608">
        <f>'FC Total (5 lotes)'!FV15/1000000</f>
        <v/>
      </c>
      <c r="GF7" s="608">
        <f>'FC Total (5 lotes)'!FW15/1000000</f>
        <v/>
      </c>
      <c r="GG7" s="608">
        <f>'FC Total (5 lotes)'!FX15/1000000</f>
        <v/>
      </c>
      <c r="GH7" s="608">
        <f>'FC Total (5 lotes)'!FY15/1000000</f>
        <v/>
      </c>
      <c r="GI7" s="608">
        <f>'FC Total (5 lotes)'!FZ15/1000000</f>
        <v/>
      </c>
      <c r="GJ7" s="608">
        <f>'FC Total (5 lotes)'!GA15/1000000</f>
        <v/>
      </c>
      <c r="GK7" s="608">
        <f>'FC Total (5 lotes)'!GB15/1000000</f>
        <v/>
      </c>
      <c r="GL7" s="608">
        <f>'FC Total (5 lotes)'!GC15/1000000</f>
        <v/>
      </c>
      <c r="GM7" s="608">
        <f>'FC Total (5 lotes)'!GD15/1000000</f>
        <v/>
      </c>
      <c r="GN7" s="608">
        <f>'FC Total (5 lotes)'!GE15/1000000</f>
        <v/>
      </c>
      <c r="GO7" s="608">
        <f>'FC Total (5 lotes)'!GF15/1000000</f>
        <v/>
      </c>
      <c r="GP7" s="608">
        <f>'FC Total (5 lotes)'!GG15/1000000</f>
        <v/>
      </c>
      <c r="GQ7" s="608">
        <f>'FC Total (5 lotes)'!GH15/1000000</f>
        <v/>
      </c>
      <c r="GR7" s="608">
        <f>'FC Total (5 lotes)'!GI15/1000000</f>
        <v/>
      </c>
      <c r="GS7" s="608">
        <f>'FC Total (5 lotes)'!GJ15/1000000</f>
        <v/>
      </c>
      <c r="GT7" s="608">
        <f>'FC Total (5 lotes)'!GK15/1000000</f>
        <v/>
      </c>
      <c r="GU7" s="608">
        <f>'FC Total (5 lotes)'!GL15/1000000</f>
        <v/>
      </c>
      <c r="GV7" s="608">
        <f>'FC Total (5 lotes)'!GM15/1000000</f>
        <v/>
      </c>
      <c r="GW7" s="608">
        <f>'FC Total (5 lotes)'!GN15/1000000</f>
        <v/>
      </c>
      <c r="GX7" s="608">
        <f>'FC Total (5 lotes)'!GO15/1000000</f>
        <v/>
      </c>
      <c r="GY7" s="608">
        <f>'FC Total (5 lotes)'!GP15/1000000</f>
        <v/>
      </c>
      <c r="GZ7" s="608">
        <f>'FC Total (5 lotes)'!GQ15/1000000</f>
        <v/>
      </c>
      <c r="HA7" s="608">
        <f>'FC Total (5 lotes)'!GR15/1000000</f>
        <v/>
      </c>
      <c r="HB7" s="608">
        <f>'FC Total (5 lotes)'!GS15/1000000</f>
        <v/>
      </c>
      <c r="HC7" s="608">
        <f>'FC Total (5 lotes)'!GT15/1000000</f>
        <v/>
      </c>
      <c r="HD7" s="608">
        <f>'FC Total (5 lotes)'!GU15/1000000</f>
        <v/>
      </c>
      <c r="HE7" s="608">
        <f>'FC Total (5 lotes)'!GV15/1000000</f>
        <v/>
      </c>
      <c r="HF7" s="608">
        <f>'FC Total (5 lotes)'!GW15/1000000</f>
        <v/>
      </c>
      <c r="HG7" s="608">
        <f>'FC Total (5 lotes)'!GX15/1000000</f>
        <v/>
      </c>
      <c r="HH7" s="608">
        <f>'FC Total (5 lotes)'!GY15/1000000</f>
        <v/>
      </c>
      <c r="HI7" s="608">
        <f>'FC Total (5 lotes)'!GZ15/1000000</f>
        <v/>
      </c>
      <c r="HJ7" s="608">
        <f>'FC Total (5 lotes)'!HA15/1000000</f>
        <v/>
      </c>
      <c r="HK7" s="608">
        <f>'FC Total (5 lotes)'!HB15/1000000</f>
        <v/>
      </c>
      <c r="HL7" s="608">
        <f>'FC Total (5 lotes)'!HC15/1000000</f>
        <v/>
      </c>
      <c r="HM7" s="608">
        <f>'FC Total (5 lotes)'!HD15/1000000</f>
        <v/>
      </c>
      <c r="HN7" s="608">
        <f>'FC Total (5 lotes)'!HE15/1000000</f>
        <v/>
      </c>
      <c r="HO7" s="608">
        <f>'FC Total (5 lotes)'!HF15/1000000</f>
        <v/>
      </c>
      <c r="HP7" s="608">
        <f>'FC Total (5 lotes)'!HG15/1000000</f>
        <v/>
      </c>
      <c r="HQ7" s="608">
        <f>'FC Total (5 lotes)'!HH15/1000000</f>
        <v/>
      </c>
      <c r="HR7" s="608">
        <f>'FC Total (5 lotes)'!HI15/1000000</f>
        <v/>
      </c>
      <c r="HS7" s="608">
        <f>'FC Total (5 lotes)'!HJ15/1000000</f>
        <v/>
      </c>
      <c r="HT7" s="608">
        <f>'FC Total (5 lotes)'!HK15/1000000</f>
        <v/>
      </c>
      <c r="HU7" s="608">
        <f>'FC Total (5 lotes)'!HL15/1000000</f>
        <v/>
      </c>
      <c r="HV7" s="608">
        <f>'FC Total (5 lotes)'!HM15/1000000</f>
        <v/>
      </c>
      <c r="HW7" s="608">
        <f>'FC Total (5 lotes)'!HN15/1000000</f>
        <v/>
      </c>
      <c r="HX7" s="608">
        <f>'FC Total (5 lotes)'!HO15/1000000</f>
        <v/>
      </c>
      <c r="HY7" s="608">
        <f>'FC Total (5 lotes)'!HP15/1000000</f>
        <v/>
      </c>
      <c r="HZ7" s="608">
        <f>'FC Total (5 lotes)'!HQ15/1000000</f>
        <v/>
      </c>
      <c r="IA7" s="608">
        <f>'FC Total (5 lotes)'!HR15/1000000</f>
        <v/>
      </c>
      <c r="IB7" s="608">
        <f>'FC Total (5 lotes)'!HS15/1000000</f>
        <v/>
      </c>
      <c r="IC7" s="608">
        <f>'FC Total (5 lotes)'!HT15/1000000</f>
        <v/>
      </c>
      <c r="ID7" s="608">
        <f>'FC Total (5 lotes)'!HU15/1000000</f>
        <v/>
      </c>
      <c r="IE7" t="inlineStr">
        <is>
          <t>x</t>
        </is>
      </c>
    </row>
    <row r="8">
      <c r="B8" t="inlineStr">
        <is>
          <t>Devolução</t>
        </is>
      </c>
      <c r="D8" s="609">
        <f>+E8+J8+O8+T8+Y8+AD8+AE8+AF8+AG8+AH8+AI8+AJ8+AK8+AL8+AM8+AN8+AO8</f>
        <v/>
      </c>
      <c r="E8" s="609">
        <f>SUM(F8:I8)</f>
        <v/>
      </c>
      <c r="F8" s="609">
        <f>SUMIF($AS$1:$ID$1,F$1,$AS8:$ID8)</f>
        <v/>
      </c>
      <c r="G8" s="609">
        <f>SUMIF($AS$1:$ID$1,G$1,$AS8:$ID8)</f>
        <v/>
      </c>
      <c r="H8" s="609">
        <f>SUMIF($AS$1:$ID$1,H$1,$AS8:$ID8)</f>
        <v/>
      </c>
      <c r="I8" s="609">
        <f>SUMIF($AS$1:$ID$1,I$1,$AS8:$ID8)</f>
        <v/>
      </c>
      <c r="J8" s="609">
        <f>SUM(K8:N8)</f>
        <v/>
      </c>
      <c r="K8" s="609">
        <f>SUMIF($AS$1:$ID$1,K$1,$AS8:$ID8)</f>
        <v/>
      </c>
      <c r="L8" s="609">
        <f>SUMIF($AS$1:$ID$1,L$1,$AS8:$ID8)</f>
        <v/>
      </c>
      <c r="M8" s="609">
        <f>SUMIF($AS$1:$ID$1,M$1,$AS8:$ID8)</f>
        <v/>
      </c>
      <c r="N8" s="609">
        <f>SUMIF($AS$1:$ID$1,N$1,$AS8:$ID8)</f>
        <v/>
      </c>
      <c r="O8" s="609">
        <f>SUM(P8:S8)</f>
        <v/>
      </c>
      <c r="P8" s="609">
        <f>SUMIF($AS$1:$ID$1,P$1,$AS8:$ID8)</f>
        <v/>
      </c>
      <c r="Q8" s="609">
        <f>SUMIF($AS$1:$ID$1,Q$1,$AS8:$ID8)</f>
        <v/>
      </c>
      <c r="R8" s="609">
        <f>SUMIF($AS$1:$ID$1,R$1,$AS8:$ID8)</f>
        <v/>
      </c>
      <c r="S8" s="609">
        <f>SUMIF($AS$1:$ID$1,S$1,$AS8:$ID8)</f>
        <v/>
      </c>
      <c r="T8" s="609">
        <f>SUM(U8:X8)</f>
        <v/>
      </c>
      <c r="U8" s="609">
        <f>SUMIF($AS$1:$ID$1,U$1,$AS8:$ID8)</f>
        <v/>
      </c>
      <c r="V8" s="609">
        <f>SUMIF($AS$1:$ID$1,V$1,$AS8:$ID8)</f>
        <v/>
      </c>
      <c r="W8" s="609">
        <f>SUMIF($AS$1:$ID$1,W$1,$AS8:$ID8)</f>
        <v/>
      </c>
      <c r="X8" s="609">
        <f>SUMIF($AS$1:$ID$1,X$1,$AS8:$ID8)</f>
        <v/>
      </c>
      <c r="Y8" s="609">
        <f>SUM(Z8:AC8)</f>
        <v/>
      </c>
      <c r="Z8" s="609">
        <f>SUMIF($AS$1:$ID$1,Z$1,$AS8:$ID8)</f>
        <v/>
      </c>
      <c r="AA8" s="609">
        <f>SUMIF($AS$1:$ID$1,AA$1,$AS8:$ID8)</f>
        <v/>
      </c>
      <c r="AB8" s="609">
        <f>SUMIF($AS$1:$ID$1,AB$1,$AS8:$ID8)</f>
        <v/>
      </c>
      <c r="AC8" s="609">
        <f>SUMIF($AS$1:$ID$1,AC$1,$AS8:$ID8)</f>
        <v/>
      </c>
      <c r="AD8" s="609">
        <f>SUMIF($AS$2:$ID$2,AD$2,$AS8:$ID8)</f>
        <v/>
      </c>
      <c r="AE8" s="609">
        <f>SUMIF($AS$2:$ID$2,AE$2,$AS8:$ID8)</f>
        <v/>
      </c>
      <c r="AF8" s="609">
        <f>SUMIF($AS$2:$ID$2,AF$2,$AS8:$ID8)</f>
        <v/>
      </c>
      <c r="AG8" s="609">
        <f>SUMIF($AS$2:$ID$2,AG$2,$AS8:$ID8)</f>
        <v/>
      </c>
      <c r="AH8" s="609">
        <f>SUMIF($AS$2:$ID$2,AH$2,$AS8:$ID8)</f>
        <v/>
      </c>
      <c r="AI8" s="609">
        <f>SUMIF($AS$2:$ID$2,AI$2,$AS8:$ID8)</f>
        <v/>
      </c>
      <c r="AJ8" s="609">
        <f>SUMIF($AS$2:$ID$2,AJ$2,$AS8:$ID8)</f>
        <v/>
      </c>
      <c r="AK8" s="609">
        <f>SUMIF($AS$2:$ID$2,AK$2,$AS8:$ID8)</f>
        <v/>
      </c>
      <c r="AL8" s="609">
        <f>SUMIF($AS$2:$ID$2,AL$2,$AS8:$ID8)</f>
        <v/>
      </c>
      <c r="AM8" s="609">
        <f>SUMIF($AS$2:$ID$2,AM$2,$AS8:$ID8)</f>
        <v/>
      </c>
      <c r="AN8" s="609">
        <f>SUMIF($AS$2:$ID$2,AN$2,$AS8:$ID8)</f>
        <v/>
      </c>
      <c r="AO8" s="609">
        <f>SUMIF($AS$2:$ID$2,AO$2,$AS8:$ID8)</f>
        <v/>
      </c>
      <c r="AQ8" s="607">
        <f>SUM(AS8:ID8)</f>
        <v/>
      </c>
      <c r="AR8" t="inlineStr">
        <is>
          <t>Devolução</t>
        </is>
      </c>
      <c r="AS8" s="608">
        <f>'FC Total (5 lotes)'!#REF!/1000000</f>
        <v/>
      </c>
      <c r="AT8" s="608">
        <f>'FC Total (5 lotes)'!#REF!/1000000</f>
        <v/>
      </c>
      <c r="AU8" s="608">
        <f>'FC Total (5 lotes)'!#REF!/1000000</f>
        <v/>
      </c>
      <c r="AV8" s="608">
        <f>'FC Total (5 lotes)'!#REF!/1000000</f>
        <v/>
      </c>
      <c r="AW8" s="608">
        <f>'FC Total (5 lotes)'!#REF!/1000000</f>
        <v/>
      </c>
      <c r="AX8" s="608">
        <f>'FC Total (5 lotes)'!#REF!/1000000</f>
        <v/>
      </c>
      <c r="AY8" s="608">
        <f>'FC Total (5 lotes)'!#REF!/1000000</f>
        <v/>
      </c>
      <c r="AZ8" s="608">
        <f>'FC Total (5 lotes)'!#REF!/1000000</f>
        <v/>
      </c>
      <c r="BA8" s="608">
        <f>'FC Total (5 lotes)'!#REF!/1000000</f>
        <v/>
      </c>
      <c r="BB8" s="608">
        <f>'FC Total (5 lotes)'!#REF!/1000000</f>
        <v/>
      </c>
      <c r="BC8" s="608">
        <f>'FC Total (5 lotes)'!AT65/1000000</f>
        <v/>
      </c>
      <c r="BD8" s="608">
        <f>'FC Total (5 lotes)'!AU65/1000000</f>
        <v/>
      </c>
      <c r="BE8" s="608">
        <f>'FC Total (5 lotes)'!AV65/1000000</f>
        <v/>
      </c>
      <c r="BF8" s="608">
        <f>'FC Total (5 lotes)'!AW65/1000000</f>
        <v/>
      </c>
      <c r="BG8" s="608">
        <f>'FC Total (5 lotes)'!AX65/1000000</f>
        <v/>
      </c>
      <c r="BH8" s="608">
        <f>'FC Total (5 lotes)'!AY65/1000000</f>
        <v/>
      </c>
      <c r="BI8" s="608">
        <f>'FC Total (5 lotes)'!AZ65/1000000</f>
        <v/>
      </c>
      <c r="BJ8" s="608">
        <f>'FC Total (5 lotes)'!BA65/1000000</f>
        <v/>
      </c>
      <c r="BK8" s="608">
        <f>'FC Total (5 lotes)'!BB65/1000000</f>
        <v/>
      </c>
      <c r="BL8" s="608">
        <f>'FC Total (5 lotes)'!BC65/1000000</f>
        <v/>
      </c>
      <c r="BM8" s="608">
        <f>'FC Total (5 lotes)'!BD65/1000000</f>
        <v/>
      </c>
      <c r="BN8" s="608">
        <f>'FC Total (5 lotes)'!BE65/1000000</f>
        <v/>
      </c>
      <c r="BO8" s="608">
        <f>'FC Total (5 lotes)'!BF65/1000000</f>
        <v/>
      </c>
      <c r="BP8" s="608">
        <f>'FC Total (5 lotes)'!BG65/1000000</f>
        <v/>
      </c>
      <c r="BQ8" s="608">
        <f>'FC Total (5 lotes)'!BH65/1000000</f>
        <v/>
      </c>
      <c r="BR8" s="608">
        <f>'FC Total (5 lotes)'!BI65/1000000</f>
        <v/>
      </c>
      <c r="BS8" s="608">
        <f>'FC Total (5 lotes)'!BJ65/1000000</f>
        <v/>
      </c>
      <c r="BT8" s="608">
        <f>'FC Total (5 lotes)'!BK65/1000000</f>
        <v/>
      </c>
      <c r="BU8" s="608">
        <f>'FC Total (5 lotes)'!BL65/1000000</f>
        <v/>
      </c>
      <c r="BV8" s="608">
        <f>'FC Total (5 lotes)'!BM65/1000000</f>
        <v/>
      </c>
      <c r="BW8" s="608">
        <f>'FC Total (5 lotes)'!BN65/1000000</f>
        <v/>
      </c>
      <c r="BX8" s="608">
        <f>'FC Total (5 lotes)'!BO65/1000000</f>
        <v/>
      </c>
      <c r="BY8" s="608">
        <f>'FC Total (5 lotes)'!BP65/1000000</f>
        <v/>
      </c>
      <c r="BZ8" s="608">
        <f>'FC Total (5 lotes)'!BQ65/1000000</f>
        <v/>
      </c>
      <c r="CA8" s="608">
        <f>'FC Total (5 lotes)'!BR65/1000000</f>
        <v/>
      </c>
      <c r="CB8" s="608">
        <f>'FC Total (5 lotes)'!BS65/1000000</f>
        <v/>
      </c>
      <c r="CC8" s="608">
        <f>'FC Total (5 lotes)'!BT65/1000000</f>
        <v/>
      </c>
      <c r="CD8" s="608">
        <f>'FC Total (5 lotes)'!BU65/1000000</f>
        <v/>
      </c>
      <c r="CE8" s="608">
        <f>'FC Total (5 lotes)'!BV65/1000000</f>
        <v/>
      </c>
      <c r="CF8" s="608">
        <f>'FC Total (5 lotes)'!BW65/1000000</f>
        <v/>
      </c>
      <c r="CG8" s="608">
        <f>'FC Total (5 lotes)'!BX65/1000000</f>
        <v/>
      </c>
      <c r="CH8" s="608">
        <f>'FC Total (5 lotes)'!BY65/1000000</f>
        <v/>
      </c>
      <c r="CI8" s="608">
        <f>'FC Total (5 lotes)'!BZ65/1000000</f>
        <v/>
      </c>
      <c r="CJ8" s="608">
        <f>'FC Total (5 lotes)'!CA65/1000000</f>
        <v/>
      </c>
      <c r="CK8" s="608">
        <f>'FC Total (5 lotes)'!CB65/1000000</f>
        <v/>
      </c>
      <c r="CL8" s="608">
        <f>'FC Total (5 lotes)'!CC65/1000000</f>
        <v/>
      </c>
      <c r="CM8" s="608">
        <f>'FC Total (5 lotes)'!CD65/1000000</f>
        <v/>
      </c>
      <c r="CN8" s="608">
        <f>'FC Total (5 lotes)'!CE65/1000000</f>
        <v/>
      </c>
      <c r="CO8" s="608">
        <f>'FC Total (5 lotes)'!CF65/1000000</f>
        <v/>
      </c>
      <c r="CP8" s="608">
        <f>'FC Total (5 lotes)'!CG65/1000000</f>
        <v/>
      </c>
      <c r="CQ8" s="608">
        <f>'FC Total (5 lotes)'!CH65/1000000</f>
        <v/>
      </c>
      <c r="CR8" s="608">
        <f>'FC Total (5 lotes)'!CI65/1000000</f>
        <v/>
      </c>
      <c r="CS8" s="608">
        <f>'FC Total (5 lotes)'!CJ65/1000000</f>
        <v/>
      </c>
      <c r="CT8" s="608">
        <f>'FC Total (5 lotes)'!CK65/1000000</f>
        <v/>
      </c>
      <c r="CU8" s="608">
        <f>'FC Total (5 lotes)'!CL65/1000000</f>
        <v/>
      </c>
      <c r="CV8" s="608">
        <f>'FC Total (5 lotes)'!CM65/1000000</f>
        <v/>
      </c>
      <c r="CW8" s="608">
        <f>'FC Total (5 lotes)'!CN65/1000000</f>
        <v/>
      </c>
      <c r="CX8" s="608">
        <f>'FC Total (5 lotes)'!CO65/1000000</f>
        <v/>
      </c>
      <c r="CY8" s="608">
        <f>'FC Total (5 lotes)'!CP65/1000000</f>
        <v/>
      </c>
      <c r="CZ8" s="608">
        <f>'FC Total (5 lotes)'!CQ65/1000000</f>
        <v/>
      </c>
      <c r="DA8" s="608">
        <f>'FC Total (5 lotes)'!CR65/1000000</f>
        <v/>
      </c>
      <c r="DB8" s="608">
        <f>'FC Total (5 lotes)'!CS65/1000000</f>
        <v/>
      </c>
      <c r="DC8" s="608">
        <f>'FC Total (5 lotes)'!CT65/1000000</f>
        <v/>
      </c>
      <c r="DD8" s="608">
        <f>'FC Total (5 lotes)'!CU65/1000000</f>
        <v/>
      </c>
      <c r="DE8" s="608">
        <f>'FC Total (5 lotes)'!CV65/1000000</f>
        <v/>
      </c>
      <c r="DF8" s="608">
        <f>'FC Total (5 lotes)'!CW65/1000000</f>
        <v/>
      </c>
      <c r="DG8" s="608">
        <f>'FC Total (5 lotes)'!CX65/1000000</f>
        <v/>
      </c>
      <c r="DH8" s="608">
        <f>'FC Total (5 lotes)'!CY65/1000000</f>
        <v/>
      </c>
      <c r="DI8" s="608">
        <f>'FC Total (5 lotes)'!CZ65/1000000</f>
        <v/>
      </c>
      <c r="DJ8" s="608">
        <f>'FC Total (5 lotes)'!DA65/1000000</f>
        <v/>
      </c>
      <c r="DK8" s="608">
        <f>'FC Total (5 lotes)'!DB65/1000000</f>
        <v/>
      </c>
      <c r="DL8" s="608">
        <f>'FC Total (5 lotes)'!DC65/1000000</f>
        <v/>
      </c>
      <c r="DM8" s="608">
        <f>'FC Total (5 lotes)'!DD65/1000000</f>
        <v/>
      </c>
      <c r="DN8" s="608">
        <f>'FC Total (5 lotes)'!DE65/1000000</f>
        <v/>
      </c>
      <c r="DO8" s="608">
        <f>'FC Total (5 lotes)'!DF65/1000000</f>
        <v/>
      </c>
      <c r="DP8" s="608">
        <f>'FC Total (5 lotes)'!DG65/1000000</f>
        <v/>
      </c>
      <c r="DQ8" s="608">
        <f>'FC Total (5 lotes)'!DH65/1000000</f>
        <v/>
      </c>
      <c r="DR8" s="608">
        <f>'FC Total (5 lotes)'!DI65/1000000</f>
        <v/>
      </c>
      <c r="DS8" s="608">
        <f>'FC Total (5 lotes)'!DJ65/1000000</f>
        <v/>
      </c>
      <c r="DT8" s="608">
        <f>'FC Total (5 lotes)'!DK65/1000000</f>
        <v/>
      </c>
      <c r="DU8" s="608">
        <f>'FC Total (5 lotes)'!DL65/1000000</f>
        <v/>
      </c>
      <c r="DV8" s="608">
        <f>'FC Total (5 lotes)'!DM65/1000000</f>
        <v/>
      </c>
      <c r="DW8" s="608">
        <f>'FC Total (5 lotes)'!DN65/1000000</f>
        <v/>
      </c>
      <c r="DX8" s="608">
        <f>'FC Total (5 lotes)'!DO65/1000000</f>
        <v/>
      </c>
      <c r="DY8" s="608">
        <f>'FC Total (5 lotes)'!DP65/1000000</f>
        <v/>
      </c>
      <c r="DZ8" s="608">
        <f>'FC Total (5 lotes)'!DQ65/1000000</f>
        <v/>
      </c>
      <c r="EA8" s="608">
        <f>'FC Total (5 lotes)'!DR65/1000000</f>
        <v/>
      </c>
      <c r="EB8" s="608">
        <f>'FC Total (5 lotes)'!DS65/1000000</f>
        <v/>
      </c>
      <c r="EC8" s="608">
        <f>'FC Total (5 lotes)'!DT65/1000000</f>
        <v/>
      </c>
      <c r="ED8" s="608">
        <f>'FC Total (5 lotes)'!DU65/1000000</f>
        <v/>
      </c>
      <c r="EE8" s="608">
        <f>'FC Total (5 lotes)'!DV65/1000000</f>
        <v/>
      </c>
      <c r="EF8" s="608">
        <f>'FC Total (5 lotes)'!DW65/1000000</f>
        <v/>
      </c>
      <c r="EG8" s="608">
        <f>'FC Total (5 lotes)'!DX65/1000000</f>
        <v/>
      </c>
      <c r="EH8" s="608">
        <f>'FC Total (5 lotes)'!DY65/1000000</f>
        <v/>
      </c>
      <c r="EI8" s="608">
        <f>'FC Total (5 lotes)'!DZ65/1000000</f>
        <v/>
      </c>
      <c r="EJ8" s="608">
        <f>'FC Total (5 lotes)'!EA65/1000000</f>
        <v/>
      </c>
      <c r="EK8" s="608">
        <f>'FC Total (5 lotes)'!EB65/1000000</f>
        <v/>
      </c>
      <c r="EL8" s="608">
        <f>'FC Total (5 lotes)'!EC65/1000000</f>
        <v/>
      </c>
      <c r="EM8" s="608">
        <f>'FC Total (5 lotes)'!ED65/1000000</f>
        <v/>
      </c>
      <c r="EN8" s="608">
        <f>'FC Total (5 lotes)'!EE65/1000000</f>
        <v/>
      </c>
      <c r="EO8" s="608">
        <f>'FC Total (5 lotes)'!EF65/1000000</f>
        <v/>
      </c>
      <c r="EP8" s="608">
        <f>'FC Total (5 lotes)'!EG65/1000000</f>
        <v/>
      </c>
      <c r="EQ8" s="608">
        <f>'FC Total (5 lotes)'!EH65/1000000</f>
        <v/>
      </c>
      <c r="ER8" s="608">
        <f>'FC Total (5 lotes)'!EI65/1000000</f>
        <v/>
      </c>
      <c r="ES8" s="608">
        <f>'FC Total (5 lotes)'!EJ65/1000000</f>
        <v/>
      </c>
      <c r="ET8" s="608">
        <f>'FC Total (5 lotes)'!EK65/1000000</f>
        <v/>
      </c>
      <c r="EU8" s="608">
        <f>'FC Total (5 lotes)'!EL65/1000000</f>
        <v/>
      </c>
      <c r="EV8" s="608">
        <f>'FC Total (5 lotes)'!EM65/1000000</f>
        <v/>
      </c>
      <c r="EW8" s="608">
        <f>'FC Total (5 lotes)'!EN65/1000000</f>
        <v/>
      </c>
      <c r="EX8" s="608">
        <f>'FC Total (5 lotes)'!EO65/1000000</f>
        <v/>
      </c>
      <c r="EY8" s="608">
        <f>'FC Total (5 lotes)'!EP65/1000000</f>
        <v/>
      </c>
      <c r="EZ8" s="608">
        <f>'FC Total (5 lotes)'!EQ65/1000000</f>
        <v/>
      </c>
      <c r="FA8" s="608">
        <f>'FC Total (5 lotes)'!ER65/1000000</f>
        <v/>
      </c>
      <c r="FB8" s="608">
        <f>'FC Total (5 lotes)'!ES65/1000000</f>
        <v/>
      </c>
      <c r="FC8" s="608">
        <f>'FC Total (5 lotes)'!ET65/1000000</f>
        <v/>
      </c>
      <c r="FD8" s="608">
        <f>'FC Total (5 lotes)'!EU65/1000000</f>
        <v/>
      </c>
      <c r="FE8" s="608">
        <f>'FC Total (5 lotes)'!EV65/1000000</f>
        <v/>
      </c>
      <c r="FF8" s="608">
        <f>'FC Total (5 lotes)'!EW65/1000000</f>
        <v/>
      </c>
      <c r="FG8" s="608">
        <f>'FC Total (5 lotes)'!EX65/1000000</f>
        <v/>
      </c>
      <c r="FH8" s="608">
        <f>'FC Total (5 lotes)'!EY65/1000000</f>
        <v/>
      </c>
      <c r="FI8" s="608">
        <f>'FC Total (5 lotes)'!EZ65/1000000</f>
        <v/>
      </c>
      <c r="FJ8" s="608">
        <f>'FC Total (5 lotes)'!FA65/1000000</f>
        <v/>
      </c>
      <c r="FK8" s="608">
        <f>'FC Total (5 lotes)'!FB65/1000000</f>
        <v/>
      </c>
      <c r="FL8" s="608">
        <f>'FC Total (5 lotes)'!FC65/1000000</f>
        <v/>
      </c>
      <c r="FM8" s="608">
        <f>'FC Total (5 lotes)'!FD65/1000000</f>
        <v/>
      </c>
      <c r="FN8" s="608">
        <f>'FC Total (5 lotes)'!FE65/1000000</f>
        <v/>
      </c>
      <c r="FO8" s="608">
        <f>'FC Total (5 lotes)'!FF65/1000000</f>
        <v/>
      </c>
      <c r="FP8" s="608">
        <f>'FC Total (5 lotes)'!FG65/1000000</f>
        <v/>
      </c>
      <c r="FQ8" s="608">
        <f>'FC Total (5 lotes)'!FH65/1000000</f>
        <v/>
      </c>
      <c r="FR8" s="608">
        <f>'FC Total (5 lotes)'!FI65/1000000</f>
        <v/>
      </c>
      <c r="FS8" s="608">
        <f>'FC Total (5 lotes)'!FJ65/1000000</f>
        <v/>
      </c>
      <c r="FT8" s="608">
        <f>'FC Total (5 lotes)'!FK65/1000000</f>
        <v/>
      </c>
      <c r="FU8" s="608">
        <f>'FC Total (5 lotes)'!FL65/1000000</f>
        <v/>
      </c>
      <c r="FV8" s="608">
        <f>'FC Total (5 lotes)'!FM65/1000000</f>
        <v/>
      </c>
      <c r="FW8" s="608">
        <f>'FC Total (5 lotes)'!FN65/1000000</f>
        <v/>
      </c>
      <c r="FX8" s="608">
        <f>'FC Total (5 lotes)'!FO65/1000000</f>
        <v/>
      </c>
      <c r="FY8" s="608">
        <f>'FC Total (5 lotes)'!FP65/1000000</f>
        <v/>
      </c>
      <c r="FZ8" s="608">
        <f>'FC Total (5 lotes)'!FQ65/1000000</f>
        <v/>
      </c>
      <c r="GA8" s="608">
        <f>'FC Total (5 lotes)'!FR65/1000000</f>
        <v/>
      </c>
      <c r="GB8" s="608">
        <f>'FC Total (5 lotes)'!FS65/1000000</f>
        <v/>
      </c>
      <c r="GC8" s="608">
        <f>'FC Total (5 lotes)'!FT65/1000000</f>
        <v/>
      </c>
      <c r="GD8" s="608">
        <f>'FC Total (5 lotes)'!FU65/1000000</f>
        <v/>
      </c>
      <c r="GE8" s="608">
        <f>'FC Total (5 lotes)'!FV65/1000000</f>
        <v/>
      </c>
      <c r="GF8" s="608">
        <f>'FC Total (5 lotes)'!FW65/1000000</f>
        <v/>
      </c>
      <c r="GG8" s="608">
        <f>'FC Total (5 lotes)'!FX65/1000000</f>
        <v/>
      </c>
      <c r="GH8" s="608">
        <f>'FC Total (5 lotes)'!FY65/1000000</f>
        <v/>
      </c>
      <c r="GI8" s="608">
        <f>'FC Total (5 lotes)'!FZ65/1000000</f>
        <v/>
      </c>
      <c r="GJ8" s="608">
        <f>'FC Total (5 lotes)'!GA65/1000000</f>
        <v/>
      </c>
      <c r="GK8" s="608">
        <f>'FC Total (5 lotes)'!GB65/1000000</f>
        <v/>
      </c>
      <c r="GL8" s="608">
        <f>'FC Total (5 lotes)'!GC65/1000000</f>
        <v/>
      </c>
      <c r="GM8" s="608">
        <f>'FC Total (5 lotes)'!GD65/1000000</f>
        <v/>
      </c>
      <c r="GN8" s="608">
        <f>'FC Total (5 lotes)'!GE65/1000000</f>
        <v/>
      </c>
      <c r="GO8" s="608">
        <f>'FC Total (5 lotes)'!GF65/1000000</f>
        <v/>
      </c>
      <c r="GP8" s="608">
        <f>'FC Total (5 lotes)'!GG65/1000000</f>
        <v/>
      </c>
      <c r="GQ8" s="608">
        <f>'FC Total (5 lotes)'!GH65/1000000</f>
        <v/>
      </c>
      <c r="GR8" s="608">
        <f>'FC Total (5 lotes)'!GI65/1000000</f>
        <v/>
      </c>
      <c r="GS8" s="608">
        <f>'FC Total (5 lotes)'!GJ65/1000000</f>
        <v/>
      </c>
      <c r="GT8" s="608">
        <f>'FC Total (5 lotes)'!GK65/1000000</f>
        <v/>
      </c>
      <c r="GU8" s="608">
        <f>'FC Total (5 lotes)'!GL65/1000000</f>
        <v/>
      </c>
      <c r="GV8" s="608">
        <f>'FC Total (5 lotes)'!GM65/1000000</f>
        <v/>
      </c>
      <c r="GW8" s="608">
        <f>'FC Total (5 lotes)'!GN65/1000000</f>
        <v/>
      </c>
      <c r="GX8" s="608">
        <f>'FC Total (5 lotes)'!GO65/1000000</f>
        <v/>
      </c>
      <c r="GY8" s="608">
        <f>'FC Total (5 lotes)'!GP65/1000000</f>
        <v/>
      </c>
      <c r="GZ8" s="608">
        <f>'FC Total (5 lotes)'!GQ65/1000000</f>
        <v/>
      </c>
      <c r="HA8" s="608">
        <f>'FC Total (5 lotes)'!GR65/1000000</f>
        <v/>
      </c>
      <c r="HB8" s="608">
        <f>'FC Total (5 lotes)'!GS65/1000000</f>
        <v/>
      </c>
      <c r="HC8" s="608">
        <f>'FC Total (5 lotes)'!GT65/1000000</f>
        <v/>
      </c>
      <c r="HD8" s="608">
        <f>'FC Total (5 lotes)'!GU65/1000000</f>
        <v/>
      </c>
      <c r="HE8" s="608">
        <f>'FC Total (5 lotes)'!GV65/1000000</f>
        <v/>
      </c>
      <c r="HF8" s="608">
        <f>'FC Total (5 lotes)'!GW65/1000000</f>
        <v/>
      </c>
      <c r="HG8" s="608">
        <f>'FC Total (5 lotes)'!GX65/1000000</f>
        <v/>
      </c>
      <c r="HH8" s="608">
        <f>'FC Total (5 lotes)'!GY65/1000000</f>
        <v/>
      </c>
      <c r="HI8" s="608">
        <f>'FC Total (5 lotes)'!GZ65/1000000</f>
        <v/>
      </c>
      <c r="HJ8" s="608">
        <f>'FC Total (5 lotes)'!HA65/1000000</f>
        <v/>
      </c>
      <c r="HK8" s="608">
        <f>'FC Total (5 lotes)'!HB65/1000000</f>
        <v/>
      </c>
      <c r="HL8" s="608">
        <f>'FC Total (5 lotes)'!HC65/1000000</f>
        <v/>
      </c>
      <c r="HM8" s="608">
        <f>'FC Total (5 lotes)'!HD65/1000000</f>
        <v/>
      </c>
      <c r="HN8" s="608">
        <f>'FC Total (5 lotes)'!HE65/1000000</f>
        <v/>
      </c>
      <c r="HO8" s="608">
        <f>'FC Total (5 lotes)'!HF65/1000000</f>
        <v/>
      </c>
      <c r="HP8" s="608">
        <f>'FC Total (5 lotes)'!HG65/1000000</f>
        <v/>
      </c>
      <c r="HQ8" s="608">
        <f>'FC Total (5 lotes)'!HH65/1000000</f>
        <v/>
      </c>
      <c r="HR8" s="608">
        <f>'FC Total (5 lotes)'!HI65/1000000</f>
        <v/>
      </c>
      <c r="HS8" s="608">
        <f>'FC Total (5 lotes)'!HJ65/1000000</f>
        <v/>
      </c>
      <c r="HT8" s="608">
        <f>'FC Total (5 lotes)'!HK65/1000000</f>
        <v/>
      </c>
      <c r="HU8" s="608">
        <f>'FC Total (5 lotes)'!HL65/1000000</f>
        <v/>
      </c>
      <c r="HV8" s="608">
        <f>'FC Total (5 lotes)'!HM65/1000000</f>
        <v/>
      </c>
      <c r="HW8" s="608">
        <f>'FC Total (5 lotes)'!HN65/1000000</f>
        <v/>
      </c>
      <c r="HX8" s="608">
        <f>'FC Total (5 lotes)'!HO65/1000000</f>
        <v/>
      </c>
      <c r="HY8" s="608">
        <f>'FC Total (5 lotes)'!HP65/1000000</f>
        <v/>
      </c>
      <c r="HZ8" s="608">
        <f>'FC Total (5 lotes)'!HQ65/1000000</f>
        <v/>
      </c>
      <c r="IA8" s="608">
        <f>'FC Total (5 lotes)'!HR65/1000000</f>
        <v/>
      </c>
      <c r="IB8" s="608">
        <f>'FC Total (5 lotes)'!HS65/1000000</f>
        <v/>
      </c>
      <c r="IC8" s="608">
        <f>'FC Total (5 lotes)'!HT65/1000000</f>
        <v/>
      </c>
      <c r="ID8" s="608">
        <f>'FC Total (5 lotes)'!HU65/1000000</f>
        <v/>
      </c>
      <c r="IE8" t="inlineStr">
        <is>
          <t>x</t>
        </is>
      </c>
    </row>
    <row r="9">
      <c r="B9" t="inlineStr">
        <is>
          <t>Distribuição</t>
        </is>
      </c>
      <c r="D9" s="610">
        <f>+E9+J9+O9+T9+Y9+AD9+AE9+AF9+AG9+AH9+AI9+AJ9+AK9+AL9+AM9+AN9+AO9</f>
        <v/>
      </c>
      <c r="E9" s="610">
        <f>SUM(F9:I9)</f>
        <v/>
      </c>
      <c r="F9" s="610">
        <f>SUMIF($AS$1:$ID$1,F$1,$AS9:$ID9)</f>
        <v/>
      </c>
      <c r="G9" s="610">
        <f>SUMIF($AS$1:$ID$1,G$1,$AS9:$ID9)</f>
        <v/>
      </c>
      <c r="H9" s="610">
        <f>SUMIF($AS$1:$ID$1,H$1,$AS9:$ID9)</f>
        <v/>
      </c>
      <c r="I9" s="610">
        <f>SUMIF($AS$1:$ID$1,I$1,$AS9:$ID9)</f>
        <v/>
      </c>
      <c r="J9" s="610">
        <f>SUM(K9:N9)</f>
        <v/>
      </c>
      <c r="K9" s="610">
        <f>SUMIF($AS$1:$ID$1,K$1,$AS9:$ID9)</f>
        <v/>
      </c>
      <c r="L9" s="610">
        <f>SUMIF($AS$1:$ID$1,L$1,$AS9:$ID9)</f>
        <v/>
      </c>
      <c r="M9" s="610">
        <f>SUMIF($AS$1:$ID$1,M$1,$AS9:$ID9)</f>
        <v/>
      </c>
      <c r="N9" s="610">
        <f>SUMIF($AS$1:$ID$1,N$1,$AS9:$ID9)</f>
        <v/>
      </c>
      <c r="O9" s="610">
        <f>SUM(P9:S9)</f>
        <v/>
      </c>
      <c r="P9" s="610">
        <f>SUMIF($AS$1:$ID$1,P$1,$AS9:$ID9)</f>
        <v/>
      </c>
      <c r="Q9" s="610">
        <f>SUMIF($AS$1:$ID$1,Q$1,$AS9:$ID9)</f>
        <v/>
      </c>
      <c r="R9" s="610">
        <f>SUMIF($AS$1:$ID$1,R$1,$AS9:$ID9)</f>
        <v/>
      </c>
      <c r="S9" s="610">
        <f>SUMIF($AS$1:$ID$1,S$1,$AS9:$ID9)</f>
        <v/>
      </c>
      <c r="T9" s="610">
        <f>SUM(U9:X9)</f>
        <v/>
      </c>
      <c r="U9" s="610">
        <f>SUMIF($AS$1:$ID$1,U$1,$AS9:$ID9)</f>
        <v/>
      </c>
      <c r="V9" s="610">
        <f>SUMIF($AS$1:$ID$1,V$1,$AS9:$ID9)</f>
        <v/>
      </c>
      <c r="W9" s="610">
        <f>SUMIF($AS$1:$ID$1,W$1,$AS9:$ID9)</f>
        <v/>
      </c>
      <c r="X9" s="610">
        <f>SUMIF($AS$1:$ID$1,X$1,$AS9:$ID9)</f>
        <v/>
      </c>
      <c r="Y9" s="610">
        <f>SUM(Z9:AC9)</f>
        <v/>
      </c>
      <c r="Z9" s="610">
        <f>SUMIF($AS$1:$ID$1,Z$1,$AS9:$ID9)</f>
        <v/>
      </c>
      <c r="AA9" s="610">
        <f>SUMIF($AS$1:$ID$1,AA$1,$AS9:$ID9)</f>
        <v/>
      </c>
      <c r="AB9" s="610">
        <f>SUMIF($AS$1:$ID$1,AB$1,$AS9:$ID9)</f>
        <v/>
      </c>
      <c r="AC9" s="610">
        <f>SUMIF($AS$1:$ID$1,AC$1,$AS9:$ID9)</f>
        <v/>
      </c>
      <c r="AD9" s="610">
        <f>SUMIF($AS$2:$ID$2,AD$2,$AS9:$ID9)</f>
        <v/>
      </c>
      <c r="AE9" s="610">
        <f>SUMIF($AS$2:$ID$2,AE$2,$AS9:$ID9)</f>
        <v/>
      </c>
      <c r="AF9" s="610">
        <f>SUMIF($AS$2:$ID$2,AF$2,$AS9:$ID9)</f>
        <v/>
      </c>
      <c r="AG9" s="610">
        <f>SUMIF($AS$2:$ID$2,AG$2,$AS9:$ID9)</f>
        <v/>
      </c>
      <c r="AH9" s="610">
        <f>SUMIF($AS$2:$ID$2,AH$2,$AS9:$ID9)</f>
        <v/>
      </c>
      <c r="AI9" s="610">
        <f>SUMIF($AS$2:$ID$2,AI$2,$AS9:$ID9)</f>
        <v/>
      </c>
      <c r="AJ9" s="610">
        <f>SUMIF($AS$2:$ID$2,AJ$2,$AS9:$ID9)</f>
        <v/>
      </c>
      <c r="AK9" s="610">
        <f>SUMIF($AS$2:$ID$2,AK$2,$AS9:$ID9)</f>
        <v/>
      </c>
      <c r="AL9" s="610">
        <f>SUMIF($AS$2:$ID$2,AL$2,$AS9:$ID9)</f>
        <v/>
      </c>
      <c r="AM9" s="610">
        <f>SUMIF($AS$2:$ID$2,AM$2,$AS9:$ID9)</f>
        <v/>
      </c>
      <c r="AN9" s="610">
        <f>SUMIF($AS$2:$ID$2,AN$2,$AS9:$ID9)</f>
        <v/>
      </c>
      <c r="AO9" s="610">
        <f>SUMIF($AS$2:$ID$2,AO$2,$AS9:$ID9)</f>
        <v/>
      </c>
      <c r="AQ9" s="607">
        <f>SUM(AS9:ID9)</f>
        <v/>
      </c>
      <c r="AR9" t="inlineStr">
        <is>
          <t>Distribuição</t>
        </is>
      </c>
      <c r="AS9" s="608">
        <f>'FC Total (5 lotes)'!#REF!/1000000</f>
        <v/>
      </c>
      <c r="AT9" s="608">
        <f>'FC Total (5 lotes)'!#REF!/1000000</f>
        <v/>
      </c>
      <c r="AU9" s="608">
        <f>'FC Total (5 lotes)'!#REF!/1000000</f>
        <v/>
      </c>
      <c r="AV9" s="608">
        <f>'FC Total (5 lotes)'!#REF!/1000000</f>
        <v/>
      </c>
      <c r="AW9" s="608">
        <f>'FC Total (5 lotes)'!#REF!/1000000</f>
        <v/>
      </c>
      <c r="AX9" s="608">
        <f>'FC Total (5 lotes)'!#REF!/1000000</f>
        <v/>
      </c>
      <c r="AY9" s="608">
        <f>'FC Total (5 lotes)'!#REF!/1000000</f>
        <v/>
      </c>
      <c r="AZ9" s="608">
        <f>'FC Total (5 lotes)'!#REF!/1000000</f>
        <v/>
      </c>
      <c r="BA9" s="608">
        <f>'FC Total (5 lotes)'!#REF!/1000000</f>
        <v/>
      </c>
      <c r="BB9" s="608">
        <f>'FC Total (5 lotes)'!#REF!/1000000</f>
        <v/>
      </c>
      <c r="BC9" s="608">
        <f>'FC Total (5 lotes)'!AT66/1000000</f>
        <v/>
      </c>
      <c r="BD9" s="608">
        <f>'FC Total (5 lotes)'!AU66/1000000</f>
        <v/>
      </c>
      <c r="BE9" s="608">
        <f>'FC Total (5 lotes)'!AV66/1000000</f>
        <v/>
      </c>
      <c r="BF9" s="608">
        <f>'FC Total (5 lotes)'!AW66/1000000</f>
        <v/>
      </c>
      <c r="BG9" s="608">
        <f>'FC Total (5 lotes)'!AX66/1000000</f>
        <v/>
      </c>
      <c r="BH9" s="608">
        <f>'FC Total (5 lotes)'!AY66/1000000</f>
        <v/>
      </c>
      <c r="BI9" s="608">
        <f>'FC Total (5 lotes)'!AZ66/1000000</f>
        <v/>
      </c>
      <c r="BJ9" s="608">
        <f>'FC Total (5 lotes)'!BA66/1000000</f>
        <v/>
      </c>
      <c r="BK9" s="608">
        <f>'FC Total (5 lotes)'!BB66/1000000</f>
        <v/>
      </c>
      <c r="BL9" s="608">
        <f>'FC Total (5 lotes)'!BC66/1000000</f>
        <v/>
      </c>
      <c r="BM9" s="608">
        <f>'FC Total (5 lotes)'!BD66/1000000</f>
        <v/>
      </c>
      <c r="BN9" s="608">
        <f>'FC Total (5 lotes)'!BE66/1000000</f>
        <v/>
      </c>
      <c r="BO9" s="608">
        <f>'FC Total (5 lotes)'!BF66/1000000</f>
        <v/>
      </c>
      <c r="BP9" s="608">
        <f>'FC Total (5 lotes)'!BG66/1000000</f>
        <v/>
      </c>
      <c r="BQ9" s="608">
        <f>'FC Total (5 lotes)'!BH66/1000000</f>
        <v/>
      </c>
      <c r="BR9" s="608">
        <f>'FC Total (5 lotes)'!BI66/1000000</f>
        <v/>
      </c>
      <c r="BS9" s="608">
        <f>'FC Total (5 lotes)'!BJ66/1000000</f>
        <v/>
      </c>
      <c r="BT9" s="608">
        <f>'FC Total (5 lotes)'!BK66/1000000</f>
        <v/>
      </c>
      <c r="BU9" s="608">
        <f>'FC Total (5 lotes)'!BL66/1000000</f>
        <v/>
      </c>
      <c r="BV9" s="608">
        <f>'FC Total (5 lotes)'!BM66/1000000</f>
        <v/>
      </c>
      <c r="BW9" s="608">
        <f>'FC Total (5 lotes)'!BN66/1000000</f>
        <v/>
      </c>
      <c r="BX9" s="608">
        <f>'FC Total (5 lotes)'!BO66/1000000</f>
        <v/>
      </c>
      <c r="BY9" s="608">
        <f>'FC Total (5 lotes)'!BP66/1000000</f>
        <v/>
      </c>
      <c r="BZ9" s="608">
        <f>'FC Total (5 lotes)'!BQ66/1000000</f>
        <v/>
      </c>
      <c r="CA9" s="608">
        <f>'FC Total (5 lotes)'!BR66/1000000</f>
        <v/>
      </c>
      <c r="CB9" s="608">
        <f>'FC Total (5 lotes)'!BS66/1000000</f>
        <v/>
      </c>
      <c r="CC9" s="608">
        <f>'FC Total (5 lotes)'!BT66/1000000</f>
        <v/>
      </c>
      <c r="CD9" s="608">
        <f>'FC Total (5 lotes)'!BU66/1000000</f>
        <v/>
      </c>
      <c r="CE9" s="608">
        <f>'FC Total (5 lotes)'!BV66/1000000</f>
        <v/>
      </c>
      <c r="CF9" s="608">
        <f>'FC Total (5 lotes)'!BW66/1000000</f>
        <v/>
      </c>
      <c r="CG9" s="608">
        <f>'FC Total (5 lotes)'!BX66/1000000</f>
        <v/>
      </c>
      <c r="CH9" s="608">
        <f>'FC Total (5 lotes)'!BY66/1000000</f>
        <v/>
      </c>
      <c r="CI9" s="608">
        <f>'FC Total (5 lotes)'!BZ66/1000000</f>
        <v/>
      </c>
      <c r="CJ9" s="608">
        <f>'FC Total (5 lotes)'!CA66/1000000</f>
        <v/>
      </c>
      <c r="CK9" s="608">
        <f>'FC Total (5 lotes)'!CB66/1000000</f>
        <v/>
      </c>
      <c r="CL9" s="608">
        <f>'FC Total (5 lotes)'!CC66/1000000</f>
        <v/>
      </c>
      <c r="CM9" s="608">
        <f>'FC Total (5 lotes)'!CD66/1000000</f>
        <v/>
      </c>
      <c r="CN9" s="608">
        <f>'FC Total (5 lotes)'!CE66/1000000</f>
        <v/>
      </c>
      <c r="CO9" s="608">
        <f>'FC Total (5 lotes)'!CF66/1000000</f>
        <v/>
      </c>
      <c r="CP9" s="608">
        <f>'FC Total (5 lotes)'!CG66/1000000</f>
        <v/>
      </c>
      <c r="CQ9" s="608">
        <f>'FC Total (5 lotes)'!CH66/1000000</f>
        <v/>
      </c>
      <c r="CR9" s="608">
        <f>'FC Total (5 lotes)'!CI66/1000000</f>
        <v/>
      </c>
      <c r="CS9" s="608">
        <f>'FC Total (5 lotes)'!CJ66/1000000</f>
        <v/>
      </c>
      <c r="CT9" s="608">
        <f>'FC Total (5 lotes)'!CK66/1000000</f>
        <v/>
      </c>
      <c r="CU9" s="608">
        <f>'FC Total (5 lotes)'!CL66/1000000</f>
        <v/>
      </c>
      <c r="CV9" s="608">
        <f>'FC Total (5 lotes)'!CM66/1000000</f>
        <v/>
      </c>
      <c r="CW9" s="608">
        <f>'FC Total (5 lotes)'!CN66/1000000</f>
        <v/>
      </c>
      <c r="CX9" s="608">
        <f>'FC Total (5 lotes)'!CO66/1000000</f>
        <v/>
      </c>
      <c r="CY9" s="608">
        <f>'FC Total (5 lotes)'!CP66/1000000</f>
        <v/>
      </c>
      <c r="CZ9" s="608">
        <f>'FC Total (5 lotes)'!CQ66/1000000</f>
        <v/>
      </c>
      <c r="DA9" s="608">
        <f>'FC Total (5 lotes)'!CR66/1000000</f>
        <v/>
      </c>
      <c r="DB9" s="608">
        <f>'FC Total (5 lotes)'!CS66/1000000</f>
        <v/>
      </c>
      <c r="DC9" s="608">
        <f>'FC Total (5 lotes)'!CT66/1000000</f>
        <v/>
      </c>
      <c r="DD9" s="608">
        <f>'FC Total (5 lotes)'!CU66/1000000</f>
        <v/>
      </c>
      <c r="DE9" s="608">
        <f>'FC Total (5 lotes)'!CV66/1000000</f>
        <v/>
      </c>
      <c r="DF9" s="608">
        <f>'FC Total (5 lotes)'!CW66/1000000</f>
        <v/>
      </c>
      <c r="DG9" s="608">
        <f>'FC Total (5 lotes)'!CX66/1000000</f>
        <v/>
      </c>
      <c r="DH9" s="608">
        <f>'FC Total (5 lotes)'!CY66/1000000</f>
        <v/>
      </c>
      <c r="DI9" s="608">
        <f>'FC Total (5 lotes)'!CZ66/1000000</f>
        <v/>
      </c>
      <c r="DJ9" s="608">
        <f>'FC Total (5 lotes)'!DA66/1000000</f>
        <v/>
      </c>
      <c r="DK9" s="608">
        <f>'FC Total (5 lotes)'!DB66/1000000</f>
        <v/>
      </c>
      <c r="DL9" s="608">
        <f>'FC Total (5 lotes)'!DC66/1000000</f>
        <v/>
      </c>
      <c r="DM9" s="608">
        <f>'FC Total (5 lotes)'!DD66/1000000</f>
        <v/>
      </c>
      <c r="DN9" s="608">
        <f>'FC Total (5 lotes)'!DE66/1000000</f>
        <v/>
      </c>
      <c r="DO9" s="608">
        <f>'FC Total (5 lotes)'!DF66/1000000</f>
        <v/>
      </c>
      <c r="DP9" s="608">
        <f>'FC Total (5 lotes)'!DG66/1000000</f>
        <v/>
      </c>
      <c r="DQ9" s="608">
        <f>'FC Total (5 lotes)'!DH66/1000000</f>
        <v/>
      </c>
      <c r="DR9" s="608">
        <f>'FC Total (5 lotes)'!DI66/1000000</f>
        <v/>
      </c>
      <c r="DS9" s="608">
        <f>'FC Total (5 lotes)'!DJ66/1000000</f>
        <v/>
      </c>
      <c r="DT9" s="608">
        <f>'FC Total (5 lotes)'!DK66/1000000</f>
        <v/>
      </c>
      <c r="DU9" s="608">
        <f>'FC Total (5 lotes)'!DL66/1000000</f>
        <v/>
      </c>
      <c r="DV9" s="608">
        <f>'FC Total (5 lotes)'!DM66/1000000</f>
        <v/>
      </c>
      <c r="DW9" s="608">
        <f>'FC Total (5 lotes)'!DN66/1000000</f>
        <v/>
      </c>
      <c r="DX9" s="608">
        <f>'FC Total (5 lotes)'!DO66/1000000</f>
        <v/>
      </c>
      <c r="DY9" s="608">
        <f>'FC Total (5 lotes)'!DP66/1000000</f>
        <v/>
      </c>
      <c r="DZ9" s="608">
        <f>'FC Total (5 lotes)'!DQ66/1000000</f>
        <v/>
      </c>
      <c r="EA9" s="608">
        <f>'FC Total (5 lotes)'!DR66/1000000</f>
        <v/>
      </c>
      <c r="EB9" s="608">
        <f>'FC Total (5 lotes)'!DS66/1000000</f>
        <v/>
      </c>
      <c r="EC9" s="608">
        <f>'FC Total (5 lotes)'!DT66/1000000</f>
        <v/>
      </c>
      <c r="ED9" s="608">
        <f>'FC Total (5 lotes)'!DU66/1000000</f>
        <v/>
      </c>
      <c r="EE9" s="608">
        <f>'FC Total (5 lotes)'!DV66/1000000</f>
        <v/>
      </c>
      <c r="EF9" s="608">
        <f>'FC Total (5 lotes)'!DW66/1000000</f>
        <v/>
      </c>
      <c r="EG9" s="608">
        <f>'FC Total (5 lotes)'!DX66/1000000</f>
        <v/>
      </c>
      <c r="EH9" s="608">
        <f>'FC Total (5 lotes)'!DY66/1000000</f>
        <v/>
      </c>
      <c r="EI9" s="608">
        <f>'FC Total (5 lotes)'!DZ66/1000000</f>
        <v/>
      </c>
      <c r="EJ9" s="608">
        <f>'FC Total (5 lotes)'!EA66/1000000</f>
        <v/>
      </c>
      <c r="EK9" s="608">
        <f>'FC Total (5 lotes)'!EB66/1000000</f>
        <v/>
      </c>
      <c r="EL9" s="608">
        <f>'FC Total (5 lotes)'!EC66/1000000</f>
        <v/>
      </c>
      <c r="EM9" s="608">
        <f>'FC Total (5 lotes)'!ED66/1000000</f>
        <v/>
      </c>
      <c r="EN9" s="608">
        <f>'FC Total (5 lotes)'!EE66/1000000</f>
        <v/>
      </c>
      <c r="EO9" s="608">
        <f>'FC Total (5 lotes)'!EF66/1000000</f>
        <v/>
      </c>
      <c r="EP9" s="608">
        <f>'FC Total (5 lotes)'!EG66/1000000</f>
        <v/>
      </c>
      <c r="EQ9" s="608">
        <f>'FC Total (5 lotes)'!EH66/1000000</f>
        <v/>
      </c>
      <c r="ER9" s="608">
        <f>'FC Total (5 lotes)'!EI66/1000000</f>
        <v/>
      </c>
      <c r="ES9" s="608">
        <f>'FC Total (5 lotes)'!EJ66/1000000</f>
        <v/>
      </c>
      <c r="ET9" s="608">
        <f>'FC Total (5 lotes)'!EK66/1000000</f>
        <v/>
      </c>
      <c r="EU9" s="608">
        <f>'FC Total (5 lotes)'!EL66/1000000</f>
        <v/>
      </c>
      <c r="EV9" s="608">
        <f>'FC Total (5 lotes)'!EM66/1000000</f>
        <v/>
      </c>
      <c r="EW9" s="608">
        <f>'FC Total (5 lotes)'!EN66/1000000</f>
        <v/>
      </c>
      <c r="EX9" s="608">
        <f>'FC Total (5 lotes)'!EO66/1000000</f>
        <v/>
      </c>
      <c r="EY9" s="608">
        <f>'FC Total (5 lotes)'!EP66/1000000</f>
        <v/>
      </c>
      <c r="EZ9" s="608">
        <f>'FC Total (5 lotes)'!EQ66/1000000</f>
        <v/>
      </c>
      <c r="FA9" s="608">
        <f>'FC Total (5 lotes)'!ER66/1000000</f>
        <v/>
      </c>
      <c r="FB9" s="608">
        <f>'FC Total (5 lotes)'!ES66/1000000</f>
        <v/>
      </c>
      <c r="FC9" s="608">
        <f>'FC Total (5 lotes)'!ET66/1000000</f>
        <v/>
      </c>
      <c r="FD9" s="608">
        <f>'FC Total (5 lotes)'!EU66/1000000</f>
        <v/>
      </c>
      <c r="FE9" s="608">
        <f>'FC Total (5 lotes)'!EV66/1000000</f>
        <v/>
      </c>
      <c r="FF9" s="608">
        <f>'FC Total (5 lotes)'!EW66/1000000</f>
        <v/>
      </c>
      <c r="FG9" s="608">
        <f>'FC Total (5 lotes)'!EX66/1000000</f>
        <v/>
      </c>
      <c r="FH9" s="608">
        <f>'FC Total (5 lotes)'!EY66/1000000</f>
        <v/>
      </c>
      <c r="FI9" s="608">
        <f>'FC Total (5 lotes)'!EZ66/1000000</f>
        <v/>
      </c>
      <c r="FJ9" s="608">
        <f>'FC Total (5 lotes)'!FA66/1000000</f>
        <v/>
      </c>
      <c r="FK9" s="608">
        <f>'FC Total (5 lotes)'!FB66/1000000</f>
        <v/>
      </c>
      <c r="FL9" s="608">
        <f>'FC Total (5 lotes)'!FC66/1000000</f>
        <v/>
      </c>
      <c r="FM9" s="608">
        <f>'FC Total (5 lotes)'!FD66/1000000</f>
        <v/>
      </c>
      <c r="FN9" s="608">
        <f>'FC Total (5 lotes)'!FE66/1000000</f>
        <v/>
      </c>
      <c r="FO9" s="608">
        <f>'FC Total (5 lotes)'!FF66/1000000</f>
        <v/>
      </c>
      <c r="FP9" s="608">
        <f>'FC Total (5 lotes)'!FG66/1000000</f>
        <v/>
      </c>
      <c r="FQ9" s="608">
        <f>'FC Total (5 lotes)'!FH66/1000000</f>
        <v/>
      </c>
      <c r="FR9" s="608">
        <f>'FC Total (5 lotes)'!FI66/1000000</f>
        <v/>
      </c>
      <c r="FS9" s="608">
        <f>'FC Total (5 lotes)'!FJ66/1000000</f>
        <v/>
      </c>
      <c r="FT9" s="608">
        <f>'FC Total (5 lotes)'!FK66/1000000</f>
        <v/>
      </c>
      <c r="FU9" s="608">
        <f>'FC Total (5 lotes)'!FL66/1000000</f>
        <v/>
      </c>
      <c r="FV9" s="608">
        <f>'FC Total (5 lotes)'!FM66/1000000</f>
        <v/>
      </c>
      <c r="FW9" s="608">
        <f>'FC Total (5 lotes)'!FN66/1000000</f>
        <v/>
      </c>
      <c r="FX9" s="608">
        <f>'FC Total (5 lotes)'!FO66/1000000</f>
        <v/>
      </c>
      <c r="FY9" s="608">
        <f>'FC Total (5 lotes)'!FP66/1000000</f>
        <v/>
      </c>
      <c r="FZ9" s="608">
        <f>'FC Total (5 lotes)'!FQ66/1000000</f>
        <v/>
      </c>
      <c r="GA9" s="608">
        <f>'FC Total (5 lotes)'!FR66/1000000</f>
        <v/>
      </c>
      <c r="GB9" s="608">
        <f>'FC Total (5 lotes)'!FS66/1000000</f>
        <v/>
      </c>
      <c r="GC9" s="608">
        <f>'FC Total (5 lotes)'!FT66/1000000</f>
        <v/>
      </c>
      <c r="GD9" s="608">
        <f>'FC Total (5 lotes)'!FU66/1000000</f>
        <v/>
      </c>
      <c r="GE9" s="608">
        <f>'FC Total (5 lotes)'!FV66/1000000</f>
        <v/>
      </c>
      <c r="GF9" s="608">
        <f>'FC Total (5 lotes)'!FW66/1000000</f>
        <v/>
      </c>
      <c r="GG9" s="608">
        <f>'FC Total (5 lotes)'!FX66/1000000</f>
        <v/>
      </c>
      <c r="GH9" s="608">
        <f>'FC Total (5 lotes)'!FY66/1000000</f>
        <v/>
      </c>
      <c r="GI9" s="608">
        <f>'FC Total (5 lotes)'!FZ66/1000000</f>
        <v/>
      </c>
      <c r="GJ9" s="608">
        <f>'FC Total (5 lotes)'!GA66/1000000</f>
        <v/>
      </c>
      <c r="GK9" s="608">
        <f>'FC Total (5 lotes)'!GB66/1000000</f>
        <v/>
      </c>
      <c r="GL9" s="608">
        <f>'FC Total (5 lotes)'!GC66/1000000</f>
        <v/>
      </c>
      <c r="GM9" s="608">
        <f>'FC Total (5 lotes)'!GD66/1000000</f>
        <v/>
      </c>
      <c r="GN9" s="608">
        <f>'FC Total (5 lotes)'!GE66/1000000</f>
        <v/>
      </c>
      <c r="GO9" s="608">
        <f>'FC Total (5 lotes)'!GF66/1000000</f>
        <v/>
      </c>
      <c r="GP9" s="608">
        <f>'FC Total (5 lotes)'!GG66/1000000</f>
        <v/>
      </c>
      <c r="GQ9" s="608">
        <f>'FC Total (5 lotes)'!GH66/1000000</f>
        <v/>
      </c>
      <c r="GR9" s="608">
        <f>'FC Total (5 lotes)'!GI66/1000000</f>
        <v/>
      </c>
      <c r="GS9" s="608">
        <f>'FC Total (5 lotes)'!GJ66/1000000</f>
        <v/>
      </c>
      <c r="GT9" s="608">
        <f>'FC Total (5 lotes)'!GK66/1000000</f>
        <v/>
      </c>
      <c r="GU9" s="608">
        <f>'FC Total (5 lotes)'!GL66/1000000</f>
        <v/>
      </c>
      <c r="GV9" s="608">
        <f>'FC Total (5 lotes)'!GM66/1000000</f>
        <v/>
      </c>
      <c r="GW9" s="608">
        <f>'FC Total (5 lotes)'!GN66/1000000</f>
        <v/>
      </c>
      <c r="GX9" s="608">
        <f>'FC Total (5 lotes)'!GO66/1000000</f>
        <v/>
      </c>
      <c r="GY9" s="608">
        <f>'FC Total (5 lotes)'!GP66/1000000</f>
        <v/>
      </c>
      <c r="GZ9" s="608">
        <f>'FC Total (5 lotes)'!GQ66/1000000</f>
        <v/>
      </c>
      <c r="HA9" s="608">
        <f>'FC Total (5 lotes)'!GR66/1000000</f>
        <v/>
      </c>
      <c r="HB9" s="608">
        <f>'FC Total (5 lotes)'!GS66/1000000</f>
        <v/>
      </c>
      <c r="HC9" s="608">
        <f>'FC Total (5 lotes)'!GT66/1000000</f>
        <v/>
      </c>
      <c r="HD9" s="608">
        <f>'FC Total (5 lotes)'!GU66/1000000</f>
        <v/>
      </c>
      <c r="HE9" s="608">
        <f>'FC Total (5 lotes)'!GV66/1000000</f>
        <v/>
      </c>
      <c r="HF9" s="608">
        <f>'FC Total (5 lotes)'!GW66/1000000</f>
        <v/>
      </c>
      <c r="HG9" s="608">
        <f>'FC Total (5 lotes)'!GX66/1000000</f>
        <v/>
      </c>
      <c r="HH9" s="608">
        <f>'FC Total (5 lotes)'!GY66/1000000</f>
        <v/>
      </c>
      <c r="HI9" s="608">
        <f>'FC Total (5 lotes)'!GZ66/1000000</f>
        <v/>
      </c>
      <c r="HJ9" s="608">
        <f>'FC Total (5 lotes)'!HA66/1000000</f>
        <v/>
      </c>
      <c r="HK9" s="608">
        <f>'FC Total (5 lotes)'!HB66/1000000</f>
        <v/>
      </c>
      <c r="HL9" s="608">
        <f>'FC Total (5 lotes)'!HC66/1000000</f>
        <v/>
      </c>
      <c r="HM9" s="608">
        <f>'FC Total (5 lotes)'!HD66/1000000</f>
        <v/>
      </c>
      <c r="HN9" s="608">
        <f>'FC Total (5 lotes)'!HE66/1000000</f>
        <v/>
      </c>
      <c r="HO9" s="608">
        <f>'FC Total (5 lotes)'!HF66/1000000</f>
        <v/>
      </c>
      <c r="HP9" s="608">
        <f>'FC Total (5 lotes)'!HG66/1000000</f>
        <v/>
      </c>
      <c r="HQ9" s="608">
        <f>'FC Total (5 lotes)'!HH66/1000000</f>
        <v/>
      </c>
      <c r="HR9" s="608">
        <f>'FC Total (5 lotes)'!HI66/1000000</f>
        <v/>
      </c>
      <c r="HS9" s="608">
        <f>'FC Total (5 lotes)'!HJ66/1000000</f>
        <v/>
      </c>
      <c r="HT9" s="608">
        <f>'FC Total (5 lotes)'!HK66/1000000</f>
        <v/>
      </c>
      <c r="HU9" s="608">
        <f>'FC Total (5 lotes)'!HL66/1000000</f>
        <v/>
      </c>
      <c r="HV9" s="608">
        <f>'FC Total (5 lotes)'!HM66/1000000</f>
        <v/>
      </c>
      <c r="HW9" s="608">
        <f>'FC Total (5 lotes)'!HN66/1000000</f>
        <v/>
      </c>
      <c r="HX9" s="608">
        <f>'FC Total (5 lotes)'!HO66/1000000</f>
        <v/>
      </c>
      <c r="HY9" s="608">
        <f>'FC Total (5 lotes)'!HP66/1000000</f>
        <v/>
      </c>
      <c r="HZ9" s="608">
        <f>'FC Total (5 lotes)'!HQ66/1000000</f>
        <v/>
      </c>
      <c r="IA9" s="608">
        <f>'FC Total (5 lotes)'!HR66/1000000</f>
        <v/>
      </c>
      <c r="IB9" s="608">
        <f>'FC Total (5 lotes)'!HS66/1000000</f>
        <v/>
      </c>
      <c r="IC9" s="608">
        <f>'FC Total (5 lotes)'!HT66/1000000</f>
        <v/>
      </c>
      <c r="ID9" s="608">
        <f>'FC Total (5 lotes)'!HU66/1000000</f>
        <v/>
      </c>
      <c r="IE9" t="inlineStr">
        <is>
          <t>x</t>
        </is>
      </c>
    </row>
    <row r="10">
      <c r="D10" s="611" t="n"/>
      <c r="AQ10" s="611">
        <f>+AQ8+AQ7</f>
        <v/>
      </c>
      <c r="IE10" t="inlineStr">
        <is>
          <t>x</t>
        </is>
      </c>
    </row>
    <row r="11" ht="15" customHeight="1" thickBot="1">
      <c r="IE11" t="inlineStr">
        <is>
          <t>x</t>
        </is>
      </c>
    </row>
    <row r="12" ht="15" customHeight="1" thickBot="1">
      <c r="B12" s="428" t="inlineStr">
        <is>
          <t>7 lotes (em R$ MM)</t>
        </is>
      </c>
      <c r="AR12" t="inlineStr">
        <is>
          <t>7 lotes (em R$ MM)</t>
        </is>
      </c>
      <c r="IE12" t="inlineStr">
        <is>
          <t>x</t>
        </is>
      </c>
    </row>
    <row r="13">
      <c r="IE13" t="inlineStr">
        <is>
          <t>x</t>
        </is>
      </c>
    </row>
    <row r="14">
      <c r="B14" t="inlineStr">
        <is>
          <t>Aporte</t>
        </is>
      </c>
      <c r="D14" s="606">
        <f>+E14+J14+O14+T14+Y14+AD14+AE14+AF14+AG14+AH14+AI14+AJ14+AK14+AL14+AM14+AN14+AO14</f>
        <v/>
      </c>
      <c r="E14" s="606">
        <f>SUM(F14:I14)</f>
        <v/>
      </c>
      <c r="F14" s="606">
        <f>SUMIF($AS$1:$ID$1,F$1,$AS14:$ID14)</f>
        <v/>
      </c>
      <c r="G14" s="606">
        <f>SUMIF($AS$1:$ID$1,G$1,$AS14:$ID14)</f>
        <v/>
      </c>
      <c r="H14" s="606">
        <f>SUMIF($AS$1:$ID$1,H$1,$AS14:$ID14)</f>
        <v/>
      </c>
      <c r="I14" s="606">
        <f>SUMIF($AS$1:$ID$1,I$1,$AS14:$ID14)</f>
        <v/>
      </c>
      <c r="J14" s="606">
        <f>SUM(K14:N14)</f>
        <v/>
      </c>
      <c r="K14" s="606">
        <f>SUMIF($AS$1:$ID$1,K$1,$AS14:$ID14)</f>
        <v/>
      </c>
      <c r="L14" s="606">
        <f>SUMIF($AS$1:$ID$1,L$1,$AS14:$ID14)</f>
        <v/>
      </c>
      <c r="M14" s="606">
        <f>SUMIF($AS$1:$ID$1,M$1,$AS14:$ID14)</f>
        <v/>
      </c>
      <c r="N14" s="606">
        <f>SUMIF($AS$1:$ID$1,N$1,$AS14:$ID14)</f>
        <v/>
      </c>
      <c r="O14" s="606">
        <f>SUM(P14:S14)</f>
        <v/>
      </c>
      <c r="P14" s="606">
        <f>SUMIF($AS$1:$ID$1,P$1,$AS14:$ID14)</f>
        <v/>
      </c>
      <c r="Q14" s="606">
        <f>SUMIF($AS$1:$ID$1,Q$1,$AS14:$ID14)</f>
        <v/>
      </c>
      <c r="R14" s="606">
        <f>SUMIF($AS$1:$ID$1,R$1,$AS14:$ID14)</f>
        <v/>
      </c>
      <c r="S14" s="606">
        <f>SUMIF($AS$1:$ID$1,S$1,$AS14:$ID14)</f>
        <v/>
      </c>
      <c r="T14" s="606">
        <f>SUM(U14:X14)</f>
        <v/>
      </c>
      <c r="U14" s="606">
        <f>SUMIF($AS$1:$ID$1,U$1,$AS14:$ID14)</f>
        <v/>
      </c>
      <c r="V14" s="606">
        <f>SUMIF($AS$1:$ID$1,V$1,$AS14:$ID14)</f>
        <v/>
      </c>
      <c r="W14" s="606">
        <f>SUMIF($AS$1:$ID$1,W$1,$AS14:$ID14)</f>
        <v/>
      </c>
      <c r="X14" s="606">
        <f>SUMIF($AS$1:$ID$1,X$1,$AS14:$ID14)</f>
        <v/>
      </c>
      <c r="Y14" s="606">
        <f>SUM(Z14:AC14)</f>
        <v/>
      </c>
      <c r="Z14" s="606">
        <f>SUMIF($AS$1:$ID$1,Z$1,$AS14:$ID14)</f>
        <v/>
      </c>
      <c r="AA14" s="606">
        <f>SUMIF($AS$1:$ID$1,AA$1,$AS14:$ID14)</f>
        <v/>
      </c>
      <c r="AB14" s="606">
        <f>SUMIF($AS$1:$ID$1,AB$1,$AS14:$ID14)</f>
        <v/>
      </c>
      <c r="AC14" s="606">
        <f>SUMIF($AS$1:$ID$1,AC$1,$AS14:$ID14)</f>
        <v/>
      </c>
      <c r="AD14" s="606">
        <f>SUMIF($AS$2:$ID$2,AD$2,$AS14:$ID14)</f>
        <v/>
      </c>
      <c r="AE14" s="606">
        <f>SUMIF($AS$2:$ID$2,AE$2,$AS14:$ID14)</f>
        <v/>
      </c>
      <c r="AF14" s="606">
        <f>SUMIF($AS$2:$ID$2,AF$2,$AS14:$ID14)</f>
        <v/>
      </c>
      <c r="AG14" s="606">
        <f>SUMIF($AS$2:$ID$2,AG$2,$AS14:$ID14)</f>
        <v/>
      </c>
      <c r="AH14" s="606">
        <f>SUMIF($AS$2:$ID$2,AH$2,$AS14:$ID14)</f>
        <v/>
      </c>
      <c r="AI14" s="606">
        <f>SUMIF($AS$2:$ID$2,AI$2,$AS14:$ID14)</f>
        <v/>
      </c>
      <c r="AJ14" s="606">
        <f>SUMIF($AS$2:$ID$2,AJ$2,$AS14:$ID14)</f>
        <v/>
      </c>
      <c r="AK14" s="606">
        <f>SUMIF($AS$2:$ID$2,AK$2,$AS14:$ID14)</f>
        <v/>
      </c>
      <c r="AL14" s="606">
        <f>SUMIF($AS$2:$ID$2,AL$2,$AS14:$ID14)</f>
        <v/>
      </c>
      <c r="AM14" s="606">
        <f>SUMIF($AS$2:$ID$2,AM$2,$AS14:$ID14)</f>
        <v/>
      </c>
      <c r="AN14" s="606">
        <f>SUMIF($AS$2:$ID$2,AN$2,$AS14:$ID14)</f>
        <v/>
      </c>
      <c r="AO14" s="606">
        <f>SUMIF($AS$2:$ID$2,AO$2,$AS14:$ID14)</f>
        <v/>
      </c>
      <c r="AQ14" s="607">
        <f>SUM(AS14:ID14)</f>
        <v/>
      </c>
      <c r="AR14" t="inlineStr">
        <is>
          <t>Aporte</t>
        </is>
      </c>
      <c r="AS14" s="608">
        <f>#REF!/1000000</f>
        <v/>
      </c>
      <c r="AT14" s="608">
        <f>#REF!/1000000</f>
        <v/>
      </c>
      <c r="AU14" s="608">
        <f>#REF!/1000000</f>
        <v/>
      </c>
      <c r="AV14" s="608">
        <f>#REF!/1000000</f>
        <v/>
      </c>
      <c r="AW14" s="608">
        <f>#REF!/1000000</f>
        <v/>
      </c>
      <c r="AX14" s="608">
        <f>#REF!/1000000</f>
        <v/>
      </c>
      <c r="AY14" s="608">
        <f>#REF!/1000000</f>
        <v/>
      </c>
      <c r="AZ14" s="608">
        <f>#REF!/1000000</f>
        <v/>
      </c>
      <c r="BA14" s="608">
        <f>#REF!/1000000</f>
        <v/>
      </c>
      <c r="BB14" s="608">
        <f>#REF!/1000000</f>
        <v/>
      </c>
      <c r="BC14" s="608">
        <f>#REF!/1000000</f>
        <v/>
      </c>
      <c r="BD14" s="608">
        <f>#REF!/1000000</f>
        <v/>
      </c>
      <c r="BE14" s="608">
        <f>#REF!/1000000</f>
        <v/>
      </c>
      <c r="BF14" s="608">
        <f>#REF!/1000000</f>
        <v/>
      </c>
      <c r="BG14" s="608">
        <f>#REF!/1000000</f>
        <v/>
      </c>
      <c r="BH14" s="608">
        <f>#REF!/1000000</f>
        <v/>
      </c>
      <c r="BI14" s="608">
        <f>#REF!/1000000</f>
        <v/>
      </c>
      <c r="BJ14" s="608">
        <f>#REF!/1000000</f>
        <v/>
      </c>
      <c r="BK14" s="608">
        <f>#REF!/1000000</f>
        <v/>
      </c>
      <c r="BL14" s="608">
        <f>#REF!/1000000</f>
        <v/>
      </c>
      <c r="BM14" s="608">
        <f>#REF!/1000000</f>
        <v/>
      </c>
      <c r="BN14" s="608">
        <f>#REF!/1000000</f>
        <v/>
      </c>
      <c r="BO14" s="608">
        <f>#REF!/1000000</f>
        <v/>
      </c>
      <c r="BP14" s="608">
        <f>#REF!/1000000</f>
        <v/>
      </c>
      <c r="BQ14" s="608">
        <f>#REF!/1000000</f>
        <v/>
      </c>
      <c r="BR14" s="608">
        <f>#REF!/1000000</f>
        <v/>
      </c>
      <c r="BS14" s="608">
        <f>#REF!/1000000</f>
        <v/>
      </c>
      <c r="BT14" s="608">
        <f>#REF!/1000000</f>
        <v/>
      </c>
      <c r="BU14" s="608">
        <f>#REF!/1000000</f>
        <v/>
      </c>
      <c r="BV14" s="608">
        <f>#REF!/1000000</f>
        <v/>
      </c>
      <c r="BW14" s="608">
        <f>#REF!/1000000</f>
        <v/>
      </c>
      <c r="BX14" s="608">
        <f>#REF!/1000000</f>
        <v/>
      </c>
      <c r="BY14" s="608">
        <f>#REF!/1000000</f>
        <v/>
      </c>
      <c r="BZ14" s="608">
        <f>#REF!/1000000</f>
        <v/>
      </c>
      <c r="CA14" s="608">
        <f>#REF!/1000000</f>
        <v/>
      </c>
      <c r="CB14" s="608">
        <f>#REF!/1000000</f>
        <v/>
      </c>
      <c r="CC14" s="608">
        <f>#REF!/1000000</f>
        <v/>
      </c>
      <c r="CD14" s="608">
        <f>#REF!/1000000</f>
        <v/>
      </c>
      <c r="CE14" s="608">
        <f>#REF!/1000000</f>
        <v/>
      </c>
      <c r="CF14" s="608">
        <f>#REF!/1000000</f>
        <v/>
      </c>
      <c r="CG14" s="608">
        <f>#REF!/1000000</f>
        <v/>
      </c>
      <c r="CH14" s="608">
        <f>#REF!/1000000</f>
        <v/>
      </c>
      <c r="CI14" s="608">
        <f>#REF!/1000000</f>
        <v/>
      </c>
      <c r="CJ14" s="608">
        <f>#REF!/1000000</f>
        <v/>
      </c>
      <c r="CK14" s="608">
        <f>#REF!/1000000</f>
        <v/>
      </c>
      <c r="CL14" s="608">
        <f>#REF!/1000000</f>
        <v/>
      </c>
      <c r="CM14" s="608">
        <f>#REF!/1000000</f>
        <v/>
      </c>
      <c r="CN14" s="608">
        <f>#REF!/1000000</f>
        <v/>
      </c>
      <c r="CO14" s="608">
        <f>#REF!/1000000</f>
        <v/>
      </c>
      <c r="CP14" s="608">
        <f>#REF!/1000000</f>
        <v/>
      </c>
      <c r="CQ14" s="608">
        <f>#REF!/1000000</f>
        <v/>
      </c>
      <c r="CR14" s="608">
        <f>#REF!/1000000</f>
        <v/>
      </c>
      <c r="CS14" s="608">
        <f>#REF!/1000000</f>
        <v/>
      </c>
      <c r="CT14" s="608">
        <f>#REF!/1000000</f>
        <v/>
      </c>
      <c r="CU14" s="608">
        <f>#REF!/1000000</f>
        <v/>
      </c>
      <c r="CV14" s="608">
        <f>#REF!/1000000</f>
        <v/>
      </c>
      <c r="CW14" s="608">
        <f>#REF!/1000000</f>
        <v/>
      </c>
      <c r="CX14" s="608">
        <f>#REF!/1000000</f>
        <v/>
      </c>
      <c r="CY14" s="608">
        <f>#REF!/1000000</f>
        <v/>
      </c>
      <c r="CZ14" s="608">
        <f>#REF!/1000000</f>
        <v/>
      </c>
      <c r="DA14" s="608">
        <f>#REF!/1000000</f>
        <v/>
      </c>
      <c r="DB14" s="608">
        <f>#REF!/1000000</f>
        <v/>
      </c>
      <c r="DC14" s="608">
        <f>#REF!/1000000</f>
        <v/>
      </c>
      <c r="DD14" s="608">
        <f>#REF!/1000000</f>
        <v/>
      </c>
      <c r="DE14" s="608">
        <f>#REF!/1000000</f>
        <v/>
      </c>
      <c r="DF14" s="608">
        <f>#REF!/1000000</f>
        <v/>
      </c>
      <c r="DG14" s="608">
        <f>#REF!/1000000</f>
        <v/>
      </c>
      <c r="DH14" s="608">
        <f>#REF!/1000000</f>
        <v/>
      </c>
      <c r="DI14" s="608">
        <f>#REF!/1000000</f>
        <v/>
      </c>
      <c r="DJ14" s="608">
        <f>#REF!/1000000</f>
        <v/>
      </c>
      <c r="DK14" s="608">
        <f>#REF!/1000000</f>
        <v/>
      </c>
      <c r="DL14" s="608">
        <f>#REF!/1000000</f>
        <v/>
      </c>
      <c r="DM14" s="608">
        <f>#REF!/1000000</f>
        <v/>
      </c>
      <c r="DN14" s="608">
        <f>#REF!/1000000</f>
        <v/>
      </c>
      <c r="DO14" s="608">
        <f>#REF!/1000000</f>
        <v/>
      </c>
      <c r="DP14" s="608">
        <f>#REF!/1000000</f>
        <v/>
      </c>
      <c r="DQ14" s="608">
        <f>#REF!/1000000</f>
        <v/>
      </c>
      <c r="DR14" s="608">
        <f>#REF!/1000000</f>
        <v/>
      </c>
      <c r="DS14" s="608">
        <f>#REF!/1000000</f>
        <v/>
      </c>
      <c r="DT14" s="608">
        <f>#REF!/1000000</f>
        <v/>
      </c>
      <c r="DU14" s="608">
        <f>#REF!/1000000</f>
        <v/>
      </c>
      <c r="DV14" s="608">
        <f>#REF!/1000000</f>
        <v/>
      </c>
      <c r="DW14" s="608">
        <f>#REF!/1000000</f>
        <v/>
      </c>
      <c r="DX14" s="608">
        <f>#REF!/1000000</f>
        <v/>
      </c>
      <c r="DY14" s="608">
        <f>#REF!/1000000</f>
        <v/>
      </c>
      <c r="DZ14" s="608">
        <f>#REF!/1000000</f>
        <v/>
      </c>
      <c r="EA14" s="608">
        <f>#REF!/1000000</f>
        <v/>
      </c>
      <c r="EB14" s="608">
        <f>#REF!/1000000</f>
        <v/>
      </c>
      <c r="EC14" s="608">
        <f>#REF!/1000000</f>
        <v/>
      </c>
      <c r="ED14" s="608">
        <f>#REF!/1000000</f>
        <v/>
      </c>
      <c r="EE14" s="608">
        <f>#REF!/1000000</f>
        <v/>
      </c>
      <c r="EF14" s="608">
        <f>#REF!/1000000</f>
        <v/>
      </c>
      <c r="EG14" s="608">
        <f>#REF!/1000000</f>
        <v/>
      </c>
      <c r="EH14" s="608">
        <f>#REF!/1000000</f>
        <v/>
      </c>
      <c r="EI14" s="608">
        <f>#REF!/1000000</f>
        <v/>
      </c>
      <c r="EJ14" s="608">
        <f>#REF!/1000000</f>
        <v/>
      </c>
      <c r="EK14" s="608">
        <f>#REF!/1000000</f>
        <v/>
      </c>
      <c r="EL14" s="608">
        <f>#REF!/1000000</f>
        <v/>
      </c>
      <c r="EM14" s="608">
        <f>#REF!/1000000</f>
        <v/>
      </c>
      <c r="EN14" s="608">
        <f>#REF!/1000000</f>
        <v/>
      </c>
      <c r="EO14" s="608">
        <f>#REF!/1000000</f>
        <v/>
      </c>
      <c r="EP14" s="608">
        <f>#REF!/1000000</f>
        <v/>
      </c>
      <c r="EQ14" s="608">
        <f>#REF!/1000000</f>
        <v/>
      </c>
      <c r="ER14" s="608">
        <f>#REF!/1000000</f>
        <v/>
      </c>
      <c r="ES14" s="608">
        <f>#REF!/1000000</f>
        <v/>
      </c>
      <c r="ET14" s="608">
        <f>#REF!/1000000</f>
        <v/>
      </c>
      <c r="EU14" s="608">
        <f>#REF!/1000000</f>
        <v/>
      </c>
      <c r="EV14" s="608">
        <f>#REF!/1000000</f>
        <v/>
      </c>
      <c r="EW14" s="608">
        <f>#REF!/1000000</f>
        <v/>
      </c>
      <c r="EX14" s="608">
        <f>#REF!/1000000</f>
        <v/>
      </c>
      <c r="EY14" s="608">
        <f>#REF!/1000000</f>
        <v/>
      </c>
      <c r="EZ14" s="608">
        <f>#REF!/1000000</f>
        <v/>
      </c>
      <c r="FA14" s="608">
        <f>#REF!/1000000</f>
        <v/>
      </c>
      <c r="FB14" s="608">
        <f>#REF!/1000000</f>
        <v/>
      </c>
      <c r="FC14" s="608">
        <f>#REF!/1000000</f>
        <v/>
      </c>
      <c r="FD14" s="608">
        <f>#REF!/1000000</f>
        <v/>
      </c>
      <c r="FE14" s="608">
        <f>#REF!/1000000</f>
        <v/>
      </c>
      <c r="FF14" s="608">
        <f>#REF!/1000000</f>
        <v/>
      </c>
      <c r="FG14" s="608">
        <f>#REF!/1000000</f>
        <v/>
      </c>
      <c r="FH14" s="608">
        <f>#REF!/1000000</f>
        <v/>
      </c>
      <c r="FI14" s="608">
        <f>#REF!/1000000</f>
        <v/>
      </c>
      <c r="FJ14" s="608">
        <f>#REF!/1000000</f>
        <v/>
      </c>
      <c r="FK14" s="608">
        <f>#REF!/1000000</f>
        <v/>
      </c>
      <c r="FL14" s="608">
        <f>#REF!/1000000</f>
        <v/>
      </c>
      <c r="FM14" s="608">
        <f>#REF!/1000000</f>
        <v/>
      </c>
      <c r="FN14" s="608">
        <f>#REF!/1000000</f>
        <v/>
      </c>
      <c r="FO14" s="608">
        <f>#REF!/1000000</f>
        <v/>
      </c>
      <c r="FP14" s="608">
        <f>#REF!/1000000</f>
        <v/>
      </c>
      <c r="FQ14" s="608">
        <f>#REF!/1000000</f>
        <v/>
      </c>
      <c r="FR14" s="608">
        <f>#REF!/1000000</f>
        <v/>
      </c>
      <c r="FS14" s="608">
        <f>#REF!/1000000</f>
        <v/>
      </c>
      <c r="FT14" s="608">
        <f>#REF!/1000000</f>
        <v/>
      </c>
      <c r="FU14" s="608">
        <f>#REF!/1000000</f>
        <v/>
      </c>
      <c r="FV14" s="608">
        <f>#REF!/1000000</f>
        <v/>
      </c>
      <c r="FW14" s="608">
        <f>#REF!/1000000</f>
        <v/>
      </c>
      <c r="FX14" s="608">
        <f>#REF!/1000000</f>
        <v/>
      </c>
      <c r="FY14" s="608">
        <f>#REF!/1000000</f>
        <v/>
      </c>
      <c r="FZ14" s="608">
        <f>#REF!/1000000</f>
        <v/>
      </c>
      <c r="GA14" s="608">
        <f>#REF!/1000000</f>
        <v/>
      </c>
      <c r="GB14" s="608">
        <f>#REF!/1000000</f>
        <v/>
      </c>
      <c r="GC14" s="608">
        <f>#REF!/1000000</f>
        <v/>
      </c>
      <c r="GD14" s="608">
        <f>#REF!/1000000</f>
        <v/>
      </c>
      <c r="GE14" s="608">
        <f>#REF!/1000000</f>
        <v/>
      </c>
      <c r="GF14" s="608">
        <f>#REF!/1000000</f>
        <v/>
      </c>
      <c r="GG14" s="608">
        <f>#REF!/1000000</f>
        <v/>
      </c>
      <c r="GH14" s="608">
        <f>#REF!/1000000</f>
        <v/>
      </c>
      <c r="GI14" s="608">
        <f>#REF!/1000000</f>
        <v/>
      </c>
      <c r="GJ14" s="608">
        <f>#REF!/1000000</f>
        <v/>
      </c>
      <c r="GK14" s="608">
        <f>#REF!/1000000</f>
        <v/>
      </c>
      <c r="GL14" s="608">
        <f>#REF!/1000000</f>
        <v/>
      </c>
      <c r="GM14" s="608">
        <f>#REF!/1000000</f>
        <v/>
      </c>
      <c r="GN14" s="608">
        <f>#REF!/1000000</f>
        <v/>
      </c>
      <c r="GO14" s="608">
        <f>#REF!/1000000</f>
        <v/>
      </c>
      <c r="GP14" s="608">
        <f>#REF!/1000000</f>
        <v/>
      </c>
      <c r="GQ14" s="608">
        <f>#REF!/1000000</f>
        <v/>
      </c>
      <c r="GR14" s="608">
        <f>#REF!/1000000</f>
        <v/>
      </c>
      <c r="GS14" s="608">
        <f>#REF!/1000000</f>
        <v/>
      </c>
      <c r="GT14" s="608">
        <f>#REF!/1000000</f>
        <v/>
      </c>
      <c r="GU14" s="608">
        <f>#REF!/1000000</f>
        <v/>
      </c>
      <c r="GV14" s="608">
        <f>#REF!/1000000</f>
        <v/>
      </c>
      <c r="GW14" s="608">
        <f>#REF!/1000000</f>
        <v/>
      </c>
      <c r="GX14" s="608">
        <f>#REF!/1000000</f>
        <v/>
      </c>
      <c r="GY14" s="608">
        <f>#REF!/1000000</f>
        <v/>
      </c>
      <c r="GZ14" s="608">
        <f>#REF!/1000000</f>
        <v/>
      </c>
      <c r="HA14" s="608">
        <f>#REF!/1000000</f>
        <v/>
      </c>
      <c r="HB14" s="608">
        <f>#REF!/1000000</f>
        <v/>
      </c>
      <c r="HC14" s="608">
        <f>#REF!/1000000</f>
        <v/>
      </c>
      <c r="HD14" s="608">
        <f>#REF!/1000000</f>
        <v/>
      </c>
      <c r="HE14" s="608">
        <f>#REF!/1000000</f>
        <v/>
      </c>
      <c r="HF14" s="608">
        <f>#REF!/1000000</f>
        <v/>
      </c>
      <c r="HG14" s="608">
        <f>#REF!/1000000</f>
        <v/>
      </c>
      <c r="HH14" s="608">
        <f>#REF!/1000000</f>
        <v/>
      </c>
      <c r="HI14" s="608">
        <f>#REF!/1000000</f>
        <v/>
      </c>
      <c r="HJ14" s="608">
        <f>#REF!/1000000</f>
        <v/>
      </c>
      <c r="HK14" s="608">
        <f>#REF!/1000000</f>
        <v/>
      </c>
      <c r="HL14" s="608">
        <f>#REF!/1000000</f>
        <v/>
      </c>
      <c r="HM14" s="608">
        <f>#REF!/1000000</f>
        <v/>
      </c>
      <c r="HN14" s="608">
        <f>#REF!/1000000</f>
        <v/>
      </c>
      <c r="HO14" s="608">
        <f>#REF!/1000000</f>
        <v/>
      </c>
      <c r="HP14" s="608">
        <f>#REF!/1000000</f>
        <v/>
      </c>
      <c r="HQ14" s="608">
        <f>#REF!/1000000</f>
        <v/>
      </c>
      <c r="HR14" s="608">
        <f>#REF!/1000000</f>
        <v/>
      </c>
      <c r="HS14" s="608">
        <f>#REF!/1000000</f>
        <v/>
      </c>
      <c r="HT14" s="608">
        <f>#REF!/1000000</f>
        <v/>
      </c>
      <c r="HU14" s="608">
        <f>#REF!/1000000</f>
        <v/>
      </c>
      <c r="HV14" s="608">
        <f>#REF!/1000000</f>
        <v/>
      </c>
      <c r="HW14" s="608">
        <f>#REF!/1000000</f>
        <v/>
      </c>
      <c r="HX14" s="608">
        <f>#REF!/1000000</f>
        <v/>
      </c>
      <c r="HY14" s="608">
        <f>#REF!/1000000</f>
        <v/>
      </c>
      <c r="HZ14" s="608">
        <f>#REF!/1000000</f>
        <v/>
      </c>
      <c r="IA14" s="608">
        <f>#REF!/1000000</f>
        <v/>
      </c>
      <c r="IB14" s="608">
        <f>#REF!/1000000</f>
        <v/>
      </c>
      <c r="IC14" s="608">
        <f>#REF!/1000000</f>
        <v/>
      </c>
      <c r="ID14" s="608">
        <f>#REF!/1000000</f>
        <v/>
      </c>
      <c r="IE14" t="inlineStr">
        <is>
          <t>x</t>
        </is>
      </c>
    </row>
    <row r="15">
      <c r="B15" t="inlineStr">
        <is>
          <t>Devolução</t>
        </is>
      </c>
      <c r="D15" s="609">
        <f>+E15+J15+O15+T15+Y15+AD15+AE15+AF15+AG15+AH15+AI15+AJ15+AK15+AL15+AM15+AN15+AO15</f>
        <v/>
      </c>
      <c r="E15" s="609">
        <f>SUM(F15:I15)</f>
        <v/>
      </c>
      <c r="F15" s="609">
        <f>SUMIF($AS$1:$ID$1,F$1,$AS15:$ID15)</f>
        <v/>
      </c>
      <c r="G15" s="609">
        <f>SUMIF($AS$1:$ID$1,G$1,$AS15:$ID15)</f>
        <v/>
      </c>
      <c r="H15" s="609">
        <f>SUMIF($AS$1:$ID$1,H$1,$AS15:$ID15)</f>
        <v/>
      </c>
      <c r="I15" s="609">
        <f>SUMIF($AS$1:$ID$1,I$1,$AS15:$ID15)</f>
        <v/>
      </c>
      <c r="J15" s="609">
        <f>SUM(K15:N15)</f>
        <v/>
      </c>
      <c r="K15" s="609">
        <f>SUMIF($AS$1:$ID$1,K$1,$AS15:$ID15)</f>
        <v/>
      </c>
      <c r="L15" s="609">
        <f>SUMIF($AS$1:$ID$1,L$1,$AS15:$ID15)</f>
        <v/>
      </c>
      <c r="M15" s="609">
        <f>SUMIF($AS$1:$ID$1,M$1,$AS15:$ID15)</f>
        <v/>
      </c>
      <c r="N15" s="609">
        <f>SUMIF($AS$1:$ID$1,N$1,$AS15:$ID15)</f>
        <v/>
      </c>
      <c r="O15" s="609">
        <f>SUM(P15:S15)</f>
        <v/>
      </c>
      <c r="P15" s="609">
        <f>SUMIF($AS$1:$ID$1,P$1,$AS15:$ID15)</f>
        <v/>
      </c>
      <c r="Q15" s="609">
        <f>SUMIF($AS$1:$ID$1,Q$1,$AS15:$ID15)</f>
        <v/>
      </c>
      <c r="R15" s="609">
        <f>SUMIF($AS$1:$ID$1,R$1,$AS15:$ID15)</f>
        <v/>
      </c>
      <c r="S15" s="609">
        <f>SUMIF($AS$1:$ID$1,S$1,$AS15:$ID15)</f>
        <v/>
      </c>
      <c r="T15" s="609">
        <f>SUM(U15:X15)</f>
        <v/>
      </c>
      <c r="U15" s="609">
        <f>SUMIF($AS$1:$ID$1,U$1,$AS15:$ID15)</f>
        <v/>
      </c>
      <c r="V15" s="609">
        <f>SUMIF($AS$1:$ID$1,V$1,$AS15:$ID15)</f>
        <v/>
      </c>
      <c r="W15" s="609">
        <f>SUMIF($AS$1:$ID$1,W$1,$AS15:$ID15)</f>
        <v/>
      </c>
      <c r="X15" s="609">
        <f>SUMIF($AS$1:$ID$1,X$1,$AS15:$ID15)</f>
        <v/>
      </c>
      <c r="Y15" s="609">
        <f>SUM(Z15:AC15)</f>
        <v/>
      </c>
      <c r="Z15" s="609">
        <f>SUMIF($AS$1:$ID$1,Z$1,$AS15:$ID15)</f>
        <v/>
      </c>
      <c r="AA15" s="609">
        <f>SUMIF($AS$1:$ID$1,AA$1,$AS15:$ID15)</f>
        <v/>
      </c>
      <c r="AB15" s="609">
        <f>SUMIF($AS$1:$ID$1,AB$1,$AS15:$ID15)</f>
        <v/>
      </c>
      <c r="AC15" s="609">
        <f>SUMIF($AS$1:$ID$1,AC$1,$AS15:$ID15)</f>
        <v/>
      </c>
      <c r="AD15" s="609">
        <f>SUMIF($AS$2:$ID$2,AD$2,$AS15:$ID15)</f>
        <v/>
      </c>
      <c r="AE15" s="609">
        <f>SUMIF($AS$2:$ID$2,AE$2,$AS15:$ID15)</f>
        <v/>
      </c>
      <c r="AF15" s="609">
        <f>SUMIF($AS$2:$ID$2,AF$2,$AS15:$ID15)</f>
        <v/>
      </c>
      <c r="AG15" s="609">
        <f>SUMIF($AS$2:$ID$2,AG$2,$AS15:$ID15)</f>
        <v/>
      </c>
      <c r="AH15" s="609">
        <f>SUMIF($AS$2:$ID$2,AH$2,$AS15:$ID15)</f>
        <v/>
      </c>
      <c r="AI15" s="609">
        <f>SUMIF($AS$2:$ID$2,AI$2,$AS15:$ID15)</f>
        <v/>
      </c>
      <c r="AJ15" s="609">
        <f>SUMIF($AS$2:$ID$2,AJ$2,$AS15:$ID15)</f>
        <v/>
      </c>
      <c r="AK15" s="609">
        <f>SUMIF($AS$2:$ID$2,AK$2,$AS15:$ID15)</f>
        <v/>
      </c>
      <c r="AL15" s="609">
        <f>SUMIF($AS$2:$ID$2,AL$2,$AS15:$ID15)</f>
        <v/>
      </c>
      <c r="AM15" s="609">
        <f>SUMIF($AS$2:$ID$2,AM$2,$AS15:$ID15)</f>
        <v/>
      </c>
      <c r="AN15" s="609">
        <f>SUMIF($AS$2:$ID$2,AN$2,$AS15:$ID15)</f>
        <v/>
      </c>
      <c r="AO15" s="609">
        <f>SUMIF($AS$2:$ID$2,AO$2,$AS15:$ID15)</f>
        <v/>
      </c>
      <c r="AQ15" s="607">
        <f>SUM(AS15:ID15)</f>
        <v/>
      </c>
      <c r="AR15" t="inlineStr">
        <is>
          <t>Devolução</t>
        </is>
      </c>
      <c r="AS15" s="608">
        <f>#REF!/1000000</f>
        <v/>
      </c>
      <c r="AT15" s="608">
        <f>#REF!/1000000</f>
        <v/>
      </c>
      <c r="AU15" s="608">
        <f>#REF!/1000000</f>
        <v/>
      </c>
      <c r="AV15" s="608">
        <f>#REF!/1000000</f>
        <v/>
      </c>
      <c r="AW15" s="608">
        <f>#REF!/1000000</f>
        <v/>
      </c>
      <c r="AX15" s="608">
        <f>#REF!/1000000</f>
        <v/>
      </c>
      <c r="AY15" s="608">
        <f>#REF!/1000000</f>
        <v/>
      </c>
      <c r="AZ15" s="608">
        <f>#REF!/1000000</f>
        <v/>
      </c>
      <c r="BA15" s="608">
        <f>#REF!/1000000</f>
        <v/>
      </c>
      <c r="BB15" s="608">
        <f>#REF!/1000000</f>
        <v/>
      </c>
      <c r="BC15" s="608">
        <f>#REF!/1000000</f>
        <v/>
      </c>
      <c r="BD15" s="608">
        <f>#REF!/1000000</f>
        <v/>
      </c>
      <c r="BE15" s="608">
        <f>#REF!/1000000</f>
        <v/>
      </c>
      <c r="BF15" s="608">
        <f>#REF!/1000000</f>
        <v/>
      </c>
      <c r="BG15" s="608">
        <f>#REF!/1000000</f>
        <v/>
      </c>
      <c r="BH15" s="608">
        <f>#REF!/1000000</f>
        <v/>
      </c>
      <c r="BI15" s="608">
        <f>#REF!/1000000</f>
        <v/>
      </c>
      <c r="BJ15" s="608">
        <f>#REF!/1000000</f>
        <v/>
      </c>
      <c r="BK15" s="608">
        <f>#REF!/1000000</f>
        <v/>
      </c>
      <c r="BL15" s="608">
        <f>#REF!/1000000</f>
        <v/>
      </c>
      <c r="BM15" s="608">
        <f>#REF!/1000000</f>
        <v/>
      </c>
      <c r="BN15" s="608">
        <f>#REF!/1000000</f>
        <v/>
      </c>
      <c r="BO15" s="608">
        <f>#REF!/1000000</f>
        <v/>
      </c>
      <c r="BP15" s="608">
        <f>#REF!/1000000</f>
        <v/>
      </c>
      <c r="BQ15" s="608">
        <f>#REF!/1000000</f>
        <v/>
      </c>
      <c r="BR15" s="608">
        <f>#REF!/1000000</f>
        <v/>
      </c>
      <c r="BS15" s="608">
        <f>#REF!/1000000</f>
        <v/>
      </c>
      <c r="BT15" s="608">
        <f>#REF!/1000000</f>
        <v/>
      </c>
      <c r="BU15" s="608">
        <f>#REF!/1000000</f>
        <v/>
      </c>
      <c r="BV15" s="608">
        <f>#REF!/1000000</f>
        <v/>
      </c>
      <c r="BW15" s="608">
        <f>#REF!/1000000</f>
        <v/>
      </c>
      <c r="BX15" s="608">
        <f>#REF!/1000000</f>
        <v/>
      </c>
      <c r="BY15" s="608">
        <f>#REF!/1000000</f>
        <v/>
      </c>
      <c r="BZ15" s="608">
        <f>#REF!/1000000</f>
        <v/>
      </c>
      <c r="CA15" s="608">
        <f>#REF!/1000000</f>
        <v/>
      </c>
      <c r="CB15" s="608">
        <f>#REF!/1000000</f>
        <v/>
      </c>
      <c r="CC15" s="608">
        <f>#REF!/1000000</f>
        <v/>
      </c>
      <c r="CD15" s="608">
        <f>#REF!/1000000</f>
        <v/>
      </c>
      <c r="CE15" s="608">
        <f>#REF!/1000000</f>
        <v/>
      </c>
      <c r="CF15" s="608">
        <f>#REF!/1000000</f>
        <v/>
      </c>
      <c r="CG15" s="608">
        <f>#REF!/1000000</f>
        <v/>
      </c>
      <c r="CH15" s="608">
        <f>#REF!/1000000</f>
        <v/>
      </c>
      <c r="CI15" s="608">
        <f>#REF!/1000000</f>
        <v/>
      </c>
      <c r="CJ15" s="608">
        <f>#REF!/1000000</f>
        <v/>
      </c>
      <c r="CK15" s="608">
        <f>#REF!/1000000</f>
        <v/>
      </c>
      <c r="CL15" s="608">
        <f>#REF!/1000000</f>
        <v/>
      </c>
      <c r="CM15" s="608">
        <f>#REF!/1000000</f>
        <v/>
      </c>
      <c r="CN15" s="608">
        <f>#REF!/1000000</f>
        <v/>
      </c>
      <c r="CO15" s="608">
        <f>#REF!/1000000</f>
        <v/>
      </c>
      <c r="CP15" s="608">
        <f>#REF!/1000000</f>
        <v/>
      </c>
      <c r="CQ15" s="608">
        <f>#REF!/1000000</f>
        <v/>
      </c>
      <c r="CR15" s="608">
        <f>#REF!/1000000</f>
        <v/>
      </c>
      <c r="CS15" s="608">
        <f>#REF!/1000000</f>
        <v/>
      </c>
      <c r="CT15" s="608">
        <f>#REF!/1000000</f>
        <v/>
      </c>
      <c r="CU15" s="608">
        <f>#REF!/1000000</f>
        <v/>
      </c>
      <c r="CV15" s="608">
        <f>#REF!/1000000</f>
        <v/>
      </c>
      <c r="CW15" s="608">
        <f>#REF!/1000000</f>
        <v/>
      </c>
      <c r="CX15" s="608">
        <f>#REF!/1000000</f>
        <v/>
      </c>
      <c r="CY15" s="608">
        <f>#REF!/1000000</f>
        <v/>
      </c>
      <c r="CZ15" s="608">
        <f>#REF!/1000000</f>
        <v/>
      </c>
      <c r="DA15" s="608">
        <f>#REF!/1000000</f>
        <v/>
      </c>
      <c r="DB15" s="608">
        <f>#REF!/1000000</f>
        <v/>
      </c>
      <c r="DC15" s="608">
        <f>#REF!/1000000</f>
        <v/>
      </c>
      <c r="DD15" s="608">
        <f>#REF!/1000000</f>
        <v/>
      </c>
      <c r="DE15" s="608">
        <f>#REF!/1000000</f>
        <v/>
      </c>
      <c r="DF15" s="608">
        <f>#REF!/1000000</f>
        <v/>
      </c>
      <c r="DG15" s="608">
        <f>#REF!/1000000</f>
        <v/>
      </c>
      <c r="DH15" s="608">
        <f>#REF!/1000000</f>
        <v/>
      </c>
      <c r="DI15" s="608">
        <f>#REF!/1000000</f>
        <v/>
      </c>
      <c r="DJ15" s="608">
        <f>#REF!/1000000</f>
        <v/>
      </c>
      <c r="DK15" s="608">
        <f>#REF!/1000000</f>
        <v/>
      </c>
      <c r="DL15" s="608">
        <f>#REF!/1000000</f>
        <v/>
      </c>
      <c r="DM15" s="608">
        <f>#REF!/1000000</f>
        <v/>
      </c>
      <c r="DN15" s="608">
        <f>#REF!/1000000</f>
        <v/>
      </c>
      <c r="DO15" s="608">
        <f>#REF!/1000000</f>
        <v/>
      </c>
      <c r="DP15" s="608">
        <f>#REF!/1000000</f>
        <v/>
      </c>
      <c r="DQ15" s="608">
        <f>#REF!/1000000</f>
        <v/>
      </c>
      <c r="DR15" s="608">
        <f>#REF!/1000000</f>
        <v/>
      </c>
      <c r="DS15" s="608">
        <f>#REF!/1000000</f>
        <v/>
      </c>
      <c r="DT15" s="608">
        <f>#REF!/1000000</f>
        <v/>
      </c>
      <c r="DU15" s="608">
        <f>#REF!/1000000</f>
        <v/>
      </c>
      <c r="DV15" s="608">
        <f>#REF!/1000000</f>
        <v/>
      </c>
      <c r="DW15" s="608">
        <f>#REF!/1000000</f>
        <v/>
      </c>
      <c r="DX15" s="608">
        <f>#REF!/1000000</f>
        <v/>
      </c>
      <c r="DY15" s="608">
        <f>#REF!/1000000</f>
        <v/>
      </c>
      <c r="DZ15" s="608">
        <f>#REF!/1000000</f>
        <v/>
      </c>
      <c r="EA15" s="608">
        <f>#REF!/1000000</f>
        <v/>
      </c>
      <c r="EB15" s="608">
        <f>#REF!/1000000</f>
        <v/>
      </c>
      <c r="EC15" s="608">
        <f>#REF!/1000000</f>
        <v/>
      </c>
      <c r="ED15" s="608">
        <f>#REF!/1000000</f>
        <v/>
      </c>
      <c r="EE15" s="608">
        <f>#REF!/1000000</f>
        <v/>
      </c>
      <c r="EF15" s="608">
        <f>#REF!/1000000</f>
        <v/>
      </c>
      <c r="EG15" s="608">
        <f>#REF!/1000000</f>
        <v/>
      </c>
      <c r="EH15" s="608">
        <f>#REF!/1000000</f>
        <v/>
      </c>
      <c r="EI15" s="608">
        <f>#REF!/1000000</f>
        <v/>
      </c>
      <c r="EJ15" s="608">
        <f>#REF!/1000000</f>
        <v/>
      </c>
      <c r="EK15" s="608">
        <f>#REF!/1000000</f>
        <v/>
      </c>
      <c r="EL15" s="608">
        <f>#REF!/1000000</f>
        <v/>
      </c>
      <c r="EM15" s="608">
        <f>#REF!/1000000</f>
        <v/>
      </c>
      <c r="EN15" s="608">
        <f>#REF!/1000000</f>
        <v/>
      </c>
      <c r="EO15" s="608">
        <f>#REF!/1000000</f>
        <v/>
      </c>
      <c r="EP15" s="608">
        <f>#REF!/1000000</f>
        <v/>
      </c>
      <c r="EQ15" s="608">
        <f>#REF!/1000000</f>
        <v/>
      </c>
      <c r="ER15" s="608">
        <f>#REF!/1000000</f>
        <v/>
      </c>
      <c r="ES15" s="608">
        <f>#REF!/1000000</f>
        <v/>
      </c>
      <c r="ET15" s="608">
        <f>#REF!/1000000</f>
        <v/>
      </c>
      <c r="EU15" s="608">
        <f>#REF!/1000000</f>
        <v/>
      </c>
      <c r="EV15" s="608">
        <f>#REF!/1000000</f>
        <v/>
      </c>
      <c r="EW15" s="608">
        <f>#REF!/1000000</f>
        <v/>
      </c>
      <c r="EX15" s="608">
        <f>#REF!/1000000</f>
        <v/>
      </c>
      <c r="EY15" s="608">
        <f>#REF!/1000000</f>
        <v/>
      </c>
      <c r="EZ15" s="608">
        <f>#REF!/1000000</f>
        <v/>
      </c>
      <c r="FA15" s="608">
        <f>#REF!/1000000</f>
        <v/>
      </c>
      <c r="FB15" s="608">
        <f>#REF!/1000000</f>
        <v/>
      </c>
      <c r="FC15" s="608">
        <f>#REF!/1000000</f>
        <v/>
      </c>
      <c r="FD15" s="608">
        <f>#REF!/1000000</f>
        <v/>
      </c>
      <c r="FE15" s="608">
        <f>#REF!/1000000</f>
        <v/>
      </c>
      <c r="FF15" s="608">
        <f>#REF!/1000000</f>
        <v/>
      </c>
      <c r="FG15" s="608">
        <f>#REF!/1000000</f>
        <v/>
      </c>
      <c r="FH15" s="608">
        <f>#REF!/1000000</f>
        <v/>
      </c>
      <c r="FI15" s="608">
        <f>#REF!/1000000</f>
        <v/>
      </c>
      <c r="FJ15" s="608">
        <f>#REF!/1000000</f>
        <v/>
      </c>
      <c r="FK15" s="608">
        <f>#REF!/1000000</f>
        <v/>
      </c>
      <c r="FL15" s="608">
        <f>#REF!/1000000</f>
        <v/>
      </c>
      <c r="FM15" s="608">
        <f>#REF!/1000000</f>
        <v/>
      </c>
      <c r="FN15" s="608">
        <f>#REF!/1000000</f>
        <v/>
      </c>
      <c r="FO15" s="608">
        <f>#REF!/1000000</f>
        <v/>
      </c>
      <c r="FP15" s="608">
        <f>#REF!/1000000</f>
        <v/>
      </c>
      <c r="FQ15" s="608">
        <f>#REF!/1000000</f>
        <v/>
      </c>
      <c r="FR15" s="608">
        <f>#REF!/1000000</f>
        <v/>
      </c>
      <c r="FS15" s="608">
        <f>#REF!/1000000</f>
        <v/>
      </c>
      <c r="FT15" s="608">
        <f>#REF!/1000000</f>
        <v/>
      </c>
      <c r="FU15" s="608">
        <f>#REF!/1000000</f>
        <v/>
      </c>
      <c r="FV15" s="608">
        <f>#REF!/1000000</f>
        <v/>
      </c>
      <c r="FW15" s="608">
        <f>#REF!/1000000</f>
        <v/>
      </c>
      <c r="FX15" s="608">
        <f>#REF!/1000000</f>
        <v/>
      </c>
      <c r="FY15" s="608">
        <f>#REF!/1000000</f>
        <v/>
      </c>
      <c r="FZ15" s="608">
        <f>#REF!/1000000</f>
        <v/>
      </c>
      <c r="GA15" s="608">
        <f>#REF!/1000000</f>
        <v/>
      </c>
      <c r="GB15" s="608">
        <f>#REF!/1000000</f>
        <v/>
      </c>
      <c r="GC15" s="608">
        <f>#REF!/1000000</f>
        <v/>
      </c>
      <c r="GD15" s="608">
        <f>#REF!/1000000</f>
        <v/>
      </c>
      <c r="GE15" s="608">
        <f>#REF!/1000000</f>
        <v/>
      </c>
      <c r="GF15" s="608">
        <f>#REF!/1000000</f>
        <v/>
      </c>
      <c r="GG15" s="608">
        <f>#REF!/1000000</f>
        <v/>
      </c>
      <c r="GH15" s="608">
        <f>#REF!/1000000</f>
        <v/>
      </c>
      <c r="GI15" s="608">
        <f>#REF!/1000000</f>
        <v/>
      </c>
      <c r="GJ15" s="608">
        <f>#REF!/1000000</f>
        <v/>
      </c>
      <c r="GK15" s="608">
        <f>#REF!/1000000</f>
        <v/>
      </c>
      <c r="GL15" s="608">
        <f>#REF!/1000000</f>
        <v/>
      </c>
      <c r="GM15" s="608">
        <f>#REF!/1000000</f>
        <v/>
      </c>
      <c r="GN15" s="608">
        <f>#REF!/1000000</f>
        <v/>
      </c>
      <c r="GO15" s="608">
        <f>#REF!/1000000</f>
        <v/>
      </c>
      <c r="GP15" s="608">
        <f>#REF!/1000000</f>
        <v/>
      </c>
      <c r="GQ15" s="608">
        <f>#REF!/1000000</f>
        <v/>
      </c>
      <c r="GR15" s="608">
        <f>#REF!/1000000</f>
        <v/>
      </c>
      <c r="GS15" s="608">
        <f>#REF!/1000000</f>
        <v/>
      </c>
      <c r="GT15" s="608">
        <f>#REF!/1000000</f>
        <v/>
      </c>
      <c r="GU15" s="608">
        <f>#REF!/1000000</f>
        <v/>
      </c>
      <c r="GV15" s="608">
        <f>#REF!/1000000</f>
        <v/>
      </c>
      <c r="GW15" s="608">
        <f>#REF!/1000000</f>
        <v/>
      </c>
      <c r="GX15" s="608">
        <f>#REF!/1000000</f>
        <v/>
      </c>
      <c r="GY15" s="608">
        <f>#REF!/1000000</f>
        <v/>
      </c>
      <c r="GZ15" s="608">
        <f>#REF!/1000000</f>
        <v/>
      </c>
      <c r="HA15" s="608">
        <f>#REF!/1000000</f>
        <v/>
      </c>
      <c r="HB15" s="608">
        <f>#REF!/1000000</f>
        <v/>
      </c>
      <c r="HC15" s="608">
        <f>#REF!/1000000</f>
        <v/>
      </c>
      <c r="HD15" s="608">
        <f>#REF!/1000000</f>
        <v/>
      </c>
      <c r="HE15" s="608">
        <f>#REF!/1000000</f>
        <v/>
      </c>
      <c r="HF15" s="608">
        <f>#REF!/1000000</f>
        <v/>
      </c>
      <c r="HG15" s="608">
        <f>#REF!/1000000</f>
        <v/>
      </c>
      <c r="HH15" s="608">
        <f>#REF!/1000000</f>
        <v/>
      </c>
      <c r="HI15" s="608">
        <f>#REF!/1000000</f>
        <v/>
      </c>
      <c r="HJ15" s="608">
        <f>#REF!/1000000</f>
        <v/>
      </c>
      <c r="HK15" s="608">
        <f>#REF!/1000000</f>
        <v/>
      </c>
      <c r="HL15" s="608">
        <f>#REF!/1000000</f>
        <v/>
      </c>
      <c r="HM15" s="608">
        <f>#REF!/1000000</f>
        <v/>
      </c>
      <c r="HN15" s="608">
        <f>#REF!/1000000</f>
        <v/>
      </c>
      <c r="HO15" s="608">
        <f>#REF!/1000000</f>
        <v/>
      </c>
      <c r="HP15" s="608">
        <f>#REF!/1000000</f>
        <v/>
      </c>
      <c r="HQ15" s="608">
        <f>#REF!/1000000</f>
        <v/>
      </c>
      <c r="HR15" s="608">
        <f>#REF!/1000000</f>
        <v/>
      </c>
      <c r="HS15" s="608">
        <f>#REF!/1000000</f>
        <v/>
      </c>
      <c r="HT15" s="608">
        <f>#REF!/1000000</f>
        <v/>
      </c>
      <c r="HU15" s="608">
        <f>#REF!/1000000</f>
        <v/>
      </c>
      <c r="HV15" s="608">
        <f>#REF!/1000000</f>
        <v/>
      </c>
      <c r="HW15" s="608">
        <f>#REF!/1000000</f>
        <v/>
      </c>
      <c r="HX15" s="608">
        <f>#REF!/1000000</f>
        <v/>
      </c>
      <c r="HY15" s="608">
        <f>#REF!/1000000</f>
        <v/>
      </c>
      <c r="HZ15" s="608">
        <f>#REF!/1000000</f>
        <v/>
      </c>
      <c r="IA15" s="608">
        <f>#REF!/1000000</f>
        <v/>
      </c>
      <c r="IB15" s="608">
        <f>#REF!/1000000</f>
        <v/>
      </c>
      <c r="IC15" s="608">
        <f>#REF!/1000000</f>
        <v/>
      </c>
      <c r="ID15" s="608">
        <f>#REF!/1000000</f>
        <v/>
      </c>
      <c r="IE15" t="inlineStr">
        <is>
          <t>x</t>
        </is>
      </c>
    </row>
    <row r="16">
      <c r="B16" t="inlineStr">
        <is>
          <t>Distribuição</t>
        </is>
      </c>
      <c r="D16" s="610">
        <f>+E16+J16+O16+T16+Y16+AD16+AE16+AF16+AG16+AH16+AI16+AJ16+AK16+AL16+AM16+AN16+AO16</f>
        <v/>
      </c>
      <c r="E16" s="610">
        <f>SUM(F16:I16)</f>
        <v/>
      </c>
      <c r="F16" s="610">
        <f>SUMIF($AS$1:$ID$1,F$1,$AS16:$ID16)</f>
        <v/>
      </c>
      <c r="G16" s="610">
        <f>SUMIF($AS$1:$ID$1,G$1,$AS16:$ID16)</f>
        <v/>
      </c>
      <c r="H16" s="610">
        <f>SUMIF($AS$1:$ID$1,H$1,$AS16:$ID16)</f>
        <v/>
      </c>
      <c r="I16" s="610">
        <f>SUMIF($AS$1:$ID$1,I$1,$AS16:$ID16)</f>
        <v/>
      </c>
      <c r="J16" s="610">
        <f>SUM(K16:N16)</f>
        <v/>
      </c>
      <c r="K16" s="610">
        <f>SUMIF($AS$1:$ID$1,K$1,$AS16:$ID16)</f>
        <v/>
      </c>
      <c r="L16" s="610">
        <f>SUMIF($AS$1:$ID$1,L$1,$AS16:$ID16)</f>
        <v/>
      </c>
      <c r="M16" s="610">
        <f>SUMIF($AS$1:$ID$1,M$1,$AS16:$ID16)</f>
        <v/>
      </c>
      <c r="N16" s="610">
        <f>SUMIF($AS$1:$ID$1,N$1,$AS16:$ID16)</f>
        <v/>
      </c>
      <c r="O16" s="610">
        <f>SUM(P16:S16)</f>
        <v/>
      </c>
      <c r="P16" s="610">
        <f>SUMIF($AS$1:$ID$1,P$1,$AS16:$ID16)</f>
        <v/>
      </c>
      <c r="Q16" s="610">
        <f>SUMIF($AS$1:$ID$1,Q$1,$AS16:$ID16)</f>
        <v/>
      </c>
      <c r="R16" s="610">
        <f>SUMIF($AS$1:$ID$1,R$1,$AS16:$ID16)</f>
        <v/>
      </c>
      <c r="S16" s="610">
        <f>SUMIF($AS$1:$ID$1,S$1,$AS16:$ID16)</f>
        <v/>
      </c>
      <c r="T16" s="610">
        <f>SUM(U16:X16)</f>
        <v/>
      </c>
      <c r="U16" s="610">
        <f>SUMIF($AS$1:$ID$1,U$1,$AS16:$ID16)</f>
        <v/>
      </c>
      <c r="V16" s="610">
        <f>SUMIF($AS$1:$ID$1,V$1,$AS16:$ID16)</f>
        <v/>
      </c>
      <c r="W16" s="610">
        <f>SUMIF($AS$1:$ID$1,W$1,$AS16:$ID16)</f>
        <v/>
      </c>
      <c r="X16" s="610">
        <f>SUMIF($AS$1:$ID$1,X$1,$AS16:$ID16)</f>
        <v/>
      </c>
      <c r="Y16" s="610">
        <f>SUM(Z16:AC16)</f>
        <v/>
      </c>
      <c r="Z16" s="610">
        <f>SUMIF($AS$1:$ID$1,Z$1,$AS16:$ID16)</f>
        <v/>
      </c>
      <c r="AA16" s="610">
        <f>SUMIF($AS$1:$ID$1,AA$1,$AS16:$ID16)</f>
        <v/>
      </c>
      <c r="AB16" s="610">
        <f>SUMIF($AS$1:$ID$1,AB$1,$AS16:$ID16)</f>
        <v/>
      </c>
      <c r="AC16" s="610">
        <f>SUMIF($AS$1:$ID$1,AC$1,$AS16:$ID16)</f>
        <v/>
      </c>
      <c r="AD16" s="610">
        <f>SUMIF($AS$2:$ID$2,AD$2,$AS16:$ID16)</f>
        <v/>
      </c>
      <c r="AE16" s="610">
        <f>SUMIF($AS$2:$ID$2,AE$2,$AS16:$ID16)</f>
        <v/>
      </c>
      <c r="AF16" s="610">
        <f>SUMIF($AS$2:$ID$2,AF$2,$AS16:$ID16)</f>
        <v/>
      </c>
      <c r="AG16" s="610">
        <f>SUMIF($AS$2:$ID$2,AG$2,$AS16:$ID16)</f>
        <v/>
      </c>
      <c r="AH16" s="610">
        <f>SUMIF($AS$2:$ID$2,AH$2,$AS16:$ID16)</f>
        <v/>
      </c>
      <c r="AI16" s="610">
        <f>SUMIF($AS$2:$ID$2,AI$2,$AS16:$ID16)</f>
        <v/>
      </c>
      <c r="AJ16" s="610">
        <f>SUMIF($AS$2:$ID$2,AJ$2,$AS16:$ID16)</f>
        <v/>
      </c>
      <c r="AK16" s="610">
        <f>SUMIF($AS$2:$ID$2,AK$2,$AS16:$ID16)</f>
        <v/>
      </c>
      <c r="AL16" s="610">
        <f>SUMIF($AS$2:$ID$2,AL$2,$AS16:$ID16)</f>
        <v/>
      </c>
      <c r="AM16" s="610">
        <f>SUMIF($AS$2:$ID$2,AM$2,$AS16:$ID16)</f>
        <v/>
      </c>
      <c r="AN16" s="610">
        <f>SUMIF($AS$2:$ID$2,AN$2,$AS16:$ID16)</f>
        <v/>
      </c>
      <c r="AO16" s="610">
        <f>SUMIF($AS$2:$ID$2,AO$2,$AS16:$ID16)</f>
        <v/>
      </c>
      <c r="AQ16" s="607">
        <f>SUM(AS16:ID16)</f>
        <v/>
      </c>
      <c r="AR16" t="inlineStr">
        <is>
          <t>Distribuição</t>
        </is>
      </c>
      <c r="AS16" s="608">
        <f>#REF!/1000000</f>
        <v/>
      </c>
      <c r="AT16" s="608">
        <f>#REF!/1000000</f>
        <v/>
      </c>
      <c r="AU16" s="608">
        <f>#REF!/1000000</f>
        <v/>
      </c>
      <c r="AV16" s="608">
        <f>#REF!/1000000</f>
        <v/>
      </c>
      <c r="AW16" s="608">
        <f>#REF!/1000000</f>
        <v/>
      </c>
      <c r="AX16" s="608">
        <f>#REF!/1000000</f>
        <v/>
      </c>
      <c r="AY16" s="608">
        <f>#REF!/1000000</f>
        <v/>
      </c>
      <c r="AZ16" s="608">
        <f>#REF!/1000000</f>
        <v/>
      </c>
      <c r="BA16" s="608">
        <f>#REF!/1000000</f>
        <v/>
      </c>
      <c r="BB16" s="608">
        <f>#REF!/1000000</f>
        <v/>
      </c>
      <c r="BC16" s="608">
        <f>#REF!/1000000</f>
        <v/>
      </c>
      <c r="BD16" s="608">
        <f>#REF!/1000000</f>
        <v/>
      </c>
      <c r="BE16" s="608">
        <f>#REF!/1000000</f>
        <v/>
      </c>
      <c r="BF16" s="608">
        <f>#REF!/1000000</f>
        <v/>
      </c>
      <c r="BG16" s="608">
        <f>#REF!/1000000</f>
        <v/>
      </c>
      <c r="BH16" s="608">
        <f>#REF!/1000000</f>
        <v/>
      </c>
      <c r="BI16" s="608">
        <f>#REF!/1000000</f>
        <v/>
      </c>
      <c r="BJ16" s="608">
        <f>#REF!/1000000</f>
        <v/>
      </c>
      <c r="BK16" s="608">
        <f>#REF!/1000000</f>
        <v/>
      </c>
      <c r="BL16" s="608">
        <f>#REF!/1000000</f>
        <v/>
      </c>
      <c r="BM16" s="608">
        <f>#REF!/1000000</f>
        <v/>
      </c>
      <c r="BN16" s="608">
        <f>#REF!/1000000</f>
        <v/>
      </c>
      <c r="BO16" s="608">
        <f>#REF!/1000000</f>
        <v/>
      </c>
      <c r="BP16" s="608">
        <f>#REF!/1000000</f>
        <v/>
      </c>
      <c r="BQ16" s="608">
        <f>#REF!/1000000</f>
        <v/>
      </c>
      <c r="BR16" s="608">
        <f>#REF!/1000000</f>
        <v/>
      </c>
      <c r="BS16" s="608">
        <f>#REF!/1000000</f>
        <v/>
      </c>
      <c r="BT16" s="608">
        <f>#REF!/1000000</f>
        <v/>
      </c>
      <c r="BU16" s="608">
        <f>#REF!/1000000</f>
        <v/>
      </c>
      <c r="BV16" s="608">
        <f>#REF!/1000000</f>
        <v/>
      </c>
      <c r="BW16" s="608">
        <f>#REF!/1000000</f>
        <v/>
      </c>
      <c r="BX16" s="608">
        <f>#REF!/1000000</f>
        <v/>
      </c>
      <c r="BY16" s="608">
        <f>#REF!/1000000</f>
        <v/>
      </c>
      <c r="BZ16" s="608">
        <f>#REF!/1000000</f>
        <v/>
      </c>
      <c r="CA16" s="608">
        <f>#REF!/1000000</f>
        <v/>
      </c>
      <c r="CB16" s="608">
        <f>#REF!/1000000</f>
        <v/>
      </c>
      <c r="CC16" s="608">
        <f>#REF!/1000000</f>
        <v/>
      </c>
      <c r="CD16" s="608">
        <f>#REF!/1000000</f>
        <v/>
      </c>
      <c r="CE16" s="608">
        <f>#REF!/1000000</f>
        <v/>
      </c>
      <c r="CF16" s="608">
        <f>#REF!/1000000</f>
        <v/>
      </c>
      <c r="CG16" s="608">
        <f>#REF!/1000000</f>
        <v/>
      </c>
      <c r="CH16" s="608">
        <f>#REF!/1000000</f>
        <v/>
      </c>
      <c r="CI16" s="608">
        <f>#REF!/1000000</f>
        <v/>
      </c>
      <c r="CJ16" s="608">
        <f>#REF!/1000000</f>
        <v/>
      </c>
      <c r="CK16" s="608">
        <f>#REF!/1000000</f>
        <v/>
      </c>
      <c r="CL16" s="608">
        <f>#REF!/1000000</f>
        <v/>
      </c>
      <c r="CM16" s="608">
        <f>#REF!/1000000</f>
        <v/>
      </c>
      <c r="CN16" s="608">
        <f>#REF!/1000000</f>
        <v/>
      </c>
      <c r="CO16" s="608">
        <f>#REF!/1000000</f>
        <v/>
      </c>
      <c r="CP16" s="608">
        <f>#REF!/1000000</f>
        <v/>
      </c>
      <c r="CQ16" s="608">
        <f>#REF!/1000000</f>
        <v/>
      </c>
      <c r="CR16" s="608">
        <f>#REF!/1000000</f>
        <v/>
      </c>
      <c r="CS16" s="608">
        <f>#REF!/1000000</f>
        <v/>
      </c>
      <c r="CT16" s="608">
        <f>#REF!/1000000</f>
        <v/>
      </c>
      <c r="CU16" s="608">
        <f>#REF!/1000000</f>
        <v/>
      </c>
      <c r="CV16" s="608">
        <f>#REF!/1000000</f>
        <v/>
      </c>
      <c r="CW16" s="608">
        <f>#REF!/1000000</f>
        <v/>
      </c>
      <c r="CX16" s="608">
        <f>#REF!/1000000</f>
        <v/>
      </c>
      <c r="CY16" s="608">
        <f>#REF!/1000000</f>
        <v/>
      </c>
      <c r="CZ16" s="608">
        <f>#REF!/1000000</f>
        <v/>
      </c>
      <c r="DA16" s="608">
        <f>#REF!/1000000</f>
        <v/>
      </c>
      <c r="DB16" s="608">
        <f>#REF!/1000000</f>
        <v/>
      </c>
      <c r="DC16" s="608">
        <f>#REF!/1000000</f>
        <v/>
      </c>
      <c r="DD16" s="608">
        <f>#REF!/1000000</f>
        <v/>
      </c>
      <c r="DE16" s="608">
        <f>#REF!/1000000</f>
        <v/>
      </c>
      <c r="DF16" s="608">
        <f>#REF!/1000000</f>
        <v/>
      </c>
      <c r="DG16" s="608">
        <f>#REF!/1000000</f>
        <v/>
      </c>
      <c r="DH16" s="608">
        <f>#REF!/1000000</f>
        <v/>
      </c>
      <c r="DI16" s="608">
        <f>#REF!/1000000</f>
        <v/>
      </c>
      <c r="DJ16" s="608">
        <f>#REF!/1000000</f>
        <v/>
      </c>
      <c r="DK16" s="608">
        <f>#REF!/1000000</f>
        <v/>
      </c>
      <c r="DL16" s="608">
        <f>#REF!/1000000</f>
        <v/>
      </c>
      <c r="DM16" s="608">
        <f>#REF!/1000000</f>
        <v/>
      </c>
      <c r="DN16" s="608">
        <f>#REF!/1000000</f>
        <v/>
      </c>
      <c r="DO16" s="608">
        <f>#REF!/1000000</f>
        <v/>
      </c>
      <c r="DP16" s="608">
        <f>#REF!/1000000</f>
        <v/>
      </c>
      <c r="DQ16" s="608">
        <f>#REF!/1000000</f>
        <v/>
      </c>
      <c r="DR16" s="608">
        <f>#REF!/1000000</f>
        <v/>
      </c>
      <c r="DS16" s="608">
        <f>#REF!/1000000</f>
        <v/>
      </c>
      <c r="DT16" s="608">
        <f>#REF!/1000000</f>
        <v/>
      </c>
      <c r="DU16" s="608">
        <f>#REF!/1000000</f>
        <v/>
      </c>
      <c r="DV16" s="608">
        <f>#REF!/1000000</f>
        <v/>
      </c>
      <c r="DW16" s="608">
        <f>#REF!/1000000</f>
        <v/>
      </c>
      <c r="DX16" s="608">
        <f>#REF!/1000000</f>
        <v/>
      </c>
      <c r="DY16" s="608">
        <f>#REF!/1000000</f>
        <v/>
      </c>
      <c r="DZ16" s="608">
        <f>#REF!/1000000</f>
        <v/>
      </c>
      <c r="EA16" s="608">
        <f>#REF!/1000000</f>
        <v/>
      </c>
      <c r="EB16" s="608">
        <f>#REF!/1000000</f>
        <v/>
      </c>
      <c r="EC16" s="608">
        <f>#REF!/1000000</f>
        <v/>
      </c>
      <c r="ED16" s="608">
        <f>#REF!/1000000</f>
        <v/>
      </c>
      <c r="EE16" s="608">
        <f>#REF!/1000000</f>
        <v/>
      </c>
      <c r="EF16" s="608">
        <f>#REF!/1000000</f>
        <v/>
      </c>
      <c r="EG16" s="608">
        <f>#REF!/1000000</f>
        <v/>
      </c>
      <c r="EH16" s="608">
        <f>#REF!/1000000</f>
        <v/>
      </c>
      <c r="EI16" s="608">
        <f>#REF!/1000000</f>
        <v/>
      </c>
      <c r="EJ16" s="608">
        <f>#REF!/1000000</f>
        <v/>
      </c>
      <c r="EK16" s="608">
        <f>#REF!/1000000</f>
        <v/>
      </c>
      <c r="EL16" s="608">
        <f>#REF!/1000000</f>
        <v/>
      </c>
      <c r="EM16" s="608">
        <f>#REF!/1000000</f>
        <v/>
      </c>
      <c r="EN16" s="608">
        <f>#REF!/1000000</f>
        <v/>
      </c>
      <c r="EO16" s="608">
        <f>#REF!/1000000</f>
        <v/>
      </c>
      <c r="EP16" s="608">
        <f>#REF!/1000000</f>
        <v/>
      </c>
      <c r="EQ16" s="608">
        <f>#REF!/1000000</f>
        <v/>
      </c>
      <c r="ER16" s="608">
        <f>#REF!/1000000</f>
        <v/>
      </c>
      <c r="ES16" s="608">
        <f>#REF!/1000000</f>
        <v/>
      </c>
      <c r="ET16" s="608">
        <f>#REF!/1000000</f>
        <v/>
      </c>
      <c r="EU16" s="608">
        <f>#REF!/1000000</f>
        <v/>
      </c>
      <c r="EV16" s="608">
        <f>#REF!/1000000</f>
        <v/>
      </c>
      <c r="EW16" s="608">
        <f>#REF!/1000000</f>
        <v/>
      </c>
      <c r="EX16" s="608">
        <f>#REF!/1000000</f>
        <v/>
      </c>
      <c r="EY16" s="608">
        <f>#REF!/1000000</f>
        <v/>
      </c>
      <c r="EZ16" s="608">
        <f>#REF!/1000000</f>
        <v/>
      </c>
      <c r="FA16" s="608">
        <f>#REF!/1000000</f>
        <v/>
      </c>
      <c r="FB16" s="608">
        <f>#REF!/1000000</f>
        <v/>
      </c>
      <c r="FC16" s="608">
        <f>#REF!/1000000</f>
        <v/>
      </c>
      <c r="FD16" s="608">
        <f>#REF!/1000000</f>
        <v/>
      </c>
      <c r="FE16" s="608">
        <f>#REF!/1000000</f>
        <v/>
      </c>
      <c r="FF16" s="608">
        <f>#REF!/1000000</f>
        <v/>
      </c>
      <c r="FG16" s="608">
        <f>#REF!/1000000</f>
        <v/>
      </c>
      <c r="FH16" s="608">
        <f>#REF!/1000000</f>
        <v/>
      </c>
      <c r="FI16" s="608">
        <f>#REF!/1000000</f>
        <v/>
      </c>
      <c r="FJ16" s="608">
        <f>#REF!/1000000</f>
        <v/>
      </c>
      <c r="FK16" s="608">
        <f>#REF!/1000000</f>
        <v/>
      </c>
      <c r="FL16" s="608">
        <f>#REF!/1000000</f>
        <v/>
      </c>
      <c r="FM16" s="608">
        <f>#REF!/1000000</f>
        <v/>
      </c>
      <c r="FN16" s="608">
        <f>#REF!/1000000</f>
        <v/>
      </c>
      <c r="FO16" s="608">
        <f>#REF!/1000000</f>
        <v/>
      </c>
      <c r="FP16" s="608">
        <f>#REF!/1000000</f>
        <v/>
      </c>
      <c r="FQ16" s="608">
        <f>#REF!/1000000</f>
        <v/>
      </c>
      <c r="FR16" s="608">
        <f>#REF!/1000000</f>
        <v/>
      </c>
      <c r="FS16" s="608">
        <f>#REF!/1000000</f>
        <v/>
      </c>
      <c r="FT16" s="608">
        <f>#REF!/1000000</f>
        <v/>
      </c>
      <c r="FU16" s="608">
        <f>#REF!/1000000</f>
        <v/>
      </c>
      <c r="FV16" s="608">
        <f>#REF!/1000000</f>
        <v/>
      </c>
      <c r="FW16" s="608">
        <f>#REF!/1000000</f>
        <v/>
      </c>
      <c r="FX16" s="608">
        <f>#REF!/1000000</f>
        <v/>
      </c>
      <c r="FY16" s="608">
        <f>#REF!/1000000</f>
        <v/>
      </c>
      <c r="FZ16" s="608">
        <f>#REF!/1000000</f>
        <v/>
      </c>
      <c r="GA16" s="608">
        <f>#REF!/1000000</f>
        <v/>
      </c>
      <c r="GB16" s="608">
        <f>#REF!/1000000</f>
        <v/>
      </c>
      <c r="GC16" s="608">
        <f>#REF!/1000000</f>
        <v/>
      </c>
      <c r="GD16" s="608">
        <f>#REF!/1000000</f>
        <v/>
      </c>
      <c r="GE16" s="608">
        <f>#REF!/1000000</f>
        <v/>
      </c>
      <c r="GF16" s="608">
        <f>#REF!/1000000</f>
        <v/>
      </c>
      <c r="GG16" s="608">
        <f>#REF!/1000000</f>
        <v/>
      </c>
      <c r="GH16" s="608">
        <f>#REF!/1000000</f>
        <v/>
      </c>
      <c r="GI16" s="608">
        <f>#REF!/1000000</f>
        <v/>
      </c>
      <c r="GJ16" s="608">
        <f>#REF!/1000000</f>
        <v/>
      </c>
      <c r="GK16" s="608">
        <f>#REF!/1000000</f>
        <v/>
      </c>
      <c r="GL16" s="608">
        <f>#REF!/1000000</f>
        <v/>
      </c>
      <c r="GM16" s="608">
        <f>#REF!/1000000</f>
        <v/>
      </c>
      <c r="GN16" s="608">
        <f>#REF!/1000000</f>
        <v/>
      </c>
      <c r="GO16" s="608">
        <f>#REF!/1000000</f>
        <v/>
      </c>
      <c r="GP16" s="608">
        <f>#REF!/1000000</f>
        <v/>
      </c>
      <c r="GQ16" s="608">
        <f>#REF!/1000000</f>
        <v/>
      </c>
      <c r="GR16" s="608">
        <f>#REF!/1000000</f>
        <v/>
      </c>
      <c r="GS16" s="608">
        <f>#REF!/1000000</f>
        <v/>
      </c>
      <c r="GT16" s="608">
        <f>#REF!/1000000</f>
        <v/>
      </c>
      <c r="GU16" s="608">
        <f>#REF!/1000000</f>
        <v/>
      </c>
      <c r="GV16" s="608">
        <f>#REF!/1000000</f>
        <v/>
      </c>
      <c r="GW16" s="608">
        <f>#REF!/1000000</f>
        <v/>
      </c>
      <c r="GX16" s="608">
        <f>#REF!/1000000</f>
        <v/>
      </c>
      <c r="GY16" s="608">
        <f>#REF!/1000000</f>
        <v/>
      </c>
      <c r="GZ16" s="608">
        <f>#REF!/1000000</f>
        <v/>
      </c>
      <c r="HA16" s="608">
        <f>#REF!/1000000</f>
        <v/>
      </c>
      <c r="HB16" s="608">
        <f>#REF!/1000000</f>
        <v/>
      </c>
      <c r="HC16" s="608">
        <f>#REF!/1000000</f>
        <v/>
      </c>
      <c r="HD16" s="608">
        <f>#REF!/1000000</f>
        <v/>
      </c>
      <c r="HE16" s="608">
        <f>#REF!/1000000</f>
        <v/>
      </c>
      <c r="HF16" s="608">
        <f>#REF!/1000000</f>
        <v/>
      </c>
      <c r="HG16" s="608">
        <f>#REF!/1000000</f>
        <v/>
      </c>
      <c r="HH16" s="608">
        <f>#REF!/1000000</f>
        <v/>
      </c>
      <c r="HI16" s="608">
        <f>#REF!/1000000</f>
        <v/>
      </c>
      <c r="HJ16" s="608">
        <f>#REF!/1000000</f>
        <v/>
      </c>
      <c r="HK16" s="608">
        <f>#REF!/1000000</f>
        <v/>
      </c>
      <c r="HL16" s="608">
        <f>#REF!/1000000</f>
        <v/>
      </c>
      <c r="HM16" s="608">
        <f>#REF!/1000000</f>
        <v/>
      </c>
      <c r="HN16" s="608">
        <f>#REF!/1000000</f>
        <v/>
      </c>
      <c r="HO16" s="608">
        <f>#REF!/1000000</f>
        <v/>
      </c>
      <c r="HP16" s="608">
        <f>#REF!/1000000</f>
        <v/>
      </c>
      <c r="HQ16" s="608">
        <f>#REF!/1000000</f>
        <v/>
      </c>
      <c r="HR16" s="608">
        <f>#REF!/1000000</f>
        <v/>
      </c>
      <c r="HS16" s="608">
        <f>#REF!/1000000</f>
        <v/>
      </c>
      <c r="HT16" s="608">
        <f>#REF!/1000000</f>
        <v/>
      </c>
      <c r="HU16" s="608">
        <f>#REF!/1000000</f>
        <v/>
      </c>
      <c r="HV16" s="608">
        <f>#REF!/1000000</f>
        <v/>
      </c>
      <c r="HW16" s="608">
        <f>#REF!/1000000</f>
        <v/>
      </c>
      <c r="HX16" s="608">
        <f>#REF!/1000000</f>
        <v/>
      </c>
      <c r="HY16" s="608">
        <f>#REF!/1000000</f>
        <v/>
      </c>
      <c r="HZ16" s="608">
        <f>#REF!/1000000</f>
        <v/>
      </c>
      <c r="IA16" s="608">
        <f>#REF!/1000000</f>
        <v/>
      </c>
      <c r="IB16" s="608">
        <f>#REF!/1000000</f>
        <v/>
      </c>
      <c r="IC16" s="608">
        <f>#REF!/1000000</f>
        <v/>
      </c>
      <c r="ID16" s="608">
        <f>#REF!/1000000</f>
        <v/>
      </c>
      <c r="IE16" t="inlineStr">
        <is>
          <t>x</t>
        </is>
      </c>
    </row>
    <row r="17">
      <c r="IE17" t="inlineStr">
        <is>
          <t>x</t>
        </is>
      </c>
    </row>
    <row r="18" ht="15" customHeight="1" thickBot="1">
      <c r="IE18" t="inlineStr">
        <is>
          <t>x</t>
        </is>
      </c>
    </row>
    <row r="19" ht="15" customHeight="1" thickBot="1">
      <c r="B19" s="428" t="inlineStr">
        <is>
          <t>10 lotes (em R$ MM)</t>
        </is>
      </c>
      <c r="AR19" t="inlineStr">
        <is>
          <t>10 lotes (em R$ MM)</t>
        </is>
      </c>
      <c r="IE19" t="inlineStr">
        <is>
          <t>x</t>
        </is>
      </c>
    </row>
    <row r="20">
      <c r="IE20" t="inlineStr">
        <is>
          <t>x</t>
        </is>
      </c>
    </row>
    <row r="21">
      <c r="B21" t="inlineStr">
        <is>
          <t>Aporte</t>
        </is>
      </c>
      <c r="D21" s="606">
        <f>+E21+J21+O21+T21+Y21+AD21+AE21+AF21+AG21+AH21+AI21+AJ21+AK21+AL21+AM21+AN21+AO21</f>
        <v/>
      </c>
      <c r="E21" s="606">
        <f>SUM(F21:I21)</f>
        <v/>
      </c>
      <c r="F21" s="606">
        <f>SUMIF($AS$1:$ID$1,F$1,$AS21:$ID21)</f>
        <v/>
      </c>
      <c r="G21" s="606">
        <f>SUMIF($AS$1:$ID$1,G$1,$AS21:$ID21)</f>
        <v/>
      </c>
      <c r="H21" s="606">
        <f>SUMIF($AS$1:$ID$1,H$1,$AS21:$ID21)</f>
        <v/>
      </c>
      <c r="I21" s="606">
        <f>SUMIF($AS$1:$ID$1,I$1,$AS21:$ID21)</f>
        <v/>
      </c>
      <c r="J21" s="606">
        <f>SUM(K21:N21)</f>
        <v/>
      </c>
      <c r="K21" s="606">
        <f>SUMIF($AS$1:$ID$1,K$1,$AS21:$ID21)</f>
        <v/>
      </c>
      <c r="L21" s="606">
        <f>SUMIF($AS$1:$ID$1,L$1,$AS21:$ID21)</f>
        <v/>
      </c>
      <c r="M21" s="606">
        <f>SUMIF($AS$1:$ID$1,M$1,$AS21:$ID21)</f>
        <v/>
      </c>
      <c r="N21" s="606">
        <f>SUMIF($AS$1:$ID$1,N$1,$AS21:$ID21)</f>
        <v/>
      </c>
      <c r="O21" s="606">
        <f>SUM(P21:S21)</f>
        <v/>
      </c>
      <c r="P21" s="606">
        <f>SUMIF($AS$1:$ID$1,P$1,$AS21:$ID21)</f>
        <v/>
      </c>
      <c r="Q21" s="606">
        <f>SUMIF($AS$1:$ID$1,Q$1,$AS21:$ID21)</f>
        <v/>
      </c>
      <c r="R21" s="606">
        <f>SUMIF($AS$1:$ID$1,R$1,$AS21:$ID21)</f>
        <v/>
      </c>
      <c r="S21" s="606">
        <f>SUMIF($AS$1:$ID$1,S$1,$AS21:$ID21)</f>
        <v/>
      </c>
      <c r="T21" s="606">
        <f>SUM(U21:X21)</f>
        <v/>
      </c>
      <c r="U21" s="606">
        <f>SUMIF($AS$1:$ID$1,U$1,$AS21:$ID21)</f>
        <v/>
      </c>
      <c r="V21" s="606">
        <f>SUMIF($AS$1:$ID$1,V$1,$AS21:$ID21)</f>
        <v/>
      </c>
      <c r="W21" s="606">
        <f>SUMIF($AS$1:$ID$1,W$1,$AS21:$ID21)</f>
        <v/>
      </c>
      <c r="X21" s="606">
        <f>SUMIF($AS$1:$ID$1,X$1,$AS21:$ID21)</f>
        <v/>
      </c>
      <c r="Y21" s="606">
        <f>SUM(Z21:AC21)</f>
        <v/>
      </c>
      <c r="Z21" s="606">
        <f>SUMIF($AS$1:$ID$1,Z$1,$AS21:$ID21)</f>
        <v/>
      </c>
      <c r="AA21" s="606">
        <f>SUMIF($AS$1:$ID$1,AA$1,$AS21:$ID21)</f>
        <v/>
      </c>
      <c r="AB21" s="606">
        <f>SUMIF($AS$1:$ID$1,AB$1,$AS21:$ID21)</f>
        <v/>
      </c>
      <c r="AC21" s="606">
        <f>SUMIF($AS$1:$ID$1,AC$1,$AS21:$ID21)</f>
        <v/>
      </c>
      <c r="AD21" s="606">
        <f>SUMIF($AS$2:$ID$2,AD$2,$AS21:$ID21)</f>
        <v/>
      </c>
      <c r="AE21" s="606">
        <f>SUMIF($AS$2:$ID$2,AE$2,$AS21:$ID21)</f>
        <v/>
      </c>
      <c r="AF21" s="606">
        <f>SUMIF($AS$2:$ID$2,AF$2,$AS21:$ID21)</f>
        <v/>
      </c>
      <c r="AG21" s="606">
        <f>SUMIF($AS$2:$ID$2,AG$2,$AS21:$ID21)</f>
        <v/>
      </c>
      <c r="AH21" s="606">
        <f>SUMIF($AS$2:$ID$2,AH$2,$AS21:$ID21)</f>
        <v/>
      </c>
      <c r="AI21" s="606">
        <f>SUMIF($AS$2:$ID$2,AI$2,$AS21:$ID21)</f>
        <v/>
      </c>
      <c r="AJ21" s="606">
        <f>SUMIF($AS$2:$ID$2,AJ$2,$AS21:$ID21)</f>
        <v/>
      </c>
      <c r="AK21" s="606">
        <f>SUMIF($AS$2:$ID$2,AK$2,$AS21:$ID21)</f>
        <v/>
      </c>
      <c r="AL21" s="606">
        <f>SUMIF($AS$2:$ID$2,AL$2,$AS21:$ID21)</f>
        <v/>
      </c>
      <c r="AM21" s="606">
        <f>SUMIF($AS$2:$ID$2,AM$2,$AS21:$ID21)</f>
        <v/>
      </c>
      <c r="AN21" s="606">
        <f>SUMIF($AS$2:$ID$2,AN$2,$AS21:$ID21)</f>
        <v/>
      </c>
      <c r="AO21" s="606">
        <f>SUMIF($AS$2:$ID$2,AO$2,$AS21:$ID21)</f>
        <v/>
      </c>
      <c r="AQ21" s="607">
        <f>SUM(AS21:ID21)</f>
        <v/>
      </c>
      <c r="AR21" t="inlineStr">
        <is>
          <t>Aporte</t>
        </is>
      </c>
      <c r="AS21" s="608">
        <f>#REF!/1000000</f>
        <v/>
      </c>
      <c r="AT21" s="608">
        <f>#REF!/1000000</f>
        <v/>
      </c>
      <c r="AU21" s="608">
        <f>#REF!/1000000</f>
        <v/>
      </c>
      <c r="AV21" s="608">
        <f>#REF!/1000000</f>
        <v/>
      </c>
      <c r="AW21" s="608">
        <f>#REF!/1000000</f>
        <v/>
      </c>
      <c r="AX21" s="608">
        <f>#REF!/1000000</f>
        <v/>
      </c>
      <c r="AY21" s="608">
        <f>#REF!/1000000</f>
        <v/>
      </c>
      <c r="AZ21" s="608">
        <f>#REF!/1000000</f>
        <v/>
      </c>
      <c r="BA21" s="608">
        <f>#REF!/1000000</f>
        <v/>
      </c>
      <c r="BB21" s="608">
        <f>#REF!/1000000</f>
        <v/>
      </c>
      <c r="BC21" s="608">
        <f>#REF!/1000000</f>
        <v/>
      </c>
      <c r="BD21" s="608">
        <f>#REF!/1000000</f>
        <v/>
      </c>
      <c r="BE21" s="608">
        <f>#REF!/1000000</f>
        <v/>
      </c>
      <c r="BF21" s="608">
        <f>#REF!/1000000</f>
        <v/>
      </c>
      <c r="BG21" s="608">
        <f>#REF!/1000000</f>
        <v/>
      </c>
      <c r="BH21" s="608">
        <f>#REF!/1000000</f>
        <v/>
      </c>
      <c r="BI21" s="608">
        <f>#REF!/1000000</f>
        <v/>
      </c>
      <c r="BJ21" s="608">
        <f>#REF!/1000000</f>
        <v/>
      </c>
      <c r="BK21" s="608">
        <f>#REF!/1000000</f>
        <v/>
      </c>
      <c r="BL21" s="608">
        <f>#REF!/1000000</f>
        <v/>
      </c>
      <c r="BM21" s="608">
        <f>#REF!/1000000</f>
        <v/>
      </c>
      <c r="BN21" s="608">
        <f>#REF!/1000000</f>
        <v/>
      </c>
      <c r="BO21" s="608">
        <f>#REF!/1000000</f>
        <v/>
      </c>
      <c r="BP21" s="608">
        <f>#REF!/1000000</f>
        <v/>
      </c>
      <c r="BQ21" s="608">
        <f>#REF!/1000000</f>
        <v/>
      </c>
      <c r="BR21" s="608">
        <f>#REF!/1000000</f>
        <v/>
      </c>
      <c r="BS21" s="608">
        <f>#REF!/1000000</f>
        <v/>
      </c>
      <c r="BT21" s="608">
        <f>#REF!/1000000</f>
        <v/>
      </c>
      <c r="BU21" s="608">
        <f>#REF!/1000000</f>
        <v/>
      </c>
      <c r="BV21" s="608">
        <f>#REF!/1000000</f>
        <v/>
      </c>
      <c r="BW21" s="608">
        <f>#REF!/1000000</f>
        <v/>
      </c>
      <c r="BX21" s="608">
        <f>#REF!/1000000</f>
        <v/>
      </c>
      <c r="BY21" s="608">
        <f>#REF!/1000000</f>
        <v/>
      </c>
      <c r="BZ21" s="608">
        <f>#REF!/1000000</f>
        <v/>
      </c>
      <c r="CA21" s="608">
        <f>#REF!/1000000</f>
        <v/>
      </c>
      <c r="CB21" s="608">
        <f>#REF!/1000000</f>
        <v/>
      </c>
      <c r="CC21" s="608">
        <f>#REF!/1000000</f>
        <v/>
      </c>
      <c r="CD21" s="608">
        <f>#REF!/1000000</f>
        <v/>
      </c>
      <c r="CE21" s="608">
        <f>#REF!/1000000</f>
        <v/>
      </c>
      <c r="CF21" s="608">
        <f>#REF!/1000000</f>
        <v/>
      </c>
      <c r="CG21" s="608">
        <f>#REF!/1000000</f>
        <v/>
      </c>
      <c r="CH21" s="608">
        <f>#REF!/1000000</f>
        <v/>
      </c>
      <c r="CI21" s="608">
        <f>#REF!/1000000</f>
        <v/>
      </c>
      <c r="CJ21" s="608">
        <f>#REF!/1000000</f>
        <v/>
      </c>
      <c r="CK21" s="608">
        <f>#REF!/1000000</f>
        <v/>
      </c>
      <c r="CL21" s="608">
        <f>#REF!/1000000</f>
        <v/>
      </c>
      <c r="CM21" s="608">
        <f>#REF!/1000000</f>
        <v/>
      </c>
      <c r="CN21" s="608">
        <f>#REF!/1000000</f>
        <v/>
      </c>
      <c r="CO21" s="608">
        <f>#REF!/1000000</f>
        <v/>
      </c>
      <c r="CP21" s="608">
        <f>#REF!/1000000</f>
        <v/>
      </c>
      <c r="CQ21" s="608">
        <f>#REF!/1000000</f>
        <v/>
      </c>
      <c r="CR21" s="608">
        <f>#REF!/1000000</f>
        <v/>
      </c>
      <c r="CS21" s="608">
        <f>#REF!/1000000</f>
        <v/>
      </c>
      <c r="CT21" s="608">
        <f>#REF!/1000000</f>
        <v/>
      </c>
      <c r="CU21" s="608">
        <f>#REF!/1000000</f>
        <v/>
      </c>
      <c r="CV21" s="608">
        <f>#REF!/1000000</f>
        <v/>
      </c>
      <c r="CW21" s="608">
        <f>#REF!/1000000</f>
        <v/>
      </c>
      <c r="CX21" s="608">
        <f>#REF!/1000000</f>
        <v/>
      </c>
      <c r="CY21" s="608">
        <f>#REF!/1000000</f>
        <v/>
      </c>
      <c r="CZ21" s="608">
        <f>#REF!/1000000</f>
        <v/>
      </c>
      <c r="DA21" s="608">
        <f>#REF!/1000000</f>
        <v/>
      </c>
      <c r="DB21" s="608">
        <f>#REF!/1000000</f>
        <v/>
      </c>
      <c r="DC21" s="608">
        <f>#REF!/1000000</f>
        <v/>
      </c>
      <c r="DD21" s="608">
        <f>#REF!/1000000</f>
        <v/>
      </c>
      <c r="DE21" s="608">
        <f>#REF!/1000000</f>
        <v/>
      </c>
      <c r="DF21" s="608">
        <f>#REF!/1000000</f>
        <v/>
      </c>
      <c r="DG21" s="608">
        <f>#REF!/1000000</f>
        <v/>
      </c>
      <c r="DH21" s="608">
        <f>#REF!/1000000</f>
        <v/>
      </c>
      <c r="DI21" s="608">
        <f>#REF!/1000000</f>
        <v/>
      </c>
      <c r="DJ21" s="608">
        <f>#REF!/1000000</f>
        <v/>
      </c>
      <c r="DK21" s="608">
        <f>#REF!/1000000</f>
        <v/>
      </c>
      <c r="DL21" s="608">
        <f>#REF!/1000000</f>
        <v/>
      </c>
      <c r="DM21" s="608">
        <f>#REF!/1000000</f>
        <v/>
      </c>
      <c r="DN21" s="608">
        <f>#REF!/1000000</f>
        <v/>
      </c>
      <c r="DO21" s="608">
        <f>#REF!/1000000</f>
        <v/>
      </c>
      <c r="DP21" s="608">
        <f>#REF!/1000000</f>
        <v/>
      </c>
      <c r="DQ21" s="608">
        <f>#REF!/1000000</f>
        <v/>
      </c>
      <c r="DR21" s="608">
        <f>#REF!/1000000</f>
        <v/>
      </c>
      <c r="DS21" s="608">
        <f>#REF!/1000000</f>
        <v/>
      </c>
      <c r="DT21" s="608">
        <f>#REF!/1000000</f>
        <v/>
      </c>
      <c r="DU21" s="608">
        <f>#REF!/1000000</f>
        <v/>
      </c>
      <c r="DV21" s="608">
        <f>#REF!/1000000</f>
        <v/>
      </c>
      <c r="DW21" s="608">
        <f>#REF!/1000000</f>
        <v/>
      </c>
      <c r="DX21" s="608">
        <f>#REF!/1000000</f>
        <v/>
      </c>
      <c r="DY21" s="608">
        <f>#REF!/1000000</f>
        <v/>
      </c>
      <c r="DZ21" s="608">
        <f>#REF!/1000000</f>
        <v/>
      </c>
      <c r="EA21" s="608">
        <f>#REF!/1000000</f>
        <v/>
      </c>
      <c r="EB21" s="608">
        <f>#REF!/1000000</f>
        <v/>
      </c>
      <c r="EC21" s="608">
        <f>#REF!/1000000</f>
        <v/>
      </c>
      <c r="ED21" s="608">
        <f>#REF!/1000000</f>
        <v/>
      </c>
      <c r="EE21" s="608">
        <f>#REF!/1000000</f>
        <v/>
      </c>
      <c r="EF21" s="608">
        <f>#REF!/1000000</f>
        <v/>
      </c>
      <c r="EG21" s="608">
        <f>#REF!/1000000</f>
        <v/>
      </c>
      <c r="EH21" s="608">
        <f>#REF!/1000000</f>
        <v/>
      </c>
      <c r="EI21" s="608">
        <f>#REF!/1000000</f>
        <v/>
      </c>
      <c r="EJ21" s="608">
        <f>#REF!/1000000</f>
        <v/>
      </c>
      <c r="EK21" s="608">
        <f>#REF!/1000000</f>
        <v/>
      </c>
      <c r="EL21" s="608">
        <f>#REF!/1000000</f>
        <v/>
      </c>
      <c r="EM21" s="608">
        <f>#REF!/1000000</f>
        <v/>
      </c>
      <c r="EN21" s="608">
        <f>#REF!/1000000</f>
        <v/>
      </c>
      <c r="EO21" s="608">
        <f>#REF!/1000000</f>
        <v/>
      </c>
      <c r="EP21" s="608">
        <f>#REF!/1000000</f>
        <v/>
      </c>
      <c r="EQ21" s="608">
        <f>#REF!/1000000</f>
        <v/>
      </c>
      <c r="ER21" s="608">
        <f>#REF!/1000000</f>
        <v/>
      </c>
      <c r="ES21" s="608">
        <f>#REF!/1000000</f>
        <v/>
      </c>
      <c r="ET21" s="608">
        <f>#REF!/1000000</f>
        <v/>
      </c>
      <c r="EU21" s="608">
        <f>#REF!/1000000</f>
        <v/>
      </c>
      <c r="EV21" s="608">
        <f>#REF!/1000000</f>
        <v/>
      </c>
      <c r="EW21" s="608">
        <f>#REF!/1000000</f>
        <v/>
      </c>
      <c r="EX21" s="608">
        <f>#REF!/1000000</f>
        <v/>
      </c>
      <c r="EY21" s="608">
        <f>#REF!/1000000</f>
        <v/>
      </c>
      <c r="EZ21" s="608">
        <f>#REF!/1000000</f>
        <v/>
      </c>
      <c r="FA21" s="608">
        <f>#REF!/1000000</f>
        <v/>
      </c>
      <c r="FB21" s="608">
        <f>#REF!/1000000</f>
        <v/>
      </c>
      <c r="FC21" s="608">
        <f>#REF!/1000000</f>
        <v/>
      </c>
      <c r="FD21" s="608">
        <f>#REF!/1000000</f>
        <v/>
      </c>
      <c r="FE21" s="608">
        <f>#REF!/1000000</f>
        <v/>
      </c>
      <c r="FF21" s="608">
        <f>#REF!/1000000</f>
        <v/>
      </c>
      <c r="FG21" s="608">
        <f>#REF!/1000000</f>
        <v/>
      </c>
      <c r="FH21" s="608">
        <f>#REF!/1000000</f>
        <v/>
      </c>
      <c r="FI21" s="608">
        <f>#REF!/1000000</f>
        <v/>
      </c>
      <c r="FJ21" s="608">
        <f>#REF!/1000000</f>
        <v/>
      </c>
      <c r="FK21" s="608">
        <f>#REF!/1000000</f>
        <v/>
      </c>
      <c r="FL21" s="608">
        <f>#REF!/1000000</f>
        <v/>
      </c>
      <c r="FM21" s="608">
        <f>#REF!/1000000</f>
        <v/>
      </c>
      <c r="FN21" s="608">
        <f>#REF!/1000000</f>
        <v/>
      </c>
      <c r="FO21" s="608">
        <f>#REF!/1000000</f>
        <v/>
      </c>
      <c r="FP21" s="608">
        <f>#REF!/1000000</f>
        <v/>
      </c>
      <c r="FQ21" s="608">
        <f>#REF!/1000000</f>
        <v/>
      </c>
      <c r="FR21" s="608">
        <f>#REF!/1000000</f>
        <v/>
      </c>
      <c r="FS21" s="608">
        <f>#REF!/1000000</f>
        <v/>
      </c>
      <c r="FT21" s="608">
        <f>#REF!/1000000</f>
        <v/>
      </c>
      <c r="FU21" s="608">
        <f>#REF!/1000000</f>
        <v/>
      </c>
      <c r="FV21" s="608">
        <f>#REF!/1000000</f>
        <v/>
      </c>
      <c r="FW21" s="608">
        <f>#REF!/1000000</f>
        <v/>
      </c>
      <c r="FX21" s="608">
        <f>#REF!/1000000</f>
        <v/>
      </c>
      <c r="FY21" s="608">
        <f>#REF!/1000000</f>
        <v/>
      </c>
      <c r="FZ21" s="608">
        <f>#REF!/1000000</f>
        <v/>
      </c>
      <c r="GA21" s="608">
        <f>#REF!/1000000</f>
        <v/>
      </c>
      <c r="GB21" s="608">
        <f>#REF!/1000000</f>
        <v/>
      </c>
      <c r="GC21" s="608">
        <f>#REF!/1000000</f>
        <v/>
      </c>
      <c r="GD21" s="608">
        <f>#REF!/1000000</f>
        <v/>
      </c>
      <c r="GE21" s="608">
        <f>#REF!/1000000</f>
        <v/>
      </c>
      <c r="GF21" s="608">
        <f>#REF!/1000000</f>
        <v/>
      </c>
      <c r="GG21" s="608">
        <f>#REF!/1000000</f>
        <v/>
      </c>
      <c r="GH21" s="608">
        <f>#REF!/1000000</f>
        <v/>
      </c>
      <c r="GI21" s="608">
        <f>#REF!/1000000</f>
        <v/>
      </c>
      <c r="GJ21" s="608">
        <f>#REF!/1000000</f>
        <v/>
      </c>
      <c r="GK21" s="608">
        <f>#REF!/1000000</f>
        <v/>
      </c>
      <c r="GL21" s="608">
        <f>#REF!/1000000</f>
        <v/>
      </c>
      <c r="GM21" s="608">
        <f>#REF!/1000000</f>
        <v/>
      </c>
      <c r="GN21" s="608">
        <f>#REF!/1000000</f>
        <v/>
      </c>
      <c r="GO21" s="608">
        <f>#REF!/1000000</f>
        <v/>
      </c>
      <c r="GP21" s="608">
        <f>#REF!/1000000</f>
        <v/>
      </c>
      <c r="GQ21" s="608">
        <f>#REF!/1000000</f>
        <v/>
      </c>
      <c r="GR21" s="608">
        <f>#REF!/1000000</f>
        <v/>
      </c>
      <c r="GS21" s="608">
        <f>#REF!/1000000</f>
        <v/>
      </c>
      <c r="GT21" s="608">
        <f>#REF!/1000000</f>
        <v/>
      </c>
      <c r="GU21" s="608">
        <f>#REF!/1000000</f>
        <v/>
      </c>
      <c r="GV21" s="608">
        <f>#REF!/1000000</f>
        <v/>
      </c>
      <c r="GW21" s="608">
        <f>#REF!/1000000</f>
        <v/>
      </c>
      <c r="GX21" s="608">
        <f>#REF!/1000000</f>
        <v/>
      </c>
      <c r="GY21" s="608">
        <f>#REF!/1000000</f>
        <v/>
      </c>
      <c r="GZ21" s="608">
        <f>#REF!/1000000</f>
        <v/>
      </c>
      <c r="HA21" s="608">
        <f>#REF!/1000000</f>
        <v/>
      </c>
      <c r="HB21" s="608">
        <f>#REF!/1000000</f>
        <v/>
      </c>
      <c r="HC21" s="608">
        <f>#REF!/1000000</f>
        <v/>
      </c>
      <c r="HD21" s="608">
        <f>#REF!/1000000</f>
        <v/>
      </c>
      <c r="HE21" s="608">
        <f>#REF!/1000000</f>
        <v/>
      </c>
      <c r="HF21" s="608">
        <f>#REF!/1000000</f>
        <v/>
      </c>
      <c r="HG21" s="608">
        <f>#REF!/1000000</f>
        <v/>
      </c>
      <c r="HH21" s="608">
        <f>#REF!/1000000</f>
        <v/>
      </c>
      <c r="HI21" s="608">
        <f>#REF!/1000000</f>
        <v/>
      </c>
      <c r="HJ21" s="608">
        <f>#REF!/1000000</f>
        <v/>
      </c>
      <c r="HK21" s="608">
        <f>#REF!/1000000</f>
        <v/>
      </c>
      <c r="HL21" s="608">
        <f>#REF!/1000000</f>
        <v/>
      </c>
      <c r="HM21" s="608">
        <f>#REF!/1000000</f>
        <v/>
      </c>
      <c r="HN21" s="608">
        <f>#REF!/1000000</f>
        <v/>
      </c>
      <c r="HO21" s="608">
        <f>#REF!/1000000</f>
        <v/>
      </c>
      <c r="HP21" s="608">
        <f>#REF!/1000000</f>
        <v/>
      </c>
      <c r="HQ21" s="608">
        <f>#REF!/1000000</f>
        <v/>
      </c>
      <c r="HR21" s="608">
        <f>#REF!/1000000</f>
        <v/>
      </c>
      <c r="HS21" s="608">
        <f>#REF!/1000000</f>
        <v/>
      </c>
      <c r="HT21" s="608">
        <f>#REF!/1000000</f>
        <v/>
      </c>
      <c r="HU21" s="608">
        <f>#REF!/1000000</f>
        <v/>
      </c>
      <c r="HV21" s="608">
        <f>#REF!/1000000</f>
        <v/>
      </c>
      <c r="HW21" s="608">
        <f>#REF!/1000000</f>
        <v/>
      </c>
      <c r="HX21" s="608">
        <f>#REF!/1000000</f>
        <v/>
      </c>
      <c r="HY21" s="608">
        <f>#REF!/1000000</f>
        <v/>
      </c>
      <c r="HZ21" s="608">
        <f>#REF!/1000000</f>
        <v/>
      </c>
      <c r="IA21" s="608">
        <f>#REF!/1000000</f>
        <v/>
      </c>
      <c r="IB21" s="608">
        <f>#REF!/1000000</f>
        <v/>
      </c>
      <c r="IC21" s="608">
        <f>#REF!/1000000</f>
        <v/>
      </c>
      <c r="ID21" s="608">
        <f>#REF!/1000000</f>
        <v/>
      </c>
      <c r="IE21" t="inlineStr">
        <is>
          <t>x</t>
        </is>
      </c>
    </row>
    <row r="22">
      <c r="B22" t="inlineStr">
        <is>
          <t>Devolução</t>
        </is>
      </c>
      <c r="D22" s="609">
        <f>+E22+J22+O22+T22+Y22+AD22+AE22+AF22+AG22+AH22+AI22+AJ22+AK22+AL22+AM22+AN22+AO22</f>
        <v/>
      </c>
      <c r="E22" s="609">
        <f>SUM(F22:I22)</f>
        <v/>
      </c>
      <c r="F22" s="609">
        <f>SUMIF($AS$1:$ID$1,F$1,$AS22:$ID22)</f>
        <v/>
      </c>
      <c r="G22" s="609">
        <f>SUMIF($AS$1:$ID$1,G$1,$AS22:$ID22)</f>
        <v/>
      </c>
      <c r="H22" s="609">
        <f>SUMIF($AS$1:$ID$1,H$1,$AS22:$ID22)</f>
        <v/>
      </c>
      <c r="I22" s="609">
        <f>SUMIF($AS$1:$ID$1,I$1,$AS22:$ID22)</f>
        <v/>
      </c>
      <c r="J22" s="609">
        <f>SUM(K22:N22)</f>
        <v/>
      </c>
      <c r="K22" s="609">
        <f>SUMIF($AS$1:$ID$1,K$1,$AS22:$ID22)</f>
        <v/>
      </c>
      <c r="L22" s="609">
        <f>SUMIF($AS$1:$ID$1,L$1,$AS22:$ID22)</f>
        <v/>
      </c>
      <c r="M22" s="609">
        <f>SUMIF($AS$1:$ID$1,M$1,$AS22:$ID22)</f>
        <v/>
      </c>
      <c r="N22" s="609">
        <f>SUMIF($AS$1:$ID$1,N$1,$AS22:$ID22)</f>
        <v/>
      </c>
      <c r="O22" s="609">
        <f>SUM(P22:S22)</f>
        <v/>
      </c>
      <c r="P22" s="609">
        <f>SUMIF($AS$1:$ID$1,P$1,$AS22:$ID22)</f>
        <v/>
      </c>
      <c r="Q22" s="609">
        <f>SUMIF($AS$1:$ID$1,Q$1,$AS22:$ID22)</f>
        <v/>
      </c>
      <c r="R22" s="609">
        <f>SUMIF($AS$1:$ID$1,R$1,$AS22:$ID22)</f>
        <v/>
      </c>
      <c r="S22" s="609">
        <f>SUMIF($AS$1:$ID$1,S$1,$AS22:$ID22)</f>
        <v/>
      </c>
      <c r="T22" s="609">
        <f>SUM(U22:X22)</f>
        <v/>
      </c>
      <c r="U22" s="609">
        <f>SUMIF($AS$1:$ID$1,U$1,$AS22:$ID22)</f>
        <v/>
      </c>
      <c r="V22" s="609">
        <f>SUMIF($AS$1:$ID$1,V$1,$AS22:$ID22)</f>
        <v/>
      </c>
      <c r="W22" s="609">
        <f>SUMIF($AS$1:$ID$1,W$1,$AS22:$ID22)</f>
        <v/>
      </c>
      <c r="X22" s="609">
        <f>SUMIF($AS$1:$ID$1,X$1,$AS22:$ID22)</f>
        <v/>
      </c>
      <c r="Y22" s="609">
        <f>SUM(Z22:AC22)</f>
        <v/>
      </c>
      <c r="Z22" s="609">
        <f>SUMIF($AS$1:$ID$1,Z$1,$AS22:$ID22)</f>
        <v/>
      </c>
      <c r="AA22" s="609">
        <f>SUMIF($AS$1:$ID$1,AA$1,$AS22:$ID22)</f>
        <v/>
      </c>
      <c r="AB22" s="609">
        <f>SUMIF($AS$1:$ID$1,AB$1,$AS22:$ID22)</f>
        <v/>
      </c>
      <c r="AC22" s="609">
        <f>SUMIF($AS$1:$ID$1,AC$1,$AS22:$ID22)</f>
        <v/>
      </c>
      <c r="AD22" s="609">
        <f>SUMIF($AS$2:$ID$2,AD$2,$AS22:$ID22)</f>
        <v/>
      </c>
      <c r="AE22" s="609">
        <f>SUMIF($AS$2:$ID$2,AE$2,$AS22:$ID22)</f>
        <v/>
      </c>
      <c r="AF22" s="609">
        <f>SUMIF($AS$2:$ID$2,AF$2,$AS22:$ID22)</f>
        <v/>
      </c>
      <c r="AG22" s="609">
        <f>SUMIF($AS$2:$ID$2,AG$2,$AS22:$ID22)</f>
        <v/>
      </c>
      <c r="AH22" s="609">
        <f>SUMIF($AS$2:$ID$2,AH$2,$AS22:$ID22)</f>
        <v/>
      </c>
      <c r="AI22" s="609">
        <f>SUMIF($AS$2:$ID$2,AI$2,$AS22:$ID22)</f>
        <v/>
      </c>
      <c r="AJ22" s="609">
        <f>SUMIF($AS$2:$ID$2,AJ$2,$AS22:$ID22)</f>
        <v/>
      </c>
      <c r="AK22" s="609">
        <f>SUMIF($AS$2:$ID$2,AK$2,$AS22:$ID22)</f>
        <v/>
      </c>
      <c r="AL22" s="609">
        <f>SUMIF($AS$2:$ID$2,AL$2,$AS22:$ID22)</f>
        <v/>
      </c>
      <c r="AM22" s="609">
        <f>SUMIF($AS$2:$ID$2,AM$2,$AS22:$ID22)</f>
        <v/>
      </c>
      <c r="AN22" s="609">
        <f>SUMIF($AS$2:$ID$2,AN$2,$AS22:$ID22)</f>
        <v/>
      </c>
      <c r="AO22" s="609">
        <f>SUMIF($AS$2:$ID$2,AO$2,$AS22:$ID22)</f>
        <v/>
      </c>
      <c r="AQ22" s="607">
        <f>SUM(AS22:ID22)</f>
        <v/>
      </c>
      <c r="AR22" t="inlineStr">
        <is>
          <t>Devolução</t>
        </is>
      </c>
      <c r="AS22" s="608">
        <f>#REF!/1000000</f>
        <v/>
      </c>
      <c r="AT22" s="608">
        <f>#REF!/1000000</f>
        <v/>
      </c>
      <c r="AU22" s="608">
        <f>#REF!/1000000</f>
        <v/>
      </c>
      <c r="AV22" s="608">
        <f>#REF!/1000000</f>
        <v/>
      </c>
      <c r="AW22" s="608">
        <f>#REF!/1000000</f>
        <v/>
      </c>
      <c r="AX22" s="608">
        <f>#REF!/1000000</f>
        <v/>
      </c>
      <c r="AY22" s="608">
        <f>#REF!/1000000</f>
        <v/>
      </c>
      <c r="AZ22" s="608">
        <f>#REF!/1000000</f>
        <v/>
      </c>
      <c r="BA22" s="608">
        <f>#REF!/1000000</f>
        <v/>
      </c>
      <c r="BB22" s="608">
        <f>#REF!/1000000</f>
        <v/>
      </c>
      <c r="BC22" s="608">
        <f>#REF!/1000000</f>
        <v/>
      </c>
      <c r="BD22" s="608">
        <f>#REF!/1000000</f>
        <v/>
      </c>
      <c r="BE22" s="608">
        <f>#REF!/1000000</f>
        <v/>
      </c>
      <c r="BF22" s="608">
        <f>#REF!/1000000</f>
        <v/>
      </c>
      <c r="BG22" s="608">
        <f>#REF!/1000000</f>
        <v/>
      </c>
      <c r="BH22" s="608">
        <f>#REF!/1000000</f>
        <v/>
      </c>
      <c r="BI22" s="608">
        <f>#REF!/1000000</f>
        <v/>
      </c>
      <c r="BJ22" s="608">
        <f>#REF!/1000000</f>
        <v/>
      </c>
      <c r="BK22" s="608">
        <f>#REF!/1000000</f>
        <v/>
      </c>
      <c r="BL22" s="608">
        <f>#REF!/1000000</f>
        <v/>
      </c>
      <c r="BM22" s="608">
        <f>#REF!/1000000</f>
        <v/>
      </c>
      <c r="BN22" s="608">
        <f>#REF!/1000000</f>
        <v/>
      </c>
      <c r="BO22" s="608">
        <f>#REF!/1000000</f>
        <v/>
      </c>
      <c r="BP22" s="608">
        <f>#REF!/1000000</f>
        <v/>
      </c>
      <c r="BQ22" s="608">
        <f>#REF!/1000000</f>
        <v/>
      </c>
      <c r="BR22" s="608">
        <f>#REF!/1000000</f>
        <v/>
      </c>
      <c r="BS22" s="608">
        <f>#REF!/1000000</f>
        <v/>
      </c>
      <c r="BT22" s="608">
        <f>#REF!/1000000</f>
        <v/>
      </c>
      <c r="BU22" s="608">
        <f>#REF!/1000000</f>
        <v/>
      </c>
      <c r="BV22" s="608">
        <f>#REF!/1000000</f>
        <v/>
      </c>
      <c r="BW22" s="608">
        <f>#REF!/1000000</f>
        <v/>
      </c>
      <c r="BX22" s="608">
        <f>#REF!/1000000</f>
        <v/>
      </c>
      <c r="BY22" s="608">
        <f>#REF!/1000000</f>
        <v/>
      </c>
      <c r="BZ22" s="608">
        <f>#REF!/1000000</f>
        <v/>
      </c>
      <c r="CA22" s="608">
        <f>#REF!/1000000</f>
        <v/>
      </c>
      <c r="CB22" s="608">
        <f>#REF!/1000000</f>
        <v/>
      </c>
      <c r="CC22" s="608">
        <f>#REF!/1000000</f>
        <v/>
      </c>
      <c r="CD22" s="608">
        <f>#REF!/1000000</f>
        <v/>
      </c>
      <c r="CE22" s="608">
        <f>#REF!/1000000</f>
        <v/>
      </c>
      <c r="CF22" s="608">
        <f>#REF!/1000000</f>
        <v/>
      </c>
      <c r="CG22" s="608">
        <f>#REF!/1000000</f>
        <v/>
      </c>
      <c r="CH22" s="608">
        <f>#REF!/1000000</f>
        <v/>
      </c>
      <c r="CI22" s="608">
        <f>#REF!/1000000</f>
        <v/>
      </c>
      <c r="CJ22" s="608">
        <f>#REF!/1000000</f>
        <v/>
      </c>
      <c r="CK22" s="608">
        <f>#REF!/1000000</f>
        <v/>
      </c>
      <c r="CL22" s="608">
        <f>#REF!/1000000</f>
        <v/>
      </c>
      <c r="CM22" s="608">
        <f>#REF!/1000000</f>
        <v/>
      </c>
      <c r="CN22" s="608">
        <f>#REF!/1000000</f>
        <v/>
      </c>
      <c r="CO22" s="608">
        <f>#REF!/1000000</f>
        <v/>
      </c>
      <c r="CP22" s="608">
        <f>#REF!/1000000</f>
        <v/>
      </c>
      <c r="CQ22" s="608">
        <f>#REF!/1000000</f>
        <v/>
      </c>
      <c r="CR22" s="608">
        <f>#REF!/1000000</f>
        <v/>
      </c>
      <c r="CS22" s="608">
        <f>#REF!/1000000</f>
        <v/>
      </c>
      <c r="CT22" s="608">
        <f>#REF!/1000000</f>
        <v/>
      </c>
      <c r="CU22" s="608">
        <f>#REF!/1000000</f>
        <v/>
      </c>
      <c r="CV22" s="608">
        <f>#REF!/1000000</f>
        <v/>
      </c>
      <c r="CW22" s="608">
        <f>#REF!/1000000</f>
        <v/>
      </c>
      <c r="CX22" s="608">
        <f>#REF!/1000000</f>
        <v/>
      </c>
      <c r="CY22" s="608">
        <f>#REF!/1000000</f>
        <v/>
      </c>
      <c r="CZ22" s="608">
        <f>#REF!/1000000</f>
        <v/>
      </c>
      <c r="DA22" s="608">
        <f>#REF!/1000000</f>
        <v/>
      </c>
      <c r="DB22" s="608">
        <f>#REF!/1000000</f>
        <v/>
      </c>
      <c r="DC22" s="608">
        <f>#REF!/1000000</f>
        <v/>
      </c>
      <c r="DD22" s="608">
        <f>#REF!/1000000</f>
        <v/>
      </c>
      <c r="DE22" s="608">
        <f>#REF!/1000000</f>
        <v/>
      </c>
      <c r="DF22" s="608">
        <f>#REF!/1000000</f>
        <v/>
      </c>
      <c r="DG22" s="608">
        <f>#REF!/1000000</f>
        <v/>
      </c>
      <c r="DH22" s="608">
        <f>#REF!/1000000</f>
        <v/>
      </c>
      <c r="DI22" s="608">
        <f>#REF!/1000000</f>
        <v/>
      </c>
      <c r="DJ22" s="608">
        <f>#REF!/1000000</f>
        <v/>
      </c>
      <c r="DK22" s="608">
        <f>#REF!/1000000</f>
        <v/>
      </c>
      <c r="DL22" s="608">
        <f>#REF!/1000000</f>
        <v/>
      </c>
      <c r="DM22" s="608">
        <f>#REF!/1000000</f>
        <v/>
      </c>
      <c r="DN22" s="608">
        <f>#REF!/1000000</f>
        <v/>
      </c>
      <c r="DO22" s="608">
        <f>#REF!/1000000</f>
        <v/>
      </c>
      <c r="DP22" s="608">
        <f>#REF!/1000000</f>
        <v/>
      </c>
      <c r="DQ22" s="608">
        <f>#REF!/1000000</f>
        <v/>
      </c>
      <c r="DR22" s="608">
        <f>#REF!/1000000</f>
        <v/>
      </c>
      <c r="DS22" s="608">
        <f>#REF!/1000000</f>
        <v/>
      </c>
      <c r="DT22" s="608">
        <f>#REF!/1000000</f>
        <v/>
      </c>
      <c r="DU22" s="608">
        <f>#REF!/1000000</f>
        <v/>
      </c>
      <c r="DV22" s="608">
        <f>#REF!/1000000</f>
        <v/>
      </c>
      <c r="DW22" s="608">
        <f>#REF!/1000000</f>
        <v/>
      </c>
      <c r="DX22" s="608">
        <f>#REF!/1000000</f>
        <v/>
      </c>
      <c r="DY22" s="608">
        <f>#REF!/1000000</f>
        <v/>
      </c>
      <c r="DZ22" s="608">
        <f>#REF!/1000000</f>
        <v/>
      </c>
      <c r="EA22" s="608">
        <f>#REF!/1000000</f>
        <v/>
      </c>
      <c r="EB22" s="608">
        <f>#REF!/1000000</f>
        <v/>
      </c>
      <c r="EC22" s="608">
        <f>#REF!/1000000</f>
        <v/>
      </c>
      <c r="ED22" s="608">
        <f>#REF!/1000000</f>
        <v/>
      </c>
      <c r="EE22" s="608">
        <f>#REF!/1000000</f>
        <v/>
      </c>
      <c r="EF22" s="608">
        <f>#REF!/1000000</f>
        <v/>
      </c>
      <c r="EG22" s="608">
        <f>#REF!/1000000</f>
        <v/>
      </c>
      <c r="EH22" s="608">
        <f>#REF!/1000000</f>
        <v/>
      </c>
      <c r="EI22" s="608">
        <f>#REF!/1000000</f>
        <v/>
      </c>
      <c r="EJ22" s="608">
        <f>#REF!/1000000</f>
        <v/>
      </c>
      <c r="EK22" s="608">
        <f>#REF!/1000000</f>
        <v/>
      </c>
      <c r="EL22" s="608">
        <f>#REF!/1000000</f>
        <v/>
      </c>
      <c r="EM22" s="608">
        <f>#REF!/1000000</f>
        <v/>
      </c>
      <c r="EN22" s="608">
        <f>#REF!/1000000</f>
        <v/>
      </c>
      <c r="EO22" s="608">
        <f>#REF!/1000000</f>
        <v/>
      </c>
      <c r="EP22" s="608">
        <f>#REF!/1000000</f>
        <v/>
      </c>
      <c r="EQ22" s="608">
        <f>#REF!/1000000</f>
        <v/>
      </c>
      <c r="ER22" s="608">
        <f>#REF!/1000000</f>
        <v/>
      </c>
      <c r="ES22" s="608">
        <f>#REF!/1000000</f>
        <v/>
      </c>
      <c r="ET22" s="608">
        <f>#REF!/1000000</f>
        <v/>
      </c>
      <c r="EU22" s="608">
        <f>#REF!/1000000</f>
        <v/>
      </c>
      <c r="EV22" s="608">
        <f>#REF!/1000000</f>
        <v/>
      </c>
      <c r="EW22" s="608">
        <f>#REF!/1000000</f>
        <v/>
      </c>
      <c r="EX22" s="608">
        <f>#REF!/1000000</f>
        <v/>
      </c>
      <c r="EY22" s="608">
        <f>#REF!/1000000</f>
        <v/>
      </c>
      <c r="EZ22" s="608">
        <f>#REF!/1000000</f>
        <v/>
      </c>
      <c r="FA22" s="608">
        <f>#REF!/1000000</f>
        <v/>
      </c>
      <c r="FB22" s="608">
        <f>#REF!/1000000</f>
        <v/>
      </c>
      <c r="FC22" s="608">
        <f>#REF!/1000000</f>
        <v/>
      </c>
      <c r="FD22" s="608">
        <f>#REF!/1000000</f>
        <v/>
      </c>
      <c r="FE22" s="608">
        <f>#REF!/1000000</f>
        <v/>
      </c>
      <c r="FF22" s="608">
        <f>#REF!/1000000</f>
        <v/>
      </c>
      <c r="FG22" s="608">
        <f>#REF!/1000000</f>
        <v/>
      </c>
      <c r="FH22" s="608">
        <f>#REF!/1000000</f>
        <v/>
      </c>
      <c r="FI22" s="608">
        <f>#REF!/1000000</f>
        <v/>
      </c>
      <c r="FJ22" s="608">
        <f>#REF!/1000000</f>
        <v/>
      </c>
      <c r="FK22" s="608">
        <f>#REF!/1000000</f>
        <v/>
      </c>
      <c r="FL22" s="608">
        <f>#REF!/1000000</f>
        <v/>
      </c>
      <c r="FM22" s="608">
        <f>#REF!/1000000</f>
        <v/>
      </c>
      <c r="FN22" s="608">
        <f>#REF!/1000000</f>
        <v/>
      </c>
      <c r="FO22" s="608">
        <f>#REF!/1000000</f>
        <v/>
      </c>
      <c r="FP22" s="608">
        <f>#REF!/1000000</f>
        <v/>
      </c>
      <c r="FQ22" s="608">
        <f>#REF!/1000000</f>
        <v/>
      </c>
      <c r="FR22" s="608">
        <f>#REF!/1000000</f>
        <v/>
      </c>
      <c r="FS22" s="608">
        <f>#REF!/1000000</f>
        <v/>
      </c>
      <c r="FT22" s="608">
        <f>#REF!/1000000</f>
        <v/>
      </c>
      <c r="FU22" s="608">
        <f>#REF!/1000000</f>
        <v/>
      </c>
      <c r="FV22" s="608">
        <f>#REF!/1000000</f>
        <v/>
      </c>
      <c r="FW22" s="608">
        <f>#REF!/1000000</f>
        <v/>
      </c>
      <c r="FX22" s="608">
        <f>#REF!/1000000</f>
        <v/>
      </c>
      <c r="FY22" s="608">
        <f>#REF!/1000000</f>
        <v/>
      </c>
      <c r="FZ22" s="608">
        <f>#REF!/1000000</f>
        <v/>
      </c>
      <c r="GA22" s="608">
        <f>#REF!/1000000</f>
        <v/>
      </c>
      <c r="GB22" s="608">
        <f>#REF!/1000000</f>
        <v/>
      </c>
      <c r="GC22" s="608">
        <f>#REF!/1000000</f>
        <v/>
      </c>
      <c r="GD22" s="608">
        <f>#REF!/1000000</f>
        <v/>
      </c>
      <c r="GE22" s="608">
        <f>#REF!/1000000</f>
        <v/>
      </c>
      <c r="GF22" s="608">
        <f>#REF!/1000000</f>
        <v/>
      </c>
      <c r="GG22" s="608">
        <f>#REF!/1000000</f>
        <v/>
      </c>
      <c r="GH22" s="608">
        <f>#REF!/1000000</f>
        <v/>
      </c>
      <c r="GI22" s="608">
        <f>#REF!/1000000</f>
        <v/>
      </c>
      <c r="GJ22" s="608">
        <f>#REF!/1000000</f>
        <v/>
      </c>
      <c r="GK22" s="608">
        <f>#REF!/1000000</f>
        <v/>
      </c>
      <c r="GL22" s="608">
        <f>#REF!/1000000</f>
        <v/>
      </c>
      <c r="GM22" s="608">
        <f>#REF!/1000000</f>
        <v/>
      </c>
      <c r="GN22" s="608">
        <f>#REF!/1000000</f>
        <v/>
      </c>
      <c r="GO22" s="608">
        <f>#REF!/1000000</f>
        <v/>
      </c>
      <c r="GP22" s="608">
        <f>#REF!/1000000</f>
        <v/>
      </c>
      <c r="GQ22" s="608">
        <f>#REF!/1000000</f>
        <v/>
      </c>
      <c r="GR22" s="608">
        <f>#REF!/1000000</f>
        <v/>
      </c>
      <c r="GS22" s="608">
        <f>#REF!/1000000</f>
        <v/>
      </c>
      <c r="GT22" s="608">
        <f>#REF!/1000000</f>
        <v/>
      </c>
      <c r="GU22" s="608">
        <f>#REF!/1000000</f>
        <v/>
      </c>
      <c r="GV22" s="608">
        <f>#REF!/1000000</f>
        <v/>
      </c>
      <c r="GW22" s="608">
        <f>#REF!/1000000</f>
        <v/>
      </c>
      <c r="GX22" s="608">
        <f>#REF!/1000000</f>
        <v/>
      </c>
      <c r="GY22" s="608">
        <f>#REF!/1000000</f>
        <v/>
      </c>
      <c r="GZ22" s="608">
        <f>#REF!/1000000</f>
        <v/>
      </c>
      <c r="HA22" s="608">
        <f>#REF!/1000000</f>
        <v/>
      </c>
      <c r="HB22" s="608">
        <f>#REF!/1000000</f>
        <v/>
      </c>
      <c r="HC22" s="608">
        <f>#REF!/1000000</f>
        <v/>
      </c>
      <c r="HD22" s="608">
        <f>#REF!/1000000</f>
        <v/>
      </c>
      <c r="HE22" s="608">
        <f>#REF!/1000000</f>
        <v/>
      </c>
      <c r="HF22" s="608">
        <f>#REF!/1000000</f>
        <v/>
      </c>
      <c r="HG22" s="608">
        <f>#REF!/1000000</f>
        <v/>
      </c>
      <c r="HH22" s="608">
        <f>#REF!/1000000</f>
        <v/>
      </c>
      <c r="HI22" s="608">
        <f>#REF!/1000000</f>
        <v/>
      </c>
      <c r="HJ22" s="608">
        <f>#REF!/1000000</f>
        <v/>
      </c>
      <c r="HK22" s="608">
        <f>#REF!/1000000</f>
        <v/>
      </c>
      <c r="HL22" s="608">
        <f>#REF!/1000000</f>
        <v/>
      </c>
      <c r="HM22" s="608">
        <f>#REF!/1000000</f>
        <v/>
      </c>
      <c r="HN22" s="608">
        <f>#REF!/1000000</f>
        <v/>
      </c>
      <c r="HO22" s="608">
        <f>#REF!/1000000</f>
        <v/>
      </c>
      <c r="HP22" s="608">
        <f>#REF!/1000000</f>
        <v/>
      </c>
      <c r="HQ22" s="608">
        <f>#REF!/1000000</f>
        <v/>
      </c>
      <c r="HR22" s="608">
        <f>#REF!/1000000</f>
        <v/>
      </c>
      <c r="HS22" s="608">
        <f>#REF!/1000000</f>
        <v/>
      </c>
      <c r="HT22" s="608">
        <f>#REF!/1000000</f>
        <v/>
      </c>
      <c r="HU22" s="608">
        <f>#REF!/1000000</f>
        <v/>
      </c>
      <c r="HV22" s="608">
        <f>#REF!/1000000</f>
        <v/>
      </c>
      <c r="HW22" s="608">
        <f>#REF!/1000000</f>
        <v/>
      </c>
      <c r="HX22" s="608">
        <f>#REF!/1000000</f>
        <v/>
      </c>
      <c r="HY22" s="608">
        <f>#REF!/1000000</f>
        <v/>
      </c>
      <c r="HZ22" s="608">
        <f>#REF!/1000000</f>
        <v/>
      </c>
      <c r="IA22" s="608">
        <f>#REF!/1000000</f>
        <v/>
      </c>
      <c r="IB22" s="608">
        <f>#REF!/1000000</f>
        <v/>
      </c>
      <c r="IC22" s="608">
        <f>#REF!/1000000</f>
        <v/>
      </c>
      <c r="ID22" s="608">
        <f>#REF!/1000000</f>
        <v/>
      </c>
      <c r="IE22" t="inlineStr">
        <is>
          <t>x</t>
        </is>
      </c>
    </row>
    <row r="23">
      <c r="B23" t="inlineStr">
        <is>
          <t>Distribuição</t>
        </is>
      </c>
      <c r="D23" s="610">
        <f>+E23+J23+O23+T23+Y23+AD23+AE23+AF23+AG23+AH23+AI23+AJ23+AK23+AL23+AM23+AN23+AO23</f>
        <v/>
      </c>
      <c r="E23" s="610">
        <f>SUM(F23:I23)</f>
        <v/>
      </c>
      <c r="F23" s="610">
        <f>SUMIF($AS$1:$ID$1,F$1,$AS23:$ID23)</f>
        <v/>
      </c>
      <c r="G23" s="610">
        <f>SUMIF($AS$1:$ID$1,G$1,$AS23:$ID23)</f>
        <v/>
      </c>
      <c r="H23" s="610">
        <f>SUMIF($AS$1:$ID$1,H$1,$AS23:$ID23)</f>
        <v/>
      </c>
      <c r="I23" s="610">
        <f>SUMIF($AS$1:$ID$1,I$1,$AS23:$ID23)</f>
        <v/>
      </c>
      <c r="J23" s="610">
        <f>SUM(K23:N23)</f>
        <v/>
      </c>
      <c r="K23" s="610">
        <f>SUMIF($AS$1:$ID$1,K$1,$AS23:$ID23)</f>
        <v/>
      </c>
      <c r="L23" s="610">
        <f>SUMIF($AS$1:$ID$1,L$1,$AS23:$ID23)</f>
        <v/>
      </c>
      <c r="M23" s="610">
        <f>SUMIF($AS$1:$ID$1,M$1,$AS23:$ID23)</f>
        <v/>
      </c>
      <c r="N23" s="610">
        <f>SUMIF($AS$1:$ID$1,N$1,$AS23:$ID23)</f>
        <v/>
      </c>
      <c r="O23" s="610">
        <f>SUM(P23:S23)</f>
        <v/>
      </c>
      <c r="P23" s="610">
        <f>SUMIF($AS$1:$ID$1,P$1,$AS23:$ID23)</f>
        <v/>
      </c>
      <c r="Q23" s="610">
        <f>SUMIF($AS$1:$ID$1,Q$1,$AS23:$ID23)</f>
        <v/>
      </c>
      <c r="R23" s="610">
        <f>SUMIF($AS$1:$ID$1,R$1,$AS23:$ID23)</f>
        <v/>
      </c>
      <c r="S23" s="610">
        <f>SUMIF($AS$1:$ID$1,S$1,$AS23:$ID23)</f>
        <v/>
      </c>
      <c r="T23" s="610">
        <f>SUM(U23:X23)</f>
        <v/>
      </c>
      <c r="U23" s="610">
        <f>SUMIF($AS$1:$ID$1,U$1,$AS23:$ID23)</f>
        <v/>
      </c>
      <c r="V23" s="610">
        <f>SUMIF($AS$1:$ID$1,V$1,$AS23:$ID23)</f>
        <v/>
      </c>
      <c r="W23" s="610">
        <f>SUMIF($AS$1:$ID$1,W$1,$AS23:$ID23)</f>
        <v/>
      </c>
      <c r="X23" s="610">
        <f>SUMIF($AS$1:$ID$1,X$1,$AS23:$ID23)</f>
        <v/>
      </c>
      <c r="Y23" s="610">
        <f>SUM(Z23:AC23)</f>
        <v/>
      </c>
      <c r="Z23" s="610">
        <f>SUMIF($AS$1:$ID$1,Z$1,$AS23:$ID23)</f>
        <v/>
      </c>
      <c r="AA23" s="610">
        <f>SUMIF($AS$1:$ID$1,AA$1,$AS23:$ID23)</f>
        <v/>
      </c>
      <c r="AB23" s="610">
        <f>SUMIF($AS$1:$ID$1,AB$1,$AS23:$ID23)</f>
        <v/>
      </c>
      <c r="AC23" s="610">
        <f>SUMIF($AS$1:$ID$1,AC$1,$AS23:$ID23)</f>
        <v/>
      </c>
      <c r="AD23" s="610">
        <f>SUMIF($AS$2:$ID$2,AD$2,$AS23:$ID23)</f>
        <v/>
      </c>
      <c r="AE23" s="610">
        <f>SUMIF($AS$2:$ID$2,AE$2,$AS23:$ID23)</f>
        <v/>
      </c>
      <c r="AF23" s="610">
        <f>SUMIF($AS$2:$ID$2,AF$2,$AS23:$ID23)</f>
        <v/>
      </c>
      <c r="AG23" s="610">
        <f>SUMIF($AS$2:$ID$2,AG$2,$AS23:$ID23)</f>
        <v/>
      </c>
      <c r="AH23" s="610">
        <f>SUMIF($AS$2:$ID$2,AH$2,$AS23:$ID23)</f>
        <v/>
      </c>
      <c r="AI23" s="610">
        <f>SUMIF($AS$2:$ID$2,AI$2,$AS23:$ID23)</f>
        <v/>
      </c>
      <c r="AJ23" s="610">
        <f>SUMIF($AS$2:$ID$2,AJ$2,$AS23:$ID23)</f>
        <v/>
      </c>
      <c r="AK23" s="610">
        <f>SUMIF($AS$2:$ID$2,AK$2,$AS23:$ID23)</f>
        <v/>
      </c>
      <c r="AL23" s="610">
        <f>SUMIF($AS$2:$ID$2,AL$2,$AS23:$ID23)</f>
        <v/>
      </c>
      <c r="AM23" s="610">
        <f>SUMIF($AS$2:$ID$2,AM$2,$AS23:$ID23)</f>
        <v/>
      </c>
      <c r="AN23" s="610">
        <f>SUMIF($AS$2:$ID$2,AN$2,$AS23:$ID23)</f>
        <v/>
      </c>
      <c r="AO23" s="610">
        <f>SUMIF($AS$2:$ID$2,AO$2,$AS23:$ID23)</f>
        <v/>
      </c>
      <c r="AQ23" s="607">
        <f>SUM(AS23:ID23)</f>
        <v/>
      </c>
      <c r="AR23" t="inlineStr">
        <is>
          <t>Distribuição</t>
        </is>
      </c>
      <c r="AS23" s="608">
        <f>#REF!/1000000</f>
        <v/>
      </c>
      <c r="AT23" s="608">
        <f>#REF!/1000000</f>
        <v/>
      </c>
      <c r="AU23" s="608">
        <f>#REF!/1000000</f>
        <v/>
      </c>
      <c r="AV23" s="608">
        <f>#REF!/1000000</f>
        <v/>
      </c>
      <c r="AW23" s="608">
        <f>#REF!/1000000</f>
        <v/>
      </c>
      <c r="AX23" s="608">
        <f>#REF!/1000000</f>
        <v/>
      </c>
      <c r="AY23" s="608">
        <f>#REF!/1000000</f>
        <v/>
      </c>
      <c r="AZ23" s="608">
        <f>#REF!/1000000</f>
        <v/>
      </c>
      <c r="BA23" s="608">
        <f>#REF!/1000000</f>
        <v/>
      </c>
      <c r="BB23" s="608">
        <f>#REF!/1000000</f>
        <v/>
      </c>
      <c r="BC23" s="608">
        <f>#REF!/1000000</f>
        <v/>
      </c>
      <c r="BD23" s="608">
        <f>#REF!/1000000</f>
        <v/>
      </c>
      <c r="BE23" s="608">
        <f>#REF!/1000000</f>
        <v/>
      </c>
      <c r="BF23" s="608">
        <f>#REF!/1000000</f>
        <v/>
      </c>
      <c r="BG23" s="608">
        <f>#REF!/1000000</f>
        <v/>
      </c>
      <c r="BH23" s="608">
        <f>#REF!/1000000</f>
        <v/>
      </c>
      <c r="BI23" s="608">
        <f>#REF!/1000000</f>
        <v/>
      </c>
      <c r="BJ23" s="608">
        <f>#REF!/1000000</f>
        <v/>
      </c>
      <c r="BK23" s="608">
        <f>#REF!/1000000</f>
        <v/>
      </c>
      <c r="BL23" s="608">
        <f>#REF!/1000000</f>
        <v/>
      </c>
      <c r="BM23" s="608">
        <f>#REF!/1000000</f>
        <v/>
      </c>
      <c r="BN23" s="608">
        <f>#REF!/1000000</f>
        <v/>
      </c>
      <c r="BO23" s="608">
        <f>#REF!/1000000</f>
        <v/>
      </c>
      <c r="BP23" s="608">
        <f>#REF!/1000000</f>
        <v/>
      </c>
      <c r="BQ23" s="608">
        <f>#REF!/1000000</f>
        <v/>
      </c>
      <c r="BR23" s="608">
        <f>#REF!/1000000</f>
        <v/>
      </c>
      <c r="BS23" s="608">
        <f>#REF!/1000000</f>
        <v/>
      </c>
      <c r="BT23" s="608">
        <f>#REF!/1000000</f>
        <v/>
      </c>
      <c r="BU23" s="608">
        <f>#REF!/1000000</f>
        <v/>
      </c>
      <c r="BV23" s="608">
        <f>#REF!/1000000</f>
        <v/>
      </c>
      <c r="BW23" s="608">
        <f>#REF!/1000000</f>
        <v/>
      </c>
      <c r="BX23" s="608">
        <f>#REF!/1000000</f>
        <v/>
      </c>
      <c r="BY23" s="608">
        <f>#REF!/1000000</f>
        <v/>
      </c>
      <c r="BZ23" s="608">
        <f>#REF!/1000000</f>
        <v/>
      </c>
      <c r="CA23" s="608">
        <f>#REF!/1000000</f>
        <v/>
      </c>
      <c r="CB23" s="608">
        <f>#REF!/1000000</f>
        <v/>
      </c>
      <c r="CC23" s="608">
        <f>#REF!/1000000</f>
        <v/>
      </c>
      <c r="CD23" s="608">
        <f>#REF!/1000000</f>
        <v/>
      </c>
      <c r="CE23" s="608">
        <f>#REF!/1000000</f>
        <v/>
      </c>
      <c r="CF23" s="608">
        <f>#REF!/1000000</f>
        <v/>
      </c>
      <c r="CG23" s="608">
        <f>#REF!/1000000</f>
        <v/>
      </c>
      <c r="CH23" s="608">
        <f>#REF!/1000000</f>
        <v/>
      </c>
      <c r="CI23" s="608">
        <f>#REF!/1000000</f>
        <v/>
      </c>
      <c r="CJ23" s="608">
        <f>#REF!/1000000</f>
        <v/>
      </c>
      <c r="CK23" s="608">
        <f>#REF!/1000000</f>
        <v/>
      </c>
      <c r="CL23" s="608">
        <f>#REF!/1000000</f>
        <v/>
      </c>
      <c r="CM23" s="608">
        <f>#REF!/1000000</f>
        <v/>
      </c>
      <c r="CN23" s="608">
        <f>#REF!/1000000</f>
        <v/>
      </c>
      <c r="CO23" s="608">
        <f>#REF!/1000000</f>
        <v/>
      </c>
      <c r="CP23" s="608">
        <f>#REF!/1000000</f>
        <v/>
      </c>
      <c r="CQ23" s="608">
        <f>#REF!/1000000</f>
        <v/>
      </c>
      <c r="CR23" s="608">
        <f>#REF!/1000000</f>
        <v/>
      </c>
      <c r="CS23" s="608">
        <f>#REF!/1000000</f>
        <v/>
      </c>
      <c r="CT23" s="608">
        <f>#REF!/1000000</f>
        <v/>
      </c>
      <c r="CU23" s="608">
        <f>#REF!/1000000</f>
        <v/>
      </c>
      <c r="CV23" s="608">
        <f>#REF!/1000000</f>
        <v/>
      </c>
      <c r="CW23" s="608">
        <f>#REF!/1000000</f>
        <v/>
      </c>
      <c r="CX23" s="608">
        <f>#REF!/1000000</f>
        <v/>
      </c>
      <c r="CY23" s="608">
        <f>#REF!/1000000</f>
        <v/>
      </c>
      <c r="CZ23" s="608">
        <f>#REF!/1000000</f>
        <v/>
      </c>
      <c r="DA23" s="608">
        <f>#REF!/1000000</f>
        <v/>
      </c>
      <c r="DB23" s="608">
        <f>#REF!/1000000</f>
        <v/>
      </c>
      <c r="DC23" s="608">
        <f>#REF!/1000000</f>
        <v/>
      </c>
      <c r="DD23" s="608">
        <f>#REF!/1000000</f>
        <v/>
      </c>
      <c r="DE23" s="608">
        <f>#REF!/1000000</f>
        <v/>
      </c>
      <c r="DF23" s="608">
        <f>#REF!/1000000</f>
        <v/>
      </c>
      <c r="DG23" s="608">
        <f>#REF!/1000000</f>
        <v/>
      </c>
      <c r="DH23" s="608">
        <f>#REF!/1000000</f>
        <v/>
      </c>
      <c r="DI23" s="608">
        <f>#REF!/1000000</f>
        <v/>
      </c>
      <c r="DJ23" s="608">
        <f>#REF!/1000000</f>
        <v/>
      </c>
      <c r="DK23" s="608">
        <f>#REF!/1000000</f>
        <v/>
      </c>
      <c r="DL23" s="608">
        <f>#REF!/1000000</f>
        <v/>
      </c>
      <c r="DM23" s="608">
        <f>#REF!/1000000</f>
        <v/>
      </c>
      <c r="DN23" s="608">
        <f>#REF!/1000000</f>
        <v/>
      </c>
      <c r="DO23" s="608">
        <f>#REF!/1000000</f>
        <v/>
      </c>
      <c r="DP23" s="608">
        <f>#REF!/1000000</f>
        <v/>
      </c>
      <c r="DQ23" s="608">
        <f>#REF!/1000000</f>
        <v/>
      </c>
      <c r="DR23" s="608">
        <f>#REF!/1000000</f>
        <v/>
      </c>
      <c r="DS23" s="608">
        <f>#REF!/1000000</f>
        <v/>
      </c>
      <c r="DT23" s="608">
        <f>#REF!/1000000</f>
        <v/>
      </c>
      <c r="DU23" s="608">
        <f>#REF!/1000000</f>
        <v/>
      </c>
      <c r="DV23" s="608">
        <f>#REF!/1000000</f>
        <v/>
      </c>
      <c r="DW23" s="608">
        <f>#REF!/1000000</f>
        <v/>
      </c>
      <c r="DX23" s="608">
        <f>#REF!/1000000</f>
        <v/>
      </c>
      <c r="DY23" s="608">
        <f>#REF!/1000000</f>
        <v/>
      </c>
      <c r="DZ23" s="608">
        <f>#REF!/1000000</f>
        <v/>
      </c>
      <c r="EA23" s="608">
        <f>#REF!/1000000</f>
        <v/>
      </c>
      <c r="EB23" s="608">
        <f>#REF!/1000000</f>
        <v/>
      </c>
      <c r="EC23" s="608">
        <f>#REF!/1000000</f>
        <v/>
      </c>
      <c r="ED23" s="608">
        <f>#REF!/1000000</f>
        <v/>
      </c>
      <c r="EE23" s="608">
        <f>#REF!/1000000</f>
        <v/>
      </c>
      <c r="EF23" s="608">
        <f>#REF!/1000000</f>
        <v/>
      </c>
      <c r="EG23" s="608">
        <f>#REF!/1000000</f>
        <v/>
      </c>
      <c r="EH23" s="608">
        <f>#REF!/1000000</f>
        <v/>
      </c>
      <c r="EI23" s="608">
        <f>#REF!/1000000</f>
        <v/>
      </c>
      <c r="EJ23" s="608">
        <f>#REF!/1000000</f>
        <v/>
      </c>
      <c r="EK23" s="608">
        <f>#REF!/1000000</f>
        <v/>
      </c>
      <c r="EL23" s="608">
        <f>#REF!/1000000</f>
        <v/>
      </c>
      <c r="EM23" s="608">
        <f>#REF!/1000000</f>
        <v/>
      </c>
      <c r="EN23" s="608">
        <f>#REF!/1000000</f>
        <v/>
      </c>
      <c r="EO23" s="608">
        <f>#REF!/1000000</f>
        <v/>
      </c>
      <c r="EP23" s="608">
        <f>#REF!/1000000</f>
        <v/>
      </c>
      <c r="EQ23" s="608">
        <f>#REF!/1000000</f>
        <v/>
      </c>
      <c r="ER23" s="608">
        <f>#REF!/1000000</f>
        <v/>
      </c>
      <c r="ES23" s="608">
        <f>#REF!/1000000</f>
        <v/>
      </c>
      <c r="ET23" s="608">
        <f>#REF!/1000000</f>
        <v/>
      </c>
      <c r="EU23" s="608">
        <f>#REF!/1000000</f>
        <v/>
      </c>
      <c r="EV23" s="608">
        <f>#REF!/1000000</f>
        <v/>
      </c>
      <c r="EW23" s="608">
        <f>#REF!/1000000</f>
        <v/>
      </c>
      <c r="EX23" s="608">
        <f>#REF!/1000000</f>
        <v/>
      </c>
      <c r="EY23" s="608">
        <f>#REF!/1000000</f>
        <v/>
      </c>
      <c r="EZ23" s="608">
        <f>#REF!/1000000</f>
        <v/>
      </c>
      <c r="FA23" s="608">
        <f>#REF!/1000000</f>
        <v/>
      </c>
      <c r="FB23" s="608">
        <f>#REF!/1000000</f>
        <v/>
      </c>
      <c r="FC23" s="608">
        <f>#REF!/1000000</f>
        <v/>
      </c>
      <c r="FD23" s="608">
        <f>#REF!/1000000</f>
        <v/>
      </c>
      <c r="FE23" s="608">
        <f>#REF!/1000000</f>
        <v/>
      </c>
      <c r="FF23" s="608">
        <f>#REF!/1000000</f>
        <v/>
      </c>
      <c r="FG23" s="608">
        <f>#REF!/1000000</f>
        <v/>
      </c>
      <c r="FH23" s="608">
        <f>#REF!/1000000</f>
        <v/>
      </c>
      <c r="FI23" s="608">
        <f>#REF!/1000000</f>
        <v/>
      </c>
      <c r="FJ23" s="608">
        <f>#REF!/1000000</f>
        <v/>
      </c>
      <c r="FK23" s="608">
        <f>#REF!/1000000</f>
        <v/>
      </c>
      <c r="FL23" s="608">
        <f>#REF!/1000000</f>
        <v/>
      </c>
      <c r="FM23" s="608">
        <f>#REF!/1000000</f>
        <v/>
      </c>
      <c r="FN23" s="608">
        <f>#REF!/1000000</f>
        <v/>
      </c>
      <c r="FO23" s="608">
        <f>#REF!/1000000</f>
        <v/>
      </c>
      <c r="FP23" s="608">
        <f>#REF!/1000000</f>
        <v/>
      </c>
      <c r="FQ23" s="608">
        <f>#REF!/1000000</f>
        <v/>
      </c>
      <c r="FR23" s="608">
        <f>#REF!/1000000</f>
        <v/>
      </c>
      <c r="FS23" s="608">
        <f>#REF!/1000000</f>
        <v/>
      </c>
      <c r="FT23" s="608">
        <f>#REF!/1000000</f>
        <v/>
      </c>
      <c r="FU23" s="608">
        <f>#REF!/1000000</f>
        <v/>
      </c>
      <c r="FV23" s="608">
        <f>#REF!/1000000</f>
        <v/>
      </c>
      <c r="FW23" s="608">
        <f>#REF!/1000000</f>
        <v/>
      </c>
      <c r="FX23" s="608">
        <f>#REF!/1000000</f>
        <v/>
      </c>
      <c r="FY23" s="608">
        <f>#REF!/1000000</f>
        <v/>
      </c>
      <c r="FZ23" s="608">
        <f>#REF!/1000000</f>
        <v/>
      </c>
      <c r="GA23" s="608">
        <f>#REF!/1000000</f>
        <v/>
      </c>
      <c r="GB23" s="608">
        <f>#REF!/1000000</f>
        <v/>
      </c>
      <c r="GC23" s="608">
        <f>#REF!/1000000</f>
        <v/>
      </c>
      <c r="GD23" s="608">
        <f>#REF!/1000000</f>
        <v/>
      </c>
      <c r="GE23" s="608">
        <f>#REF!/1000000</f>
        <v/>
      </c>
      <c r="GF23" s="608">
        <f>#REF!/1000000</f>
        <v/>
      </c>
      <c r="GG23" s="608">
        <f>#REF!/1000000</f>
        <v/>
      </c>
      <c r="GH23" s="608">
        <f>#REF!/1000000</f>
        <v/>
      </c>
      <c r="GI23" s="608">
        <f>#REF!/1000000</f>
        <v/>
      </c>
      <c r="GJ23" s="608">
        <f>#REF!/1000000</f>
        <v/>
      </c>
      <c r="GK23" s="608">
        <f>#REF!/1000000</f>
        <v/>
      </c>
      <c r="GL23" s="608">
        <f>#REF!/1000000</f>
        <v/>
      </c>
      <c r="GM23" s="608">
        <f>#REF!/1000000</f>
        <v/>
      </c>
      <c r="GN23" s="608">
        <f>#REF!/1000000</f>
        <v/>
      </c>
      <c r="GO23" s="608">
        <f>#REF!/1000000</f>
        <v/>
      </c>
      <c r="GP23" s="608">
        <f>#REF!/1000000</f>
        <v/>
      </c>
      <c r="GQ23" s="608">
        <f>#REF!/1000000</f>
        <v/>
      </c>
      <c r="GR23" s="608">
        <f>#REF!/1000000</f>
        <v/>
      </c>
      <c r="GS23" s="608">
        <f>#REF!/1000000</f>
        <v/>
      </c>
      <c r="GT23" s="608">
        <f>#REF!/1000000</f>
        <v/>
      </c>
      <c r="GU23" s="608">
        <f>#REF!/1000000</f>
        <v/>
      </c>
      <c r="GV23" s="608">
        <f>#REF!/1000000</f>
        <v/>
      </c>
      <c r="GW23" s="608">
        <f>#REF!/1000000</f>
        <v/>
      </c>
      <c r="GX23" s="608">
        <f>#REF!/1000000</f>
        <v/>
      </c>
      <c r="GY23" s="608">
        <f>#REF!/1000000</f>
        <v/>
      </c>
      <c r="GZ23" s="608">
        <f>#REF!/1000000</f>
        <v/>
      </c>
      <c r="HA23" s="608">
        <f>#REF!/1000000</f>
        <v/>
      </c>
      <c r="HB23" s="608">
        <f>#REF!/1000000</f>
        <v/>
      </c>
      <c r="HC23" s="608">
        <f>#REF!/1000000</f>
        <v/>
      </c>
      <c r="HD23" s="608">
        <f>#REF!/1000000</f>
        <v/>
      </c>
      <c r="HE23" s="608">
        <f>#REF!/1000000</f>
        <v/>
      </c>
      <c r="HF23" s="608">
        <f>#REF!/1000000</f>
        <v/>
      </c>
      <c r="HG23" s="608">
        <f>#REF!/1000000</f>
        <v/>
      </c>
      <c r="HH23" s="608">
        <f>#REF!/1000000</f>
        <v/>
      </c>
      <c r="HI23" s="608">
        <f>#REF!/1000000</f>
        <v/>
      </c>
      <c r="HJ23" s="608">
        <f>#REF!/1000000</f>
        <v/>
      </c>
      <c r="HK23" s="608">
        <f>#REF!/1000000</f>
        <v/>
      </c>
      <c r="HL23" s="608">
        <f>#REF!/1000000</f>
        <v/>
      </c>
      <c r="HM23" s="608">
        <f>#REF!/1000000</f>
        <v/>
      </c>
      <c r="HN23" s="608">
        <f>#REF!/1000000</f>
        <v/>
      </c>
      <c r="HO23" s="608">
        <f>#REF!/1000000</f>
        <v/>
      </c>
      <c r="HP23" s="608">
        <f>#REF!/1000000</f>
        <v/>
      </c>
      <c r="HQ23" s="608">
        <f>#REF!/1000000</f>
        <v/>
      </c>
      <c r="HR23" s="608">
        <f>#REF!/1000000</f>
        <v/>
      </c>
      <c r="HS23" s="608">
        <f>#REF!/1000000</f>
        <v/>
      </c>
      <c r="HT23" s="608">
        <f>#REF!/1000000</f>
        <v/>
      </c>
      <c r="HU23" s="608">
        <f>#REF!/1000000</f>
        <v/>
      </c>
      <c r="HV23" s="608">
        <f>#REF!/1000000</f>
        <v/>
      </c>
      <c r="HW23" s="608">
        <f>#REF!/1000000</f>
        <v/>
      </c>
      <c r="HX23" s="608">
        <f>#REF!/1000000</f>
        <v/>
      </c>
      <c r="HY23" s="608">
        <f>#REF!/1000000</f>
        <v/>
      </c>
      <c r="HZ23" s="608">
        <f>#REF!/1000000</f>
        <v/>
      </c>
      <c r="IA23" s="608">
        <f>#REF!/1000000</f>
        <v/>
      </c>
      <c r="IB23" s="608">
        <f>#REF!/1000000</f>
        <v/>
      </c>
      <c r="IC23" s="608">
        <f>#REF!/1000000</f>
        <v/>
      </c>
      <c r="ID23" s="608">
        <f>#REF!/1000000</f>
        <v/>
      </c>
      <c r="IE23" t="inlineStr">
        <is>
          <t>x</t>
        </is>
      </c>
    </row>
    <row r="24">
      <c r="IE24" t="inlineStr">
        <is>
          <t>x</t>
        </is>
      </c>
    </row>
    <row r="25">
      <c r="IE25" t="inlineStr">
        <is>
          <t>x</t>
        </is>
      </c>
    </row>
    <row r="26">
      <c r="IE26" t="inlineStr">
        <is>
          <t>x</t>
        </is>
      </c>
    </row>
    <row r="27">
      <c r="IE27" t="inlineStr">
        <is>
          <t>x</t>
        </is>
      </c>
    </row>
    <row r="28">
      <c r="IE28" t="inlineStr">
        <is>
          <t>x</t>
        </is>
      </c>
    </row>
    <row r="29">
      <c r="IE29" t="inlineStr">
        <is>
          <t>x</t>
        </is>
      </c>
    </row>
    <row r="30">
      <c r="IE30" t="inlineStr">
        <is>
          <t>x</t>
        </is>
      </c>
    </row>
    <row r="31">
      <c r="IE31" t="inlineStr">
        <is>
          <t>x</t>
        </is>
      </c>
    </row>
    <row r="32">
      <c r="IE32" t="inlineStr">
        <is>
          <t>x</t>
        </is>
      </c>
    </row>
    <row r="33">
      <c r="IE33" t="inlineStr">
        <is>
          <t>x</t>
        </is>
      </c>
    </row>
    <row r="34">
      <c r="IE34" t="inlineStr">
        <is>
          <t>x</t>
        </is>
      </c>
    </row>
    <row r="35">
      <c r="IE35" t="inlineStr">
        <is>
          <t>x</t>
        </is>
      </c>
    </row>
    <row r="36">
      <c r="IE36" t="inlineStr">
        <is>
          <t>x</t>
        </is>
      </c>
    </row>
    <row r="37">
      <c r="IE37" t="inlineStr">
        <is>
          <t>x</t>
        </is>
      </c>
    </row>
    <row r="38">
      <c r="IE38" t="inlineStr">
        <is>
          <t>x</t>
        </is>
      </c>
    </row>
    <row r="39">
      <c r="IE39" t="inlineStr">
        <is>
          <t>x</t>
        </is>
      </c>
    </row>
    <row r="40">
      <c r="IE40" t="inlineStr">
        <is>
          <t>x</t>
        </is>
      </c>
    </row>
    <row r="41">
      <c r="IE41" t="inlineStr">
        <is>
          <t>x</t>
        </is>
      </c>
    </row>
    <row r="42">
      <c r="IE42" t="inlineStr">
        <is>
          <t>x</t>
        </is>
      </c>
    </row>
    <row r="43">
      <c r="IE43" t="inlineStr">
        <is>
          <t>x</t>
        </is>
      </c>
    </row>
    <row r="44">
      <c r="IE44" t="inlineStr">
        <is>
          <t>x</t>
        </is>
      </c>
    </row>
    <row r="45">
      <c r="IE45" t="inlineStr">
        <is>
          <t>x</t>
        </is>
      </c>
    </row>
    <row r="46">
      <c r="IE46" t="inlineStr">
        <is>
          <t>x</t>
        </is>
      </c>
    </row>
    <row r="47">
      <c r="IE47" t="inlineStr">
        <is>
          <t>x</t>
        </is>
      </c>
    </row>
    <row r="48">
      <c r="IE48" t="inlineStr">
        <is>
          <t>x</t>
        </is>
      </c>
    </row>
    <row r="49">
      <c r="IE49" t="inlineStr">
        <is>
          <t>x</t>
        </is>
      </c>
    </row>
    <row r="50">
      <c r="IE50" t="inlineStr">
        <is>
          <t>x</t>
        </is>
      </c>
    </row>
    <row r="51">
      <c r="IE51" t="inlineStr">
        <is>
          <t>x</t>
        </is>
      </c>
    </row>
    <row r="52">
      <c r="IE52" t="inlineStr">
        <is>
          <t>x</t>
        </is>
      </c>
    </row>
    <row r="53">
      <c r="IE53" t="inlineStr">
        <is>
          <t>x</t>
        </is>
      </c>
    </row>
    <row r="54">
      <c r="IE54" t="inlineStr">
        <is>
          <t>x</t>
        </is>
      </c>
    </row>
    <row r="55">
      <c r="IE55" t="inlineStr">
        <is>
          <t>x</t>
        </is>
      </c>
    </row>
    <row r="56">
      <c r="IE56" t="inlineStr">
        <is>
          <t>x</t>
        </is>
      </c>
    </row>
    <row r="57">
      <c r="IE57" t="inlineStr">
        <is>
          <t>x</t>
        </is>
      </c>
    </row>
    <row r="58">
      <c r="IE58" t="inlineStr">
        <is>
          <t>x</t>
        </is>
      </c>
    </row>
    <row r="59">
      <c r="IE59" t="inlineStr">
        <is>
          <t>x</t>
        </is>
      </c>
    </row>
    <row r="60">
      <c r="IE60" t="inlineStr">
        <is>
          <t>x</t>
        </is>
      </c>
    </row>
    <row r="61">
      <c r="IE61" t="inlineStr">
        <is>
          <t>x</t>
        </is>
      </c>
    </row>
    <row r="62">
      <c r="IE62" t="inlineStr">
        <is>
          <t>x</t>
        </is>
      </c>
    </row>
    <row r="63">
      <c r="IE63" t="inlineStr">
        <is>
          <t>x</t>
        </is>
      </c>
    </row>
    <row r="64">
      <c r="IE64" t="inlineStr">
        <is>
          <t>x</t>
        </is>
      </c>
    </row>
    <row r="65">
      <c r="IE65" t="inlineStr">
        <is>
          <t>x</t>
        </is>
      </c>
    </row>
    <row r="66">
      <c r="IE66" t="inlineStr">
        <is>
          <t>x</t>
        </is>
      </c>
    </row>
    <row r="67">
      <c r="IE67" t="inlineStr">
        <is>
          <t>x</t>
        </is>
      </c>
    </row>
    <row r="68">
      <c r="IE68" t="inlineStr">
        <is>
          <t>x</t>
        </is>
      </c>
    </row>
    <row r="69">
      <c r="IE69" t="inlineStr">
        <is>
          <t>x</t>
        </is>
      </c>
    </row>
    <row r="70">
      <c r="IE70" t="inlineStr">
        <is>
          <t>x</t>
        </is>
      </c>
    </row>
    <row r="71">
      <c r="IE71" t="inlineStr">
        <is>
          <t>x</t>
        </is>
      </c>
    </row>
    <row r="72">
      <c r="IE72" t="inlineStr">
        <is>
          <t>x</t>
        </is>
      </c>
    </row>
    <row r="73">
      <c r="IE73" t="inlineStr">
        <is>
          <t>x</t>
        </is>
      </c>
    </row>
    <row r="74">
      <c r="IE74" t="inlineStr">
        <is>
          <t>x</t>
        </is>
      </c>
    </row>
    <row r="75">
      <c r="IE75" t="inlineStr">
        <is>
          <t>x</t>
        </is>
      </c>
    </row>
    <row r="76">
      <c r="IE76" t="inlineStr">
        <is>
          <t>x</t>
        </is>
      </c>
    </row>
    <row r="77">
      <c r="IE77" t="inlineStr">
        <is>
          <t>x</t>
        </is>
      </c>
    </row>
    <row r="78">
      <c r="IE78" t="inlineStr">
        <is>
          <t>x</t>
        </is>
      </c>
    </row>
    <row r="79">
      <c r="IE79" t="inlineStr">
        <is>
          <t>x</t>
        </is>
      </c>
    </row>
    <row r="80">
      <c r="IE80" t="inlineStr">
        <is>
          <t>x</t>
        </is>
      </c>
    </row>
    <row r="81">
      <c r="IE81" t="inlineStr">
        <is>
          <t>x</t>
        </is>
      </c>
    </row>
    <row r="82">
      <c r="IE82" t="inlineStr">
        <is>
          <t>x</t>
        </is>
      </c>
    </row>
    <row r="83">
      <c r="IE83" t="inlineStr">
        <is>
          <t>x</t>
        </is>
      </c>
    </row>
    <row r="84">
      <c r="IE84" t="inlineStr">
        <is>
          <t>x</t>
        </is>
      </c>
    </row>
    <row r="85">
      <c r="IE85" t="inlineStr">
        <is>
          <t>x</t>
        </is>
      </c>
    </row>
    <row r="86">
      <c r="IE86" t="inlineStr">
        <is>
          <t>x</t>
        </is>
      </c>
    </row>
    <row r="87">
      <c r="IE87" t="inlineStr">
        <is>
          <t>x</t>
        </is>
      </c>
    </row>
    <row r="88">
      <c r="IE88" t="inlineStr">
        <is>
          <t>x</t>
        </is>
      </c>
    </row>
    <row r="89">
      <c r="IE89" t="inlineStr">
        <is>
          <t>x</t>
        </is>
      </c>
    </row>
    <row r="90">
      <c r="IE90" t="inlineStr">
        <is>
          <t>x</t>
        </is>
      </c>
    </row>
    <row r="91">
      <c r="IE91" t="inlineStr">
        <is>
          <t>x</t>
        </is>
      </c>
    </row>
    <row r="92">
      <c r="IE92" t="inlineStr">
        <is>
          <t>x</t>
        </is>
      </c>
    </row>
    <row r="93">
      <c r="IE93" t="inlineStr">
        <is>
          <t>x</t>
        </is>
      </c>
    </row>
    <row r="94">
      <c r="IE94" t="inlineStr">
        <is>
          <t>x</t>
        </is>
      </c>
    </row>
    <row r="95">
      <c r="IE95" t="inlineStr">
        <is>
          <t>x</t>
        </is>
      </c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U159"/>
  <sheetViews>
    <sheetView showGridLines="0" zoomScale="90" zoomScaleNormal="90" workbookViewId="0">
      <pane xSplit="1" topLeftCell="B1" activePane="topRight" state="frozen"/>
      <selection activeCell="A32" sqref="A32"/>
      <selection pane="topRight" activeCell="C4" sqref="C4"/>
    </sheetView>
  </sheetViews>
  <sheetFormatPr baseColWidth="8" defaultColWidth="8.88671875" defaultRowHeight="10.2"/>
  <cols>
    <col width="39.44140625" bestFit="1" customWidth="1" style="252" min="1" max="1"/>
    <col width="13" customWidth="1" style="252" min="2" max="2"/>
    <col outlineLevel="1" width="10.5546875" customWidth="1" style="252" min="3" max="3"/>
    <col outlineLevel="1" width="10" customWidth="1" style="252" min="4" max="4"/>
    <col width="10.21875" customWidth="1" style="252" min="5" max="5"/>
    <col width="10" customWidth="1" style="252" min="6" max="6"/>
    <col width="10.44140625" customWidth="1" style="252" min="7" max="11"/>
    <col width="10.6640625" customWidth="1" style="252" min="12" max="13"/>
    <col width="10.44140625" customWidth="1" style="252" min="14" max="15"/>
    <col width="10.6640625" customWidth="1" style="252" min="16" max="16"/>
    <col width="10.44140625" customWidth="1" style="252" min="17" max="17"/>
    <col width="10.6640625" customWidth="1" style="252" min="18" max="19"/>
    <col width="10.44140625" customWidth="1" style="252" min="20" max="20"/>
    <col width="10.6640625" customWidth="1" style="252" min="21" max="23"/>
    <col width="11.88671875" customWidth="1" style="252" min="24" max="24"/>
    <col width="12.21875" customWidth="1" style="252" min="25" max="26"/>
    <col width="11.88671875" customWidth="1" style="252" min="27" max="27"/>
    <col width="12.21875" customWidth="1" style="252" min="28" max="28"/>
    <col width="11.88671875" customWidth="1" style="252" min="29" max="33"/>
    <col width="2" customWidth="1" style="252" min="34" max="34"/>
    <col width="14.88671875" customWidth="1" style="252" min="35" max="35"/>
    <col width="2" customWidth="1" style="252" min="36" max="36"/>
    <col width="14.44140625" bestFit="1" customWidth="1" style="252" min="37" max="38"/>
    <col width="16.109375" bestFit="1" customWidth="1" style="252" min="39" max="153"/>
    <col width="15.6640625" bestFit="1" customWidth="1" style="252" min="154" max="154"/>
    <col width="14.44140625" bestFit="1" customWidth="1" style="252" min="155" max="218"/>
    <col width="14.21875" bestFit="1" customWidth="1" style="252" min="219" max="221"/>
    <col width="13.6640625" bestFit="1" customWidth="1" style="252" min="222" max="222"/>
    <col width="13.44140625" bestFit="1" customWidth="1" style="252" min="223" max="223"/>
    <col width="13.6640625" bestFit="1" customWidth="1" style="252" min="224" max="224"/>
    <col width="14.21875" bestFit="1" customWidth="1" style="252" min="225" max="228"/>
    <col width="13.44140625" bestFit="1" customWidth="1" style="252" min="229" max="229"/>
    <col width="8.88671875" customWidth="1" style="252" min="230" max="16384"/>
  </cols>
  <sheetData>
    <row r="1" ht="18" customHeight="1" thickBo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506" t="inlineStr">
        <is>
          <t>Total | Previsão</t>
        </is>
      </c>
      <c r="AJ1" s="1" t="n"/>
      <c r="AK1" s="503" t="n"/>
      <c r="AL1" s="1" t="n"/>
      <c r="AM1" s="1" t="n"/>
      <c r="AN1" s="1" t="n"/>
      <c r="AO1" s="1" t="n"/>
      <c r="AP1" s="1" t="n"/>
      <c r="AR1" s="503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E1" s="1" t="n"/>
      <c r="BF1" s="373" t="inlineStr">
        <is>
          <t>PREVISÃO DE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EC1" s="343" t="inlineStr">
        <is>
          <t>FIM DAS VENDAS</t>
        </is>
      </c>
    </row>
    <row r="2" ht="18" customHeight="1" thickBot="1">
      <c r="A2" s="447" t="inlineStr">
        <is>
          <t>Comparativo 5 vs 7</t>
        </is>
      </c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4" t="n"/>
      <c r="AC2" s="1" t="n"/>
      <c r="AD2" s="1" t="n"/>
      <c r="AE2" s="1" t="n"/>
      <c r="AF2" s="1" t="n"/>
      <c r="AG2" s="1" t="n"/>
      <c r="AH2" s="1" t="n"/>
      <c r="AI2" s="507" t="n"/>
      <c r="AJ2" s="1" t="n"/>
      <c r="AL2" s="1" t="n"/>
      <c r="AM2" s="1" t="n"/>
      <c r="AN2" s="1" t="n"/>
      <c r="AO2" s="1" t="inlineStr"/>
      <c r="AP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321" t="n"/>
      <c r="BE2" s="1" t="n"/>
      <c r="BF2" s="373" t="inlineStr">
        <is>
          <t>ENTREGA DA OBRA</t>
        </is>
      </c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32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32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283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32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EC2" s="343" t="n"/>
    </row>
    <row r="3" ht="10.8" customHeight="1" thickBot="1">
      <c r="A3" s="2" t="n"/>
      <c r="B3" s="2" t="n"/>
      <c r="C3" s="51" t="n">
        <v>1</v>
      </c>
      <c r="D3" s="51" t="n">
        <v>2</v>
      </c>
      <c r="E3" s="51" t="n">
        <v>3</v>
      </c>
      <c r="F3" s="51" t="n">
        <v>4</v>
      </c>
      <c r="G3" s="51" t="n">
        <v>5</v>
      </c>
      <c r="H3" s="51" t="n">
        <v>6</v>
      </c>
      <c r="I3" s="51" t="n">
        <v>7</v>
      </c>
      <c r="J3" s="51" t="n">
        <v>8</v>
      </c>
      <c r="K3" s="51" t="n">
        <v>9</v>
      </c>
      <c r="L3" s="51" t="n">
        <v>10</v>
      </c>
      <c r="M3" s="51" t="n">
        <v>11</v>
      </c>
      <c r="N3" s="51" t="n">
        <v>12</v>
      </c>
      <c r="O3" s="51" t="n">
        <v>13</v>
      </c>
      <c r="P3" s="51" t="n">
        <v>14</v>
      </c>
      <c r="Q3" s="51" t="n">
        <v>15</v>
      </c>
      <c r="R3" s="51" t="n">
        <v>16</v>
      </c>
      <c r="S3" s="51" t="n">
        <v>17</v>
      </c>
      <c r="T3" s="51" t="n">
        <v>18</v>
      </c>
      <c r="U3" s="51" t="n">
        <v>19</v>
      </c>
      <c r="V3" s="51" t="n">
        <v>20</v>
      </c>
      <c r="W3" s="51" t="n">
        <v>21</v>
      </c>
      <c r="X3" s="51" t="n">
        <v>22</v>
      </c>
      <c r="Y3" s="51" t="n">
        <v>23</v>
      </c>
      <c r="Z3" s="51" t="n">
        <v>24</v>
      </c>
      <c r="AA3" s="51" t="n">
        <v>25</v>
      </c>
      <c r="AB3" s="51" t="n">
        <v>26</v>
      </c>
      <c r="AC3" s="51" t="n">
        <v>27</v>
      </c>
      <c r="AD3" s="51" t="n">
        <v>28</v>
      </c>
      <c r="AE3" s="51" t="n">
        <v>29</v>
      </c>
      <c r="AF3" s="51" t="n">
        <v>30</v>
      </c>
      <c r="AG3" s="51" t="n">
        <v>31</v>
      </c>
      <c r="AH3" s="51" t="n"/>
      <c r="AI3" s="508" t="n"/>
      <c r="AJ3" s="51" t="n"/>
      <c r="AK3" s="51" t="n">
        <v>32</v>
      </c>
      <c r="AL3" s="51" t="n">
        <v>33</v>
      </c>
      <c r="AM3" s="51" t="n">
        <v>34</v>
      </c>
      <c r="AN3" s="51" t="n">
        <v>35</v>
      </c>
      <c r="AO3" s="51" t="n">
        <v>36</v>
      </c>
      <c r="AP3" s="51" t="n">
        <v>37</v>
      </c>
      <c r="AQ3" s="51" t="n">
        <v>38</v>
      </c>
      <c r="AR3" s="51" t="n">
        <v>39</v>
      </c>
      <c r="AS3" s="51" t="n">
        <v>40</v>
      </c>
      <c r="AT3" s="51" t="n">
        <v>41</v>
      </c>
      <c r="AU3" s="51" t="n">
        <v>42</v>
      </c>
      <c r="AV3" s="51" t="n">
        <v>43</v>
      </c>
      <c r="AW3" s="51" t="n">
        <v>44</v>
      </c>
      <c r="AX3" s="51" t="n">
        <v>45</v>
      </c>
      <c r="AY3" s="51" t="n">
        <v>46</v>
      </c>
      <c r="AZ3" s="51" t="n">
        <v>47</v>
      </c>
      <c r="BA3" s="51" t="n">
        <v>48</v>
      </c>
      <c r="BB3" s="51" t="n">
        <v>49</v>
      </c>
      <c r="BC3" s="51" t="n">
        <v>50</v>
      </c>
      <c r="BD3" s="51" t="n">
        <v>51</v>
      </c>
      <c r="BE3" s="51" t="n">
        <v>52</v>
      </c>
      <c r="BF3" s="51" t="n">
        <v>53</v>
      </c>
      <c r="BG3" s="51" t="n">
        <v>54</v>
      </c>
      <c r="BH3" s="51" t="n">
        <v>55</v>
      </c>
      <c r="BI3" s="51" t="n">
        <v>56</v>
      </c>
      <c r="BJ3" s="51" t="n">
        <v>57</v>
      </c>
      <c r="BK3" s="51" t="n">
        <v>58</v>
      </c>
      <c r="BL3" s="51" t="n">
        <v>59</v>
      </c>
      <c r="BM3" s="51" t="n">
        <v>60</v>
      </c>
      <c r="BN3" s="51" t="n">
        <v>61</v>
      </c>
      <c r="BO3" s="51" t="n">
        <v>62</v>
      </c>
      <c r="BP3" s="51" t="n">
        <v>63</v>
      </c>
      <c r="BQ3" s="51" t="n">
        <v>64</v>
      </c>
      <c r="BR3" s="51" t="n">
        <v>65</v>
      </c>
      <c r="BS3" s="51" t="n">
        <v>66</v>
      </c>
      <c r="BT3" s="51" t="n">
        <v>67</v>
      </c>
      <c r="BU3" s="51" t="n">
        <v>68</v>
      </c>
      <c r="BV3" s="51" t="n">
        <v>69</v>
      </c>
      <c r="BW3" s="51" t="n">
        <v>70</v>
      </c>
      <c r="BX3" s="51" t="n">
        <v>71</v>
      </c>
      <c r="BY3" s="51" t="n">
        <v>72</v>
      </c>
      <c r="BZ3" s="51" t="n">
        <v>73</v>
      </c>
      <c r="CA3" s="51" t="n">
        <v>74</v>
      </c>
      <c r="CB3" s="51" t="n">
        <v>75</v>
      </c>
      <c r="CC3" s="51" t="n">
        <v>76</v>
      </c>
      <c r="CD3" s="51" t="n">
        <v>77</v>
      </c>
      <c r="CE3" s="51" t="n">
        <v>78</v>
      </c>
      <c r="CF3" s="51" t="n">
        <v>79</v>
      </c>
      <c r="CG3" s="51" t="n">
        <v>80</v>
      </c>
      <c r="CH3" s="51" t="n">
        <v>81</v>
      </c>
      <c r="CI3" s="51" t="n">
        <v>82</v>
      </c>
      <c r="CJ3" s="51" t="n">
        <v>83</v>
      </c>
      <c r="CK3" s="51" t="n">
        <v>84</v>
      </c>
      <c r="CL3" s="51" t="n">
        <v>85</v>
      </c>
      <c r="CM3" s="51" t="n">
        <v>86</v>
      </c>
      <c r="CN3" s="51" t="n">
        <v>87</v>
      </c>
      <c r="CO3" s="51" t="n">
        <v>88</v>
      </c>
      <c r="CP3" s="51" t="n">
        <v>89</v>
      </c>
      <c r="CQ3" s="51" t="n">
        <v>90</v>
      </c>
      <c r="CR3" s="51" t="n">
        <v>91</v>
      </c>
      <c r="CS3" s="51" t="n">
        <v>92</v>
      </c>
      <c r="CT3" s="51" t="n">
        <v>93</v>
      </c>
      <c r="CU3" s="51" t="n">
        <v>94</v>
      </c>
      <c r="CV3" s="51" t="n">
        <v>95</v>
      </c>
      <c r="CW3" s="51" t="n">
        <v>96</v>
      </c>
      <c r="CX3" s="51" t="n">
        <v>97</v>
      </c>
      <c r="CY3" s="51" t="n">
        <v>98</v>
      </c>
      <c r="CZ3" s="51" t="n">
        <v>99</v>
      </c>
      <c r="DA3" s="51" t="n">
        <v>100</v>
      </c>
      <c r="DB3" s="51" t="n">
        <v>101</v>
      </c>
      <c r="DC3" s="51" t="n">
        <v>102</v>
      </c>
      <c r="DD3" s="51" t="n">
        <v>103</v>
      </c>
      <c r="DE3" s="51" t="n">
        <v>104</v>
      </c>
      <c r="DF3" s="51" t="n">
        <v>105</v>
      </c>
      <c r="DG3" s="51" t="n">
        <v>106</v>
      </c>
      <c r="DH3" s="51" t="n">
        <v>107</v>
      </c>
      <c r="DI3" s="51" t="n">
        <v>108</v>
      </c>
      <c r="DJ3" s="51" t="n">
        <v>109</v>
      </c>
      <c r="DK3" s="51" t="n">
        <v>110</v>
      </c>
      <c r="DL3" s="51" t="n">
        <v>111</v>
      </c>
      <c r="DM3" s="51" t="n">
        <v>112</v>
      </c>
      <c r="DN3" s="51" t="n">
        <v>113</v>
      </c>
      <c r="DO3" s="51" t="n">
        <v>114</v>
      </c>
      <c r="DP3" s="51" t="n">
        <v>115</v>
      </c>
      <c r="DQ3" s="51" t="n">
        <v>116</v>
      </c>
      <c r="DR3" s="51" t="n">
        <v>117</v>
      </c>
      <c r="DS3" s="51" t="n">
        <v>118</v>
      </c>
      <c r="DT3" s="51" t="n">
        <v>119</v>
      </c>
      <c r="DU3" s="51" t="n">
        <v>120</v>
      </c>
      <c r="DV3" s="51" t="n">
        <v>121</v>
      </c>
      <c r="DW3" s="51" t="n">
        <v>122</v>
      </c>
      <c r="DX3" s="51" t="n">
        <v>123</v>
      </c>
      <c r="DY3" s="51" t="n">
        <v>124</v>
      </c>
      <c r="DZ3" s="51" t="n">
        <v>125</v>
      </c>
      <c r="EA3" s="51" t="n">
        <v>126</v>
      </c>
      <c r="EB3" s="51" t="n">
        <v>127</v>
      </c>
      <c r="EC3" s="344" t="n">
        <v>128</v>
      </c>
      <c r="ED3" s="51" t="n">
        <v>129</v>
      </c>
      <c r="EE3" s="51" t="n">
        <v>130</v>
      </c>
      <c r="EF3" s="51" t="n">
        <v>131</v>
      </c>
      <c r="EG3" s="51" t="n">
        <v>132</v>
      </c>
      <c r="EH3" s="51" t="n">
        <v>133</v>
      </c>
      <c r="EI3" s="51" t="n">
        <v>134</v>
      </c>
      <c r="EJ3" s="51" t="n">
        <v>135</v>
      </c>
      <c r="EK3" s="51" t="n">
        <v>136</v>
      </c>
      <c r="EL3" s="51" t="n">
        <v>137</v>
      </c>
      <c r="EM3" s="51" t="n">
        <v>138</v>
      </c>
      <c r="EN3" s="51" t="n">
        <v>139</v>
      </c>
      <c r="EO3" s="51" t="n">
        <v>140</v>
      </c>
      <c r="EP3" s="51" t="n">
        <v>141</v>
      </c>
      <c r="EQ3" s="51" t="n">
        <v>142</v>
      </c>
      <c r="ER3" s="51" t="n">
        <v>143</v>
      </c>
      <c r="ES3" s="51" t="n">
        <v>144</v>
      </c>
      <c r="ET3" s="51" t="n">
        <v>145</v>
      </c>
      <c r="EU3" s="51" t="n">
        <v>146</v>
      </c>
      <c r="EV3" s="51" t="n">
        <v>147</v>
      </c>
      <c r="EW3" s="51" t="n">
        <v>148</v>
      </c>
      <c r="EX3" s="51" t="n">
        <v>149</v>
      </c>
      <c r="EY3" s="51" t="n">
        <v>150</v>
      </c>
      <c r="EZ3" s="51" t="n">
        <v>151</v>
      </c>
      <c r="FA3" s="51" t="n">
        <v>152</v>
      </c>
      <c r="FB3" s="51" t="n">
        <v>153</v>
      </c>
      <c r="FC3" s="51" t="n">
        <v>154</v>
      </c>
      <c r="FD3" s="51" t="n">
        <v>155</v>
      </c>
      <c r="FE3" s="51" t="n">
        <v>156</v>
      </c>
      <c r="FF3" s="51" t="n">
        <v>157</v>
      </c>
      <c r="FG3" s="51" t="n">
        <v>158</v>
      </c>
      <c r="FH3" s="51" t="n">
        <v>159</v>
      </c>
      <c r="FI3" s="51" t="n">
        <v>160</v>
      </c>
      <c r="FJ3" s="51" t="n">
        <v>161</v>
      </c>
      <c r="FK3" s="51" t="n">
        <v>162</v>
      </c>
      <c r="FL3" s="51" t="n">
        <v>163</v>
      </c>
      <c r="FM3" s="51" t="n">
        <v>164</v>
      </c>
      <c r="FN3" s="51" t="n">
        <v>165</v>
      </c>
      <c r="FO3" s="51" t="n">
        <v>166</v>
      </c>
      <c r="FP3" s="51" t="n">
        <v>167</v>
      </c>
      <c r="FQ3" s="51" t="n">
        <v>168</v>
      </c>
      <c r="FR3" s="51" t="n">
        <v>169</v>
      </c>
      <c r="FS3" s="51" t="n">
        <v>170</v>
      </c>
      <c r="FT3" s="51" t="n">
        <v>171</v>
      </c>
      <c r="FU3" s="51" t="n">
        <v>172</v>
      </c>
      <c r="FV3" s="51" t="n">
        <v>173</v>
      </c>
      <c r="FW3" s="51" t="n">
        <v>174</v>
      </c>
      <c r="FX3" s="51" t="n">
        <v>175</v>
      </c>
      <c r="FY3" s="51" t="n">
        <v>176</v>
      </c>
      <c r="FZ3" s="51" t="n">
        <v>177</v>
      </c>
      <c r="GA3" s="51" t="n">
        <v>178</v>
      </c>
      <c r="GB3" s="51" t="n">
        <v>179</v>
      </c>
      <c r="GC3" s="51" t="n">
        <v>180</v>
      </c>
      <c r="GD3" s="51" t="n">
        <v>181</v>
      </c>
      <c r="GE3" s="51" t="n">
        <v>182</v>
      </c>
      <c r="GF3" s="51" t="n">
        <v>183</v>
      </c>
      <c r="GG3" s="51" t="n">
        <v>184</v>
      </c>
      <c r="GH3" s="51" t="n">
        <v>185</v>
      </c>
      <c r="GI3" s="51" t="n">
        <v>186</v>
      </c>
      <c r="GJ3" s="51" t="n">
        <v>187</v>
      </c>
      <c r="GK3" s="51" t="n">
        <v>188</v>
      </c>
      <c r="GL3" s="51" t="n">
        <v>189</v>
      </c>
      <c r="GM3" s="51" t="n">
        <v>190</v>
      </c>
      <c r="GN3" s="51" t="n">
        <v>191</v>
      </c>
      <c r="GO3" s="51" t="n">
        <v>192</v>
      </c>
      <c r="GP3" s="51" t="n">
        <v>193</v>
      </c>
      <c r="GQ3" s="51" t="n">
        <v>194</v>
      </c>
      <c r="GR3" s="51" t="n">
        <v>195</v>
      </c>
      <c r="GS3" s="51" t="n">
        <v>196</v>
      </c>
      <c r="GT3" s="51" t="n">
        <v>197</v>
      </c>
      <c r="GU3" s="51" t="n">
        <v>198</v>
      </c>
      <c r="GV3" s="51" t="n">
        <v>199</v>
      </c>
      <c r="GW3" s="51" t="n">
        <v>200</v>
      </c>
      <c r="GX3" s="51" t="n">
        <v>201</v>
      </c>
      <c r="GY3" s="51" t="n">
        <v>202</v>
      </c>
      <c r="GZ3" s="51" t="n">
        <v>203</v>
      </c>
      <c r="HA3" s="51" t="n">
        <v>204</v>
      </c>
      <c r="HB3" s="51" t="n">
        <v>205</v>
      </c>
      <c r="HC3" s="51" t="n">
        <v>206</v>
      </c>
      <c r="HD3" s="51" t="n">
        <v>207</v>
      </c>
      <c r="HE3" s="51" t="n">
        <v>208</v>
      </c>
      <c r="HF3" s="51" t="n">
        <v>209</v>
      </c>
      <c r="HG3" s="51" t="n">
        <v>210</v>
      </c>
      <c r="HH3" s="51" t="n">
        <v>211</v>
      </c>
      <c r="HI3" s="51" t="n">
        <v>212</v>
      </c>
      <c r="HJ3" s="51" t="n">
        <v>213</v>
      </c>
      <c r="HK3" s="51" t="n">
        <v>214</v>
      </c>
      <c r="HL3" s="51" t="n">
        <v>215</v>
      </c>
      <c r="HM3" s="51" t="n">
        <v>216</v>
      </c>
      <c r="HN3" s="51" t="n">
        <v>217</v>
      </c>
      <c r="HO3" s="51" t="n">
        <v>218</v>
      </c>
      <c r="HP3" s="51" t="n">
        <v>219</v>
      </c>
      <c r="HQ3" s="51" t="n">
        <v>220</v>
      </c>
      <c r="HR3" s="51" t="n">
        <v>221</v>
      </c>
      <c r="HS3" s="51" t="n">
        <v>222</v>
      </c>
      <c r="HT3" s="51" t="n">
        <v>223</v>
      </c>
      <c r="HU3" s="51" t="n">
        <v>224</v>
      </c>
    </row>
    <row r="4" ht="15" customHeight="1" thickBot="1">
      <c r="A4" s="3" t="inlineStr">
        <is>
          <t xml:space="preserve">Fluxo de Caixa </t>
        </is>
      </c>
      <c r="B4" s="509" t="inlineStr">
        <is>
          <t>REALIZADO</t>
        </is>
      </c>
      <c r="C4" s="4" t="n"/>
      <c r="D4" s="107" t="n"/>
      <c r="E4" s="107" t="n"/>
      <c r="F4" s="107" t="n"/>
      <c r="G4" s="107" t="n"/>
      <c r="H4" s="107" t="n"/>
      <c r="I4" s="107" t="n"/>
      <c r="J4" s="253" t="n"/>
      <c r="K4" s="254" t="n"/>
      <c r="L4" s="258" t="n"/>
      <c r="M4" s="501" t="inlineStr">
        <is>
          <t>REALIZADO</t>
        </is>
      </c>
      <c r="X4" s="502" t="n"/>
      <c r="Y4" s="502" t="n"/>
      <c r="Z4" s="502" t="n"/>
      <c r="AA4" s="502" t="n"/>
      <c r="AB4" s="502" t="n"/>
      <c r="AC4" s="502" t="n"/>
      <c r="AD4" s="502" t="n"/>
      <c r="AE4" s="502" t="n"/>
      <c r="AF4" s="502" t="n"/>
      <c r="AG4" s="502" t="n"/>
      <c r="AH4" s="51" t="n"/>
      <c r="AI4" s="230" t="n"/>
      <c r="AJ4" s="5" t="n"/>
      <c r="AK4" s="152" t="n"/>
      <c r="AL4" s="152" t="n"/>
      <c r="AM4" s="152" t="n"/>
      <c r="AN4" s="152" t="n"/>
      <c r="AO4" s="152" t="n"/>
      <c r="AP4" s="152" t="n"/>
      <c r="AQ4" s="152" t="n"/>
      <c r="AR4" s="152" t="n"/>
      <c r="AS4" s="152" t="n"/>
      <c r="AT4" s="152" t="n"/>
      <c r="AU4" s="152" t="n"/>
      <c r="AV4" s="152" t="n"/>
      <c r="AW4" s="152" t="n"/>
      <c r="AX4" s="152" t="n"/>
      <c r="AY4" s="152" t="n"/>
      <c r="AZ4" s="152" t="n"/>
      <c r="BA4" s="152" t="n"/>
      <c r="BB4" s="152" t="n"/>
      <c r="BC4" s="152" t="n"/>
      <c r="BD4" s="285" t="n"/>
      <c r="BE4" s="152" t="n"/>
      <c r="BF4" s="152" t="n"/>
      <c r="BG4" s="152" t="n"/>
      <c r="BH4" s="152" t="n"/>
      <c r="BI4" s="152" t="n"/>
      <c r="BJ4" s="152" t="n"/>
      <c r="BK4" s="152" t="n"/>
      <c r="BL4" s="152" t="n"/>
      <c r="BM4" s="152" t="n"/>
      <c r="BN4" s="152" t="n"/>
      <c r="BO4" s="152" t="n"/>
      <c r="BP4" s="285" t="n"/>
      <c r="BQ4" s="152" t="n"/>
      <c r="BR4" s="152" t="n"/>
      <c r="BS4" s="152" t="n"/>
      <c r="BT4" s="152" t="n"/>
      <c r="BU4" s="152" t="n"/>
      <c r="BV4" s="152" t="n"/>
      <c r="BW4" s="152" t="n"/>
      <c r="BX4" s="152" t="n"/>
      <c r="BY4" s="152" t="n"/>
      <c r="BZ4" s="152" t="n"/>
      <c r="CA4" s="152" t="n"/>
      <c r="CB4" s="285" t="n"/>
      <c r="CC4" s="152" t="n"/>
      <c r="CD4" s="152" t="n"/>
      <c r="CE4" s="152" t="n"/>
      <c r="CF4" s="152" t="n"/>
      <c r="CG4" s="152" t="n"/>
      <c r="CH4" s="152" t="n"/>
      <c r="CI4" s="152" t="n"/>
      <c r="CJ4" s="152" t="n"/>
      <c r="CK4" s="152" t="n"/>
      <c r="CL4" s="152" t="n"/>
      <c r="CM4" s="152" t="n"/>
      <c r="CN4" s="285" t="n"/>
      <c r="CO4" s="152" t="n"/>
      <c r="CP4" s="152" t="n"/>
      <c r="CQ4" s="152" t="n"/>
      <c r="CR4" s="152" t="n"/>
      <c r="CS4" s="152" t="n"/>
      <c r="CT4" s="152" t="n"/>
      <c r="CU4" s="152" t="n"/>
      <c r="CV4" s="152" t="n"/>
      <c r="CW4" s="152" t="n"/>
      <c r="CX4" s="152" t="n"/>
      <c r="CY4" s="152" t="n"/>
      <c r="CZ4" s="285" t="n"/>
      <c r="DA4" s="152" t="n"/>
      <c r="DB4" s="152" t="n"/>
      <c r="DC4" s="152" t="n"/>
      <c r="DD4" s="152" t="n"/>
      <c r="DE4" s="152" t="n"/>
      <c r="DF4" s="152" t="n"/>
      <c r="DG4" s="152" t="n"/>
      <c r="DH4" s="152" t="n"/>
      <c r="DI4" s="152" t="n"/>
      <c r="DJ4" s="152" t="n"/>
      <c r="DK4" s="152" t="n"/>
      <c r="DL4" s="152" t="n"/>
      <c r="DM4" s="152" t="n"/>
      <c r="DN4" s="152" t="n"/>
      <c r="DO4" s="152" t="n"/>
      <c r="DP4" s="152" t="n"/>
      <c r="DQ4" s="152" t="n"/>
      <c r="DR4" s="152" t="n"/>
      <c r="DS4" s="152" t="n"/>
      <c r="DT4" s="152" t="n"/>
      <c r="DU4" s="152" t="n"/>
      <c r="DV4" s="152" t="n"/>
      <c r="DW4" s="152" t="n"/>
      <c r="DX4" s="152" t="n"/>
      <c r="DY4" s="152" t="n"/>
      <c r="DZ4" s="152" t="n"/>
      <c r="EA4" s="152" t="n"/>
      <c r="EB4" s="152" t="n"/>
      <c r="EC4" s="152" t="n"/>
      <c r="ED4" s="152" t="n"/>
      <c r="EE4" s="152" t="n"/>
      <c r="EF4" s="152" t="n"/>
      <c r="EG4" s="152" t="n"/>
      <c r="EH4" s="152" t="n"/>
      <c r="EI4" s="152" t="n"/>
      <c r="EJ4" s="152" t="n"/>
      <c r="EK4" s="152" t="n"/>
      <c r="EL4" s="152" t="n"/>
      <c r="EM4" s="152" t="n"/>
      <c r="EN4" s="152" t="n"/>
      <c r="EO4" s="152" t="n"/>
      <c r="EP4" s="152" t="n"/>
      <c r="EQ4" s="152" t="n"/>
      <c r="ER4" s="152" t="n"/>
      <c r="ES4" s="152" t="n"/>
      <c r="ET4" s="152" t="n"/>
      <c r="EU4" s="152" t="n"/>
      <c r="EV4" s="152" t="n"/>
      <c r="EW4" s="152" t="n"/>
      <c r="EX4" s="152" t="n"/>
      <c r="EY4" s="152" t="n"/>
      <c r="EZ4" s="152" t="n"/>
      <c r="FA4" s="152" t="n"/>
      <c r="FB4" s="152" t="n"/>
      <c r="FC4" s="152" t="n"/>
      <c r="FD4" s="152" t="n"/>
      <c r="FE4" s="152" t="n"/>
      <c r="FF4" s="152" t="n"/>
      <c r="FG4" s="152" t="n"/>
      <c r="FH4" s="152" t="n"/>
      <c r="FI4" s="152" t="n"/>
      <c r="FJ4" s="152" t="n"/>
      <c r="FK4" s="152" t="n"/>
      <c r="FL4" s="152" t="n"/>
      <c r="FM4" s="152" t="n"/>
      <c r="FN4" s="152" t="n"/>
      <c r="FO4" s="152" t="n"/>
      <c r="FP4" s="152" t="n"/>
      <c r="FQ4" s="152" t="n"/>
      <c r="FR4" s="152" t="n"/>
      <c r="FS4" s="152" t="n"/>
      <c r="FT4" s="152" t="n"/>
      <c r="FU4" s="152" t="n"/>
      <c r="FV4" s="152" t="n"/>
      <c r="FW4" s="152" t="n"/>
      <c r="FX4" s="152" t="n"/>
      <c r="FY4" s="152" t="n"/>
      <c r="FZ4" s="152" t="n"/>
      <c r="GA4" s="152" t="n"/>
      <c r="GB4" s="152" t="n"/>
      <c r="GC4" s="152" t="n"/>
      <c r="GD4" s="152" t="n"/>
      <c r="GE4" s="152" t="n"/>
      <c r="GF4" s="152" t="n"/>
      <c r="GG4" s="152" t="n"/>
      <c r="GH4" s="152" t="n"/>
      <c r="GI4" s="152" t="n"/>
      <c r="GJ4" s="152" t="n"/>
      <c r="GK4" s="152" t="n"/>
      <c r="GL4" s="152" t="n"/>
      <c r="GM4" s="152" t="n"/>
      <c r="GN4" s="152" t="n"/>
      <c r="GO4" s="152" t="n"/>
      <c r="GP4" s="152" t="n"/>
      <c r="GQ4" s="152" t="n"/>
      <c r="GR4" s="152" t="n"/>
      <c r="GS4" s="152" t="n"/>
      <c r="GT4" s="152" t="n"/>
      <c r="GU4" s="152" t="n"/>
      <c r="GV4" s="152" t="n"/>
      <c r="GW4" s="152" t="n"/>
      <c r="GX4" s="152" t="n"/>
      <c r="GY4" s="152" t="n"/>
      <c r="GZ4" s="152" t="n"/>
      <c r="HA4" s="152" t="n"/>
      <c r="HB4" s="152" t="n"/>
      <c r="HC4" s="152" t="n"/>
      <c r="HD4" s="152" t="n"/>
      <c r="HE4" s="152" t="n"/>
      <c r="HF4" s="152" t="n"/>
      <c r="HG4" s="152" t="n"/>
      <c r="HH4" s="152" t="n"/>
      <c r="HI4" s="152" t="n"/>
      <c r="HJ4" s="152" t="n"/>
      <c r="HK4" s="152" t="n"/>
      <c r="HL4" s="152" t="n"/>
      <c r="HM4" s="152" t="n"/>
      <c r="HN4" s="152" t="n"/>
      <c r="HO4" s="152" t="n"/>
      <c r="HP4" s="152" t="n"/>
      <c r="HQ4" s="152" t="n"/>
      <c r="HR4" s="152" t="n"/>
      <c r="HS4" s="152" t="n"/>
      <c r="HT4" s="152" t="n"/>
      <c r="HU4" s="152" t="n"/>
    </row>
    <row r="5" ht="10.8" customHeight="1" thickTop="1">
      <c r="A5" s="1" t="n"/>
      <c r="B5" s="510" t="n"/>
      <c r="C5" s="6" t="n">
        <v>44958</v>
      </c>
      <c r="D5" s="6" t="n">
        <v>44986</v>
      </c>
      <c r="E5" s="6" t="n">
        <v>45017</v>
      </c>
      <c r="F5" s="6" t="n">
        <v>45047</v>
      </c>
      <c r="G5" s="6" t="n">
        <v>45078</v>
      </c>
      <c r="H5" s="6" t="n">
        <v>45108</v>
      </c>
      <c r="I5" s="6" t="n">
        <v>45139</v>
      </c>
      <c r="J5" s="206" t="n">
        <v>45170</v>
      </c>
      <c r="K5" s="6" t="n">
        <v>45200</v>
      </c>
      <c r="L5" s="6" t="n">
        <v>45231</v>
      </c>
      <c r="M5" s="207" t="n">
        <v>45261</v>
      </c>
      <c r="N5" s="207" t="n">
        <v>45292</v>
      </c>
      <c r="O5" s="207" t="n">
        <v>45323</v>
      </c>
      <c r="P5" s="207" t="n">
        <v>45352</v>
      </c>
      <c r="Q5" s="207" t="n">
        <v>45383</v>
      </c>
      <c r="R5" s="207" t="n">
        <v>45413</v>
      </c>
      <c r="S5" s="207" t="n">
        <v>45444</v>
      </c>
      <c r="T5" s="207" t="n">
        <v>45474</v>
      </c>
      <c r="U5" s="207" t="n">
        <v>45505</v>
      </c>
      <c r="V5" s="207" t="n">
        <v>45536</v>
      </c>
      <c r="W5" s="207" t="n">
        <v>45566</v>
      </c>
      <c r="X5" s="207" t="n">
        <v>45597</v>
      </c>
      <c r="Y5" s="207" t="n">
        <v>45627</v>
      </c>
      <c r="Z5" s="207" t="n">
        <v>45658</v>
      </c>
      <c r="AA5" s="207" t="n">
        <v>45689</v>
      </c>
      <c r="AB5" s="207" t="n">
        <v>45717</v>
      </c>
      <c r="AC5" s="207" t="n">
        <v>45748</v>
      </c>
      <c r="AD5" s="207" t="n">
        <v>45778</v>
      </c>
      <c r="AE5" s="207" t="n">
        <v>45809</v>
      </c>
      <c r="AF5" s="207" t="n">
        <v>45839</v>
      </c>
      <c r="AG5" s="207" t="n">
        <v>45870</v>
      </c>
      <c r="AH5" s="199" t="n"/>
      <c r="AI5" s="231" t="inlineStr">
        <is>
          <t>Total | Previsão</t>
        </is>
      </c>
      <c r="AJ5" s="199" t="n"/>
      <c r="AK5" s="270" t="n">
        <v>45901</v>
      </c>
      <c r="AL5" s="270" t="n">
        <v>45931</v>
      </c>
      <c r="AM5" s="270" t="n">
        <v>45962</v>
      </c>
      <c r="AN5" s="270" t="n">
        <v>45992</v>
      </c>
      <c r="AO5" s="270" t="n">
        <v>46023</v>
      </c>
      <c r="AP5" s="270" t="n">
        <v>46054</v>
      </c>
      <c r="AQ5" s="270" t="n">
        <v>46082</v>
      </c>
      <c r="AR5" s="270" t="n">
        <v>46113</v>
      </c>
      <c r="AS5" s="270" t="n">
        <v>46143</v>
      </c>
      <c r="AT5" s="270" t="n">
        <v>46174</v>
      </c>
      <c r="AU5" s="270" t="n">
        <v>46204</v>
      </c>
      <c r="AV5" s="270" t="n">
        <v>46235</v>
      </c>
      <c r="AW5" s="270" t="n">
        <v>46266</v>
      </c>
      <c r="AX5" s="270" t="n">
        <v>46296</v>
      </c>
      <c r="AY5" s="270" t="n">
        <v>46327</v>
      </c>
      <c r="AZ5" s="270" t="n">
        <v>46357</v>
      </c>
      <c r="BA5" s="270" t="n">
        <v>46388</v>
      </c>
      <c r="BB5" s="270" t="n">
        <v>46419</v>
      </c>
      <c r="BC5" s="270" t="n">
        <v>46447</v>
      </c>
      <c r="BD5" s="270" t="n">
        <v>46478</v>
      </c>
      <c r="BE5" s="270" t="n">
        <v>46508</v>
      </c>
      <c r="BF5" s="270" t="n">
        <v>46539</v>
      </c>
      <c r="BG5" s="270" t="n">
        <v>46569</v>
      </c>
      <c r="BH5" s="270" t="n">
        <v>46600</v>
      </c>
      <c r="BI5" s="270" t="n">
        <v>46631</v>
      </c>
      <c r="BJ5" s="270" t="n">
        <v>46661</v>
      </c>
      <c r="BK5" s="270" t="n">
        <v>46692</v>
      </c>
      <c r="BL5" s="270" t="n">
        <v>46722</v>
      </c>
      <c r="BM5" s="270" t="n">
        <v>46753</v>
      </c>
      <c r="BN5" s="270" t="n">
        <v>46784</v>
      </c>
      <c r="BO5" s="270" t="n">
        <v>46813</v>
      </c>
      <c r="BP5" s="270" t="n">
        <v>46844</v>
      </c>
      <c r="BQ5" s="270" t="n">
        <v>46874</v>
      </c>
      <c r="BR5" s="270" t="n">
        <v>46905</v>
      </c>
      <c r="BS5" s="270" t="n">
        <v>46935</v>
      </c>
      <c r="BT5" s="270" t="n">
        <v>46966</v>
      </c>
      <c r="BU5" s="270" t="n">
        <v>46997</v>
      </c>
      <c r="BV5" s="270" t="n">
        <v>47027</v>
      </c>
      <c r="BW5" s="270" t="n">
        <v>47058</v>
      </c>
      <c r="BX5" s="270" t="n">
        <v>47088</v>
      </c>
      <c r="BY5" s="270" t="n">
        <v>47119</v>
      </c>
      <c r="BZ5" s="270" t="n">
        <v>47150</v>
      </c>
      <c r="CA5" s="270" t="n">
        <v>47178</v>
      </c>
      <c r="CB5" s="270" t="n">
        <v>47209</v>
      </c>
      <c r="CC5" s="270" t="n">
        <v>47239</v>
      </c>
      <c r="CD5" s="270" t="n">
        <v>47270</v>
      </c>
      <c r="CE5" s="270" t="n">
        <v>47300</v>
      </c>
      <c r="CF5" s="270" t="n">
        <v>47331</v>
      </c>
      <c r="CG5" s="270" t="n">
        <v>47362</v>
      </c>
      <c r="CH5" s="270" t="n">
        <v>47392</v>
      </c>
      <c r="CI5" s="270" t="n">
        <v>47423</v>
      </c>
      <c r="CJ5" s="270" t="n">
        <v>47453</v>
      </c>
      <c r="CK5" s="270" t="n">
        <v>47484</v>
      </c>
      <c r="CL5" s="270" t="n">
        <v>47515</v>
      </c>
      <c r="CM5" s="270" t="n">
        <v>47543</v>
      </c>
      <c r="CN5" s="270" t="n">
        <v>47574</v>
      </c>
      <c r="CO5" s="270" t="n">
        <v>47604</v>
      </c>
      <c r="CP5" s="270" t="n">
        <v>47635</v>
      </c>
      <c r="CQ5" s="270" t="n">
        <v>47665</v>
      </c>
      <c r="CR5" s="270" t="n">
        <v>47696</v>
      </c>
      <c r="CS5" s="270" t="n">
        <v>47727</v>
      </c>
      <c r="CT5" s="270" t="n">
        <v>47757</v>
      </c>
      <c r="CU5" s="270" t="n">
        <v>47788</v>
      </c>
      <c r="CV5" s="270" t="n">
        <v>47818</v>
      </c>
      <c r="CW5" s="270" t="n">
        <v>47849</v>
      </c>
      <c r="CX5" s="270" t="n">
        <v>47880</v>
      </c>
      <c r="CY5" s="270" t="n">
        <v>47908</v>
      </c>
      <c r="CZ5" s="270" t="n">
        <v>47939</v>
      </c>
      <c r="DA5" s="270" t="n">
        <v>47969</v>
      </c>
      <c r="DB5" s="270" t="n">
        <v>48000</v>
      </c>
      <c r="DC5" s="270" t="n">
        <v>48030</v>
      </c>
      <c r="DD5" s="270" t="n">
        <v>48061</v>
      </c>
      <c r="DE5" s="270" t="n">
        <v>48092</v>
      </c>
      <c r="DF5" s="270" t="n">
        <v>48122</v>
      </c>
      <c r="DG5" s="270" t="n">
        <v>48153</v>
      </c>
      <c r="DH5" s="270" t="n">
        <v>48183</v>
      </c>
      <c r="DI5" s="270" t="n">
        <v>48214</v>
      </c>
      <c r="DJ5" s="270" t="n">
        <v>48245</v>
      </c>
      <c r="DK5" s="270" t="n">
        <v>48274</v>
      </c>
      <c r="DL5" s="270" t="n">
        <v>48305</v>
      </c>
      <c r="DM5" s="270" t="n">
        <v>48335</v>
      </c>
      <c r="DN5" s="270" t="n">
        <v>48366</v>
      </c>
      <c r="DO5" s="270" t="n">
        <v>48396</v>
      </c>
      <c r="DP5" s="270" t="n">
        <v>48427</v>
      </c>
      <c r="DQ5" s="270" t="n">
        <v>48458</v>
      </c>
      <c r="DR5" s="270" t="n">
        <v>48488</v>
      </c>
      <c r="DS5" s="270" t="n">
        <v>48519</v>
      </c>
      <c r="DT5" s="270" t="n">
        <v>48549</v>
      </c>
      <c r="DU5" s="270" t="n">
        <v>48580</v>
      </c>
      <c r="DV5" s="270" t="n">
        <v>48611</v>
      </c>
      <c r="DW5" s="270" t="n">
        <v>48639</v>
      </c>
      <c r="DX5" s="270" t="n">
        <v>48670</v>
      </c>
      <c r="DY5" s="270" t="n">
        <v>48700</v>
      </c>
      <c r="DZ5" s="270" t="n">
        <v>48731</v>
      </c>
      <c r="EA5" s="270" t="n">
        <v>48761</v>
      </c>
      <c r="EB5" s="270" t="n">
        <v>48792</v>
      </c>
      <c r="EC5" s="270" t="n">
        <v>48823</v>
      </c>
      <c r="ED5" s="270" t="n">
        <v>48853</v>
      </c>
      <c r="EE5" s="270" t="n">
        <v>48884</v>
      </c>
      <c r="EF5" s="270" t="n">
        <v>48914</v>
      </c>
      <c r="EG5" s="270" t="n">
        <v>48945</v>
      </c>
      <c r="EH5" s="270" t="n">
        <v>48976</v>
      </c>
      <c r="EI5" s="270" t="n">
        <v>49004</v>
      </c>
      <c r="EJ5" s="270" t="n">
        <v>49035</v>
      </c>
      <c r="EK5" s="270" t="n">
        <v>49065</v>
      </c>
      <c r="EL5" s="270" t="n">
        <v>49096</v>
      </c>
      <c r="EM5" s="270" t="n">
        <v>49126</v>
      </c>
      <c r="EN5" s="270" t="n">
        <v>49157</v>
      </c>
      <c r="EO5" s="270" t="n">
        <v>49188</v>
      </c>
      <c r="EP5" s="270" t="n">
        <v>49218</v>
      </c>
      <c r="EQ5" s="270" t="n">
        <v>49249</v>
      </c>
      <c r="ER5" s="270" t="n">
        <v>49279</v>
      </c>
      <c r="ES5" s="270" t="n">
        <v>49310</v>
      </c>
      <c r="ET5" s="270" t="n">
        <v>49341</v>
      </c>
      <c r="EU5" s="270" t="n">
        <v>49369</v>
      </c>
      <c r="EV5" s="270" t="n">
        <v>49400</v>
      </c>
      <c r="EW5" s="270" t="n">
        <v>49430</v>
      </c>
      <c r="EX5" s="270" t="n">
        <v>49461</v>
      </c>
      <c r="EY5" s="270" t="n">
        <v>49491</v>
      </c>
      <c r="EZ5" s="270" t="n">
        <v>49522</v>
      </c>
      <c r="FA5" s="270" t="n">
        <v>49553</v>
      </c>
      <c r="FB5" s="270" t="n">
        <v>49583</v>
      </c>
      <c r="FC5" s="270" t="n">
        <v>49614</v>
      </c>
      <c r="FD5" s="270" t="n">
        <v>49644</v>
      </c>
      <c r="FE5" s="270" t="n">
        <v>49675</v>
      </c>
      <c r="FF5" s="270" t="n">
        <v>49706</v>
      </c>
      <c r="FG5" s="270" t="n">
        <v>49735</v>
      </c>
      <c r="FH5" s="270" t="n">
        <v>49766</v>
      </c>
      <c r="FI5" s="270" t="n">
        <v>49796</v>
      </c>
      <c r="FJ5" s="270" t="n">
        <v>49827</v>
      </c>
      <c r="FK5" s="270" t="n">
        <v>49857</v>
      </c>
      <c r="FL5" s="270" t="n">
        <v>49888</v>
      </c>
      <c r="FM5" s="270" t="n">
        <v>49919</v>
      </c>
      <c r="FN5" s="270" t="n">
        <v>49949</v>
      </c>
      <c r="FO5" s="270" t="n">
        <v>49980</v>
      </c>
      <c r="FP5" s="270" t="n">
        <v>50010</v>
      </c>
      <c r="FQ5" s="270" t="n">
        <v>50041</v>
      </c>
      <c r="FR5" s="270" t="n">
        <v>50072</v>
      </c>
      <c r="FS5" s="270" t="n">
        <v>50100</v>
      </c>
      <c r="FT5" s="270" t="n">
        <v>50131</v>
      </c>
      <c r="FU5" s="270" t="n">
        <v>50161</v>
      </c>
      <c r="FV5" s="270" t="n">
        <v>50192</v>
      </c>
      <c r="FW5" s="270" t="n">
        <v>50222</v>
      </c>
      <c r="FX5" s="270" t="n">
        <v>50253</v>
      </c>
      <c r="FY5" s="270" t="n">
        <v>50284</v>
      </c>
      <c r="FZ5" s="270" t="n">
        <v>50314</v>
      </c>
      <c r="GA5" s="270" t="n">
        <v>50345</v>
      </c>
      <c r="GB5" s="270" t="n">
        <v>50375</v>
      </c>
      <c r="GC5" s="270" t="n">
        <v>50406</v>
      </c>
      <c r="GD5" s="270" t="n">
        <v>50437</v>
      </c>
      <c r="GE5" s="270" t="n">
        <v>50465</v>
      </c>
      <c r="GF5" s="270" t="n">
        <v>50496</v>
      </c>
      <c r="GG5" s="270" t="n">
        <v>50526</v>
      </c>
      <c r="GH5" s="270" t="n">
        <v>50557</v>
      </c>
      <c r="GI5" s="270" t="n">
        <v>50587</v>
      </c>
      <c r="GJ5" s="270" t="n">
        <v>50618</v>
      </c>
      <c r="GK5" s="270" t="n">
        <v>50649</v>
      </c>
      <c r="GL5" s="270" t="n">
        <v>50679</v>
      </c>
      <c r="GM5" s="270" t="n">
        <v>50710</v>
      </c>
      <c r="GN5" s="270" t="n">
        <v>50740</v>
      </c>
      <c r="GO5" s="270" t="n">
        <v>50771</v>
      </c>
      <c r="GP5" s="270" t="n">
        <v>50802</v>
      </c>
      <c r="GQ5" s="270" t="n">
        <v>50830</v>
      </c>
      <c r="GR5" s="270" t="n">
        <v>50861</v>
      </c>
      <c r="GS5" s="270" t="n">
        <v>50891</v>
      </c>
      <c r="GT5" s="270" t="n">
        <v>50922</v>
      </c>
      <c r="GU5" s="270" t="n">
        <v>50952</v>
      </c>
      <c r="GV5" s="270" t="n">
        <v>50983</v>
      </c>
      <c r="GW5" s="270" t="n">
        <v>51014</v>
      </c>
      <c r="GX5" s="270" t="n">
        <v>51044</v>
      </c>
      <c r="GY5" s="270" t="n">
        <v>51075</v>
      </c>
      <c r="GZ5" s="270" t="n">
        <v>51105</v>
      </c>
      <c r="HA5" s="270" t="n">
        <v>51136</v>
      </c>
      <c r="HB5" s="270" t="n">
        <v>51167</v>
      </c>
      <c r="HC5" s="270" t="n">
        <v>51196</v>
      </c>
      <c r="HD5" s="270" t="n">
        <v>51227</v>
      </c>
      <c r="HE5" s="270" t="n">
        <v>51257</v>
      </c>
      <c r="HF5" s="270" t="n">
        <v>51288</v>
      </c>
      <c r="HG5" s="270" t="n">
        <v>51318</v>
      </c>
      <c r="HH5" s="270" t="n">
        <v>51349</v>
      </c>
      <c r="HI5" s="270" t="n">
        <v>51380</v>
      </c>
      <c r="HJ5" s="270" t="n">
        <v>51410</v>
      </c>
      <c r="HK5" s="270" t="n">
        <v>51441</v>
      </c>
      <c r="HL5" s="270" t="n">
        <v>51471</v>
      </c>
      <c r="HM5" s="270" t="n">
        <v>51502</v>
      </c>
      <c r="HN5" s="270" t="n">
        <v>51533</v>
      </c>
      <c r="HO5" s="270" t="n">
        <v>51561</v>
      </c>
      <c r="HP5" s="270" t="n">
        <v>51592</v>
      </c>
      <c r="HQ5" s="270" t="n">
        <v>51622</v>
      </c>
      <c r="HR5" s="270" t="n">
        <v>51653</v>
      </c>
      <c r="HS5" s="270" t="n">
        <v>51683</v>
      </c>
      <c r="HT5" s="270" t="n">
        <v>51714</v>
      </c>
      <c r="HU5" s="270" t="n">
        <v>51745</v>
      </c>
    </row>
    <row r="6">
      <c r="A6" s="1" t="n"/>
      <c r="B6" s="128" t="n"/>
      <c r="C6" s="66" t="n"/>
      <c r="D6" s="66" t="n"/>
      <c r="E6" s="66" t="n"/>
      <c r="F6" s="66" t="n"/>
      <c r="G6" s="66" t="n"/>
      <c r="H6" s="66" t="n"/>
      <c r="I6" s="66" t="n"/>
      <c r="J6" s="153" t="n"/>
      <c r="K6" s="66" t="n"/>
      <c r="L6" s="66" t="n"/>
      <c r="M6" s="154" t="n"/>
      <c r="N6" s="154" t="n"/>
      <c r="O6" s="154" t="n"/>
      <c r="P6" s="154" t="n"/>
      <c r="Q6" s="154" t="n"/>
      <c r="R6" s="154" t="n"/>
      <c r="S6" s="154" t="n"/>
      <c r="T6" s="154" t="n"/>
      <c r="U6" s="154" t="n"/>
      <c r="V6" s="154" t="n"/>
      <c r="W6" s="154" t="n"/>
      <c r="X6" s="154" t="n"/>
      <c r="Y6" s="154" t="n"/>
      <c r="Z6" s="154" t="n"/>
      <c r="AA6" s="154" t="n"/>
      <c r="AB6" s="154" t="n"/>
      <c r="AC6" s="154" t="n"/>
      <c r="AD6" s="154" t="n"/>
      <c r="AE6" s="154" t="n"/>
      <c r="AF6" s="154" t="n"/>
      <c r="AG6" s="154" t="n"/>
      <c r="AH6" s="1" t="n"/>
      <c r="AI6" s="232" t="n"/>
      <c r="AJ6" s="1" t="n"/>
      <c r="AK6" s="66" t="n"/>
      <c r="AL6" s="66" t="n"/>
      <c r="AM6" s="66" t="n"/>
      <c r="AN6" s="66" t="n"/>
      <c r="AO6" s="66" t="n"/>
      <c r="AP6" s="90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286" t="n"/>
      <c r="BE6" s="66" t="n"/>
      <c r="BF6" s="66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28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286" t="n"/>
      <c r="CC6" s="66" t="n"/>
      <c r="CD6" s="66" t="n"/>
      <c r="CE6" s="66" t="n"/>
      <c r="CF6" s="66" t="n"/>
      <c r="CG6" s="66" t="n"/>
      <c r="CH6" s="66" t="n"/>
      <c r="CI6" s="66" t="n"/>
      <c r="CJ6" s="66" t="n"/>
      <c r="CK6" s="66" t="n"/>
      <c r="CL6" s="66" t="n"/>
      <c r="CM6" s="66" t="n"/>
      <c r="CN6" s="286" t="n"/>
      <c r="CO6" s="66" t="n"/>
      <c r="CP6" s="66" t="n"/>
      <c r="CQ6" s="66" t="n"/>
      <c r="CR6" s="66" t="n"/>
      <c r="CS6" s="66" t="n"/>
      <c r="CT6" s="66" t="n"/>
      <c r="CU6" s="66" t="n"/>
      <c r="CV6" s="66" t="n"/>
      <c r="CW6" s="66" t="n"/>
      <c r="CX6" s="66" t="n"/>
      <c r="CY6" s="66" t="n"/>
      <c r="CZ6" s="286" t="n"/>
      <c r="DA6" s="66" t="n"/>
      <c r="DB6" s="66" t="n"/>
      <c r="DC6" s="66" t="n"/>
      <c r="DD6" s="66" t="n"/>
      <c r="DE6" s="66" t="n"/>
      <c r="DF6" s="66" t="n"/>
      <c r="DG6" s="66" t="n"/>
      <c r="DH6" s="66" t="n"/>
      <c r="DI6" s="66" t="n"/>
      <c r="DJ6" s="66" t="n"/>
      <c r="DK6" s="66" t="n"/>
      <c r="DL6" s="66" t="n"/>
      <c r="DM6" s="66" t="n"/>
      <c r="DN6" s="66" t="n"/>
      <c r="DO6" s="66" t="n"/>
      <c r="DP6" s="66" t="n"/>
      <c r="DQ6" s="66" t="n"/>
      <c r="DR6" s="66" t="n"/>
      <c r="DS6" s="66" t="n"/>
      <c r="DT6" s="66" t="n"/>
      <c r="DU6" s="66" t="n"/>
      <c r="DV6" s="66" t="n"/>
      <c r="DW6" s="66" t="n"/>
      <c r="DX6" s="66" t="n"/>
      <c r="DY6" s="66" t="n"/>
      <c r="DZ6" s="66" t="n"/>
      <c r="EA6" s="66" t="n"/>
      <c r="EB6" s="66" t="n"/>
      <c r="EC6" s="66" t="n"/>
      <c r="ED6" s="66" t="n"/>
      <c r="EE6" s="66" t="n"/>
      <c r="EF6" s="66" t="n"/>
      <c r="EG6" s="66" t="n"/>
      <c r="EH6" s="66" t="n"/>
      <c r="EI6" s="66" t="n"/>
      <c r="EJ6" s="66" t="n"/>
      <c r="EK6" s="66" t="n"/>
      <c r="EL6" s="66" t="n"/>
      <c r="EM6" s="66" t="n"/>
      <c r="EN6" s="66" t="n"/>
      <c r="EO6" s="66" t="n"/>
      <c r="EP6" s="66" t="n"/>
      <c r="EQ6" s="66" t="n"/>
      <c r="ER6" s="66" t="n"/>
      <c r="ES6" s="66" t="n"/>
      <c r="ET6" s="66" t="n"/>
      <c r="EU6" s="66" t="n"/>
      <c r="EV6" s="66" t="n"/>
      <c r="EW6" s="66" t="n"/>
      <c r="EX6" s="66" t="n"/>
      <c r="EY6" s="66" t="n"/>
      <c r="EZ6" s="66" t="n"/>
      <c r="FA6" s="66" t="n"/>
      <c r="FB6" s="66" t="n"/>
      <c r="FC6" s="66" t="n"/>
      <c r="FD6" s="66" t="n"/>
      <c r="FE6" s="66" t="n"/>
      <c r="FF6" s="66" t="n"/>
      <c r="FG6" s="66" t="n"/>
      <c r="FH6" s="66" t="n"/>
      <c r="FI6" s="66" t="n"/>
      <c r="FJ6" s="66" t="n"/>
      <c r="FK6" s="66" t="n"/>
      <c r="FL6" s="66" t="n"/>
      <c r="FM6" s="66" t="n"/>
      <c r="FN6" s="66" t="n"/>
      <c r="FO6" s="66" t="n"/>
      <c r="FP6" s="66" t="n"/>
      <c r="FQ6" s="66" t="n"/>
      <c r="FR6" s="66" t="n"/>
      <c r="FS6" s="66" t="n"/>
      <c r="FT6" s="66" t="n"/>
      <c r="FU6" s="66" t="n"/>
      <c r="FV6" s="66" t="n"/>
      <c r="FW6" s="66" t="n"/>
      <c r="FX6" s="66" t="n"/>
      <c r="FY6" s="66" t="n"/>
      <c r="FZ6" s="66" t="n"/>
      <c r="GA6" s="66" t="n"/>
      <c r="GB6" s="66" t="n"/>
      <c r="GC6" s="66" t="n"/>
      <c r="GD6" s="66" t="n"/>
      <c r="GE6" s="66" t="n"/>
      <c r="GF6" s="66" t="n"/>
      <c r="GG6" s="66" t="n"/>
      <c r="GH6" s="66" t="n"/>
      <c r="GI6" s="66" t="n"/>
      <c r="GJ6" s="66" t="n"/>
      <c r="GK6" s="66" t="n"/>
      <c r="GL6" s="66" t="n"/>
      <c r="GM6" s="66" t="n"/>
      <c r="GN6" s="66" t="n"/>
      <c r="GO6" s="66" t="n"/>
      <c r="GP6" s="66" t="n"/>
      <c r="GQ6" s="66" t="n"/>
      <c r="GR6" s="66" t="n"/>
      <c r="GS6" s="66" t="n"/>
      <c r="GT6" s="66" t="n"/>
      <c r="GU6" s="66" t="n"/>
      <c r="GV6" s="66" t="n"/>
      <c r="GW6" s="66" t="n"/>
      <c r="GX6" s="66" t="n"/>
      <c r="GY6" s="66" t="n"/>
      <c r="GZ6" s="66" t="n"/>
      <c r="HA6" s="66" t="n"/>
      <c r="HB6" s="66" t="n"/>
      <c r="HC6" s="66" t="n"/>
      <c r="HD6" s="66" t="n"/>
      <c r="HE6" s="66" t="n"/>
      <c r="HF6" s="66" t="n"/>
      <c r="HG6" s="66" t="n"/>
      <c r="HH6" s="66" t="n"/>
      <c r="HI6" s="66" t="n"/>
      <c r="HJ6" s="66" t="n"/>
      <c r="HK6" s="66" t="n"/>
      <c r="HL6" s="66" t="n"/>
      <c r="HM6" s="66" t="n"/>
      <c r="HN6" s="66" t="n"/>
      <c r="HO6" s="66" t="n"/>
      <c r="HP6" s="66" t="n"/>
      <c r="HQ6" s="66" t="n"/>
      <c r="HR6" s="66" t="n"/>
      <c r="HS6" s="66" t="n"/>
      <c r="HT6" s="66" t="n"/>
      <c r="HU6" s="66" t="n"/>
    </row>
    <row r="7" ht="16.2" customFormat="1" customHeight="1" s="259">
      <c r="A7" s="65" t="inlineStr">
        <is>
          <t>RECEITAS</t>
        </is>
      </c>
      <c r="B7" s="129" t="n"/>
      <c r="C7" s="70" t="n"/>
      <c r="D7" s="70" t="n"/>
      <c r="E7" s="70" t="n"/>
      <c r="F7" s="70" t="n"/>
      <c r="G7" s="70" t="n"/>
      <c r="H7" s="70" t="n"/>
      <c r="I7" s="70" t="n"/>
      <c r="J7" s="155" t="n"/>
      <c r="K7" s="70" t="n"/>
      <c r="L7" s="70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198" t="n"/>
      <c r="AI7" s="233" t="n"/>
      <c r="AJ7" s="198" t="n"/>
      <c r="AK7" s="70" t="n"/>
      <c r="AL7" s="70" t="n"/>
      <c r="AM7" s="70" t="n"/>
      <c r="AN7" s="70" t="n"/>
      <c r="AO7" s="70" t="n"/>
      <c r="AP7" s="70" t="n"/>
      <c r="AQ7" s="70" t="n"/>
      <c r="AR7" s="70" t="n"/>
      <c r="AS7" s="70" t="n"/>
      <c r="AT7" s="70" t="n"/>
      <c r="AU7" s="70" t="n"/>
      <c r="AV7" s="70" t="n"/>
      <c r="AW7" s="70" t="n"/>
      <c r="AX7" s="70" t="n"/>
      <c r="AY7" s="70" t="n"/>
      <c r="AZ7" s="70" t="n"/>
      <c r="BA7" s="70" t="n"/>
      <c r="BB7" s="70" t="n"/>
      <c r="BC7" s="70" t="n"/>
      <c r="BD7" s="287" t="n"/>
      <c r="BE7" s="70" t="n"/>
      <c r="BF7" s="70" t="n"/>
      <c r="BG7" s="70" t="n"/>
      <c r="BH7" s="70" t="n"/>
      <c r="BI7" s="70" t="n"/>
      <c r="BJ7" s="70" t="n"/>
      <c r="BK7" s="70" t="n"/>
      <c r="BL7" s="70" t="n"/>
      <c r="BM7" s="70" t="n"/>
      <c r="BN7" s="70" t="n"/>
      <c r="BO7" s="70" t="n"/>
      <c r="BP7" s="287" t="n"/>
      <c r="BQ7" s="70" t="n"/>
      <c r="BR7" s="70" t="n"/>
      <c r="BS7" s="70" t="n"/>
      <c r="BT7" s="70" t="n"/>
      <c r="BU7" s="70" t="n"/>
      <c r="BV7" s="70" t="n"/>
      <c r="BW7" s="70" t="n"/>
      <c r="BX7" s="70" t="n"/>
      <c r="BY7" s="70" t="n"/>
      <c r="BZ7" s="70" t="n"/>
      <c r="CA7" s="70" t="n"/>
      <c r="CB7" s="287" t="n"/>
      <c r="CC7" s="70" t="n"/>
      <c r="CD7" s="70" t="n"/>
      <c r="CE7" s="70" t="n"/>
      <c r="CF7" s="70" t="n"/>
      <c r="CG7" s="70" t="n"/>
      <c r="CH7" s="70" t="n"/>
      <c r="CI7" s="70" t="n"/>
      <c r="CJ7" s="70" t="n"/>
      <c r="CK7" s="70" t="n"/>
      <c r="CL7" s="70" t="n"/>
      <c r="CM7" s="70" t="n"/>
      <c r="CN7" s="287" t="n"/>
      <c r="CO7" s="70" t="n"/>
      <c r="CP7" s="70" t="n"/>
      <c r="CQ7" s="70" t="n"/>
      <c r="CR7" s="70" t="n"/>
      <c r="CS7" s="70" t="n"/>
      <c r="CT7" s="70" t="n"/>
      <c r="CU7" s="70" t="n"/>
      <c r="CV7" s="70" t="n"/>
      <c r="CW7" s="70" t="n"/>
      <c r="CX7" s="70" t="n"/>
      <c r="CY7" s="70" t="n"/>
      <c r="CZ7" s="287" t="n"/>
      <c r="DA7" s="70" t="n"/>
      <c r="DB7" s="70" t="n"/>
      <c r="DC7" s="70" t="n"/>
      <c r="DD7" s="70" t="n"/>
      <c r="DE7" s="70" t="n"/>
      <c r="DF7" s="70" t="n"/>
      <c r="DG7" s="70" t="n"/>
      <c r="DH7" s="70" t="n"/>
      <c r="DI7" s="70" t="n"/>
      <c r="DJ7" s="70" t="n"/>
      <c r="DK7" s="70" t="n"/>
      <c r="DL7" s="70" t="n"/>
      <c r="DM7" s="70" t="n"/>
      <c r="DN7" s="70" t="n"/>
      <c r="DO7" s="70" t="n"/>
      <c r="DP7" s="70" t="n"/>
      <c r="DQ7" s="70" t="n"/>
      <c r="DR7" s="70" t="n"/>
      <c r="DS7" s="70" t="n"/>
      <c r="DT7" s="70" t="n"/>
      <c r="DU7" s="70" t="n"/>
      <c r="DV7" s="70" t="n"/>
      <c r="DW7" s="70" t="n"/>
      <c r="DX7" s="70" t="n"/>
      <c r="DY7" s="70" t="n"/>
      <c r="DZ7" s="70" t="n"/>
      <c r="EA7" s="70" t="n"/>
      <c r="EB7" s="70" t="n"/>
      <c r="EC7" s="70" t="n"/>
      <c r="ED7" s="70" t="n"/>
      <c r="EE7" s="70" t="n"/>
      <c r="EF7" s="70" t="n"/>
      <c r="EG7" s="70" t="n"/>
      <c r="EH7" s="70" t="n"/>
      <c r="EI7" s="70" t="n"/>
      <c r="EJ7" s="70" t="n"/>
      <c r="EK7" s="70" t="n"/>
      <c r="EL7" s="70" t="n"/>
      <c r="EM7" s="70" t="n"/>
      <c r="EN7" s="70" t="n"/>
      <c r="EO7" s="70" t="n"/>
      <c r="EP7" s="70" t="n"/>
      <c r="EQ7" s="70" t="n"/>
      <c r="ER7" s="70" t="n"/>
      <c r="ES7" s="70" t="n"/>
      <c r="ET7" s="70" t="n"/>
      <c r="EU7" s="70" t="n"/>
      <c r="EV7" s="70" t="n"/>
      <c r="EW7" s="70" t="n"/>
      <c r="EX7" s="70" t="n"/>
      <c r="EY7" s="70" t="n"/>
      <c r="EZ7" s="70" t="n"/>
      <c r="FA7" s="70" t="n"/>
      <c r="FB7" s="70" t="n"/>
      <c r="FC7" s="70" t="n"/>
      <c r="FD7" s="70" t="n"/>
      <c r="FE7" s="70" t="n"/>
      <c r="FF7" s="70" t="n"/>
      <c r="FG7" s="70" t="n"/>
      <c r="FH7" s="70" t="n"/>
      <c r="FI7" s="70" t="n"/>
      <c r="FJ7" s="70" t="n"/>
      <c r="FK7" s="70" t="n"/>
      <c r="FL7" s="70" t="n"/>
      <c r="FM7" s="70" t="n"/>
      <c r="FN7" s="70" t="n"/>
      <c r="FO7" s="70" t="n"/>
      <c r="FP7" s="70" t="n"/>
      <c r="FQ7" s="70" t="n"/>
      <c r="FR7" s="70" t="n"/>
      <c r="FS7" s="70" t="n"/>
      <c r="FT7" s="70" t="n"/>
      <c r="FU7" s="70" t="n"/>
      <c r="FV7" s="70" t="n"/>
      <c r="FW7" s="70" t="n"/>
      <c r="FX7" s="70" t="n"/>
      <c r="FY7" s="70" t="n"/>
      <c r="FZ7" s="70" t="n"/>
      <c r="GA7" s="70" t="n"/>
      <c r="GB7" s="70" t="n"/>
      <c r="GC7" s="70" t="n"/>
      <c r="GD7" s="70" t="n"/>
      <c r="GE7" s="70" t="n"/>
      <c r="GF7" s="70" t="n"/>
      <c r="GG7" s="70" t="n"/>
      <c r="GH7" s="70" t="n"/>
      <c r="GI7" s="70" t="n"/>
      <c r="GJ7" s="70" t="n"/>
      <c r="GK7" s="70" t="n"/>
      <c r="GL7" s="70" t="n"/>
      <c r="GM7" s="70" t="n"/>
      <c r="GN7" s="70" t="n"/>
      <c r="GO7" s="70" t="n"/>
      <c r="GP7" s="70" t="n"/>
      <c r="GQ7" s="70" t="n"/>
      <c r="GR7" s="70" t="n"/>
      <c r="GS7" s="70" t="n"/>
      <c r="GT7" s="70" t="n"/>
      <c r="GU7" s="70" t="n"/>
      <c r="GV7" s="70" t="n"/>
      <c r="GW7" s="70" t="n"/>
      <c r="GX7" s="70" t="n"/>
      <c r="GY7" s="70" t="n"/>
      <c r="GZ7" s="70" t="n"/>
      <c r="HA7" s="70" t="n"/>
      <c r="HB7" s="70" t="n"/>
      <c r="HC7" s="70" t="n"/>
      <c r="HD7" s="70" t="n"/>
      <c r="HE7" s="70" t="n"/>
      <c r="HF7" s="70" t="n"/>
      <c r="HG7" s="70" t="n"/>
      <c r="HH7" s="70" t="n"/>
      <c r="HI7" s="70" t="n"/>
      <c r="HJ7" s="70" t="n"/>
      <c r="HK7" s="70" t="n"/>
      <c r="HL7" s="70" t="n"/>
      <c r="HM7" s="70" t="n"/>
      <c r="HN7" s="70" t="n"/>
      <c r="HO7" s="70" t="n"/>
      <c r="HP7" s="70" t="n"/>
      <c r="HQ7" s="70" t="n"/>
      <c r="HR7" s="70" t="n"/>
      <c r="HS7" s="70" t="n"/>
      <c r="HT7" s="70" t="n"/>
      <c r="HU7" s="70" t="n"/>
    </row>
    <row r="8" ht="16.2" customHeight="1">
      <c r="A8" s="54" t="inlineStr">
        <is>
          <t>ITBI</t>
        </is>
      </c>
      <c r="B8" s="130" t="n"/>
      <c r="C8" s="67" t="n"/>
      <c r="D8" s="69" t="n"/>
      <c r="E8" s="67" t="n"/>
      <c r="F8" s="67" t="n"/>
      <c r="G8" s="67" t="n"/>
      <c r="H8" s="67" t="n"/>
      <c r="I8" s="68" t="n"/>
      <c r="J8" s="209" t="n"/>
      <c r="K8" s="120" t="n"/>
      <c r="L8" s="511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10" t="n"/>
      <c r="AF8" s="210" t="n"/>
      <c r="AG8" s="210" t="n"/>
      <c r="AH8" s="71" t="n"/>
      <c r="AI8" s="342" t="n"/>
      <c r="AJ8" s="71" t="n"/>
      <c r="AK8" s="330" t="n"/>
      <c r="AL8" s="330" t="n"/>
      <c r="AM8" s="330" t="n"/>
      <c r="AN8" s="330" t="n"/>
      <c r="AO8" s="330" t="n"/>
      <c r="AP8" s="330" t="n"/>
      <c r="AQ8" s="330" t="n"/>
      <c r="AR8" s="330" t="n"/>
      <c r="AS8" s="330" t="n"/>
      <c r="AT8" s="330" t="n"/>
      <c r="AU8" s="330" t="n"/>
      <c r="AV8" s="330" t="n"/>
      <c r="AW8" s="330" t="n"/>
      <c r="AX8" s="330" t="n"/>
      <c r="AY8" s="330" t="n"/>
      <c r="AZ8" s="330" t="n"/>
      <c r="BA8" s="330" t="n"/>
      <c r="BB8" s="330" t="n"/>
      <c r="BC8" s="330" t="n"/>
      <c r="BD8" s="330" t="n"/>
      <c r="BE8" s="330" t="n"/>
      <c r="BF8" s="330" t="n"/>
      <c r="BG8" s="330" t="n"/>
      <c r="BH8" s="330" t="n"/>
      <c r="BI8" s="330" t="n"/>
      <c r="BJ8" s="330" t="n"/>
      <c r="BK8" s="330" t="n"/>
      <c r="BL8" s="330" t="n"/>
      <c r="BM8" s="330" t="n"/>
      <c r="BN8" s="330" t="n"/>
      <c r="BO8" s="330" t="n"/>
      <c r="BP8" s="330" t="n"/>
      <c r="BQ8" s="330" t="n"/>
      <c r="BR8" s="330" t="n"/>
      <c r="BS8" s="330" t="n"/>
      <c r="BT8" s="330" t="n"/>
      <c r="BU8" s="330" t="n"/>
      <c r="BV8" s="330" t="n"/>
      <c r="BW8" s="330" t="n"/>
      <c r="BX8" s="330" t="n"/>
      <c r="BY8" s="330" t="n"/>
      <c r="BZ8" s="330" t="n"/>
      <c r="CA8" s="330" t="n"/>
      <c r="CB8" s="330" t="n"/>
      <c r="CC8" s="330" t="n"/>
      <c r="CD8" s="330" t="n"/>
      <c r="CE8" s="330" t="n"/>
      <c r="CF8" s="330" t="n"/>
      <c r="CG8" s="330" t="n"/>
      <c r="CH8" s="330" t="n"/>
      <c r="CI8" s="330" t="n"/>
      <c r="CJ8" s="330" t="n"/>
      <c r="CK8" s="330" t="n"/>
      <c r="CL8" s="330" t="n"/>
      <c r="CM8" s="330" t="n"/>
      <c r="CN8" s="330" t="n"/>
      <c r="CO8" s="330" t="n"/>
      <c r="CP8" s="330" t="n"/>
      <c r="CQ8" s="330" t="n"/>
      <c r="CR8" s="330" t="n"/>
      <c r="CS8" s="330" t="n"/>
      <c r="CT8" s="330" t="n"/>
      <c r="CU8" s="330" t="n"/>
      <c r="CV8" s="330" t="n"/>
      <c r="CW8" s="330" t="n"/>
      <c r="CX8" s="330" t="n"/>
      <c r="CY8" s="330" t="n"/>
      <c r="CZ8" s="330" t="n"/>
      <c r="DA8" s="330" t="n"/>
      <c r="DB8" s="330" t="n"/>
      <c r="DC8" s="330" t="n"/>
      <c r="DD8" s="330" t="n"/>
      <c r="DE8" s="330" t="n"/>
      <c r="DF8" s="330" t="n"/>
      <c r="DG8" s="330" t="n"/>
      <c r="DH8" s="330" t="n"/>
      <c r="DI8" s="330" t="n"/>
      <c r="DJ8" s="330" t="n"/>
      <c r="DK8" s="330" t="n"/>
      <c r="DL8" s="330" t="n"/>
      <c r="DM8" s="330" t="n"/>
      <c r="DN8" s="330" t="n"/>
      <c r="DO8" s="330" t="n"/>
      <c r="DP8" s="330" t="n"/>
      <c r="DQ8" s="330" t="n"/>
      <c r="DR8" s="330" t="n"/>
      <c r="DS8" s="330" t="n"/>
      <c r="DT8" s="330" t="n"/>
      <c r="DU8" s="330" t="n"/>
      <c r="DV8" s="330" t="n"/>
      <c r="DW8" s="330" t="n"/>
      <c r="DX8" s="330" t="n"/>
      <c r="DY8" s="330" t="n"/>
      <c r="DZ8" s="330" t="n"/>
      <c r="EA8" s="330" t="n"/>
      <c r="EB8" s="330" t="n"/>
      <c r="EC8" s="330" t="n"/>
      <c r="ED8" s="330" t="n"/>
      <c r="EE8" s="330" t="n"/>
      <c r="EF8" s="330" t="n"/>
      <c r="EG8" s="330" t="n"/>
      <c r="EH8" s="330" t="n"/>
      <c r="EI8" s="330" t="n"/>
      <c r="EJ8" s="330" t="n"/>
      <c r="EK8" s="330" t="n"/>
      <c r="EL8" s="330" t="n"/>
      <c r="EM8" s="330" t="n"/>
      <c r="EN8" s="330" t="n"/>
      <c r="EO8" s="330" t="n"/>
      <c r="EP8" s="330" t="n"/>
      <c r="EQ8" s="330" t="n"/>
      <c r="ER8" s="330" t="n"/>
      <c r="ES8" s="330" t="n"/>
      <c r="ET8" s="330" t="n"/>
      <c r="EU8" s="330" t="n"/>
      <c r="EV8" s="330" t="n"/>
      <c r="EW8" s="330" t="n"/>
      <c r="EX8" s="330" t="n"/>
      <c r="EY8" s="330" t="n"/>
      <c r="EZ8" s="330" t="n"/>
      <c r="FA8" s="330" t="n"/>
      <c r="FB8" s="330" t="n"/>
      <c r="FC8" s="330" t="n"/>
      <c r="FD8" s="330" t="n"/>
      <c r="FE8" s="330" t="n"/>
      <c r="FF8" s="330" t="n"/>
      <c r="FG8" s="330" t="n"/>
      <c r="FH8" s="330" t="n"/>
      <c r="FI8" s="330" t="n"/>
      <c r="FJ8" s="330" t="n"/>
      <c r="FK8" s="330" t="n"/>
      <c r="FL8" s="330" t="n"/>
      <c r="FM8" s="330" t="n"/>
      <c r="FN8" s="330" t="n"/>
      <c r="FO8" s="330" t="n"/>
      <c r="FP8" s="330" t="n"/>
      <c r="FQ8" s="330" t="n"/>
      <c r="FR8" s="330" t="n"/>
      <c r="FS8" s="330" t="n"/>
      <c r="FT8" s="330" t="n"/>
      <c r="FU8" s="330" t="n"/>
      <c r="FV8" s="330" t="n"/>
      <c r="FW8" s="330" t="n"/>
      <c r="FX8" s="330" t="n"/>
      <c r="FY8" s="330" t="n"/>
      <c r="FZ8" s="330" t="n"/>
      <c r="GA8" s="330" t="n"/>
      <c r="GB8" s="330" t="n"/>
      <c r="GC8" s="330" t="n"/>
      <c r="GD8" s="330" t="n"/>
      <c r="GE8" s="330" t="n"/>
      <c r="GF8" s="330" t="n"/>
      <c r="GG8" s="330" t="n"/>
      <c r="GH8" s="330" t="n"/>
      <c r="GI8" s="330" t="n"/>
      <c r="GJ8" s="330" t="n"/>
      <c r="GK8" s="330" t="n"/>
      <c r="GL8" s="330" t="n"/>
      <c r="GM8" s="330" t="n"/>
      <c r="GN8" s="330" t="n"/>
      <c r="GO8" s="330" t="n"/>
      <c r="GP8" s="330" t="n"/>
      <c r="GQ8" s="330" t="n"/>
      <c r="GR8" s="330" t="n"/>
      <c r="GS8" s="330" t="n"/>
      <c r="GT8" s="330" t="n"/>
      <c r="GU8" s="330" t="n"/>
      <c r="GV8" s="330" t="n"/>
      <c r="GW8" s="330" t="n"/>
      <c r="GX8" s="330" t="n"/>
      <c r="GY8" s="330" t="n"/>
      <c r="GZ8" s="330" t="n"/>
      <c r="HA8" s="330" t="n"/>
      <c r="HB8" s="330" t="n"/>
      <c r="HC8" s="330" t="n"/>
      <c r="HD8" s="330" t="n"/>
      <c r="HE8" s="330" t="n"/>
      <c r="HF8" s="330" t="n"/>
      <c r="HG8" s="330" t="n"/>
      <c r="HH8" s="330" t="n"/>
      <c r="HI8" s="330" t="n"/>
      <c r="HJ8" s="330" t="n"/>
      <c r="HK8" s="330" t="n"/>
      <c r="HL8" s="330" t="n"/>
      <c r="HM8" s="330" t="n"/>
      <c r="HN8" s="330" t="n"/>
      <c r="HO8" s="330" t="n"/>
      <c r="HP8" s="330" t="n"/>
      <c r="HQ8" s="330" t="n"/>
      <c r="HR8" s="330" t="n"/>
      <c r="HS8" s="330" t="n"/>
      <c r="HT8" s="330" t="n"/>
      <c r="HU8" s="330" t="n"/>
    </row>
    <row r="9" ht="16.2" customHeight="1">
      <c r="A9" s="329" t="inlineStr">
        <is>
          <t>Receitas Contratadas</t>
        </is>
      </c>
      <c r="B9" s="130" t="n"/>
      <c r="C9" s="85" t="n"/>
      <c r="D9" s="87" t="n"/>
      <c r="E9" s="85" t="n"/>
      <c r="F9" s="85" t="n"/>
      <c r="G9" s="85" t="n"/>
      <c r="H9" s="85" t="n"/>
      <c r="I9" s="86" t="n"/>
      <c r="J9" s="211" t="n"/>
      <c r="K9" s="117" t="n"/>
      <c r="L9" s="117" t="n"/>
      <c r="M9" s="212" t="n"/>
      <c r="N9" s="212" t="n"/>
      <c r="O9" s="212" t="n"/>
      <c r="P9" s="212" t="n"/>
      <c r="Q9" s="212" t="n"/>
      <c r="R9" s="212" t="n"/>
      <c r="S9" s="212" t="n"/>
      <c r="T9" s="212" t="n"/>
      <c r="U9" s="212" t="n"/>
      <c r="V9" s="212" t="n"/>
      <c r="W9" s="212" t="n"/>
      <c r="X9" s="212" t="n"/>
      <c r="Y9" s="212" t="n"/>
      <c r="Z9" s="212" t="n"/>
      <c r="AA9" s="212" t="n"/>
      <c r="AB9" s="212" t="n"/>
      <c r="AC9" s="212" t="n"/>
      <c r="AD9" s="212" t="n"/>
      <c r="AE9" s="212" t="n"/>
      <c r="AF9" s="212" t="n"/>
      <c r="AG9" s="212" t="n"/>
      <c r="AH9" s="71" t="n"/>
      <c r="AI9" s="342" t="n"/>
      <c r="AJ9" s="71" t="n"/>
      <c r="AK9" s="69" t="n"/>
      <c r="AL9" s="330" t="n"/>
      <c r="AM9" s="330" t="n"/>
      <c r="AN9" s="330" t="n"/>
      <c r="AO9" s="330" t="n"/>
      <c r="AP9" s="330" t="n"/>
      <c r="AQ9" s="330" t="n"/>
      <c r="AR9" s="330" t="n"/>
      <c r="AS9" s="330" t="n"/>
      <c r="AT9" s="330" t="n"/>
      <c r="AU9" s="330" t="n"/>
      <c r="AV9" s="330" t="n"/>
      <c r="AW9" s="330" t="n"/>
      <c r="AX9" s="330" t="n"/>
      <c r="AY9" s="330" t="n"/>
      <c r="AZ9" s="330" t="n"/>
      <c r="BA9" s="330" t="n"/>
      <c r="BB9" s="330" t="n"/>
      <c r="BC9" s="330" t="n"/>
      <c r="BD9" s="330" t="n"/>
      <c r="BE9" s="330" t="n"/>
      <c r="BF9" s="330" t="n"/>
      <c r="BG9" s="330" t="n"/>
      <c r="BH9" s="330" t="n"/>
      <c r="BI9" s="330" t="n"/>
      <c r="BJ9" s="330" t="n"/>
      <c r="BK9" s="330" t="n"/>
      <c r="BL9" s="330" t="n"/>
      <c r="BM9" s="330" t="n"/>
      <c r="BN9" s="330" t="n"/>
      <c r="BO9" s="330" t="n"/>
      <c r="BP9" s="330" t="n"/>
      <c r="BQ9" s="330" t="n"/>
      <c r="BR9" s="330" t="n"/>
      <c r="BS9" s="330" t="n"/>
      <c r="BT9" s="330" t="n"/>
      <c r="BU9" s="330" t="n"/>
      <c r="BV9" s="330" t="n"/>
      <c r="BW9" s="330" t="n"/>
      <c r="BX9" s="330" t="n"/>
      <c r="BY9" s="330" t="n"/>
      <c r="BZ9" s="330" t="n"/>
      <c r="CA9" s="330" t="n"/>
      <c r="CB9" s="330" t="n"/>
      <c r="CC9" s="330" t="n"/>
      <c r="CD9" s="330" t="n"/>
      <c r="CE9" s="330" t="n"/>
      <c r="CF9" s="330" t="n"/>
      <c r="CG9" s="330" t="n"/>
      <c r="CH9" s="330" t="n"/>
      <c r="CI9" s="330" t="n"/>
      <c r="CJ9" s="330" t="n"/>
      <c r="CK9" s="330" t="n"/>
      <c r="CL9" s="330" t="n"/>
      <c r="CM9" s="330" t="n"/>
      <c r="CN9" s="330" t="n"/>
      <c r="CO9" s="330" t="n"/>
      <c r="CP9" s="330" t="n"/>
      <c r="CQ9" s="330" t="n"/>
      <c r="CR9" s="330" t="n"/>
      <c r="CS9" s="330" t="n"/>
      <c r="CT9" s="330" t="n"/>
      <c r="CU9" s="330" t="n"/>
      <c r="CV9" s="330" t="n"/>
      <c r="CW9" s="330" t="n"/>
      <c r="CX9" s="330" t="n"/>
      <c r="CY9" s="330" t="n"/>
      <c r="CZ9" s="330" t="n"/>
      <c r="DA9" s="330" t="n"/>
      <c r="DB9" s="330" t="n"/>
      <c r="DC9" s="330" t="n"/>
      <c r="DD9" s="330" t="n"/>
      <c r="DE9" s="330" t="n"/>
      <c r="DF9" s="330" t="n"/>
      <c r="DG9" s="330" t="n"/>
      <c r="DH9" s="330" t="n"/>
      <c r="DI9" s="330" t="n"/>
      <c r="DJ9" s="330" t="n"/>
      <c r="DK9" s="330" t="n"/>
      <c r="DL9" s="330" t="n"/>
      <c r="DM9" s="330" t="n"/>
      <c r="DN9" s="330" t="n"/>
      <c r="DO9" s="330" t="n"/>
      <c r="DP9" s="330" t="n"/>
      <c r="DQ9" s="330" t="n"/>
      <c r="DR9" s="330" t="n"/>
      <c r="DS9" s="330" t="n"/>
      <c r="DT9" s="330" t="n"/>
      <c r="DU9" s="330" t="n"/>
      <c r="DV9" s="330" t="n"/>
      <c r="DW9" s="330" t="n"/>
      <c r="DX9" s="330" t="n"/>
      <c r="DY9" s="330" t="n"/>
      <c r="DZ9" s="330" t="n"/>
      <c r="EA9" s="330" t="n"/>
      <c r="EB9" s="330" t="n"/>
      <c r="EC9" s="330" t="n"/>
      <c r="ED9" s="330" t="n"/>
      <c r="EE9" s="330" t="n"/>
      <c r="EF9" s="330" t="n"/>
      <c r="EG9" s="330" t="n"/>
      <c r="EH9" s="330" t="n"/>
      <c r="EI9" s="330" t="n"/>
      <c r="EJ9" s="330" t="n"/>
      <c r="EK9" s="330" t="n"/>
      <c r="EL9" s="330" t="n"/>
      <c r="EM9" s="330" t="n"/>
      <c r="EN9" s="330" t="n"/>
      <c r="EO9" s="330" t="n"/>
      <c r="EP9" s="330" t="n"/>
      <c r="EQ9" s="330" t="n"/>
      <c r="ER9" s="330" t="n"/>
      <c r="ES9" s="330" t="n"/>
      <c r="ET9" s="330" t="n"/>
      <c r="EU9" s="330" t="n"/>
      <c r="EV9" s="330" t="n"/>
      <c r="EW9" s="330" t="n"/>
      <c r="EX9" s="330" t="n"/>
      <c r="EY9" s="330" t="n"/>
      <c r="EZ9" s="330" t="n"/>
      <c r="FA9" s="330" t="n"/>
      <c r="FB9" s="330" t="n"/>
      <c r="FC9" s="330" t="n"/>
      <c r="FD9" s="330" t="n"/>
      <c r="FE9" s="330" t="n"/>
      <c r="FF9" s="330" t="n"/>
      <c r="FG9" s="330" t="n"/>
      <c r="FH9" s="330" t="n"/>
      <c r="FI9" s="330" t="n"/>
      <c r="FJ9" s="330" t="n"/>
      <c r="FK9" s="330" t="n"/>
      <c r="FL9" s="330" t="n"/>
      <c r="FM9" s="330" t="n"/>
      <c r="FN9" s="330" t="n"/>
      <c r="FO9" s="330" t="n"/>
      <c r="FP9" s="330" t="n"/>
      <c r="FQ9" s="330" t="n"/>
      <c r="FR9" s="330" t="n"/>
      <c r="FS9" s="330" t="n"/>
      <c r="FT9" s="330" t="n"/>
      <c r="FU9" s="330" t="n"/>
      <c r="FV9" s="330" t="n"/>
      <c r="FW9" s="330" t="n"/>
      <c r="FX9" s="330" t="n"/>
      <c r="FY9" s="330" t="n"/>
      <c r="FZ9" s="330" t="n"/>
      <c r="GA9" s="330" t="n"/>
      <c r="GB9" s="330" t="n"/>
      <c r="GC9" s="330" t="n"/>
      <c r="GD9" s="330" t="n"/>
      <c r="GE9" s="330" t="n"/>
      <c r="GF9" s="330" t="n"/>
      <c r="GG9" s="330" t="n"/>
      <c r="GH9" s="330" t="n"/>
      <c r="GI9" s="330" t="n"/>
      <c r="GJ9" s="330" t="n"/>
      <c r="GK9" s="330" t="n"/>
      <c r="GL9" s="330" t="n"/>
      <c r="GM9" s="330" t="n"/>
      <c r="GN9" s="330" t="n"/>
      <c r="GO9" s="330" t="n"/>
      <c r="GP9" s="330" t="n"/>
      <c r="GQ9" s="330" t="n"/>
      <c r="GR9" s="330" t="n"/>
      <c r="GS9" s="330" t="n"/>
      <c r="GT9" s="330" t="n"/>
      <c r="GU9" s="330" t="n"/>
      <c r="GV9" s="330" t="n"/>
      <c r="GW9" s="330" t="n"/>
      <c r="GX9" s="330" t="n"/>
      <c r="GY9" s="330" t="n"/>
      <c r="GZ9" s="330" t="n"/>
      <c r="HA9" s="330" t="n"/>
      <c r="HB9" s="330" t="n"/>
      <c r="HC9" s="330" t="n"/>
      <c r="HD9" s="330" t="n"/>
      <c r="HE9" s="330" t="n"/>
      <c r="HF9" s="330" t="n"/>
      <c r="HG9" s="330" t="n"/>
      <c r="HH9" s="330" t="n"/>
      <c r="HI9" s="330" t="n"/>
      <c r="HJ9" s="330" t="n"/>
      <c r="HK9" s="330" t="n"/>
      <c r="HL9" s="330" t="n"/>
      <c r="HM9" s="330" t="n"/>
      <c r="HN9" s="330" t="n"/>
      <c r="HO9" s="330" t="n"/>
      <c r="HP9" s="330" t="n"/>
      <c r="HQ9" s="330" t="n"/>
      <c r="HR9" s="330" t="n"/>
      <c r="HS9" s="330" t="n"/>
      <c r="HT9" s="330" t="n"/>
      <c r="HU9" s="330" t="n"/>
    </row>
    <row r="10" ht="7.2" customHeight="1">
      <c r="A10" s="1" t="n"/>
      <c r="B10" s="128" t="n"/>
      <c r="C10" s="1" t="n"/>
      <c r="D10" s="1" t="n"/>
      <c r="E10" s="1" t="n"/>
      <c r="F10" s="1" t="n"/>
      <c r="G10" s="1" t="n"/>
      <c r="H10" s="1" t="n"/>
      <c r="I10" s="1" t="n"/>
      <c r="J10" s="156" t="n"/>
      <c r="K10" s="1" t="n"/>
      <c r="L10" s="1" t="n"/>
      <c r="M10" s="157" t="n"/>
      <c r="N10" s="157" t="n"/>
      <c r="O10" s="157" t="n"/>
      <c r="P10" s="157" t="n"/>
      <c r="Q10" s="157" t="n"/>
      <c r="R10" s="157" t="n"/>
      <c r="S10" s="157" t="n"/>
      <c r="T10" s="157" t="n"/>
      <c r="U10" s="157" t="n"/>
      <c r="V10" s="157" t="n"/>
      <c r="W10" s="157" t="n"/>
      <c r="X10" s="157" t="n"/>
      <c r="Y10" s="157" t="n"/>
      <c r="Z10" s="157" t="n"/>
      <c r="AA10" s="157" t="n"/>
      <c r="AB10" s="157" t="n"/>
      <c r="AC10" s="157" t="n"/>
      <c r="AD10" s="157" t="n"/>
      <c r="AE10" s="157" t="n"/>
      <c r="AF10" s="157" t="n"/>
      <c r="AG10" s="157" t="n"/>
      <c r="AH10" s="1" t="n"/>
      <c r="AI10" s="128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289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289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289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289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289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</row>
    <row r="11" ht="16.2" customFormat="1" customHeight="1" s="259">
      <c r="A11" s="65" t="inlineStr">
        <is>
          <t>PREVISÃO DE RECEITAS(ESTOQUE)</t>
        </is>
      </c>
      <c r="B11" s="129" t="n"/>
      <c r="C11" s="70" t="n"/>
      <c r="D11" s="70" t="n"/>
      <c r="E11" s="70" t="n"/>
      <c r="F11" s="70" t="n"/>
      <c r="G11" s="70" t="n"/>
      <c r="H11" s="70" t="n"/>
      <c r="I11" s="70" t="n"/>
      <c r="J11" s="155" t="n"/>
      <c r="K11" s="70" t="n"/>
      <c r="L11" s="70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198" t="n"/>
      <c r="AI11" s="233" t="n"/>
      <c r="AJ11" s="198" t="n"/>
      <c r="AK11" s="70" t="n"/>
      <c r="AL11" s="70" t="n"/>
      <c r="AM11" s="70" t="n"/>
      <c r="AN11" s="70" t="n"/>
      <c r="AO11" s="70" t="n"/>
      <c r="AP11" s="70" t="n"/>
      <c r="AQ11" s="70" t="n"/>
      <c r="AR11" s="70" t="n"/>
      <c r="AS11" s="70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287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0" t="n"/>
      <c r="BP11" s="287" t="n"/>
      <c r="BQ11" s="70" t="n"/>
      <c r="BR11" s="70" t="n"/>
      <c r="BS11" s="70" t="n"/>
      <c r="BT11" s="70" t="n"/>
      <c r="BU11" s="70" t="n"/>
      <c r="BV11" s="70" t="n"/>
      <c r="BW11" s="70" t="n"/>
      <c r="BX11" s="70" t="n"/>
      <c r="BY11" s="70" t="n"/>
      <c r="BZ11" s="70" t="n"/>
      <c r="CA11" s="70" t="n"/>
      <c r="CB11" s="287" t="n"/>
      <c r="CC11" s="70" t="n"/>
      <c r="CD11" s="70" t="n"/>
      <c r="CE11" s="70" t="n"/>
      <c r="CF11" s="70" t="n"/>
      <c r="CG11" s="70" t="n"/>
      <c r="CH11" s="70" t="n"/>
      <c r="CI11" s="70" t="n"/>
      <c r="CJ11" s="70" t="n"/>
      <c r="CK11" s="70" t="n"/>
      <c r="CL11" s="70" t="n"/>
      <c r="CM11" s="70" t="n"/>
      <c r="CN11" s="287" t="n"/>
      <c r="CO11" s="70" t="n"/>
      <c r="CP11" s="70" t="n"/>
      <c r="CQ11" s="70" t="n"/>
      <c r="CR11" s="70" t="n"/>
      <c r="CS11" s="70" t="n"/>
      <c r="CT11" s="70" t="n"/>
      <c r="CU11" s="70" t="n"/>
      <c r="CV11" s="70" t="n"/>
      <c r="CW11" s="70" t="n"/>
      <c r="CX11" s="70" t="n"/>
      <c r="CY11" s="70" t="n"/>
      <c r="CZ11" s="287" t="n"/>
      <c r="DA11" s="70" t="n"/>
      <c r="DB11" s="70" t="n"/>
      <c r="DC11" s="70" t="n"/>
      <c r="DD11" s="70" t="n"/>
      <c r="DE11" s="70" t="n"/>
      <c r="DF11" s="70" t="n"/>
      <c r="DG11" s="70" t="n"/>
      <c r="DH11" s="70" t="n"/>
      <c r="DI11" s="70" t="n"/>
      <c r="DJ11" s="70" t="n"/>
      <c r="DK11" s="70" t="n"/>
      <c r="DL11" s="70" t="n"/>
      <c r="DM11" s="70" t="n"/>
      <c r="DN11" s="70" t="n"/>
      <c r="DO11" s="70" t="n"/>
      <c r="DP11" s="70" t="n"/>
      <c r="DQ11" s="70" t="n"/>
      <c r="DR11" s="70" t="n"/>
      <c r="DS11" s="70" t="n"/>
      <c r="DT11" s="70" t="n"/>
      <c r="DU11" s="70" t="n"/>
      <c r="DV11" s="70" t="n"/>
      <c r="DW11" s="70" t="n"/>
      <c r="DX11" s="70" t="n"/>
      <c r="DY11" s="70" t="n"/>
      <c r="DZ11" s="70" t="n"/>
      <c r="EA11" s="70" t="n"/>
      <c r="EB11" s="70" t="n"/>
      <c r="EC11" s="70" t="n"/>
      <c r="ED11" s="70" t="n"/>
      <c r="EE11" s="70" t="n"/>
      <c r="EF11" s="70" t="n"/>
      <c r="EG11" s="70" t="n"/>
      <c r="EH11" s="70" t="n"/>
      <c r="EI11" s="70" t="n"/>
      <c r="EJ11" s="70" t="n"/>
      <c r="EK11" s="70" t="n"/>
      <c r="EL11" s="70" t="n"/>
      <c r="EM11" s="70" t="n"/>
      <c r="EN11" s="70" t="n"/>
      <c r="EO11" s="70" t="n"/>
      <c r="EP11" s="70" t="n"/>
      <c r="EQ11" s="70" t="n"/>
      <c r="ER11" s="70" t="n"/>
      <c r="ES11" s="70" t="n"/>
      <c r="ET11" s="70" t="n"/>
      <c r="EU11" s="70" t="n"/>
      <c r="EV11" s="70" t="n"/>
      <c r="EW11" s="70" t="n"/>
      <c r="EX11" s="70" t="n"/>
      <c r="EY11" s="70" t="n"/>
      <c r="EZ11" s="70" t="n"/>
      <c r="FA11" s="70" t="n"/>
      <c r="FB11" s="70" t="n"/>
      <c r="FC11" s="70" t="n"/>
      <c r="FD11" s="70" t="n"/>
      <c r="FE11" s="70" t="n"/>
      <c r="FF11" s="70" t="n"/>
      <c r="FG11" s="70" t="n"/>
      <c r="FH11" s="70" t="n"/>
      <c r="FI11" s="70" t="n"/>
      <c r="FJ11" s="70" t="n"/>
      <c r="FK11" s="70" t="n"/>
      <c r="FL11" s="70" t="n"/>
      <c r="FM11" s="70" t="n"/>
      <c r="FN11" s="70" t="n"/>
      <c r="FO11" s="70" t="n"/>
      <c r="FP11" s="70" t="n"/>
      <c r="FQ11" s="70" t="n"/>
      <c r="FR11" s="70" t="n"/>
      <c r="FS11" s="70" t="n"/>
      <c r="FT11" s="70" t="n"/>
      <c r="FU11" s="70" t="n"/>
      <c r="FV11" s="70" t="n"/>
      <c r="FW11" s="70" t="n"/>
      <c r="FX11" s="70" t="n"/>
      <c r="FY11" s="70" t="n"/>
      <c r="FZ11" s="70" t="n"/>
      <c r="GA11" s="70" t="n"/>
      <c r="GB11" s="70" t="n"/>
      <c r="GC11" s="70" t="n"/>
      <c r="GD11" s="70" t="n"/>
      <c r="GE11" s="70" t="n"/>
      <c r="GF11" s="70" t="n"/>
      <c r="GG11" s="70" t="n"/>
      <c r="GH11" s="70" t="n"/>
      <c r="GI11" s="70" t="n"/>
      <c r="GJ11" s="70" t="n"/>
      <c r="GK11" s="70" t="n"/>
      <c r="GL11" s="70" t="n"/>
      <c r="GM11" s="70" t="n"/>
      <c r="GN11" s="70" t="n"/>
      <c r="GO11" s="70" t="n"/>
      <c r="GP11" s="70" t="n"/>
      <c r="GQ11" s="70" t="n"/>
      <c r="GR11" s="70" t="n"/>
      <c r="GS11" s="70" t="n"/>
      <c r="GT11" s="70" t="n"/>
      <c r="GU11" s="70" t="n"/>
      <c r="GV11" s="70" t="n"/>
      <c r="GW11" s="70" t="n"/>
      <c r="GX11" s="70" t="n"/>
      <c r="GY11" s="70" t="n"/>
      <c r="GZ11" s="70" t="n"/>
      <c r="HA11" s="70" t="n"/>
      <c r="HB11" s="70" t="n"/>
      <c r="HC11" s="70" t="n"/>
      <c r="HD11" s="70" t="n"/>
      <c r="HE11" s="70" t="n"/>
      <c r="HF11" s="70" t="n"/>
      <c r="HG11" s="70" t="n"/>
      <c r="HH11" s="70" t="n"/>
      <c r="HI11" s="70" t="n"/>
      <c r="HJ11" s="70" t="n"/>
      <c r="HK11" s="70" t="n"/>
      <c r="HL11" s="70" t="n"/>
      <c r="HM11" s="70" t="n"/>
      <c r="HN11" s="70" t="n"/>
      <c r="HO11" s="70" t="n"/>
      <c r="HP11" s="70" t="n"/>
      <c r="HQ11" s="70" t="n"/>
      <c r="HR11" s="70" t="n"/>
      <c r="HS11" s="70" t="n"/>
      <c r="HT11" s="70" t="n"/>
      <c r="HU11" s="70" t="n"/>
    </row>
    <row r="12" ht="16.2" customHeight="1" thickBot="1">
      <c r="A12" s="54" t="inlineStr">
        <is>
          <t>Vendas 05 Lotes a.m.</t>
        </is>
      </c>
      <c r="B12" s="130" t="n"/>
      <c r="C12" s="69" t="n"/>
      <c r="D12" s="69" t="n"/>
      <c r="E12" s="67" t="n"/>
      <c r="F12" s="67" t="n"/>
      <c r="G12" s="67" t="n"/>
      <c r="H12" s="67" t="n"/>
      <c r="I12" s="68" t="n"/>
      <c r="J12" s="213" t="n"/>
      <c r="K12" s="112" t="n"/>
      <c r="L12" s="112" t="n"/>
      <c r="M12" s="214" t="n"/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4" t="n"/>
      <c r="Y12" s="214" t="n"/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71" t="n"/>
      <c r="AI12" s="342" t="n"/>
      <c r="AJ12" s="71" t="n"/>
      <c r="AK12" s="68" t="n"/>
      <c r="AL12" s="68" t="n"/>
      <c r="AM12" s="68" t="n"/>
      <c r="AN12" s="68" t="n"/>
      <c r="AO12" s="68" t="n"/>
      <c r="AP12" s="68" t="n"/>
      <c r="AQ12" s="68" t="n"/>
      <c r="AR12" s="68" t="n"/>
      <c r="AS12" s="68" t="n"/>
      <c r="AT12" s="68" t="n"/>
      <c r="AU12" s="68" t="n"/>
      <c r="AV12" s="68" t="n"/>
      <c r="AW12" s="68" t="n"/>
      <c r="AX12" s="68" t="n"/>
      <c r="AY12" s="68" t="n"/>
      <c r="AZ12" s="68" t="n"/>
      <c r="BA12" s="68" t="n"/>
      <c r="BB12" s="68" t="n"/>
      <c r="BC12" s="68" t="n"/>
      <c r="BD12" s="68" t="n"/>
      <c r="BE12" s="68" t="n"/>
      <c r="BF12" s="68" t="n"/>
      <c r="BG12" s="68" t="n"/>
      <c r="BH12" s="68" t="n"/>
      <c r="BI12" s="68" t="n"/>
      <c r="BJ12" s="68" t="n"/>
      <c r="BK12" s="68" t="n"/>
      <c r="BL12" s="68" t="n"/>
      <c r="BM12" s="68" t="n"/>
      <c r="BN12" s="68" t="n"/>
      <c r="BO12" s="68" t="n"/>
      <c r="BP12" s="68" t="n"/>
      <c r="BQ12" s="68" t="n"/>
      <c r="BR12" s="68" t="n"/>
      <c r="BS12" s="68" t="n"/>
      <c r="BT12" s="68" t="n"/>
      <c r="BU12" s="68" t="n"/>
      <c r="BV12" s="68" t="n"/>
      <c r="BW12" s="68" t="n"/>
      <c r="BX12" s="68" t="n"/>
      <c r="BY12" s="68" t="n"/>
      <c r="BZ12" s="68" t="n"/>
      <c r="CA12" s="68" t="n"/>
      <c r="CB12" s="68" t="n"/>
      <c r="CC12" s="68" t="n"/>
      <c r="CD12" s="68" t="n"/>
      <c r="CE12" s="68" t="n"/>
      <c r="CF12" s="68" t="n"/>
      <c r="CG12" s="68" t="n"/>
      <c r="CH12" s="68" t="n"/>
      <c r="CI12" s="68" t="n"/>
      <c r="CJ12" s="68" t="n"/>
      <c r="CK12" s="68" t="n"/>
      <c r="CL12" s="68" t="n"/>
      <c r="CM12" s="68" t="n"/>
      <c r="CN12" s="68" t="n"/>
      <c r="CO12" s="68" t="n"/>
      <c r="CP12" s="68" t="n"/>
      <c r="CQ12" s="68" t="n"/>
      <c r="CR12" s="68" t="n"/>
      <c r="CS12" s="68" t="n"/>
      <c r="CT12" s="68" t="n"/>
      <c r="CU12" s="68" t="n"/>
      <c r="CV12" s="68" t="n"/>
      <c r="CW12" s="68" t="n"/>
      <c r="CX12" s="68" t="n"/>
      <c r="CY12" s="68" t="n"/>
      <c r="CZ12" s="68" t="n"/>
      <c r="DA12" s="68" t="n"/>
      <c r="DB12" s="68" t="n"/>
      <c r="DC12" s="68" t="n"/>
      <c r="DD12" s="68" t="n"/>
      <c r="DE12" s="68" t="n"/>
      <c r="DF12" s="68" t="n"/>
      <c r="DG12" s="68" t="n"/>
      <c r="DH12" s="68" t="n"/>
      <c r="DI12" s="68" t="n"/>
      <c r="DJ12" s="68" t="n"/>
      <c r="DK12" s="68" t="n"/>
      <c r="DL12" s="68" t="n"/>
      <c r="DM12" s="68" t="n"/>
      <c r="DN12" s="68" t="n"/>
      <c r="DO12" s="68" t="n"/>
      <c r="DP12" s="68" t="n"/>
      <c r="DQ12" s="68" t="n"/>
      <c r="DR12" s="68" t="n"/>
      <c r="DS12" s="68" t="n"/>
      <c r="DT12" s="68" t="n"/>
      <c r="DU12" s="68" t="n"/>
      <c r="DV12" s="68" t="n"/>
      <c r="DW12" s="68" t="n"/>
      <c r="DX12" s="68" t="n"/>
      <c r="DY12" s="68" t="n"/>
      <c r="DZ12" s="68" t="n"/>
      <c r="EA12" s="68" t="n"/>
      <c r="EB12" s="68" t="n"/>
      <c r="EC12" s="68" t="n"/>
      <c r="ED12" s="68" t="n"/>
      <c r="EE12" s="68" t="n"/>
      <c r="EF12" s="68" t="n"/>
      <c r="EG12" s="68" t="n"/>
      <c r="EH12" s="68" t="n"/>
      <c r="EI12" s="68" t="n"/>
      <c r="EJ12" s="68" t="n"/>
      <c r="EK12" s="68" t="n"/>
      <c r="EL12" s="68" t="n"/>
      <c r="EM12" s="68" t="n"/>
      <c r="EN12" s="68" t="n"/>
      <c r="EO12" s="68" t="n"/>
      <c r="EP12" s="68" t="n"/>
      <c r="EQ12" s="68" t="n"/>
      <c r="ER12" s="68" t="n"/>
      <c r="ES12" s="68" t="n"/>
      <c r="ET12" s="68" t="n"/>
      <c r="EU12" s="68" t="n"/>
      <c r="EV12" s="68" t="n"/>
      <c r="EW12" s="68" t="n"/>
      <c r="EX12" s="68" t="n"/>
      <c r="EY12" s="68" t="n"/>
      <c r="EZ12" s="68" t="n"/>
      <c r="FA12" s="68" t="n"/>
      <c r="FB12" s="68" t="n"/>
      <c r="FC12" s="68" t="n"/>
      <c r="FD12" s="68" t="n"/>
      <c r="FE12" s="68" t="n"/>
      <c r="FF12" s="68" t="n"/>
      <c r="FG12" s="68" t="n"/>
      <c r="FH12" s="68" t="n"/>
      <c r="FI12" s="68" t="n"/>
      <c r="FJ12" s="68" t="n"/>
      <c r="FK12" s="68" t="n"/>
      <c r="FL12" s="68" t="n"/>
      <c r="FM12" s="68" t="n"/>
      <c r="FN12" s="68" t="n"/>
      <c r="FO12" s="68" t="n"/>
      <c r="FP12" s="68" t="n"/>
      <c r="FQ12" s="68" t="n"/>
      <c r="FR12" s="68" t="n"/>
      <c r="FS12" s="68" t="n"/>
      <c r="FT12" s="68" t="n"/>
      <c r="FU12" s="68" t="n"/>
      <c r="FV12" s="68" t="n"/>
      <c r="FW12" s="68" t="n"/>
      <c r="FX12" s="68" t="n"/>
      <c r="FY12" s="68" t="n"/>
      <c r="FZ12" s="68" t="n"/>
      <c r="GA12" s="68" t="n"/>
      <c r="GB12" s="68" t="n"/>
      <c r="GC12" s="68" t="n"/>
      <c r="GD12" s="68" t="n"/>
      <c r="GE12" s="68" t="n"/>
      <c r="GF12" s="68" t="n"/>
      <c r="GG12" s="68" t="n"/>
      <c r="GH12" s="68" t="n"/>
      <c r="GI12" s="68" t="n"/>
      <c r="GJ12" s="68" t="n"/>
      <c r="GK12" s="68" t="n"/>
      <c r="GL12" s="68" t="n"/>
      <c r="GM12" s="68" t="n"/>
      <c r="GN12" s="68" t="n"/>
      <c r="GO12" s="68" t="n"/>
      <c r="GP12" s="68" t="n"/>
      <c r="GQ12" s="68" t="n"/>
      <c r="GR12" s="68" t="n"/>
      <c r="GS12" s="68" t="n"/>
      <c r="GT12" s="68" t="n"/>
      <c r="GU12" s="68" t="n"/>
      <c r="GV12" s="68" t="n"/>
      <c r="GW12" s="68" t="n"/>
      <c r="GX12" s="68" t="n"/>
      <c r="GY12" s="68" t="n"/>
      <c r="GZ12" s="68" t="n"/>
      <c r="HA12" s="68" t="n"/>
      <c r="HB12" s="68" t="n"/>
      <c r="HC12" s="68" t="n"/>
      <c r="HD12" s="68" t="n"/>
      <c r="HE12" s="68" t="n"/>
      <c r="HF12" s="68" t="n"/>
      <c r="HG12" s="68" t="n"/>
      <c r="HH12" s="68" t="n"/>
      <c r="HI12" s="68" t="n"/>
      <c r="HJ12" s="68" t="n"/>
      <c r="HK12" s="68" t="n"/>
      <c r="HL12" s="68" t="n"/>
      <c r="HM12" s="68" t="n"/>
      <c r="HN12" s="68" t="n"/>
      <c r="HO12" s="68" t="n"/>
      <c r="HP12" s="68" t="n"/>
      <c r="HQ12" s="68" t="n"/>
      <c r="HR12" s="68" t="n"/>
      <c r="HS12" s="68" t="n"/>
      <c r="HT12" s="68" t="n"/>
      <c r="HU12" s="67" t="n"/>
    </row>
    <row r="13" ht="7.2" customHeight="1" thickTop="1">
      <c r="A13" s="1" t="n"/>
      <c r="B13" s="128" t="n"/>
      <c r="C13" s="1" t="n"/>
      <c r="D13" s="1" t="n"/>
      <c r="E13" s="14" t="n"/>
      <c r="F13" s="14" t="n"/>
      <c r="G13" s="14" t="n"/>
      <c r="H13" s="14" t="n"/>
      <c r="I13" s="14" t="n"/>
      <c r="J13" s="156" t="n"/>
      <c r="K13" s="1" t="n"/>
      <c r="L13" s="1" t="n"/>
      <c r="M13" s="157" t="n"/>
      <c r="N13" s="157" t="n"/>
      <c r="O13" s="157" t="n"/>
      <c r="P13" s="157" t="n"/>
      <c r="Q13" s="157" t="n"/>
      <c r="R13" s="157" t="n"/>
      <c r="S13" s="157" t="n"/>
      <c r="T13" s="157" t="n"/>
      <c r="U13" s="157" t="n"/>
      <c r="V13" s="157" t="n"/>
      <c r="W13" s="157" t="n"/>
      <c r="X13" s="157" t="n"/>
      <c r="Y13" s="157" t="n"/>
      <c r="Z13" s="157" t="n"/>
      <c r="AA13" s="157" t="n"/>
      <c r="AB13" s="157" t="n"/>
      <c r="AC13" s="157" t="n"/>
      <c r="AD13" s="157" t="n"/>
      <c r="AE13" s="157" t="n"/>
      <c r="AF13" s="157" t="n"/>
      <c r="AG13" s="157" t="n"/>
      <c r="AH13" s="1" t="n"/>
      <c r="AI13" s="128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289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289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289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289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289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</row>
    <row r="14" ht="16.2" customFormat="1" customHeight="1" s="259">
      <c r="A14" s="65" t="inlineStr">
        <is>
          <t>APORTE DE SÓCIOS</t>
        </is>
      </c>
      <c r="B14" s="129" t="n"/>
      <c r="C14" s="70" t="n"/>
      <c r="D14" s="70" t="n"/>
      <c r="E14" s="70" t="n"/>
      <c r="F14" s="70" t="n"/>
      <c r="G14" s="70" t="n"/>
      <c r="H14" s="70" t="n"/>
      <c r="I14" s="70" t="n"/>
      <c r="J14" s="155" t="n"/>
      <c r="K14" s="70" t="n"/>
      <c r="L14" s="70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198" t="n"/>
      <c r="AI14" s="233" t="n"/>
      <c r="AJ14" s="198" t="n"/>
      <c r="AK14" s="70" t="n"/>
      <c r="AL14" s="70" t="n"/>
      <c r="AM14" s="70" t="n"/>
      <c r="AN14" s="70" t="n"/>
      <c r="AO14" s="70" t="n"/>
      <c r="AP14" s="70" t="n"/>
      <c r="AQ14" s="70" t="n"/>
      <c r="AR14" s="70" t="n"/>
      <c r="AS14" s="70" t="n"/>
      <c r="AT14" s="70" t="n"/>
      <c r="AU14" s="70" t="n"/>
      <c r="AV14" s="70" t="n"/>
      <c r="AW14" s="70" t="n"/>
      <c r="AX14" s="70" t="n"/>
      <c r="AY14" s="70" t="n"/>
      <c r="AZ14" s="70" t="n"/>
      <c r="BA14" s="70" t="n"/>
      <c r="BB14" s="70" t="n"/>
      <c r="BC14" s="70" t="n"/>
      <c r="BD14" s="287" t="n"/>
      <c r="BE14" s="70" t="n"/>
      <c r="BF14" s="70" t="n"/>
      <c r="BG14" s="70" t="n"/>
      <c r="BH14" s="70" t="n"/>
      <c r="BI14" s="70" t="n"/>
      <c r="BJ14" s="70" t="n"/>
      <c r="BK14" s="70" t="n"/>
      <c r="BL14" s="70" t="n"/>
      <c r="BM14" s="70" t="n"/>
      <c r="BN14" s="70" t="n"/>
      <c r="BO14" s="70" t="n"/>
      <c r="BP14" s="287" t="n"/>
      <c r="BQ14" s="70" t="n"/>
      <c r="BR14" s="70" t="n"/>
      <c r="BS14" s="70" t="n"/>
      <c r="BT14" s="70" t="n"/>
      <c r="BU14" s="70" t="n"/>
      <c r="BV14" s="70" t="n"/>
      <c r="BW14" s="70" t="n"/>
      <c r="BX14" s="70" t="n"/>
      <c r="BY14" s="70" t="n"/>
      <c r="BZ14" s="70" t="n"/>
      <c r="CA14" s="70" t="n"/>
      <c r="CB14" s="287" t="n"/>
      <c r="CC14" s="70" t="n"/>
      <c r="CD14" s="70" t="n"/>
      <c r="CE14" s="70" t="n"/>
      <c r="CF14" s="70" t="n"/>
      <c r="CG14" s="70" t="n"/>
      <c r="CH14" s="70" t="n"/>
      <c r="CI14" s="70" t="n"/>
      <c r="CJ14" s="70" t="n"/>
      <c r="CK14" s="70" t="n"/>
      <c r="CL14" s="70" t="n"/>
      <c r="CM14" s="70" t="n"/>
      <c r="CN14" s="287" t="n"/>
      <c r="CO14" s="70" t="n"/>
      <c r="CP14" s="70" t="n"/>
      <c r="CQ14" s="70" t="n"/>
      <c r="CR14" s="70" t="n"/>
      <c r="CS14" s="70" t="n"/>
      <c r="CT14" s="70" t="n"/>
      <c r="CU14" s="70" t="n"/>
      <c r="CV14" s="70" t="n"/>
      <c r="CW14" s="70" t="n"/>
      <c r="CX14" s="70" t="n"/>
      <c r="CY14" s="70" t="n"/>
      <c r="CZ14" s="287" t="n"/>
      <c r="DA14" s="70" t="n"/>
      <c r="DB14" s="70" t="n"/>
      <c r="DC14" s="70" t="n"/>
      <c r="DD14" s="70" t="n"/>
      <c r="DE14" s="70" t="n"/>
      <c r="DF14" s="70" t="n"/>
      <c r="DG14" s="70" t="n"/>
      <c r="DH14" s="70" t="n"/>
      <c r="DI14" s="70" t="n"/>
      <c r="DJ14" s="70" t="n"/>
      <c r="DK14" s="70" t="n"/>
      <c r="DL14" s="70" t="n"/>
      <c r="DM14" s="70" t="n"/>
      <c r="DN14" s="70" t="n"/>
      <c r="DO14" s="70" t="n"/>
      <c r="DP14" s="70" t="n"/>
      <c r="DQ14" s="70" t="n"/>
      <c r="DR14" s="70" t="n"/>
      <c r="DS14" s="70" t="n"/>
      <c r="DT14" s="70" t="n"/>
      <c r="DU14" s="70" t="n"/>
      <c r="DV14" s="70" t="n"/>
      <c r="DW14" s="70" t="n"/>
      <c r="DX14" s="70" t="n"/>
      <c r="DY14" s="70" t="n"/>
      <c r="DZ14" s="70" t="n"/>
      <c r="EA14" s="70" t="n"/>
      <c r="EB14" s="70" t="n"/>
      <c r="EC14" s="70" t="n"/>
      <c r="ED14" s="70" t="n"/>
      <c r="EE14" s="70" t="n"/>
      <c r="EF14" s="70" t="n"/>
      <c r="EG14" s="70" t="n"/>
      <c r="EH14" s="70" t="n"/>
      <c r="EI14" s="70" t="n"/>
      <c r="EJ14" s="70" t="n"/>
      <c r="EK14" s="70" t="n"/>
      <c r="EL14" s="70" t="n"/>
      <c r="EM14" s="70" t="n"/>
      <c r="EN14" s="70" t="n"/>
      <c r="EO14" s="70" t="n"/>
      <c r="EP14" s="70" t="n"/>
      <c r="EQ14" s="70" t="n"/>
      <c r="ER14" s="70" t="n"/>
      <c r="ES14" s="70" t="n"/>
      <c r="ET14" s="70" t="n"/>
      <c r="EU14" s="70" t="n"/>
      <c r="EV14" s="70" t="n"/>
      <c r="EW14" s="70" t="n"/>
      <c r="EX14" s="70" t="n"/>
      <c r="EY14" s="70" t="n"/>
      <c r="EZ14" s="70" t="n"/>
      <c r="FA14" s="70" t="n"/>
      <c r="FB14" s="70" t="n"/>
      <c r="FC14" s="70" t="n"/>
      <c r="FD14" s="70" t="n"/>
      <c r="FE14" s="70" t="n"/>
      <c r="FF14" s="70" t="n"/>
      <c r="FG14" s="70" t="n"/>
      <c r="FH14" s="70" t="n"/>
      <c r="FI14" s="70" t="n"/>
      <c r="FJ14" s="70" t="n"/>
      <c r="FK14" s="70" t="n"/>
      <c r="FL14" s="70" t="n"/>
      <c r="FM14" s="70" t="n"/>
      <c r="FN14" s="70" t="n"/>
      <c r="FO14" s="70" t="n"/>
      <c r="FP14" s="70" t="n"/>
      <c r="FQ14" s="70" t="n"/>
      <c r="FR14" s="70" t="n"/>
      <c r="FS14" s="70" t="n"/>
      <c r="FT14" s="70" t="n"/>
      <c r="FU14" s="70" t="n"/>
      <c r="FV14" s="70" t="n"/>
      <c r="FW14" s="70" t="n"/>
      <c r="FX14" s="70" t="n"/>
      <c r="FY14" s="70" t="n"/>
      <c r="FZ14" s="70" t="n"/>
      <c r="GA14" s="70" t="n"/>
      <c r="GB14" s="70" t="n"/>
      <c r="GC14" s="70" t="n"/>
      <c r="GD14" s="70" t="n"/>
      <c r="GE14" s="70" t="n"/>
      <c r="GF14" s="70" t="n"/>
      <c r="GG14" s="70" t="n"/>
      <c r="GH14" s="70" t="n"/>
      <c r="GI14" s="70" t="n"/>
      <c r="GJ14" s="70" t="n"/>
      <c r="GK14" s="70" t="n"/>
      <c r="GL14" s="70" t="n"/>
      <c r="GM14" s="70" t="n"/>
      <c r="GN14" s="70" t="n"/>
      <c r="GO14" s="70" t="n"/>
      <c r="GP14" s="70" t="n"/>
      <c r="GQ14" s="70" t="n"/>
      <c r="GR14" s="70" t="n"/>
      <c r="GS14" s="70" t="n"/>
      <c r="GT14" s="70" t="n"/>
      <c r="GU14" s="70" t="n"/>
      <c r="GV14" s="70" t="n"/>
      <c r="GW14" s="70" t="n"/>
      <c r="GX14" s="70" t="n"/>
      <c r="GY14" s="70" t="n"/>
      <c r="GZ14" s="70" t="n"/>
      <c r="HA14" s="70" t="n"/>
      <c r="HB14" s="70" t="n"/>
      <c r="HC14" s="70" t="n"/>
      <c r="HD14" s="70" t="n"/>
      <c r="HE14" s="70" t="n"/>
      <c r="HF14" s="70" t="n"/>
      <c r="HG14" s="70" t="n"/>
      <c r="HH14" s="70" t="n"/>
      <c r="HI14" s="70" t="n"/>
      <c r="HJ14" s="70" t="n"/>
      <c r="HK14" s="70" t="n"/>
      <c r="HL14" s="70" t="n"/>
      <c r="HM14" s="70" t="n"/>
      <c r="HN14" s="70" t="n"/>
      <c r="HO14" s="70" t="n"/>
      <c r="HP14" s="70" t="n"/>
      <c r="HQ14" s="70" t="n"/>
      <c r="HR14" s="70" t="n"/>
      <c r="HS14" s="70" t="n"/>
      <c r="HT14" s="70" t="n"/>
      <c r="HU14" s="70" t="n"/>
    </row>
    <row r="15" ht="16.2" customHeight="1" thickBot="1">
      <c r="A15" s="54" t="inlineStr">
        <is>
          <t>Aportes</t>
        </is>
      </c>
      <c r="B15" s="130" t="n"/>
      <c r="C15" s="67" t="n"/>
      <c r="D15" s="69" t="n"/>
      <c r="E15" s="67" t="n"/>
      <c r="F15" s="67" t="n"/>
      <c r="G15" s="67" t="n"/>
      <c r="H15" s="67" t="n"/>
      <c r="I15" s="68" t="n"/>
      <c r="J15" s="189" t="n"/>
      <c r="K15" s="34" t="n"/>
      <c r="L15" s="34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67" t="n"/>
      <c r="Y15" s="214" t="n"/>
      <c r="Z15" s="214" t="n"/>
      <c r="AA15" s="214" t="n"/>
      <c r="AB15" s="214" t="n"/>
      <c r="AC15" s="214" t="n"/>
      <c r="AD15" s="214" t="n"/>
      <c r="AE15" s="214" t="n"/>
      <c r="AF15" s="214" t="n"/>
      <c r="AG15" s="214" t="n"/>
      <c r="AH15" s="71" t="n"/>
      <c r="AI15" s="342" t="n"/>
      <c r="AJ15" s="71" t="n"/>
      <c r="AK15" s="68" t="n"/>
      <c r="AL15" s="442" t="n"/>
      <c r="AM15" s="68" t="n"/>
      <c r="AN15" s="371" t="n"/>
      <c r="AO15" s="371" t="n"/>
      <c r="AP15" s="371" t="n"/>
      <c r="AQ15" s="69" t="n"/>
      <c r="AR15" s="69" t="n"/>
      <c r="AS15" s="69" t="n"/>
      <c r="AT15" s="69" t="n"/>
      <c r="AU15" s="69" t="n"/>
      <c r="AV15" s="69" t="n"/>
      <c r="AW15" s="69" t="n"/>
      <c r="AX15" s="69" t="n"/>
      <c r="AY15" s="69" t="n"/>
      <c r="AZ15" s="69" t="n"/>
      <c r="BA15" s="69" t="n"/>
      <c r="BB15" s="69" t="n"/>
      <c r="BC15" s="69" t="n"/>
      <c r="BD15" s="69" t="n"/>
      <c r="BE15" s="69" t="n"/>
      <c r="BF15" s="67" t="n"/>
      <c r="BG15" s="67" t="n"/>
      <c r="BH15" s="67" t="n"/>
      <c r="BI15" s="67" t="n"/>
      <c r="BJ15" s="67" t="n"/>
      <c r="BK15" s="67" t="n"/>
      <c r="BL15" s="67" t="n"/>
      <c r="BM15" s="67" t="n"/>
      <c r="BN15" s="67" t="n"/>
      <c r="BO15" s="67" t="n"/>
      <c r="BP15" s="288" t="n"/>
      <c r="BQ15" s="69" t="n"/>
      <c r="BR15" s="67" t="n"/>
      <c r="BS15" s="67" t="n"/>
      <c r="BT15" s="67" t="n"/>
      <c r="BU15" s="67" t="n"/>
      <c r="BV15" s="67" t="n"/>
      <c r="BW15" s="67" t="n"/>
      <c r="BX15" s="67" t="n"/>
      <c r="BY15" s="67" t="n"/>
      <c r="BZ15" s="67" t="n"/>
      <c r="CA15" s="67" t="n"/>
      <c r="CB15" s="288" t="n"/>
      <c r="CC15" s="69" t="n"/>
      <c r="CD15" s="67" t="n"/>
      <c r="CE15" s="67" t="n"/>
      <c r="CF15" s="67" t="n"/>
      <c r="CG15" s="67" t="n"/>
      <c r="CH15" s="67" t="n"/>
      <c r="CI15" s="67" t="n"/>
      <c r="CJ15" s="67" t="n"/>
      <c r="CK15" s="67" t="n"/>
      <c r="CL15" s="67" t="n"/>
      <c r="CM15" s="67" t="n"/>
      <c r="CN15" s="288" t="n"/>
      <c r="CO15" s="69" t="n"/>
      <c r="CP15" s="67" t="n"/>
      <c r="CQ15" s="67" t="n"/>
      <c r="CR15" s="67" t="n"/>
      <c r="CS15" s="67" t="n"/>
      <c r="CT15" s="67" t="n"/>
      <c r="CU15" s="67" t="n"/>
      <c r="CV15" s="67" t="n"/>
      <c r="CW15" s="67" t="n"/>
      <c r="CX15" s="67" t="n"/>
      <c r="CY15" s="67" t="n"/>
      <c r="CZ15" s="288" t="n"/>
      <c r="DA15" s="69" t="n"/>
      <c r="DB15" s="67" t="n"/>
      <c r="DC15" s="67" t="n"/>
      <c r="DD15" s="67" t="n"/>
      <c r="DE15" s="67" t="n"/>
      <c r="DF15" s="67" t="n"/>
      <c r="DG15" s="67" t="n"/>
      <c r="DH15" s="67" t="n"/>
      <c r="DI15" s="67" t="n"/>
      <c r="DJ15" s="68" t="n"/>
      <c r="DK15" s="67" t="n"/>
      <c r="DL15" s="68" t="n"/>
      <c r="DM15" s="67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</row>
    <row r="16" ht="7.2" customHeight="1" thickTop="1">
      <c r="A16" s="1" t="n"/>
      <c r="B16" s="128" t="n"/>
      <c r="C16" s="512" t="n"/>
      <c r="D16" s="512" t="n"/>
      <c r="E16" s="512" t="n"/>
      <c r="F16" s="512" t="n"/>
      <c r="G16" s="512" t="n"/>
      <c r="H16" s="512" t="n"/>
      <c r="I16" s="512" t="n"/>
      <c r="J16" s="513" t="n"/>
      <c r="K16" s="512" t="n"/>
      <c r="L16" s="512" t="n"/>
      <c r="M16" s="514" t="n"/>
      <c r="N16" s="514" t="n"/>
      <c r="O16" s="514" t="n"/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3" t="n"/>
      <c r="AI16" s="235" t="n"/>
      <c r="AJ16" s="53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5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/>
      <c r="BO16" s="512" t="n"/>
      <c r="BP16" s="515" t="n"/>
      <c r="BQ16" s="512" t="n"/>
      <c r="BR16" s="512" t="n"/>
      <c r="BS16" s="512" t="n"/>
      <c r="BT16" s="512" t="n"/>
      <c r="BU16" s="512" t="n"/>
      <c r="BV16" s="512" t="n"/>
      <c r="BW16" s="512" t="n"/>
      <c r="BX16" s="512" t="n"/>
      <c r="BY16" s="512" t="n"/>
      <c r="BZ16" s="512" t="n"/>
      <c r="CA16" s="512" t="n"/>
      <c r="CB16" s="515" t="n"/>
      <c r="CC16" s="512" t="n"/>
      <c r="CD16" s="512" t="n"/>
      <c r="CE16" s="512" t="n"/>
      <c r="CF16" s="512" t="n"/>
      <c r="CG16" s="512" t="n"/>
      <c r="CH16" s="512" t="n"/>
      <c r="CI16" s="512" t="n"/>
      <c r="CJ16" s="512" t="n"/>
      <c r="CK16" s="512" t="n"/>
      <c r="CL16" s="512" t="n"/>
      <c r="CM16" s="512" t="n"/>
      <c r="CN16" s="515" t="n"/>
      <c r="CO16" s="512" t="n"/>
      <c r="CP16" s="512" t="n"/>
      <c r="CQ16" s="512" t="n"/>
      <c r="CR16" s="512" t="n"/>
      <c r="CS16" s="512" t="n"/>
      <c r="CT16" s="512" t="n"/>
      <c r="CU16" s="512" t="n"/>
      <c r="CV16" s="512" t="n"/>
      <c r="CW16" s="512" t="n"/>
      <c r="CX16" s="512" t="n"/>
      <c r="CY16" s="512" t="n"/>
      <c r="CZ16" s="515" t="n"/>
      <c r="DA16" s="512" t="n"/>
      <c r="DB16" s="512" t="n"/>
      <c r="DC16" s="512" t="n"/>
      <c r="DD16" s="512" t="n"/>
      <c r="DE16" s="512" t="n"/>
      <c r="DF16" s="512" t="n"/>
      <c r="DG16" s="512" t="n"/>
      <c r="DH16" s="512" t="n"/>
      <c r="DI16" s="512" t="n"/>
      <c r="DJ16" s="512" t="n"/>
      <c r="DK16" s="512" t="n"/>
      <c r="DL16" s="512" t="n"/>
      <c r="DM16" s="512" t="n"/>
      <c r="DN16" s="512" t="n"/>
      <c r="DO16" s="512" t="n"/>
      <c r="DP16" s="512" t="n"/>
      <c r="DQ16" s="512" t="n"/>
      <c r="DR16" s="512" t="n"/>
      <c r="DS16" s="512" t="n"/>
      <c r="DT16" s="512" t="n"/>
      <c r="DU16" s="512" t="n"/>
      <c r="DV16" s="512" t="n"/>
      <c r="DW16" s="512" t="n"/>
      <c r="DX16" s="512" t="n"/>
      <c r="DY16" s="512" t="n"/>
      <c r="DZ16" s="512" t="n"/>
      <c r="EA16" s="512" t="n"/>
      <c r="EB16" s="512" t="n"/>
      <c r="EC16" s="512" t="n"/>
      <c r="ED16" s="512" t="n"/>
      <c r="EE16" s="512" t="n"/>
      <c r="EF16" s="512" t="n"/>
      <c r="EG16" s="512" t="n"/>
      <c r="EH16" s="512" t="n"/>
      <c r="EI16" s="512" t="n"/>
      <c r="EJ16" s="512" t="n"/>
      <c r="EK16" s="512" t="n"/>
      <c r="EL16" s="512" t="n"/>
      <c r="EM16" s="512" t="n"/>
      <c r="EN16" s="512" t="n"/>
      <c r="EO16" s="512" t="n"/>
      <c r="EP16" s="512" t="n"/>
      <c r="EQ16" s="512" t="n"/>
      <c r="ER16" s="512" t="n"/>
      <c r="ES16" s="512" t="n"/>
      <c r="ET16" s="512" t="n"/>
      <c r="EU16" s="512" t="n"/>
      <c r="EV16" s="512" t="n"/>
      <c r="EW16" s="512" t="n"/>
      <c r="EX16" s="512" t="n"/>
      <c r="EY16" s="512" t="n"/>
      <c r="EZ16" s="512" t="n"/>
      <c r="FA16" s="512" t="n"/>
      <c r="FB16" s="512" t="n"/>
      <c r="FC16" s="512" t="n"/>
      <c r="FD16" s="512" t="n"/>
      <c r="FE16" s="512" t="n"/>
      <c r="FF16" s="512" t="n"/>
      <c r="FG16" s="512" t="n"/>
      <c r="FH16" s="512" t="n"/>
      <c r="FI16" s="512" t="n"/>
      <c r="FJ16" s="512" t="n"/>
      <c r="FK16" s="512" t="n"/>
      <c r="FL16" s="512" t="n"/>
      <c r="FM16" s="512" t="n"/>
      <c r="FN16" s="512" t="n"/>
      <c r="FO16" s="512" t="n"/>
      <c r="FP16" s="512" t="n"/>
      <c r="FQ16" s="512" t="n"/>
      <c r="FR16" s="512" t="n"/>
      <c r="FS16" s="512" t="n"/>
      <c r="FT16" s="512" t="n"/>
      <c r="FU16" s="512" t="n"/>
      <c r="FV16" s="512" t="n"/>
      <c r="FW16" s="512" t="n"/>
      <c r="FX16" s="512" t="n"/>
      <c r="FY16" s="512" t="n"/>
      <c r="FZ16" s="512" t="n"/>
      <c r="GA16" s="512" t="n"/>
      <c r="GB16" s="512" t="n"/>
      <c r="GC16" s="512" t="n"/>
      <c r="GD16" s="512" t="n"/>
      <c r="GE16" s="512" t="n"/>
      <c r="GF16" s="512" t="n"/>
      <c r="GG16" s="512" t="n"/>
      <c r="GH16" s="512" t="n"/>
      <c r="GI16" s="512" t="n"/>
      <c r="GJ16" s="512" t="n"/>
      <c r="GK16" s="512" t="n"/>
      <c r="GL16" s="512" t="n"/>
      <c r="GM16" s="512" t="n"/>
      <c r="GN16" s="512" t="n"/>
      <c r="GO16" s="512" t="n"/>
      <c r="GP16" s="512" t="n"/>
      <c r="GQ16" s="512" t="n"/>
      <c r="GR16" s="512" t="n"/>
      <c r="GS16" s="512" t="n"/>
      <c r="GT16" s="512" t="n"/>
      <c r="GU16" s="512" t="n"/>
      <c r="GV16" s="512" t="n"/>
      <c r="GW16" s="512" t="n"/>
      <c r="GX16" s="512" t="n"/>
      <c r="GY16" s="512" t="n"/>
      <c r="GZ16" s="512" t="n"/>
      <c r="HA16" s="512" t="n"/>
      <c r="HB16" s="512" t="n"/>
      <c r="HC16" s="512" t="n"/>
      <c r="HD16" s="512" t="n"/>
      <c r="HE16" s="512" t="n"/>
      <c r="HF16" s="512" t="n"/>
      <c r="HG16" s="512" t="n"/>
      <c r="HH16" s="512" t="n"/>
      <c r="HI16" s="512" t="n"/>
      <c r="HJ16" s="512" t="n"/>
      <c r="HK16" s="512" t="n"/>
      <c r="HL16" s="512" t="n"/>
      <c r="HM16" s="512" t="n"/>
      <c r="HN16" s="512" t="n"/>
      <c r="HO16" s="512" t="n"/>
      <c r="HP16" s="512" t="n"/>
      <c r="HQ16" s="512" t="n"/>
      <c r="HR16" s="512" t="n"/>
      <c r="HS16" s="512" t="n"/>
      <c r="HT16" s="512" t="n"/>
      <c r="HU16" s="512" t="n"/>
    </row>
    <row r="17" ht="16.2" customFormat="1" customHeight="1" s="259">
      <c r="A17" s="65" t="inlineStr">
        <is>
          <t>RECEITA FINANCEIRA (+)</t>
        </is>
      </c>
      <c r="B17" s="129" t="n"/>
      <c r="C17" s="70" t="n"/>
      <c r="D17" s="70" t="n"/>
      <c r="E17" s="70" t="n"/>
      <c r="F17" s="70" t="n"/>
      <c r="G17" s="70" t="n"/>
      <c r="H17" s="70" t="n"/>
      <c r="I17" s="70" t="n"/>
      <c r="J17" s="155" t="n"/>
      <c r="K17" s="70" t="n"/>
      <c r="L17" s="70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198" t="n"/>
      <c r="AI17" s="233" t="n"/>
      <c r="AJ17" s="198" t="n"/>
      <c r="AK17" s="70" t="n"/>
      <c r="AL17" s="70" t="n"/>
      <c r="AM17" s="70" t="n"/>
      <c r="AN17" s="70" t="n"/>
      <c r="AO17" s="70" t="n"/>
      <c r="AP17" s="70" t="n"/>
      <c r="AQ17" s="70" t="n"/>
      <c r="AR17" s="70" t="n"/>
      <c r="AS17" s="70" t="n"/>
      <c r="AT17" s="70" t="n"/>
      <c r="AU17" s="70" t="n"/>
      <c r="AV17" s="70" t="n"/>
      <c r="AW17" s="70" t="n"/>
      <c r="AX17" s="70" t="n"/>
      <c r="AY17" s="70" t="n"/>
      <c r="AZ17" s="70" t="n"/>
      <c r="BA17" s="70" t="n"/>
      <c r="BB17" s="70" t="n"/>
      <c r="BC17" s="70" t="n"/>
      <c r="BD17" s="287" t="n"/>
      <c r="BE17" s="70" t="n"/>
      <c r="BF17" s="70" t="n"/>
      <c r="BG17" s="70" t="n"/>
      <c r="BH17" s="70" t="n"/>
      <c r="BI17" s="70" t="n"/>
      <c r="BJ17" s="70" t="n"/>
      <c r="BK17" s="70" t="n"/>
      <c r="BL17" s="70" t="n"/>
      <c r="BM17" s="70" t="n"/>
      <c r="BN17" s="70" t="n"/>
      <c r="BO17" s="70" t="n"/>
      <c r="BP17" s="287" t="n"/>
      <c r="BQ17" s="70" t="n"/>
      <c r="BR17" s="70" t="n"/>
      <c r="BS17" s="70" t="n"/>
      <c r="BT17" s="70" t="n"/>
      <c r="BU17" s="70" t="n"/>
      <c r="BV17" s="70" t="n"/>
      <c r="BW17" s="70" t="n"/>
      <c r="BX17" s="70" t="n"/>
      <c r="BY17" s="70" t="n"/>
      <c r="BZ17" s="70" t="n"/>
      <c r="CA17" s="70" t="n"/>
      <c r="CB17" s="287" t="n"/>
      <c r="CC17" s="70" t="n"/>
      <c r="CD17" s="70" t="n"/>
      <c r="CE17" s="70" t="n"/>
      <c r="CF17" s="70" t="n"/>
      <c r="CG17" s="70" t="n"/>
      <c r="CH17" s="70" t="n"/>
      <c r="CI17" s="70" t="n"/>
      <c r="CJ17" s="70" t="n"/>
      <c r="CK17" s="70" t="n"/>
      <c r="CL17" s="70" t="n"/>
      <c r="CM17" s="70" t="n"/>
      <c r="CN17" s="287" t="n"/>
      <c r="CO17" s="70" t="n"/>
      <c r="CP17" s="70" t="n"/>
      <c r="CQ17" s="70" t="n"/>
      <c r="CR17" s="70" t="n"/>
      <c r="CS17" s="70" t="n"/>
      <c r="CT17" s="70" t="n"/>
      <c r="CU17" s="70" t="n"/>
      <c r="CV17" s="70" t="n"/>
      <c r="CW17" s="70" t="n"/>
      <c r="CX17" s="70" t="n"/>
      <c r="CY17" s="70" t="n"/>
      <c r="CZ17" s="287" t="n"/>
      <c r="DA17" s="70" t="n"/>
      <c r="DB17" s="70" t="n"/>
      <c r="DC17" s="70" t="n"/>
      <c r="DD17" s="70" t="n"/>
      <c r="DE17" s="70" t="n"/>
      <c r="DF17" s="70" t="n"/>
      <c r="DG17" s="70" t="n"/>
      <c r="DH17" s="70" t="n"/>
      <c r="DI17" s="70" t="n"/>
      <c r="DJ17" s="70" t="n"/>
      <c r="DK17" s="70" t="n"/>
      <c r="DL17" s="70" t="n"/>
      <c r="DM17" s="70" t="n"/>
      <c r="DN17" s="70" t="n"/>
      <c r="DO17" s="70" t="n"/>
      <c r="DP17" s="70" t="n"/>
      <c r="DQ17" s="70" t="n"/>
      <c r="DR17" s="70" t="n"/>
      <c r="DS17" s="70" t="n"/>
      <c r="DT17" s="70" t="n"/>
      <c r="DU17" s="70" t="n"/>
      <c r="DV17" s="70" t="n"/>
      <c r="DW17" s="70" t="n"/>
      <c r="DX17" s="70" t="n"/>
      <c r="DY17" s="70" t="n"/>
      <c r="DZ17" s="70" t="n"/>
      <c r="EA17" s="70" t="n"/>
      <c r="EB17" s="70" t="n"/>
      <c r="EC17" s="70" t="n"/>
      <c r="ED17" s="70" t="n"/>
      <c r="EE17" s="70" t="n"/>
      <c r="EF17" s="70" t="n"/>
      <c r="EG17" s="70" t="n"/>
      <c r="EH17" s="70" t="n"/>
      <c r="EI17" s="70" t="n"/>
      <c r="EJ17" s="70" t="n"/>
      <c r="EK17" s="70" t="n"/>
      <c r="EL17" s="70" t="n"/>
      <c r="EM17" s="70" t="n"/>
      <c r="EN17" s="70" t="n"/>
      <c r="EO17" s="70" t="n"/>
      <c r="EP17" s="70" t="n"/>
      <c r="EQ17" s="70" t="n"/>
      <c r="ER17" s="70" t="n"/>
      <c r="ES17" s="70" t="n"/>
      <c r="ET17" s="70" t="n"/>
      <c r="EU17" s="70" t="n"/>
      <c r="EV17" s="70" t="n"/>
      <c r="EW17" s="70" t="n"/>
      <c r="EX17" s="70" t="n"/>
      <c r="EY17" s="70" t="n"/>
      <c r="EZ17" s="70" t="n"/>
      <c r="FA17" s="70" t="n"/>
      <c r="FB17" s="70" t="n"/>
      <c r="FC17" s="70" t="n"/>
      <c r="FD17" s="70" t="n"/>
      <c r="FE17" s="70" t="n"/>
      <c r="FF17" s="70" t="n"/>
      <c r="FG17" s="70" t="n"/>
      <c r="FH17" s="70" t="n"/>
      <c r="FI17" s="70" t="n"/>
      <c r="FJ17" s="70" t="n"/>
      <c r="FK17" s="70" t="n"/>
      <c r="FL17" s="70" t="n"/>
      <c r="FM17" s="70" t="n"/>
      <c r="FN17" s="70" t="n"/>
      <c r="FO17" s="70" t="n"/>
      <c r="FP17" s="70" t="n"/>
      <c r="FQ17" s="70" t="n"/>
      <c r="FR17" s="70" t="n"/>
      <c r="FS17" s="70" t="n"/>
      <c r="FT17" s="70" t="n"/>
      <c r="FU17" s="70" t="n"/>
      <c r="FV17" s="70" t="n"/>
      <c r="FW17" s="70" t="n"/>
      <c r="FX17" s="70" t="n"/>
      <c r="FY17" s="70" t="n"/>
      <c r="FZ17" s="70" t="n"/>
      <c r="GA17" s="70" t="n"/>
      <c r="GB17" s="70" t="n"/>
      <c r="GC17" s="70" t="n"/>
      <c r="GD17" s="70" t="n"/>
      <c r="GE17" s="70" t="n"/>
      <c r="GF17" s="70" t="n"/>
      <c r="GG17" s="70" t="n"/>
      <c r="GH17" s="70" t="n"/>
      <c r="GI17" s="70" t="n"/>
      <c r="GJ17" s="70" t="n"/>
      <c r="GK17" s="70" t="n"/>
      <c r="GL17" s="70" t="n"/>
      <c r="GM17" s="70" t="n"/>
      <c r="GN17" s="70" t="n"/>
      <c r="GO17" s="70" t="n"/>
      <c r="GP17" s="70" t="n"/>
      <c r="GQ17" s="70" t="n"/>
      <c r="GR17" s="70" t="n"/>
      <c r="GS17" s="70" t="n"/>
      <c r="GT17" s="70" t="n"/>
      <c r="GU17" s="70" t="n"/>
      <c r="GV17" s="70" t="n"/>
      <c r="GW17" s="70" t="n"/>
      <c r="GX17" s="70" t="n"/>
      <c r="GY17" s="70" t="n"/>
      <c r="GZ17" s="70" t="n"/>
      <c r="HA17" s="70" t="n"/>
      <c r="HB17" s="70" t="n"/>
      <c r="HC17" s="70" t="n"/>
      <c r="HD17" s="70" t="n"/>
      <c r="HE17" s="70" t="n"/>
      <c r="HF17" s="70" t="n"/>
      <c r="HG17" s="70" t="n"/>
      <c r="HH17" s="70" t="n"/>
      <c r="HI17" s="70" t="n"/>
      <c r="HJ17" s="70" t="n"/>
      <c r="HK17" s="70" t="n"/>
      <c r="HL17" s="70" t="n"/>
      <c r="HM17" s="70" t="n"/>
      <c r="HN17" s="70" t="n"/>
      <c r="HO17" s="70" t="n"/>
      <c r="HP17" s="70" t="n"/>
      <c r="HQ17" s="70" t="n"/>
      <c r="HR17" s="70" t="n"/>
      <c r="HS17" s="70" t="n"/>
      <c r="HT17" s="70" t="n"/>
      <c r="HU17" s="70" t="n"/>
    </row>
    <row r="18" ht="16.2" customHeight="1">
      <c r="A18" s="54" t="inlineStr">
        <is>
          <t>Rendimento Financeiro</t>
        </is>
      </c>
      <c r="B18" s="130" t="n"/>
      <c r="C18" s="67" t="n"/>
      <c r="D18" s="69" t="n"/>
      <c r="E18" s="67" t="n"/>
      <c r="F18" s="67" t="n"/>
      <c r="G18" s="67" t="n"/>
      <c r="H18" s="67" t="n"/>
      <c r="I18" s="68" t="n"/>
      <c r="J18" s="216" t="n"/>
      <c r="K18" s="116" t="n"/>
      <c r="L18" s="116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  <c r="Y18" s="217" t="n"/>
      <c r="Z18" s="217" t="n"/>
      <c r="AA18" s="217" t="n"/>
      <c r="AB18" s="217" t="n"/>
      <c r="AC18" s="217" t="n"/>
      <c r="AD18" s="217" t="n"/>
      <c r="AE18" s="217" t="n"/>
      <c r="AF18" s="217" t="n"/>
      <c r="AG18" s="217" t="n"/>
      <c r="AH18" s="71" t="n"/>
      <c r="AI18" s="342" t="n"/>
      <c r="AJ18" s="71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69" t="n"/>
      <c r="AT18" s="69" t="n"/>
      <c r="AU18" s="69" t="n"/>
      <c r="AV18" s="69" t="n"/>
      <c r="AW18" s="69" t="n"/>
      <c r="AX18" s="69" t="n"/>
      <c r="AY18" s="69" t="n"/>
      <c r="AZ18" s="69" t="n"/>
      <c r="BA18" s="69" t="n"/>
      <c r="BB18" s="69" t="n"/>
      <c r="BC18" s="69" t="n"/>
      <c r="BD18" s="69" t="n"/>
      <c r="BE18" s="69" t="n"/>
      <c r="BF18" s="69" t="n"/>
      <c r="BG18" s="69" t="n"/>
      <c r="BH18" s="69" t="n"/>
      <c r="BI18" s="69" t="n"/>
      <c r="BJ18" s="69" t="n"/>
      <c r="BK18" s="69" t="n"/>
      <c r="BL18" s="69" t="n"/>
      <c r="BM18" s="69" t="n"/>
      <c r="BN18" s="69" t="n"/>
      <c r="BO18" s="69" t="n"/>
      <c r="BP18" s="69" t="n"/>
      <c r="BQ18" s="69" t="n"/>
      <c r="BR18" s="69" t="n"/>
      <c r="BS18" s="69" t="n"/>
      <c r="BT18" s="69" t="n"/>
      <c r="BU18" s="69" t="n"/>
      <c r="BV18" s="69" t="n"/>
      <c r="BW18" s="69" t="n"/>
      <c r="BX18" s="69" t="n"/>
      <c r="BY18" s="69" t="n"/>
      <c r="BZ18" s="69" t="n"/>
      <c r="CA18" s="69" t="n"/>
      <c r="CB18" s="69" t="n"/>
      <c r="CC18" s="69" t="n"/>
      <c r="CD18" s="69" t="n"/>
      <c r="CE18" s="69" t="n"/>
      <c r="CF18" s="69" t="n"/>
      <c r="CG18" s="69" t="n"/>
      <c r="CH18" s="69" t="n"/>
      <c r="CI18" s="69" t="n"/>
      <c r="CJ18" s="69" t="n"/>
      <c r="CK18" s="69" t="n"/>
      <c r="CL18" s="69" t="n"/>
      <c r="CM18" s="69" t="n"/>
      <c r="CN18" s="69" t="n"/>
      <c r="CO18" s="69" t="n"/>
      <c r="CP18" s="69" t="n"/>
      <c r="CQ18" s="69" t="n"/>
      <c r="CR18" s="69" t="n"/>
      <c r="CS18" s="69" t="n"/>
      <c r="CT18" s="69" t="n"/>
      <c r="CU18" s="69" t="n"/>
      <c r="CV18" s="69" t="n"/>
      <c r="CW18" s="69" t="n"/>
      <c r="CX18" s="69" t="n"/>
      <c r="CY18" s="69" t="n"/>
      <c r="CZ18" s="69" t="n"/>
      <c r="DA18" s="69" t="n"/>
      <c r="DB18" s="69" t="n"/>
      <c r="DC18" s="69" t="n"/>
      <c r="DD18" s="69" t="n"/>
      <c r="DE18" s="69" t="n"/>
      <c r="DF18" s="69" t="n"/>
      <c r="DG18" s="69" t="n"/>
      <c r="DH18" s="69" t="n"/>
      <c r="DI18" s="69" t="n"/>
      <c r="DJ18" s="69" t="n"/>
      <c r="DK18" s="69" t="n"/>
      <c r="DL18" s="69" t="n"/>
      <c r="DM18" s="69" t="n"/>
      <c r="DN18" s="69" t="n"/>
      <c r="DO18" s="69" t="n"/>
      <c r="DP18" s="69" t="n"/>
      <c r="DQ18" s="69" t="n"/>
      <c r="DR18" s="69" t="n"/>
      <c r="DS18" s="69" t="n"/>
      <c r="DT18" s="69" t="n"/>
      <c r="DU18" s="69" t="n"/>
      <c r="DV18" s="69" t="n"/>
      <c r="DW18" s="69" t="n"/>
      <c r="DX18" s="69" t="n"/>
      <c r="DY18" s="69" t="n"/>
      <c r="DZ18" s="69" t="n"/>
      <c r="EA18" s="69" t="n"/>
      <c r="EB18" s="69" t="n"/>
      <c r="EC18" s="69" t="n"/>
      <c r="ED18" s="69" t="n"/>
      <c r="EE18" s="69" t="n"/>
      <c r="EF18" s="69" t="n"/>
      <c r="EG18" s="69" t="n"/>
      <c r="EH18" s="69" t="n"/>
      <c r="EI18" s="69" t="n"/>
      <c r="EJ18" s="69" t="n"/>
      <c r="EK18" s="69" t="n"/>
      <c r="EL18" s="69" t="n"/>
      <c r="EM18" s="69" t="n"/>
      <c r="EN18" s="69" t="n"/>
      <c r="EO18" s="69" t="n"/>
      <c r="EP18" s="69" t="n"/>
      <c r="EQ18" s="69" t="n"/>
      <c r="ER18" s="69" t="n"/>
      <c r="ES18" s="69" t="n"/>
      <c r="ET18" s="69" t="n"/>
      <c r="EU18" s="69" t="n"/>
      <c r="EV18" s="69" t="n"/>
      <c r="EW18" s="69" t="n"/>
      <c r="EX18" s="69" t="n"/>
      <c r="EY18" s="69" t="n"/>
      <c r="EZ18" s="69" t="n"/>
      <c r="FA18" s="69" t="n"/>
      <c r="FB18" s="69" t="n"/>
      <c r="FC18" s="69" t="n"/>
      <c r="FD18" s="69" t="n"/>
      <c r="FE18" s="69" t="n"/>
      <c r="FF18" s="69" t="n"/>
      <c r="FG18" s="69" t="n"/>
      <c r="FH18" s="69" t="n"/>
      <c r="FI18" s="69" t="n"/>
      <c r="FJ18" s="69" t="n"/>
      <c r="FK18" s="69" t="n"/>
      <c r="FL18" s="69" t="n"/>
      <c r="FM18" s="69" t="n"/>
      <c r="FN18" s="69" t="n"/>
      <c r="FO18" s="69" t="n"/>
      <c r="FP18" s="69" t="n"/>
      <c r="FQ18" s="69" t="n"/>
      <c r="FR18" s="69" t="n"/>
      <c r="FS18" s="69" t="n"/>
      <c r="FT18" s="69" t="n"/>
      <c r="FU18" s="69" t="n"/>
      <c r="FV18" s="69" t="n"/>
      <c r="FW18" s="69" t="n"/>
      <c r="FX18" s="69" t="n"/>
      <c r="FY18" s="69" t="n"/>
      <c r="FZ18" s="69" t="n"/>
      <c r="GA18" s="69" t="n"/>
      <c r="GB18" s="69" t="n"/>
      <c r="GC18" s="69" t="n"/>
      <c r="GD18" s="69" t="n"/>
      <c r="GE18" s="69" t="n"/>
      <c r="GF18" s="69" t="n"/>
      <c r="GG18" s="69" t="n"/>
      <c r="GH18" s="69" t="n"/>
      <c r="GI18" s="69" t="n"/>
      <c r="GJ18" s="69" t="n"/>
      <c r="GK18" s="69" t="n"/>
      <c r="GL18" s="69" t="n"/>
      <c r="GM18" s="69" t="n"/>
      <c r="GN18" s="69" t="n"/>
      <c r="GO18" s="69" t="n"/>
      <c r="GP18" s="69" t="n"/>
      <c r="GQ18" s="69" t="n"/>
      <c r="GR18" s="69" t="n"/>
      <c r="GS18" s="69" t="n"/>
      <c r="GT18" s="69" t="n"/>
      <c r="GU18" s="69" t="n"/>
      <c r="GV18" s="69" t="n"/>
      <c r="GW18" s="69" t="n"/>
      <c r="GX18" s="69" t="n"/>
      <c r="GY18" s="69" t="n"/>
      <c r="GZ18" s="69" t="n"/>
      <c r="HA18" s="69" t="n"/>
      <c r="HB18" s="69" t="n"/>
      <c r="HC18" s="69" t="n"/>
      <c r="HD18" s="69" t="n"/>
      <c r="HE18" s="69" t="n"/>
      <c r="HF18" s="69" t="n"/>
      <c r="HG18" s="69" t="n"/>
      <c r="HH18" s="69" t="n"/>
      <c r="HI18" s="69" t="n"/>
      <c r="HJ18" s="69" t="n"/>
      <c r="HK18" s="69" t="n"/>
      <c r="HL18" s="69" t="n"/>
      <c r="HM18" s="69" t="n"/>
      <c r="HN18" s="69" t="n"/>
      <c r="HO18" s="69" t="n"/>
      <c r="HP18" s="69" t="n"/>
      <c r="HQ18" s="69" t="n"/>
      <c r="HR18" s="69" t="n"/>
      <c r="HS18" s="69" t="n"/>
      <c r="HT18" s="69" t="n"/>
      <c r="HU18" s="69" t="n"/>
    </row>
    <row r="19" ht="7.2" customHeight="1">
      <c r="A19" s="1" t="n"/>
      <c r="B19" s="128" t="n"/>
      <c r="C19" s="1" t="n"/>
      <c r="D19" s="1" t="n"/>
      <c r="E19" s="1" t="n"/>
      <c r="F19" s="1" t="n"/>
      <c r="G19" s="1" t="n"/>
      <c r="H19" s="1" t="n"/>
      <c r="I19" s="1" t="n"/>
      <c r="J19" s="156" t="n"/>
      <c r="K19" s="1" t="n"/>
      <c r="L19" s="1" t="n"/>
      <c r="M19" s="157" t="n"/>
      <c r="N19" s="157" t="n"/>
      <c r="O19" s="157" t="n"/>
      <c r="P19" s="157" t="n"/>
      <c r="Q19" s="157" t="n"/>
      <c r="R19" s="157" t="n"/>
      <c r="S19" s="157" t="n"/>
      <c r="T19" s="157" t="n"/>
      <c r="U19" s="157" t="n"/>
      <c r="V19" s="157" t="n"/>
      <c r="W19" s="157" t="n"/>
      <c r="X19" s="157" t="n"/>
      <c r="Y19" s="157" t="n"/>
      <c r="Z19" s="157" t="n"/>
      <c r="AA19" s="157" t="n"/>
      <c r="AB19" s="157" t="n"/>
      <c r="AC19" s="157" t="n"/>
      <c r="AD19" s="157" t="n"/>
      <c r="AE19" s="157" t="n"/>
      <c r="AF19" s="157" t="n"/>
      <c r="AG19" s="157" t="n"/>
      <c r="AH19" s="93" t="n"/>
      <c r="AI19" s="236" t="n"/>
      <c r="AJ19" s="93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289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289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289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289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289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</row>
    <row r="20" ht="16.2" customFormat="1" customHeight="1" s="259">
      <c r="A20" s="96" t="inlineStr">
        <is>
          <t>TOTAL RECEITAS REAL (+)</t>
        </is>
      </c>
      <c r="B20" s="131" t="n"/>
      <c r="C20" s="72" t="n"/>
      <c r="D20" s="72" t="n"/>
      <c r="E20" s="72" t="n"/>
      <c r="F20" s="72" t="n"/>
      <c r="G20" s="72" t="n"/>
      <c r="H20" s="72" t="n"/>
      <c r="I20" s="72" t="n"/>
      <c r="J20" s="160" t="n"/>
      <c r="K20" s="72" t="n"/>
      <c r="L20" s="72" t="n"/>
      <c r="M20" s="161" t="n"/>
      <c r="N20" s="161" t="n"/>
      <c r="O20" s="161" t="n"/>
      <c r="P20" s="161" t="n"/>
      <c r="Q20" s="161" t="n"/>
      <c r="R20" s="161" t="n"/>
      <c r="S20" s="161" t="n"/>
      <c r="T20" s="161" t="n"/>
      <c r="U20" s="161" t="n"/>
      <c r="V20" s="161" t="n"/>
      <c r="W20" s="161" t="n"/>
      <c r="X20" s="161" t="n"/>
      <c r="Y20" s="161" t="n"/>
      <c r="Z20" s="161" t="n"/>
      <c r="AA20" s="161" t="n"/>
      <c r="AB20" s="161" t="n"/>
      <c r="AC20" s="161" t="n"/>
      <c r="AD20" s="161" t="n"/>
      <c r="AE20" s="161" t="n"/>
      <c r="AF20" s="161" t="n"/>
      <c r="AG20" s="161" t="n"/>
      <c r="AH20" s="71" t="n"/>
      <c r="AI20" s="131" t="n"/>
      <c r="AJ20" s="71" t="n"/>
      <c r="AK20" s="72" t="n"/>
      <c r="AL20" s="72" t="n"/>
      <c r="AM20" s="72" t="n"/>
      <c r="AN20" s="72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2" t="n"/>
      <c r="BA20" s="72" t="n"/>
      <c r="BB20" s="72" t="n"/>
      <c r="BC20" s="72" t="n"/>
      <c r="BD20" s="291" t="n"/>
      <c r="BE20" s="98" t="n"/>
      <c r="BF20" s="72" t="n"/>
      <c r="BG20" s="72" t="n"/>
      <c r="BH20" s="72" t="n"/>
      <c r="BI20" s="72" t="n"/>
      <c r="BJ20" s="72" t="n"/>
      <c r="BK20" s="72" t="n"/>
      <c r="BL20" s="72" t="n"/>
      <c r="BM20" s="72" t="n"/>
      <c r="BN20" s="72" t="n"/>
      <c r="BO20" s="72" t="n"/>
      <c r="BP20" s="291" t="n"/>
      <c r="BQ20" s="98" t="n"/>
      <c r="BR20" s="72" t="n"/>
      <c r="BS20" s="72" t="n"/>
      <c r="BT20" s="72" t="n"/>
      <c r="BU20" s="72" t="n"/>
      <c r="BV20" s="72" t="n"/>
      <c r="BW20" s="72" t="n"/>
      <c r="BX20" s="72" t="n"/>
      <c r="BY20" s="72" t="n"/>
      <c r="BZ20" s="72" t="n"/>
      <c r="CA20" s="72" t="n"/>
      <c r="CB20" s="291" t="n"/>
      <c r="CC20" s="98" t="n"/>
      <c r="CD20" s="72" t="n"/>
      <c r="CE20" s="72" t="n"/>
      <c r="CF20" s="72" t="n"/>
      <c r="CG20" s="72" t="n"/>
      <c r="CH20" s="72" t="n"/>
      <c r="CI20" s="72" t="n"/>
      <c r="CJ20" s="72" t="n"/>
      <c r="CK20" s="72" t="n"/>
      <c r="CL20" s="72" t="n"/>
      <c r="CM20" s="72" t="n"/>
      <c r="CN20" s="291" t="n"/>
      <c r="CO20" s="98" t="n"/>
      <c r="CP20" s="72" t="n"/>
      <c r="CQ20" s="72" t="n"/>
      <c r="CR20" s="72" t="n"/>
      <c r="CS20" s="72" t="n"/>
      <c r="CT20" s="72" t="n"/>
      <c r="CU20" s="72" t="n"/>
      <c r="CV20" s="72" t="n"/>
      <c r="CW20" s="72" t="n"/>
      <c r="CX20" s="72" t="n"/>
      <c r="CY20" s="72" t="n"/>
      <c r="CZ20" s="291" t="n"/>
      <c r="DA20" s="98" t="n"/>
      <c r="DB20" s="72" t="n"/>
      <c r="DC20" s="72" t="n"/>
      <c r="DD20" s="72" t="n"/>
      <c r="DE20" s="72" t="n"/>
      <c r="DF20" s="72" t="n"/>
      <c r="DG20" s="72" t="n"/>
      <c r="DH20" s="72" t="n"/>
      <c r="DI20" s="72" t="n"/>
      <c r="DJ20" s="72" t="n"/>
      <c r="DK20" s="72" t="n"/>
      <c r="DL20" s="72" t="n"/>
      <c r="DM20" s="72" t="n"/>
      <c r="DN20" s="72" t="n"/>
      <c r="DO20" s="72" t="n"/>
      <c r="DP20" s="72" t="n"/>
      <c r="DQ20" s="72" t="n"/>
      <c r="DR20" s="72" t="n"/>
      <c r="DS20" s="72" t="n"/>
      <c r="DT20" s="72" t="n"/>
      <c r="DU20" s="72" t="n"/>
      <c r="DV20" s="72" t="n"/>
      <c r="DW20" s="72" t="n"/>
      <c r="DX20" s="72" t="n"/>
      <c r="DY20" s="72" t="n"/>
      <c r="DZ20" s="72" t="n"/>
      <c r="EA20" s="72" t="n"/>
      <c r="EB20" s="72" t="n"/>
      <c r="EC20" s="72" t="n"/>
      <c r="ED20" s="72" t="n"/>
      <c r="EE20" s="72" t="n"/>
      <c r="EF20" s="72" t="n"/>
      <c r="EG20" s="72" t="n"/>
      <c r="EH20" s="72" t="n"/>
      <c r="EI20" s="72" t="n"/>
      <c r="EJ20" s="72" t="n"/>
      <c r="EK20" s="72" t="n"/>
      <c r="EL20" s="72" t="n"/>
      <c r="EM20" s="72" t="n"/>
      <c r="EN20" s="72" t="n"/>
      <c r="EO20" s="72" t="n"/>
      <c r="EP20" s="72" t="n"/>
      <c r="EQ20" s="72" t="n"/>
      <c r="ER20" s="72" t="n"/>
      <c r="ES20" s="72" t="n"/>
      <c r="ET20" s="72" t="n"/>
      <c r="EU20" s="72" t="n"/>
      <c r="EV20" s="72" t="n"/>
      <c r="EW20" s="72" t="n"/>
      <c r="EX20" s="72" t="n"/>
      <c r="EY20" s="72" t="n"/>
      <c r="EZ20" s="72" t="n"/>
      <c r="FA20" s="72" t="n"/>
      <c r="FB20" s="72" t="n"/>
      <c r="FC20" s="72" t="n"/>
      <c r="FD20" s="72" t="n"/>
      <c r="FE20" s="72" t="n"/>
      <c r="FF20" s="72" t="n"/>
      <c r="FG20" s="72" t="n"/>
      <c r="FH20" s="72" t="n"/>
      <c r="FI20" s="72" t="n"/>
      <c r="FJ20" s="72" t="n"/>
      <c r="FK20" s="72" t="n"/>
      <c r="FL20" s="72" t="n"/>
      <c r="FM20" s="72" t="n"/>
      <c r="FN20" s="72" t="n"/>
      <c r="FO20" s="72" t="n"/>
      <c r="FP20" s="72" t="n"/>
      <c r="FQ20" s="72" t="n"/>
      <c r="FR20" s="72" t="n"/>
      <c r="FS20" s="72" t="n"/>
      <c r="FT20" s="72" t="n"/>
      <c r="FU20" s="72" t="n"/>
      <c r="FV20" s="72" t="n"/>
      <c r="FW20" s="72" t="n"/>
      <c r="FX20" s="72" t="n"/>
      <c r="FY20" s="72" t="n"/>
      <c r="FZ20" s="72" t="n"/>
      <c r="GA20" s="72" t="n"/>
      <c r="GB20" s="72" t="n"/>
      <c r="GC20" s="72" t="n"/>
      <c r="GD20" s="72" t="n"/>
      <c r="GE20" s="72" t="n"/>
      <c r="GF20" s="72" t="n"/>
      <c r="GG20" s="72" t="n"/>
      <c r="GH20" s="72" t="n"/>
      <c r="GI20" s="72" t="n"/>
      <c r="GJ20" s="72" t="n"/>
      <c r="GK20" s="72" t="n"/>
      <c r="GL20" s="72" t="n"/>
      <c r="GM20" s="72" t="n"/>
      <c r="GN20" s="72" t="n"/>
      <c r="GO20" s="72" t="n"/>
      <c r="GP20" s="72" t="n"/>
      <c r="GQ20" s="72" t="n"/>
      <c r="GR20" s="72" t="n"/>
      <c r="GS20" s="72" t="n"/>
      <c r="GT20" s="72" t="n"/>
      <c r="GU20" s="72" t="n"/>
      <c r="GV20" s="72" t="n"/>
      <c r="GW20" s="72" t="n"/>
      <c r="GX20" s="72" t="n"/>
      <c r="GY20" s="72" t="n"/>
      <c r="GZ20" s="72" t="n"/>
      <c r="HA20" s="72" t="n"/>
      <c r="HB20" s="72" t="n"/>
      <c r="HC20" s="72" t="n"/>
      <c r="HD20" s="72" t="n"/>
      <c r="HE20" s="72" t="n"/>
      <c r="HF20" s="72" t="n"/>
      <c r="HG20" s="72" t="n"/>
      <c r="HH20" s="72" t="n"/>
      <c r="HI20" s="72" t="n"/>
      <c r="HJ20" s="72" t="n"/>
      <c r="HK20" s="72" t="n"/>
      <c r="HL20" s="72" t="n"/>
      <c r="HM20" s="72" t="n"/>
      <c r="HN20" s="72" t="n"/>
      <c r="HO20" s="72" t="n"/>
      <c r="HP20" s="72" t="n"/>
      <c r="HQ20" s="72" t="n"/>
      <c r="HR20" s="72" t="n"/>
      <c r="HS20" s="72" t="n"/>
      <c r="HT20" s="72" t="n"/>
      <c r="HU20" s="72" t="n"/>
    </row>
    <row r="21" ht="16.2" customHeight="1">
      <c r="A21" s="97" t="inlineStr">
        <is>
          <t>TOTAL DE RECEITAS + PREVISÃO VENDAS</t>
        </is>
      </c>
      <c r="B21" s="132" t="n"/>
      <c r="C21" s="18" t="n"/>
      <c r="D21" s="18" t="n"/>
      <c r="E21" s="18" t="n"/>
      <c r="F21" s="18" t="n"/>
      <c r="G21" s="18" t="n"/>
      <c r="H21" s="18" t="n"/>
      <c r="I21" s="18" t="n"/>
      <c r="J21" s="162" t="n"/>
      <c r="K21" s="18" t="n"/>
      <c r="L21" s="18" t="n"/>
      <c r="M21" s="163" t="n"/>
      <c r="N21" s="163" t="n"/>
      <c r="O21" s="163" t="n"/>
      <c r="P21" s="163" t="n"/>
      <c r="Q21" s="163" t="n"/>
      <c r="R21" s="163" t="n"/>
      <c r="S21" s="163" t="n"/>
      <c r="T21" s="163" t="n"/>
      <c r="U21" s="163" t="n"/>
      <c r="V21" s="163" t="n"/>
      <c r="W21" s="163" t="n"/>
      <c r="X21" s="163" t="n"/>
      <c r="Y21" s="163" t="n"/>
      <c r="Z21" s="163" t="n"/>
      <c r="AA21" s="163" t="n"/>
      <c r="AB21" s="163" t="n"/>
      <c r="AC21" s="163" t="n"/>
      <c r="AD21" s="163" t="n"/>
      <c r="AE21" s="163" t="n"/>
      <c r="AF21" s="163" t="n"/>
      <c r="AG21" s="163" t="n"/>
      <c r="AH21" s="17" t="n"/>
      <c r="AI21" s="237" t="n"/>
      <c r="AJ21" s="17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292" t="n"/>
      <c r="BE21" s="99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292" t="n"/>
      <c r="BQ21" s="99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292" t="n"/>
      <c r="CC21" s="99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292" t="n"/>
      <c r="CO21" s="99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292" t="n"/>
      <c r="DA21" s="99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</row>
    <row r="22" ht="6.75" customHeight="1" thickBot="1">
      <c r="A22" s="52" t="n"/>
      <c r="B22" s="133" t="n"/>
      <c r="C22" s="17" t="n"/>
      <c r="D22" s="17" t="n"/>
      <c r="E22" s="17" t="n"/>
      <c r="F22" s="17" t="n"/>
      <c r="G22" s="17" t="n"/>
      <c r="H22" s="17" t="n"/>
      <c r="I22" s="17" t="n"/>
      <c r="J22" s="164" t="n"/>
      <c r="K22" s="17" t="n"/>
      <c r="L22" s="17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5" t="n"/>
      <c r="V22" s="165" t="n"/>
      <c r="W22" s="165" t="n"/>
      <c r="X22" s="165" t="n"/>
      <c r="Y22" s="165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238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293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293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293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293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293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</row>
    <row r="23" ht="16.5" customHeight="1">
      <c r="A23" s="63" t="inlineStr">
        <is>
          <t>DESPESAS OPERACIONAIS</t>
        </is>
      </c>
      <c r="B23" s="134" t="n"/>
      <c r="C23" s="64" t="n"/>
      <c r="D23" s="64" t="n"/>
      <c r="E23" s="64" t="n"/>
      <c r="F23" s="64" t="n"/>
      <c r="G23" s="64" t="n"/>
      <c r="H23" s="64" t="n"/>
      <c r="I23" s="64" t="n"/>
      <c r="J23" s="166" t="n"/>
      <c r="K23" s="64" t="n"/>
      <c r="L23" s="64" t="n"/>
      <c r="M23" s="167" t="n"/>
      <c r="N23" s="167" t="n"/>
      <c r="O23" s="167" t="n"/>
      <c r="P23" s="167" t="n"/>
      <c r="Q23" s="167" t="n"/>
      <c r="R23" s="167" t="n"/>
      <c r="S23" s="167" t="n"/>
      <c r="T23" s="167" t="n"/>
      <c r="U23" s="167" t="n"/>
      <c r="V23" s="167" t="n"/>
      <c r="W23" s="167" t="n"/>
      <c r="X23" s="167" t="n"/>
      <c r="Y23" s="167" t="n"/>
      <c r="Z23" s="167" t="n"/>
      <c r="AA23" s="167" t="n"/>
      <c r="AB23" s="167" t="n"/>
      <c r="AC23" s="167" t="n"/>
      <c r="AD23" s="167" t="n"/>
      <c r="AE23" s="167" t="n"/>
      <c r="AF23" s="167" t="n"/>
      <c r="AG23" s="167" t="n"/>
      <c r="AH23" s="17" t="n"/>
      <c r="AI23" s="331" t="n"/>
      <c r="AJ23" s="17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29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29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29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29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29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  <c r="DY23" s="64" t="n"/>
      <c r="DZ23" s="64" t="n"/>
      <c r="EA23" s="64" t="n"/>
      <c r="EB23" s="64" t="n"/>
      <c r="EC23" s="64" t="n"/>
      <c r="ED23" s="64" t="n"/>
      <c r="EE23" s="64" t="n"/>
      <c r="EF23" s="64" t="n"/>
      <c r="EG23" s="64" t="n"/>
      <c r="EH23" s="64" t="n"/>
      <c r="EI23" s="64" t="n"/>
      <c r="EJ23" s="64" t="n"/>
      <c r="EK23" s="64" t="n"/>
      <c r="EL23" s="64" t="n"/>
      <c r="EM23" s="64" t="n"/>
      <c r="EN23" s="64" t="n"/>
      <c r="EO23" s="64" t="n"/>
      <c r="EP23" s="64" t="n"/>
      <c r="EQ23" s="64" t="n"/>
      <c r="ER23" s="64" t="n"/>
      <c r="ES23" s="64" t="n"/>
      <c r="ET23" s="64" t="n"/>
      <c r="EU23" s="64" t="n"/>
      <c r="EV23" s="64" t="n"/>
      <c r="EW23" s="64" t="n"/>
      <c r="EX23" s="64" t="n"/>
      <c r="EY23" s="64" t="n"/>
      <c r="EZ23" s="64" t="n"/>
      <c r="FA23" s="64" t="n"/>
      <c r="FB23" s="64" t="n"/>
      <c r="FC23" s="64" t="n"/>
      <c r="FD23" s="64" t="n"/>
      <c r="FE23" s="64" t="n"/>
      <c r="FF23" s="64" t="n"/>
      <c r="FG23" s="64" t="n"/>
      <c r="FH23" s="64" t="n"/>
      <c r="FI23" s="64" t="n"/>
      <c r="FJ23" s="64" t="n"/>
      <c r="FK23" s="64" t="n"/>
      <c r="FL23" s="64" t="n"/>
      <c r="FM23" s="64" t="n"/>
      <c r="FN23" s="64" t="n"/>
      <c r="FO23" s="64" t="n"/>
      <c r="FP23" s="64" t="n"/>
      <c r="FQ23" s="64" t="n"/>
      <c r="FR23" s="64" t="n"/>
      <c r="FS23" s="64" t="n"/>
      <c r="FT23" s="64" t="n"/>
      <c r="FU23" s="64" t="n"/>
      <c r="FV23" s="64" t="n"/>
      <c r="FW23" s="64" t="n"/>
      <c r="FX23" s="64" t="n"/>
      <c r="FY23" s="64" t="n"/>
      <c r="FZ23" s="64" t="n"/>
      <c r="GA23" s="64" t="n"/>
      <c r="GB23" s="64" t="n"/>
      <c r="GC23" s="64" t="n"/>
      <c r="GD23" s="64" t="n"/>
      <c r="GE23" s="64" t="n"/>
      <c r="GF23" s="64" t="n"/>
      <c r="GG23" s="64" t="n"/>
      <c r="GH23" s="64" t="n"/>
      <c r="GI23" s="64" t="n"/>
      <c r="GJ23" s="64" t="n"/>
      <c r="GK23" s="64" t="n"/>
      <c r="GL23" s="64" t="n"/>
      <c r="GM23" s="64" t="n"/>
      <c r="GN23" s="64" t="n"/>
      <c r="GO23" s="64" t="n"/>
      <c r="GP23" s="64" t="n"/>
      <c r="GQ23" s="64" t="n"/>
      <c r="GR23" s="64" t="n"/>
      <c r="GS23" s="64" t="n"/>
      <c r="GT23" s="64" t="n"/>
      <c r="GU23" s="64" t="n"/>
      <c r="GV23" s="64" t="n"/>
      <c r="GW23" s="64" t="n"/>
      <c r="GX23" s="64" t="n"/>
      <c r="GY23" s="64" t="n"/>
      <c r="GZ23" s="64" t="n"/>
      <c r="HA23" s="64" t="n"/>
      <c r="HB23" s="64" t="n"/>
      <c r="HC23" s="64" t="n"/>
      <c r="HD23" s="64" t="n"/>
      <c r="HE23" s="64" t="n"/>
      <c r="HF23" s="64" t="n"/>
      <c r="HG23" s="64" t="n"/>
      <c r="HH23" s="64" t="n"/>
      <c r="HI23" s="64" t="n"/>
      <c r="HJ23" s="64" t="n"/>
      <c r="HK23" s="64" t="n"/>
      <c r="HL23" s="64" t="n"/>
      <c r="HM23" s="64" t="n"/>
      <c r="HN23" s="64" t="n"/>
      <c r="HO23" s="64" t="n"/>
      <c r="HP23" s="64" t="n"/>
      <c r="HQ23" s="64" t="n"/>
      <c r="HR23" s="64" t="n"/>
      <c r="HS23" s="64" t="n"/>
      <c r="HT23" s="64" t="n"/>
      <c r="HU23" s="64" t="n"/>
    </row>
    <row r="24" ht="16.2" customFormat="1" customHeight="1" s="259">
      <c r="A24" s="62" t="inlineStr">
        <is>
          <t>DESPESAS COMERCIAIS(-)</t>
        </is>
      </c>
      <c r="B24" s="135" t="n"/>
      <c r="C24" s="60" t="n"/>
      <c r="D24" s="60" t="n"/>
      <c r="E24" s="61" t="n"/>
      <c r="F24" s="61" t="n"/>
      <c r="G24" s="61" t="n"/>
      <c r="H24" s="61" t="n"/>
      <c r="I24" s="61" t="n"/>
      <c r="J24" s="168" t="n"/>
      <c r="K24" s="61" t="n"/>
      <c r="L24" s="61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  <c r="AA24" s="169" t="n"/>
      <c r="AB24" s="169" t="n"/>
      <c r="AC24" s="169" t="n"/>
      <c r="AD24" s="169" t="n"/>
      <c r="AE24" s="169" t="n"/>
      <c r="AF24" s="169" t="n"/>
      <c r="AG24" s="169" t="n"/>
      <c r="AH24" s="202" t="n"/>
      <c r="AI24" s="239" t="n"/>
      <c r="AJ24" s="202" t="n"/>
      <c r="AK24" s="61" t="n"/>
      <c r="AL24" s="61" t="n"/>
      <c r="AM24" s="61" t="n"/>
      <c r="AN24" s="61" t="n"/>
      <c r="AO24" s="61" t="n"/>
      <c r="AP24" s="61" t="n"/>
      <c r="AQ24" s="61" t="n"/>
      <c r="AR24" s="61" t="n"/>
      <c r="AS24" s="61" t="n"/>
      <c r="AT24" s="61" t="n"/>
      <c r="AU24" s="61" t="n"/>
      <c r="AV24" s="61" t="n"/>
      <c r="AW24" s="61" t="n"/>
      <c r="AX24" s="61" t="n"/>
      <c r="AY24" s="61" t="n"/>
      <c r="AZ24" s="61" t="n"/>
      <c r="BA24" s="61" t="n"/>
      <c r="BB24" s="61" t="n"/>
      <c r="BC24" s="61" t="n"/>
      <c r="BD24" s="295" t="n"/>
      <c r="BE24" s="61" t="n"/>
      <c r="BF24" s="61" t="n"/>
      <c r="BG24" s="61" t="n"/>
      <c r="BH24" s="61" t="n"/>
      <c r="BI24" s="61" t="n"/>
      <c r="BJ24" s="61" t="n"/>
      <c r="BK24" s="61" t="n"/>
      <c r="BL24" s="61" t="n"/>
      <c r="BM24" s="61" t="n"/>
      <c r="BN24" s="61" t="n"/>
      <c r="BO24" s="61" t="n"/>
      <c r="BP24" s="295" t="n"/>
      <c r="BQ24" s="61" t="n"/>
      <c r="BR24" s="61" t="n"/>
      <c r="BS24" s="61" t="n"/>
      <c r="BT24" s="61" t="n"/>
      <c r="BU24" s="61" t="n"/>
      <c r="BV24" s="61" t="n"/>
      <c r="BW24" s="61" t="n"/>
      <c r="BX24" s="61" t="n"/>
      <c r="BY24" s="61" t="n"/>
      <c r="BZ24" s="61" t="n"/>
      <c r="CA24" s="61" t="n"/>
      <c r="CB24" s="295" t="n"/>
      <c r="CC24" s="61" t="n"/>
      <c r="CD24" s="61" t="n"/>
      <c r="CE24" s="61" t="n"/>
      <c r="CF24" s="61" t="n"/>
      <c r="CG24" s="61" t="n"/>
      <c r="CH24" s="61" t="n"/>
      <c r="CI24" s="61" t="n"/>
      <c r="CJ24" s="61" t="n"/>
      <c r="CK24" s="61" t="n"/>
      <c r="CL24" s="61" t="n"/>
      <c r="CM24" s="61" t="n"/>
      <c r="CN24" s="295" t="n"/>
      <c r="CO24" s="61" t="n"/>
      <c r="CP24" s="61" t="n"/>
      <c r="CQ24" s="61" t="n"/>
      <c r="CR24" s="61" t="n"/>
      <c r="CS24" s="61" t="n"/>
      <c r="CT24" s="61" t="n"/>
      <c r="CU24" s="61" t="n"/>
      <c r="CV24" s="61" t="n"/>
      <c r="CW24" s="61" t="n"/>
      <c r="CX24" s="61" t="n"/>
      <c r="CY24" s="61" t="n"/>
      <c r="CZ24" s="295" t="n"/>
      <c r="DA24" s="61" t="n"/>
      <c r="DB24" s="61" t="n"/>
      <c r="DC24" s="61" t="n"/>
      <c r="DD24" s="61" t="n"/>
      <c r="DE24" s="61" t="n"/>
      <c r="DF24" s="61" t="n"/>
      <c r="DG24" s="61" t="n"/>
      <c r="DH24" s="61" t="n"/>
      <c r="DI24" s="61" t="n"/>
      <c r="DJ24" s="61" t="n"/>
      <c r="DK24" s="61" t="n"/>
      <c r="DL24" s="61" t="n"/>
      <c r="DM24" s="61" t="n"/>
      <c r="DN24" s="61" t="n"/>
      <c r="DO24" s="61" t="n"/>
      <c r="DP24" s="61" t="n"/>
      <c r="DQ24" s="61" t="n"/>
      <c r="DR24" s="61" t="n"/>
      <c r="DS24" s="61" t="n"/>
      <c r="DT24" s="61" t="n"/>
      <c r="DU24" s="61" t="n"/>
      <c r="DV24" s="61" t="n"/>
      <c r="DW24" s="61" t="n"/>
      <c r="DX24" s="61" t="n"/>
      <c r="DY24" s="61" t="n"/>
      <c r="DZ24" s="61" t="n"/>
      <c r="EA24" s="61" t="n"/>
      <c r="EB24" s="61" t="n"/>
      <c r="EC24" s="61" t="n"/>
      <c r="ED24" s="61" t="n"/>
      <c r="EE24" s="61" t="n"/>
      <c r="EF24" s="61" t="n"/>
      <c r="EG24" s="61" t="n"/>
      <c r="EH24" s="61" t="n"/>
      <c r="EI24" s="61" t="n"/>
      <c r="EJ24" s="61" t="n"/>
      <c r="EK24" s="61" t="n"/>
      <c r="EL24" s="61" t="n"/>
      <c r="EM24" s="61" t="n"/>
      <c r="EN24" s="61" t="n"/>
      <c r="EO24" s="61" t="n"/>
      <c r="EP24" s="61" t="n"/>
      <c r="EQ24" s="61" t="n"/>
      <c r="ER24" s="61" t="n"/>
      <c r="ES24" s="61" t="n"/>
      <c r="ET24" s="61" t="n"/>
      <c r="EU24" s="61" t="n"/>
      <c r="EV24" s="61" t="n"/>
      <c r="EW24" s="61" t="n"/>
      <c r="EX24" s="61" t="n"/>
      <c r="EY24" s="61" t="n"/>
      <c r="EZ24" s="61" t="n"/>
      <c r="FA24" s="61" t="n"/>
      <c r="FB24" s="61" t="n"/>
      <c r="FC24" s="61" t="n"/>
      <c r="FD24" s="61" t="n"/>
      <c r="FE24" s="61" t="n"/>
      <c r="FF24" s="61" t="n"/>
      <c r="FG24" s="61" t="n"/>
      <c r="FH24" s="61" t="n"/>
      <c r="FI24" s="61" t="n"/>
      <c r="FJ24" s="61" t="n"/>
      <c r="FK24" s="61" t="n"/>
      <c r="FL24" s="61" t="n"/>
      <c r="FM24" s="61" t="n"/>
      <c r="FN24" s="61" t="n"/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  <c r="GA24" s="61" t="n"/>
      <c r="GB24" s="61" t="n"/>
      <c r="GC24" s="61" t="n"/>
      <c r="GD24" s="61" t="n"/>
      <c r="GE24" s="61" t="n"/>
      <c r="GF24" s="61" t="n"/>
      <c r="GG24" s="61" t="n"/>
      <c r="GH24" s="61" t="n"/>
      <c r="GI24" s="61" t="n"/>
      <c r="GJ24" s="61" t="n"/>
      <c r="GK24" s="61" t="n"/>
      <c r="GL24" s="61" t="n"/>
      <c r="GM24" s="61" t="n"/>
      <c r="GN24" s="61" t="n"/>
      <c r="GO24" s="61" t="n"/>
      <c r="GP24" s="61" t="n"/>
      <c r="GQ24" s="61" t="n"/>
      <c r="GR24" s="61" t="n"/>
      <c r="GS24" s="61" t="n"/>
      <c r="GT24" s="61" t="n"/>
      <c r="GU24" s="61" t="n"/>
      <c r="GV24" s="61" t="n"/>
      <c r="GW24" s="61" t="n"/>
      <c r="GX24" s="61" t="n"/>
      <c r="GY24" s="61" t="n"/>
      <c r="GZ24" s="61" t="n"/>
      <c r="HA24" s="61" t="n"/>
      <c r="HB24" s="61" t="n"/>
      <c r="HC24" s="61" t="n"/>
      <c r="HD24" s="61" t="n"/>
      <c r="HE24" s="61" t="n"/>
      <c r="HF24" s="61" t="n"/>
      <c r="HG24" s="61" t="n"/>
      <c r="HH24" s="61" t="n"/>
      <c r="HI24" s="61" t="n"/>
      <c r="HJ24" s="61" t="n"/>
      <c r="HK24" s="61" t="n"/>
      <c r="HL24" s="61" t="n"/>
      <c r="HM24" s="61" t="n"/>
      <c r="HN24" s="61" t="n"/>
      <c r="HO24" s="61" t="n"/>
      <c r="HP24" s="61" t="n"/>
      <c r="HQ24" s="61" t="n"/>
      <c r="HR24" s="61" t="n"/>
      <c r="HS24" s="61" t="n"/>
      <c r="HT24" s="61" t="n"/>
      <c r="HU24" s="61" t="n"/>
    </row>
    <row r="25" ht="16.2" customHeight="1">
      <c r="A25" s="7" t="inlineStr">
        <is>
          <t>Comissões S/ Venda (Equipe Interna)</t>
        </is>
      </c>
      <c r="B25" s="136" t="n"/>
      <c r="C25" s="85" t="n"/>
      <c r="D25" s="87" t="n"/>
      <c r="E25" s="85" t="n"/>
      <c r="F25" s="85" t="n"/>
      <c r="G25" s="85" t="n"/>
      <c r="H25" s="85" t="n"/>
      <c r="I25" s="86" t="n"/>
      <c r="J25" s="218" t="n"/>
      <c r="K25" s="114" t="n"/>
      <c r="L25" s="122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 t="n"/>
      <c r="AD25" s="219" t="n"/>
      <c r="AE25" s="219" t="n"/>
      <c r="AF25" s="219" t="n"/>
      <c r="AG25" s="219" t="n"/>
      <c r="AH25" s="53" t="n"/>
      <c r="AI25" s="345" t="n"/>
      <c r="AJ25" s="53" t="n"/>
      <c r="AK25" s="87" t="n"/>
      <c r="AL25" s="87" t="n"/>
      <c r="AM25" s="87" t="n"/>
      <c r="AN25" s="87" t="n"/>
      <c r="AO25" s="87" t="n"/>
      <c r="AP25" s="87" t="n"/>
      <c r="AQ25" s="87" t="n"/>
      <c r="AR25" s="87" t="n"/>
      <c r="AS25" s="87" t="n"/>
      <c r="AT25" s="87" t="n"/>
      <c r="AU25" s="87" t="n"/>
      <c r="AV25" s="87" t="n"/>
      <c r="AW25" s="87" t="n"/>
      <c r="AX25" s="87" t="n"/>
      <c r="AY25" s="87" t="n"/>
      <c r="AZ25" s="87" t="n"/>
      <c r="BA25" s="87" t="n"/>
      <c r="BB25" s="87" t="n"/>
      <c r="BC25" s="87" t="n"/>
      <c r="BD25" s="87" t="n"/>
      <c r="BE25" s="87" t="n"/>
      <c r="BF25" s="87" t="n"/>
      <c r="BG25" s="87" t="n"/>
      <c r="BH25" s="87" t="n"/>
      <c r="BI25" s="87" t="n"/>
      <c r="BJ25" s="87" t="n"/>
      <c r="BK25" s="87" t="n"/>
      <c r="BL25" s="87" t="n"/>
      <c r="BM25" s="87" t="n"/>
      <c r="BN25" s="87" t="n"/>
      <c r="BO25" s="87" t="n"/>
      <c r="BP25" s="87" t="n"/>
      <c r="BQ25" s="87" t="n"/>
      <c r="BR25" s="87" t="n"/>
      <c r="BS25" s="87" t="n"/>
      <c r="BT25" s="87" t="n"/>
      <c r="BU25" s="87" t="n"/>
      <c r="BV25" s="87" t="n"/>
      <c r="BW25" s="87" t="n"/>
      <c r="BX25" s="87" t="n"/>
      <c r="BY25" s="87" t="n"/>
      <c r="BZ25" s="87" t="n"/>
      <c r="CA25" s="87" t="n"/>
      <c r="CB25" s="87" t="n"/>
      <c r="CC25" s="87" t="n"/>
      <c r="CD25" s="87" t="n"/>
      <c r="CE25" s="87" t="n"/>
      <c r="CF25" s="87" t="n"/>
      <c r="CG25" s="87" t="n"/>
      <c r="CH25" s="87" t="n"/>
      <c r="CI25" s="87" t="n"/>
      <c r="CJ25" s="87" t="n"/>
      <c r="CK25" s="87" t="n"/>
      <c r="CL25" s="87" t="n"/>
      <c r="CM25" s="87" t="n"/>
      <c r="CN25" s="87" t="n"/>
      <c r="CO25" s="87" t="n"/>
      <c r="CP25" s="87" t="n"/>
      <c r="CQ25" s="87" t="n"/>
      <c r="CR25" s="87" t="n"/>
      <c r="CS25" s="87" t="n"/>
      <c r="CT25" s="87" t="n"/>
      <c r="CU25" s="87" t="n"/>
      <c r="CV25" s="87" t="n"/>
      <c r="CW25" s="87" t="n"/>
      <c r="CX25" s="87" t="n"/>
      <c r="CY25" s="87" t="n"/>
      <c r="CZ25" s="87" t="n"/>
      <c r="DA25" s="87" t="n"/>
      <c r="DB25" s="87" t="n"/>
      <c r="DC25" s="87" t="n"/>
      <c r="DD25" s="87" t="n"/>
      <c r="DE25" s="87" t="n"/>
      <c r="DF25" s="87" t="n"/>
      <c r="DG25" s="87" t="n"/>
      <c r="DH25" s="87" t="n"/>
      <c r="DI25" s="87" t="n"/>
      <c r="DJ25" s="87" t="n"/>
      <c r="DK25" s="87" t="n"/>
      <c r="DL25" s="87" t="n"/>
      <c r="DM25" s="87" t="n"/>
      <c r="DN25" s="87" t="n"/>
      <c r="DO25" s="87" t="n"/>
      <c r="DP25" s="87" t="n"/>
      <c r="DQ25" s="87" t="n"/>
      <c r="DR25" s="87" t="n"/>
      <c r="DS25" s="86" t="n"/>
      <c r="DT25" s="86" t="n"/>
      <c r="DU25" s="86" t="n"/>
      <c r="DV25" s="86" t="n"/>
      <c r="DW25" s="86" t="n"/>
      <c r="DX25" s="86" t="n"/>
      <c r="DY25" s="86" t="n"/>
      <c r="DZ25" s="86" t="n"/>
      <c r="EA25" s="86" t="n"/>
      <c r="EB25" s="86" t="n"/>
      <c r="EC25" s="86" t="n"/>
      <c r="ED25" s="86" t="n"/>
      <c r="EE25" s="86" t="n"/>
      <c r="EF25" s="86" t="n"/>
      <c r="EG25" s="86" t="n"/>
      <c r="EH25" s="86" t="n"/>
      <c r="EI25" s="86" t="n"/>
      <c r="EJ25" s="86" t="n"/>
      <c r="EK25" s="86" t="n"/>
      <c r="EL25" s="86" t="n"/>
      <c r="EM25" s="86" t="n"/>
      <c r="EN25" s="86" t="n"/>
      <c r="EO25" s="86" t="n"/>
      <c r="EP25" s="86" t="n"/>
      <c r="EQ25" s="86" t="n"/>
      <c r="ER25" s="86" t="n"/>
      <c r="ES25" s="86" t="n"/>
      <c r="ET25" s="86" t="n"/>
      <c r="EU25" s="86" t="n"/>
      <c r="EV25" s="86" t="n"/>
      <c r="EW25" s="86" t="n"/>
      <c r="EX25" s="86" t="n"/>
      <c r="EY25" s="86" t="n"/>
      <c r="EZ25" s="86" t="n"/>
      <c r="FA25" s="86" t="n"/>
      <c r="FB25" s="86" t="n"/>
      <c r="FC25" s="86" t="n"/>
      <c r="FD25" s="86" t="n"/>
      <c r="FE25" s="86" t="n"/>
      <c r="FF25" s="86" t="n"/>
      <c r="FG25" s="86" t="n"/>
      <c r="FH25" s="86" t="n"/>
      <c r="FI25" s="86" t="n"/>
      <c r="FJ25" s="86" t="n"/>
      <c r="FK25" s="86" t="n"/>
      <c r="FL25" s="86" t="n"/>
      <c r="FM25" s="86" t="n"/>
      <c r="FN25" s="86" t="n"/>
      <c r="FO25" s="86" t="n"/>
      <c r="FP25" s="86" t="n"/>
      <c r="FQ25" s="86" t="n"/>
      <c r="FR25" s="86" t="n"/>
      <c r="FS25" s="86" t="n"/>
      <c r="FT25" s="86" t="n"/>
      <c r="FU25" s="86" t="n"/>
      <c r="FV25" s="86" t="n"/>
      <c r="FW25" s="86" t="n"/>
      <c r="FX25" s="86" t="n"/>
      <c r="FY25" s="86" t="n"/>
      <c r="FZ25" s="86" t="n"/>
      <c r="GA25" s="86" t="n"/>
      <c r="GB25" s="86" t="n"/>
      <c r="GC25" s="86" t="n"/>
      <c r="GD25" s="86" t="n"/>
      <c r="GE25" s="86" t="n"/>
      <c r="GF25" s="86" t="n"/>
      <c r="GG25" s="86" t="n"/>
      <c r="GH25" s="86" t="n"/>
      <c r="GI25" s="86" t="n"/>
      <c r="GJ25" s="86" t="n"/>
      <c r="GK25" s="86" t="n"/>
      <c r="GL25" s="86" t="n"/>
      <c r="GM25" s="86" t="n"/>
      <c r="GN25" s="86" t="n"/>
      <c r="GO25" s="86" t="n"/>
      <c r="GP25" s="86" t="n"/>
      <c r="GQ25" s="86" t="n"/>
      <c r="GR25" s="86" t="n"/>
      <c r="GS25" s="86" t="n"/>
      <c r="GT25" s="86" t="n"/>
      <c r="GU25" s="86" t="n"/>
      <c r="GV25" s="86" t="n"/>
      <c r="GW25" s="86" t="n"/>
      <c r="GX25" s="86" t="n"/>
      <c r="GY25" s="86" t="n"/>
      <c r="GZ25" s="86" t="n"/>
      <c r="HA25" s="86" t="n"/>
      <c r="HB25" s="86" t="n"/>
      <c r="HC25" s="86" t="n"/>
      <c r="HD25" s="86" t="n"/>
      <c r="HE25" s="86" t="n"/>
      <c r="HF25" s="86" t="n"/>
      <c r="HG25" s="86" t="n"/>
      <c r="HH25" s="86" t="n"/>
      <c r="HI25" s="86" t="n"/>
      <c r="HJ25" s="86" t="n"/>
      <c r="HK25" s="86" t="n"/>
      <c r="HL25" s="86" t="n"/>
      <c r="HM25" s="86" t="n"/>
      <c r="HN25" s="86" t="n"/>
      <c r="HO25" s="86" t="n"/>
      <c r="HP25" s="86" t="n"/>
      <c r="HQ25" s="86" t="n"/>
      <c r="HR25" s="86" t="n"/>
      <c r="HS25" s="86" t="n"/>
      <c r="HT25" s="86" t="n"/>
      <c r="HU25" s="86" t="n"/>
    </row>
    <row r="26" ht="16.2" customHeight="1">
      <c r="A26" s="7" t="inlineStr">
        <is>
          <t>Stand de Venda - Manutenção</t>
        </is>
      </c>
      <c r="B26" s="136" t="n"/>
      <c r="C26" s="85" t="n"/>
      <c r="D26" s="87" t="n"/>
      <c r="E26" s="85" t="n"/>
      <c r="F26" s="85" t="n"/>
      <c r="G26" s="85" t="n"/>
      <c r="H26" s="85" t="n"/>
      <c r="I26" s="86" t="n"/>
      <c r="J26" s="218" t="n"/>
      <c r="K26" s="114" t="n"/>
      <c r="L26" s="122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/>
      <c r="X26" s="219" t="n"/>
      <c r="Y26" s="219" t="n"/>
      <c r="Z26" s="219" t="n"/>
      <c r="AA26" s="219" t="n"/>
      <c r="AB26" s="219" t="n"/>
      <c r="AC26" s="219" t="n"/>
      <c r="AD26" s="219" t="n"/>
      <c r="AE26" s="219" t="n"/>
      <c r="AF26" s="219" t="n"/>
      <c r="AG26" s="219" t="n"/>
      <c r="AH26" s="53" t="n"/>
      <c r="AI26" s="345" t="n"/>
      <c r="AJ26" s="53" t="n"/>
      <c r="AK26" s="87" t="n"/>
      <c r="AL26" s="87" t="n"/>
      <c r="AM26" s="87" t="n"/>
      <c r="AN26" s="87" t="n"/>
      <c r="AO26" s="87" t="n"/>
      <c r="AP26" s="87" t="n"/>
      <c r="AQ26" s="87" t="n"/>
      <c r="AR26" s="87" t="n"/>
      <c r="AS26" s="87" t="n"/>
      <c r="AT26" s="87" t="n"/>
      <c r="AU26" s="87" t="n"/>
      <c r="AV26" s="87" t="n"/>
      <c r="AW26" s="87" t="n"/>
      <c r="AX26" s="87" t="n"/>
      <c r="AY26" s="87" t="n"/>
      <c r="AZ26" s="87" t="n"/>
      <c r="BA26" s="87" t="n"/>
      <c r="BB26" s="87" t="n"/>
      <c r="BC26" s="87" t="n"/>
      <c r="BD26" s="87" t="n"/>
      <c r="BE26" s="87" t="n"/>
      <c r="BF26" s="87" t="n"/>
      <c r="BG26" s="87" t="n"/>
      <c r="BH26" s="87" t="n"/>
      <c r="BI26" s="87" t="n"/>
      <c r="BJ26" s="87" t="n"/>
      <c r="BK26" s="87" t="n"/>
      <c r="BL26" s="87" t="n"/>
      <c r="BM26" s="87" t="n"/>
      <c r="BN26" s="87" t="n"/>
      <c r="BO26" s="87" t="n"/>
      <c r="BP26" s="87" t="n"/>
      <c r="BQ26" s="87" t="n"/>
      <c r="BR26" s="87" t="n"/>
      <c r="BS26" s="87" t="n"/>
      <c r="BT26" s="87" t="n"/>
      <c r="BU26" s="87" t="n"/>
      <c r="BV26" s="87" t="n"/>
      <c r="BW26" s="87" t="n"/>
      <c r="BX26" s="87" t="n"/>
      <c r="BY26" s="87" t="n"/>
      <c r="BZ26" s="87" t="n"/>
      <c r="CA26" s="87" t="n"/>
      <c r="CB26" s="87" t="n"/>
      <c r="CC26" s="87" t="n"/>
      <c r="CD26" s="87" t="n"/>
      <c r="CE26" s="87" t="n"/>
      <c r="CF26" s="87" t="n"/>
      <c r="CG26" s="87" t="n"/>
      <c r="CH26" s="87" t="n"/>
      <c r="CI26" s="87" t="n"/>
      <c r="CJ26" s="87" t="n"/>
      <c r="CK26" s="87" t="n"/>
      <c r="CL26" s="87" t="n"/>
      <c r="CM26" s="87" t="n"/>
      <c r="CN26" s="87" t="n"/>
      <c r="CO26" s="87" t="n"/>
      <c r="CP26" s="87" t="n"/>
      <c r="CQ26" s="87" t="n"/>
      <c r="CR26" s="87" t="n"/>
      <c r="CS26" s="87" t="n"/>
      <c r="CT26" s="87" t="n"/>
      <c r="CU26" s="87" t="n"/>
      <c r="CV26" s="87" t="n"/>
      <c r="CW26" s="87" t="n"/>
      <c r="CX26" s="87" t="n"/>
      <c r="CY26" s="87" t="n"/>
      <c r="CZ26" s="87" t="n"/>
      <c r="DA26" s="87" t="n"/>
      <c r="DB26" s="87" t="n"/>
      <c r="DC26" s="87" t="n"/>
      <c r="DD26" s="87" t="n"/>
      <c r="DE26" s="87" t="n"/>
      <c r="DF26" s="87" t="n"/>
      <c r="DG26" s="87" t="n"/>
      <c r="DH26" s="87" t="n"/>
      <c r="DI26" s="87" t="n"/>
      <c r="DJ26" s="87" t="n"/>
      <c r="DK26" s="87" t="n"/>
      <c r="DL26" s="87" t="n"/>
      <c r="DM26" s="87" t="n"/>
      <c r="DN26" s="87" t="n"/>
      <c r="DO26" s="87" t="n"/>
      <c r="DP26" s="87" t="n"/>
      <c r="DQ26" s="87" t="n"/>
      <c r="DR26" s="87" t="n"/>
      <c r="DS26" s="87" t="n"/>
      <c r="DT26" s="87" t="n"/>
      <c r="DU26" s="87" t="n"/>
      <c r="DV26" s="87" t="n"/>
      <c r="DW26" s="87" t="n"/>
      <c r="DX26" s="87" t="n"/>
      <c r="DY26" s="87" t="n"/>
      <c r="DZ26" s="87" t="n"/>
      <c r="EA26" s="87" t="n"/>
      <c r="EB26" s="87" t="n"/>
      <c r="EC26" s="87" t="n"/>
      <c r="ED26" s="87" t="n"/>
      <c r="EE26" s="87" t="n"/>
      <c r="EF26" s="87" t="n"/>
      <c r="EG26" s="87" t="n"/>
      <c r="EH26" s="87" t="n"/>
      <c r="EI26" s="87" t="n"/>
      <c r="EJ26" s="87" t="n"/>
      <c r="EK26" s="87" t="n"/>
      <c r="EL26" s="87" t="n"/>
      <c r="EM26" s="87" t="n"/>
      <c r="EN26" s="87" t="n"/>
      <c r="EO26" s="87" t="n"/>
      <c r="EP26" s="87" t="n"/>
      <c r="EQ26" s="87" t="n"/>
      <c r="ER26" s="87" t="n"/>
      <c r="ES26" s="87" t="n"/>
      <c r="ET26" s="87" t="n"/>
      <c r="EU26" s="87" t="n"/>
      <c r="EV26" s="87" t="n"/>
      <c r="EW26" s="87" t="n"/>
      <c r="EX26" s="87" t="n"/>
      <c r="EY26" s="87" t="n"/>
      <c r="EZ26" s="87" t="n"/>
      <c r="FA26" s="87" t="n"/>
      <c r="FB26" s="87" t="n"/>
      <c r="FC26" s="87" t="n"/>
      <c r="FD26" s="87" t="n"/>
      <c r="FE26" s="87" t="n"/>
      <c r="FF26" s="87" t="n"/>
      <c r="FG26" s="87" t="n"/>
      <c r="FH26" s="87" t="n"/>
      <c r="FI26" s="87" t="n"/>
      <c r="FJ26" s="87" t="n"/>
      <c r="FK26" s="87" t="n"/>
      <c r="FL26" s="87" t="n"/>
      <c r="FM26" s="87" t="n"/>
      <c r="FN26" s="87" t="n"/>
      <c r="FO26" s="87" t="n"/>
      <c r="FP26" s="87" t="n"/>
      <c r="FQ26" s="87" t="n"/>
      <c r="FR26" s="87" t="n"/>
      <c r="FS26" s="87" t="n"/>
      <c r="FT26" s="87" t="n"/>
      <c r="FU26" s="87" t="n"/>
      <c r="FV26" s="87" t="n"/>
      <c r="FW26" s="87" t="n"/>
      <c r="FX26" s="87" t="n"/>
      <c r="FY26" s="87" t="n"/>
      <c r="FZ26" s="87" t="n"/>
      <c r="GA26" s="87" t="n"/>
      <c r="GB26" s="87" t="n"/>
      <c r="GC26" s="87" t="n"/>
      <c r="GD26" s="87" t="n"/>
      <c r="GE26" s="87" t="n"/>
      <c r="GF26" s="87" t="n"/>
      <c r="GG26" s="87" t="n"/>
      <c r="GH26" s="87" t="n"/>
      <c r="GI26" s="87" t="n"/>
      <c r="GJ26" s="87" t="n"/>
      <c r="GK26" s="87" t="n"/>
      <c r="GL26" s="87" t="n"/>
      <c r="GM26" s="87" t="n"/>
      <c r="GN26" s="87" t="n"/>
      <c r="GO26" s="87" t="n"/>
      <c r="GP26" s="87" t="n"/>
      <c r="GQ26" s="87" t="n"/>
      <c r="GR26" s="87" t="n"/>
      <c r="GS26" s="87" t="n"/>
      <c r="GT26" s="87" t="n"/>
      <c r="GU26" s="87" t="n"/>
      <c r="GV26" s="87" t="n"/>
      <c r="GW26" s="87" t="n"/>
      <c r="GX26" s="87" t="n"/>
      <c r="GY26" s="87" t="n"/>
      <c r="GZ26" s="87" t="n"/>
      <c r="HA26" s="87" t="n"/>
      <c r="HB26" s="87" t="n"/>
      <c r="HC26" s="87" t="n"/>
      <c r="HD26" s="87" t="n"/>
      <c r="HE26" s="87" t="n"/>
      <c r="HF26" s="87" t="n"/>
      <c r="HG26" s="87" t="n"/>
      <c r="HH26" s="87" t="n"/>
      <c r="HI26" s="87" t="n"/>
      <c r="HJ26" s="87" t="n"/>
      <c r="HK26" s="87" t="n"/>
      <c r="HL26" s="87" t="n"/>
      <c r="HM26" s="87" t="n"/>
      <c r="HN26" s="87" t="n"/>
      <c r="HO26" s="87" t="n"/>
      <c r="HP26" s="87" t="n"/>
      <c r="HQ26" s="87" t="n"/>
      <c r="HR26" s="87" t="n"/>
      <c r="HS26" s="87" t="n"/>
      <c r="HT26" s="87" t="n"/>
      <c r="HU26" s="87" t="n"/>
    </row>
    <row r="27" ht="16.2" customHeight="1">
      <c r="A27" s="7" t="inlineStr">
        <is>
          <t>Marketing</t>
        </is>
      </c>
      <c r="B27" s="136" t="n"/>
      <c r="C27" s="85" t="n"/>
      <c r="D27" s="87" t="n"/>
      <c r="E27" s="85" t="n"/>
      <c r="F27" s="85" t="n"/>
      <c r="G27" s="85" t="n"/>
      <c r="H27" s="85" t="n"/>
      <c r="I27" s="86" t="n"/>
      <c r="J27" s="218" t="n"/>
      <c r="K27" s="114" t="n"/>
      <c r="L27" s="122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/>
      <c r="X27" s="219" t="n"/>
      <c r="Y27" s="219" t="n"/>
      <c r="Z27" s="219" t="n"/>
      <c r="AA27" s="219" t="n"/>
      <c r="AB27" s="219" t="n"/>
      <c r="AC27" s="219" t="n"/>
      <c r="AD27" s="219" t="n"/>
      <c r="AE27" s="219" t="n"/>
      <c r="AF27" s="219" t="n"/>
      <c r="AG27" s="219" t="n"/>
      <c r="AH27" s="53" t="n"/>
      <c r="AI27" s="345" t="n"/>
      <c r="AJ27" s="53" t="n"/>
      <c r="AK27" s="87" t="n"/>
      <c r="AL27" s="87" t="n"/>
      <c r="AM27" s="87" t="n"/>
      <c r="AN27" s="87" t="n"/>
      <c r="AO27" s="87" t="n"/>
      <c r="AP27" s="87" t="n"/>
      <c r="AQ27" s="87" t="n"/>
      <c r="AR27" s="87" t="n"/>
      <c r="AS27" s="87" t="n"/>
      <c r="AT27" s="87" t="n"/>
      <c r="AU27" s="87" t="n"/>
      <c r="AV27" s="87" t="n"/>
      <c r="AW27" s="87" t="n"/>
      <c r="AX27" s="87" t="n"/>
      <c r="AY27" s="87" t="n"/>
      <c r="AZ27" s="87" t="n"/>
      <c r="BA27" s="87" t="n"/>
      <c r="BB27" s="87" t="n"/>
      <c r="BC27" s="87" t="n"/>
      <c r="BD27" s="87" t="n"/>
      <c r="BE27" s="87" t="n"/>
      <c r="BF27" s="87" t="n"/>
      <c r="BG27" s="87" t="n"/>
      <c r="BH27" s="87" t="n"/>
      <c r="BI27" s="87" t="n"/>
      <c r="BJ27" s="87" t="n"/>
      <c r="BK27" s="87" t="n"/>
      <c r="BL27" s="87" t="n"/>
      <c r="BM27" s="87" t="n"/>
      <c r="BN27" s="87" t="n"/>
      <c r="BO27" s="87" t="n"/>
      <c r="BP27" s="87" t="n"/>
      <c r="BQ27" s="87" t="n"/>
      <c r="BR27" s="87" t="n"/>
      <c r="BS27" s="87" t="n"/>
      <c r="BT27" s="87" t="n"/>
      <c r="BU27" s="87" t="n"/>
      <c r="BV27" s="87" t="n"/>
      <c r="BW27" s="87" t="n"/>
      <c r="BX27" s="87" t="n"/>
      <c r="BY27" s="87" t="n"/>
      <c r="BZ27" s="87" t="n"/>
      <c r="CA27" s="87" t="n"/>
      <c r="CB27" s="87" t="n"/>
      <c r="CC27" s="87" t="n"/>
      <c r="CD27" s="87" t="n"/>
      <c r="CE27" s="87" t="n"/>
      <c r="CF27" s="87" t="n"/>
      <c r="CG27" s="87" t="n"/>
      <c r="CH27" s="87" t="n"/>
      <c r="CI27" s="87" t="n"/>
      <c r="CJ27" s="87" t="n"/>
      <c r="CK27" s="87" t="n"/>
      <c r="CL27" s="87" t="n"/>
      <c r="CM27" s="87" t="n"/>
      <c r="CN27" s="87" t="n"/>
      <c r="CO27" s="87" t="n"/>
      <c r="CP27" s="87" t="n"/>
      <c r="CQ27" s="87" t="n"/>
      <c r="CR27" s="87" t="n"/>
      <c r="CS27" s="87" t="n"/>
      <c r="CT27" s="87" t="n"/>
      <c r="CU27" s="87" t="n"/>
      <c r="CV27" s="87" t="n"/>
      <c r="CW27" s="87" t="n"/>
      <c r="CX27" s="87" t="n"/>
      <c r="CY27" s="87" t="n"/>
      <c r="CZ27" s="87" t="n"/>
      <c r="DA27" s="87" t="n"/>
      <c r="DB27" s="87" t="n"/>
      <c r="DC27" s="87" t="n"/>
      <c r="DD27" s="87" t="n"/>
      <c r="DE27" s="87" t="n"/>
      <c r="DF27" s="87" t="n"/>
      <c r="DG27" s="87" t="n"/>
      <c r="DH27" s="87" t="n"/>
      <c r="DI27" s="87" t="n"/>
      <c r="DJ27" s="87" t="n"/>
      <c r="DK27" s="87" t="n"/>
      <c r="DL27" s="87" t="n"/>
      <c r="DM27" s="87" t="n"/>
      <c r="DN27" s="87" t="n"/>
      <c r="DO27" s="87" t="n"/>
      <c r="DP27" s="87" t="n"/>
      <c r="DQ27" s="87" t="n"/>
      <c r="DR27" s="87" t="n"/>
      <c r="DS27" s="87" t="n"/>
      <c r="DT27" s="87" t="n"/>
      <c r="DU27" s="87" t="n"/>
      <c r="DV27" s="87" t="n"/>
      <c r="DW27" s="87" t="n"/>
      <c r="DX27" s="87" t="n"/>
      <c r="DY27" s="87" t="n"/>
      <c r="DZ27" s="87" t="n"/>
      <c r="EA27" s="87" t="n"/>
      <c r="EB27" s="87" t="n"/>
      <c r="EC27" s="87" t="n"/>
      <c r="ED27" s="87" t="n"/>
      <c r="EE27" s="87" t="n"/>
      <c r="EF27" s="87" t="n"/>
      <c r="EG27" s="87" t="n"/>
      <c r="EH27" s="87" t="n"/>
      <c r="EI27" s="87" t="n"/>
      <c r="EJ27" s="87" t="n"/>
      <c r="EK27" s="87" t="n"/>
      <c r="EL27" s="87" t="n"/>
      <c r="EM27" s="87" t="n"/>
      <c r="EN27" s="87" t="n"/>
      <c r="EO27" s="87" t="n"/>
      <c r="EP27" s="87" t="n"/>
      <c r="EQ27" s="87" t="n"/>
      <c r="ER27" s="87" t="n"/>
      <c r="ES27" s="87" t="n"/>
      <c r="ET27" s="87" t="n"/>
      <c r="EU27" s="87" t="n"/>
      <c r="EV27" s="87" t="n"/>
      <c r="EW27" s="87" t="n"/>
      <c r="EX27" s="87" t="n"/>
      <c r="EY27" s="87" t="n"/>
      <c r="EZ27" s="87" t="n"/>
      <c r="FA27" s="87" t="n"/>
      <c r="FB27" s="87" t="n"/>
      <c r="FC27" s="87" t="n"/>
      <c r="FD27" s="87" t="n"/>
      <c r="FE27" s="87" t="n"/>
      <c r="FF27" s="87" t="n"/>
      <c r="FG27" s="87" t="n"/>
      <c r="FH27" s="87" t="n"/>
      <c r="FI27" s="87" t="n"/>
      <c r="FJ27" s="87" t="n"/>
      <c r="FK27" s="87" t="n"/>
      <c r="FL27" s="87" t="n"/>
      <c r="FM27" s="87" t="n"/>
      <c r="FN27" s="87" t="n"/>
      <c r="FO27" s="87" t="n"/>
      <c r="FP27" s="87" t="n"/>
      <c r="FQ27" s="87" t="n"/>
      <c r="FR27" s="87" t="n"/>
      <c r="FS27" s="87" t="n"/>
      <c r="FT27" s="87" t="n"/>
      <c r="FU27" s="87" t="n"/>
      <c r="FV27" s="87" t="n"/>
      <c r="FW27" s="87" t="n"/>
      <c r="FX27" s="87" t="n"/>
      <c r="FY27" s="87" t="n"/>
      <c r="FZ27" s="87" t="n"/>
      <c r="GA27" s="87" t="n"/>
      <c r="GB27" s="87" t="n"/>
      <c r="GC27" s="87" t="n"/>
      <c r="GD27" s="87" t="n"/>
      <c r="GE27" s="87" t="n"/>
      <c r="GF27" s="87" t="n"/>
      <c r="GG27" s="87" t="n"/>
      <c r="GH27" s="87" t="n"/>
      <c r="GI27" s="87" t="n"/>
      <c r="GJ27" s="87" t="n"/>
      <c r="GK27" s="87" t="n"/>
      <c r="GL27" s="87" t="n"/>
      <c r="GM27" s="87" t="n"/>
      <c r="GN27" s="87" t="n"/>
      <c r="GO27" s="87" t="n"/>
      <c r="GP27" s="87" t="n"/>
      <c r="GQ27" s="87" t="n"/>
      <c r="GR27" s="87" t="n"/>
      <c r="GS27" s="87" t="n"/>
      <c r="GT27" s="87" t="n"/>
      <c r="GU27" s="87" t="n"/>
      <c r="GV27" s="87" t="n"/>
      <c r="GW27" s="87" t="n"/>
      <c r="GX27" s="87" t="n"/>
      <c r="GY27" s="87" t="n"/>
      <c r="GZ27" s="87" t="n"/>
      <c r="HA27" s="87" t="n"/>
      <c r="HB27" s="87" t="n"/>
      <c r="HC27" s="87" t="n"/>
      <c r="HD27" s="87" t="n"/>
      <c r="HE27" s="87" t="n"/>
      <c r="HF27" s="87" t="n"/>
      <c r="HG27" s="87" t="n"/>
      <c r="HH27" s="87" t="n"/>
      <c r="HI27" s="87" t="n"/>
      <c r="HJ27" s="87" t="n"/>
      <c r="HK27" s="87" t="n"/>
      <c r="HL27" s="87" t="n"/>
      <c r="HM27" s="87" t="n"/>
      <c r="HN27" s="87" t="n"/>
      <c r="HO27" s="87" t="n"/>
      <c r="HP27" s="87" t="n"/>
      <c r="HQ27" s="87" t="n"/>
      <c r="HR27" s="87" t="n"/>
      <c r="HS27" s="87" t="n"/>
      <c r="HT27" s="87" t="n"/>
      <c r="HU27" s="87" t="n"/>
    </row>
    <row r="28" ht="16.2" customHeight="1">
      <c r="A28" s="7" t="n"/>
      <c r="B28" s="136" t="n"/>
      <c r="C28" s="85" t="n"/>
      <c r="D28" s="87" t="n"/>
      <c r="E28" s="85" t="n"/>
      <c r="F28" s="85" t="n"/>
      <c r="G28" s="85" t="n"/>
      <c r="H28" s="85" t="n"/>
      <c r="I28" s="86" t="n"/>
      <c r="J28" s="218" t="n"/>
      <c r="K28" s="114" t="n"/>
      <c r="L28" s="122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53" t="n"/>
      <c r="AI28" s="345" t="n"/>
      <c r="AJ28" s="53" t="n"/>
      <c r="AK28" s="85" t="n"/>
      <c r="AL28" s="85" t="n"/>
      <c r="AM28" s="85" t="n"/>
      <c r="AN28" s="85" t="n"/>
      <c r="AO28" s="85" t="n"/>
      <c r="AP28" s="85" t="n"/>
      <c r="AQ28" s="86" t="n"/>
      <c r="AR28" s="86" t="n"/>
      <c r="AS28" s="85" t="n"/>
      <c r="AT28" s="85" t="n"/>
      <c r="AU28" s="85" t="n"/>
      <c r="AV28" s="85" t="n"/>
      <c r="AW28" s="85" t="n"/>
      <c r="AX28" s="85" t="n"/>
      <c r="AY28" s="85" t="n"/>
      <c r="AZ28" s="85" t="n"/>
      <c r="BA28" s="85" t="n"/>
      <c r="BB28" s="85" t="n"/>
      <c r="BC28" s="85" t="n"/>
      <c r="BD28" s="296" t="n"/>
      <c r="BE28" s="87" t="n"/>
      <c r="BF28" s="85" t="n"/>
      <c r="BG28" s="85" t="n"/>
      <c r="BH28" s="85" t="n"/>
      <c r="BI28" s="85" t="n"/>
      <c r="BJ28" s="85" t="n"/>
      <c r="BK28" s="85" t="n"/>
      <c r="BL28" s="85" t="n"/>
      <c r="BM28" s="85" t="n"/>
      <c r="BN28" s="85" t="n"/>
      <c r="BO28" s="85" t="n"/>
      <c r="BP28" s="296" t="n"/>
      <c r="BQ28" s="87" t="n"/>
      <c r="BR28" s="85" t="n"/>
      <c r="BS28" s="85" t="n"/>
      <c r="BT28" s="85" t="n"/>
      <c r="BU28" s="85" t="n"/>
      <c r="BV28" s="85" t="n"/>
      <c r="BW28" s="85" t="n"/>
      <c r="BX28" s="85" t="n"/>
      <c r="BY28" s="85" t="n"/>
      <c r="BZ28" s="85" t="n"/>
      <c r="CA28" s="85" t="n"/>
      <c r="CB28" s="296" t="n"/>
      <c r="CC28" s="87" t="n"/>
      <c r="CD28" s="85" t="n"/>
      <c r="CE28" s="85" t="n"/>
      <c r="CF28" s="85" t="n"/>
      <c r="CG28" s="85" t="n"/>
      <c r="CH28" s="85" t="n"/>
      <c r="CI28" s="85" t="n"/>
      <c r="CJ28" s="85" t="n"/>
      <c r="CK28" s="85" t="n"/>
      <c r="CL28" s="85" t="n"/>
      <c r="CM28" s="85" t="n"/>
      <c r="CN28" s="296" t="n"/>
      <c r="CO28" s="87" t="n"/>
      <c r="CP28" s="85" t="n"/>
      <c r="CQ28" s="85" t="n"/>
      <c r="CR28" s="85" t="n"/>
      <c r="CS28" s="85" t="n"/>
      <c r="CT28" s="85" t="n"/>
      <c r="CU28" s="85" t="n"/>
      <c r="CV28" s="85" t="n"/>
      <c r="CW28" s="85" t="n"/>
      <c r="CX28" s="85" t="n"/>
      <c r="CY28" s="85" t="n"/>
      <c r="CZ28" s="296" t="n"/>
      <c r="DA28" s="87" t="n"/>
      <c r="DB28" s="85" t="n"/>
      <c r="DC28" s="85" t="n"/>
      <c r="DD28" s="85" t="n"/>
      <c r="DE28" s="85" t="n"/>
      <c r="DF28" s="85" t="n"/>
      <c r="DG28" s="85" t="n"/>
      <c r="DH28" s="85" t="n"/>
      <c r="DI28" s="85" t="n"/>
      <c r="DJ28" s="86" t="n"/>
      <c r="DK28" s="85" t="n"/>
      <c r="DL28" s="86" t="n"/>
      <c r="DM28" s="86" t="n"/>
      <c r="DN28" s="86" t="n"/>
      <c r="DO28" s="86" t="n"/>
      <c r="DP28" s="86" t="n"/>
      <c r="DQ28" s="86" t="n"/>
      <c r="DR28" s="86" t="n"/>
      <c r="DS28" s="86" t="n"/>
      <c r="DT28" s="86" t="n"/>
      <c r="DU28" s="86" t="n"/>
      <c r="DV28" s="86" t="n"/>
      <c r="DW28" s="86" t="n"/>
      <c r="DX28" s="86" t="n"/>
      <c r="DY28" s="86" t="n"/>
      <c r="DZ28" s="86" t="n"/>
      <c r="EA28" s="86" t="n"/>
      <c r="EB28" s="86" t="n"/>
      <c r="EC28" s="86" t="n"/>
      <c r="ED28" s="86" t="n"/>
      <c r="EE28" s="86" t="n"/>
      <c r="EF28" s="86" t="n"/>
      <c r="EG28" s="86" t="n"/>
      <c r="EH28" s="86" t="n"/>
      <c r="EI28" s="86" t="n"/>
      <c r="EJ28" s="86" t="n"/>
      <c r="EK28" s="86" t="n"/>
      <c r="EL28" s="86" t="n"/>
      <c r="EM28" s="86" t="n"/>
      <c r="EN28" s="86" t="n"/>
      <c r="EO28" s="86" t="n"/>
      <c r="EP28" s="86" t="n"/>
      <c r="EQ28" s="86" t="n"/>
      <c r="ER28" s="86" t="n"/>
      <c r="ES28" s="86" t="n"/>
      <c r="ET28" s="86" t="n"/>
      <c r="EU28" s="86" t="n"/>
      <c r="EV28" s="86" t="n"/>
      <c r="EW28" s="86" t="n"/>
      <c r="EX28" s="86" t="n"/>
      <c r="EY28" s="86" t="n"/>
      <c r="EZ28" s="86" t="n"/>
      <c r="FA28" s="86" t="n"/>
      <c r="FB28" s="86" t="n"/>
      <c r="FC28" s="86" t="n"/>
      <c r="FD28" s="86" t="n"/>
      <c r="FE28" s="86" t="n"/>
      <c r="FF28" s="86" t="n"/>
      <c r="FG28" s="86" t="n"/>
      <c r="FH28" s="86" t="n"/>
      <c r="FI28" s="86" t="n"/>
      <c r="FJ28" s="86" t="n"/>
      <c r="FK28" s="86" t="n"/>
      <c r="FL28" s="86" t="n"/>
      <c r="FM28" s="86" t="n"/>
      <c r="FN28" s="86" t="n"/>
      <c r="FO28" s="86" t="n"/>
      <c r="FP28" s="86" t="n"/>
      <c r="FQ28" s="86" t="n"/>
      <c r="FR28" s="86" t="n"/>
      <c r="FS28" s="86" t="n"/>
      <c r="FT28" s="86" t="n"/>
      <c r="FU28" s="86" t="n"/>
      <c r="FV28" s="86" t="n"/>
      <c r="FW28" s="86" t="n"/>
      <c r="FX28" s="86" t="n"/>
      <c r="FY28" s="86" t="n"/>
      <c r="FZ28" s="86" t="n"/>
      <c r="GA28" s="86" t="n"/>
      <c r="GB28" s="86" t="n"/>
      <c r="GC28" s="86" t="n"/>
      <c r="GD28" s="86" t="n"/>
      <c r="GE28" s="86" t="n"/>
      <c r="GF28" s="86" t="n"/>
      <c r="GG28" s="86" t="n"/>
      <c r="GH28" s="86" t="n"/>
      <c r="GI28" s="86" t="n"/>
      <c r="GJ28" s="86" t="n"/>
      <c r="GK28" s="86" t="n"/>
      <c r="GL28" s="86" t="n"/>
      <c r="GM28" s="86" t="n"/>
      <c r="GN28" s="86" t="n"/>
      <c r="GO28" s="86" t="n"/>
      <c r="GP28" s="86" t="n"/>
      <c r="GQ28" s="86" t="n"/>
      <c r="GR28" s="86" t="n"/>
      <c r="GS28" s="86" t="n"/>
      <c r="GT28" s="86" t="n"/>
      <c r="GU28" s="86" t="n"/>
      <c r="GV28" s="86" t="n"/>
      <c r="GW28" s="86" t="n"/>
      <c r="GX28" s="86" t="n"/>
      <c r="GY28" s="86" t="n"/>
      <c r="GZ28" s="86" t="n"/>
      <c r="HA28" s="86" t="n"/>
      <c r="HB28" s="86" t="n"/>
      <c r="HC28" s="86" t="n"/>
      <c r="HD28" s="86" t="n"/>
      <c r="HE28" s="86" t="n"/>
      <c r="HF28" s="86" t="n"/>
      <c r="HG28" s="86" t="n"/>
      <c r="HH28" s="86" t="n"/>
      <c r="HI28" s="86" t="n"/>
      <c r="HJ28" s="86" t="n"/>
      <c r="HK28" s="86" t="n"/>
      <c r="HL28" s="86" t="n"/>
      <c r="HM28" s="86" t="n"/>
      <c r="HN28" s="86" t="n"/>
      <c r="HO28" s="86" t="n"/>
      <c r="HP28" s="86" t="n"/>
      <c r="HQ28" s="86" t="n"/>
      <c r="HR28" s="86" t="n"/>
      <c r="HS28" s="86" t="n"/>
      <c r="HT28" s="86" t="n"/>
      <c r="HU28" s="86" t="n"/>
    </row>
    <row r="29" ht="16.2" customHeight="1" thickBot="1">
      <c r="A29" s="77" t="inlineStr">
        <is>
          <t>Subtotal</t>
        </is>
      </c>
      <c r="B29" s="137" t="n"/>
      <c r="C29" s="516" t="n"/>
      <c r="D29" s="516" t="n"/>
      <c r="E29" s="516" t="n"/>
      <c r="F29" s="516" t="n"/>
      <c r="G29" s="516" t="n"/>
      <c r="H29" s="516" t="n"/>
      <c r="I29" s="517" t="n"/>
      <c r="J29" s="518" t="n"/>
      <c r="K29" s="516" t="n"/>
      <c r="L29" s="516" t="n"/>
      <c r="M29" s="519" t="n"/>
      <c r="N29" s="519" t="n"/>
      <c r="O29" s="519" t="n"/>
      <c r="P29" s="519" t="n"/>
      <c r="Q29" s="519" t="n"/>
      <c r="R29" s="519" t="n"/>
      <c r="S29" s="519" t="n"/>
      <c r="T29" s="519" t="n"/>
      <c r="U29" s="519" t="n"/>
      <c r="V29" s="519" t="n"/>
      <c r="W29" s="519" t="n"/>
      <c r="X29" s="519" t="n"/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19" t="n"/>
      <c r="AH29" s="13" t="n"/>
      <c r="AI29" s="332" t="n"/>
      <c r="AJ29" s="13" t="n"/>
      <c r="AK29" s="516" t="n"/>
      <c r="AL29" s="516" t="n"/>
      <c r="AM29" s="516" t="n"/>
      <c r="AN29" s="516" t="n"/>
      <c r="AO29" s="516" t="n"/>
      <c r="AP29" s="516" t="n"/>
      <c r="AQ29" s="517" t="n"/>
      <c r="AR29" s="517" t="n"/>
      <c r="AS29" s="516" t="n"/>
      <c r="AT29" s="516" t="n"/>
      <c r="AU29" s="516" t="n"/>
      <c r="AV29" s="516" t="n"/>
      <c r="AW29" s="516" t="n"/>
      <c r="AX29" s="516" t="n"/>
      <c r="AY29" s="516" t="n"/>
      <c r="AZ29" s="516" t="n"/>
      <c r="BA29" s="516" t="n"/>
      <c r="BB29" s="516" t="n"/>
      <c r="BC29" s="516" t="n"/>
      <c r="BD29" s="521" t="n"/>
      <c r="BE29" s="520" t="n"/>
      <c r="BF29" s="516" t="n"/>
      <c r="BG29" s="516" t="n"/>
      <c r="BH29" s="516" t="n"/>
      <c r="BI29" s="516" t="n"/>
      <c r="BJ29" s="516" t="n"/>
      <c r="BK29" s="516" t="n"/>
      <c r="BL29" s="516" t="n"/>
      <c r="BM29" s="516" t="n"/>
      <c r="BN29" s="516" t="n"/>
      <c r="BO29" s="516" t="n"/>
      <c r="BP29" s="521" t="n"/>
      <c r="BQ29" s="520" t="n"/>
      <c r="BR29" s="516" t="n"/>
      <c r="BS29" s="516" t="n"/>
      <c r="BT29" s="516" t="n"/>
      <c r="BU29" s="516" t="n"/>
      <c r="BV29" s="516" t="n"/>
      <c r="BW29" s="516" t="n"/>
      <c r="BX29" s="516" t="n"/>
      <c r="BY29" s="516" t="n"/>
      <c r="BZ29" s="516" t="n"/>
      <c r="CA29" s="516" t="n"/>
      <c r="CB29" s="521" t="n"/>
      <c r="CC29" s="520" t="n"/>
      <c r="CD29" s="516" t="n"/>
      <c r="CE29" s="516" t="n"/>
      <c r="CF29" s="516" t="n"/>
      <c r="CG29" s="516" t="n"/>
      <c r="CH29" s="516" t="n"/>
      <c r="CI29" s="516" t="n"/>
      <c r="CJ29" s="516" t="n"/>
      <c r="CK29" s="516" t="n"/>
      <c r="CL29" s="516" t="n"/>
      <c r="CM29" s="516" t="n"/>
      <c r="CN29" s="521" t="n"/>
      <c r="CO29" s="520" t="n"/>
      <c r="CP29" s="516" t="n"/>
      <c r="CQ29" s="516" t="n"/>
      <c r="CR29" s="516" t="n"/>
      <c r="CS29" s="516" t="n"/>
      <c r="CT29" s="516" t="n"/>
      <c r="CU29" s="516" t="n"/>
      <c r="CV29" s="516" t="n"/>
      <c r="CW29" s="516" t="n"/>
      <c r="CX29" s="516" t="n"/>
      <c r="CY29" s="516" t="n"/>
      <c r="CZ29" s="521" t="n"/>
      <c r="DA29" s="520" t="n"/>
      <c r="DB29" s="516" t="n"/>
      <c r="DC29" s="516" t="n"/>
      <c r="DD29" s="516" t="n"/>
      <c r="DE29" s="516" t="n"/>
      <c r="DF29" s="516" t="n"/>
      <c r="DG29" s="516" t="n"/>
      <c r="DH29" s="516" t="n"/>
      <c r="DI29" s="516" t="n"/>
      <c r="DJ29" s="517" t="n"/>
      <c r="DK29" s="517" t="n"/>
      <c r="DL29" s="517" t="n"/>
      <c r="DM29" s="517" t="n"/>
      <c r="DN29" s="517" t="n"/>
      <c r="DO29" s="517" t="n"/>
      <c r="DP29" s="517" t="n"/>
      <c r="DQ29" s="517" t="n"/>
      <c r="DR29" s="517" t="n"/>
      <c r="DS29" s="517" t="n"/>
      <c r="DT29" s="517" t="n"/>
      <c r="DU29" s="517" t="n"/>
      <c r="DV29" s="517" t="n"/>
      <c r="DW29" s="517" t="n"/>
      <c r="DX29" s="517" t="n"/>
      <c r="DY29" s="517" t="n"/>
      <c r="DZ29" s="517" t="n"/>
      <c r="EA29" s="517" t="n"/>
      <c r="EB29" s="517" t="n"/>
      <c r="EC29" s="517" t="n"/>
      <c r="ED29" s="517" t="n"/>
      <c r="EE29" s="517" t="n"/>
      <c r="EF29" s="517" t="n"/>
      <c r="EG29" s="517" t="n"/>
      <c r="EH29" s="517" t="n"/>
      <c r="EI29" s="517" t="n"/>
      <c r="EJ29" s="517" t="n"/>
      <c r="EK29" s="517" t="n"/>
      <c r="EL29" s="517" t="n"/>
      <c r="EM29" s="517" t="n"/>
      <c r="EN29" s="517" t="n"/>
      <c r="EO29" s="517" t="n"/>
      <c r="EP29" s="517" t="n"/>
      <c r="EQ29" s="517" t="n"/>
      <c r="ER29" s="517" t="n"/>
      <c r="ES29" s="517" t="n"/>
      <c r="ET29" s="517" t="n"/>
      <c r="EU29" s="517" t="n"/>
      <c r="EV29" s="517" t="n"/>
      <c r="EW29" s="517" t="n"/>
      <c r="EX29" s="517" t="n"/>
      <c r="EY29" s="517" t="n"/>
      <c r="EZ29" s="517" t="n"/>
      <c r="FA29" s="517" t="n"/>
      <c r="FB29" s="517" t="n"/>
      <c r="FC29" s="517" t="n"/>
      <c r="FD29" s="517" t="n"/>
      <c r="FE29" s="517" t="n"/>
      <c r="FF29" s="517" t="n"/>
      <c r="FG29" s="517" t="n"/>
      <c r="FH29" s="517" t="n"/>
      <c r="FI29" s="517" t="n"/>
      <c r="FJ29" s="517" t="n"/>
      <c r="FK29" s="517" t="n"/>
      <c r="FL29" s="517" t="n"/>
      <c r="FM29" s="517" t="n"/>
      <c r="FN29" s="517" t="n"/>
      <c r="FO29" s="517" t="n"/>
      <c r="FP29" s="517" t="n"/>
      <c r="FQ29" s="517" t="n"/>
      <c r="FR29" s="517" t="n"/>
      <c r="FS29" s="517" t="n"/>
      <c r="FT29" s="517" t="n"/>
      <c r="FU29" s="517" t="n"/>
      <c r="FV29" s="517" t="n"/>
      <c r="FW29" s="517" t="n"/>
      <c r="FX29" s="517" t="n"/>
      <c r="FY29" s="517" t="n"/>
      <c r="FZ29" s="517" t="n"/>
      <c r="GA29" s="517" t="n"/>
      <c r="GB29" s="517" t="n"/>
      <c r="GC29" s="517" t="n"/>
      <c r="GD29" s="517" t="n"/>
      <c r="GE29" s="517" t="n"/>
      <c r="GF29" s="517" t="n"/>
      <c r="GG29" s="517" t="n"/>
      <c r="GH29" s="517" t="n"/>
      <c r="GI29" s="517" t="n"/>
      <c r="GJ29" s="517" t="n"/>
      <c r="GK29" s="517" t="n"/>
      <c r="GL29" s="517" t="n"/>
      <c r="GM29" s="517" t="n"/>
      <c r="GN29" s="517" t="n"/>
      <c r="GO29" s="517" t="n"/>
      <c r="GP29" s="517" t="n"/>
      <c r="GQ29" s="517" t="n"/>
      <c r="GR29" s="517" t="n"/>
      <c r="GS29" s="517" t="n"/>
      <c r="GT29" s="517" t="n"/>
      <c r="GU29" s="517" t="n"/>
      <c r="GV29" s="517" t="n"/>
      <c r="GW29" s="517" t="n"/>
      <c r="GX29" s="517" t="n"/>
      <c r="GY29" s="517" t="n"/>
      <c r="GZ29" s="517" t="n"/>
      <c r="HA29" s="517" t="n"/>
      <c r="HB29" s="517" t="n"/>
      <c r="HC29" s="517" t="n"/>
      <c r="HD29" s="517" t="n"/>
      <c r="HE29" s="517" t="n"/>
      <c r="HF29" s="517" t="n"/>
      <c r="HG29" s="517" t="n"/>
      <c r="HH29" s="517" t="n"/>
      <c r="HI29" s="517" t="n"/>
      <c r="HJ29" s="517" t="n"/>
      <c r="HK29" s="517" t="n"/>
      <c r="HL29" s="517" t="n"/>
      <c r="HM29" s="517" t="n"/>
      <c r="HN29" s="517" t="n"/>
      <c r="HO29" s="517" t="n"/>
      <c r="HP29" s="517" t="n"/>
      <c r="HQ29" s="517" t="n"/>
      <c r="HR29" s="517" t="n"/>
      <c r="HS29" s="517" t="n"/>
      <c r="HT29" s="517" t="n"/>
      <c r="HU29" s="517" t="n"/>
    </row>
    <row r="30" ht="6.75" customHeight="1" thickBot="1">
      <c r="A30" s="88" t="n"/>
      <c r="B30" s="138" t="n"/>
      <c r="C30" s="522" t="n"/>
      <c r="D30" s="522" t="n"/>
      <c r="E30" s="522" t="n"/>
      <c r="F30" s="522" t="n"/>
      <c r="G30" s="522" t="n"/>
      <c r="H30" s="522" t="n"/>
      <c r="I30" s="522" t="n"/>
      <c r="J30" s="523" t="n"/>
      <c r="K30" s="522" t="n"/>
      <c r="L30" s="522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13" t="n"/>
      <c r="AI30" s="240" t="n"/>
      <c r="AJ30" s="13" t="n"/>
      <c r="AK30" s="522" t="n"/>
      <c r="AL30" s="522" t="n"/>
      <c r="AM30" s="522" t="n"/>
      <c r="AN30" s="522" t="n"/>
      <c r="AO30" s="522" t="n"/>
      <c r="AP30" s="522" t="n"/>
      <c r="AQ30" s="522" t="n"/>
      <c r="AR30" s="522" t="n"/>
      <c r="AS30" s="522" t="n"/>
      <c r="AT30" s="522" t="n"/>
      <c r="AU30" s="522" t="n"/>
      <c r="AV30" s="522" t="n"/>
      <c r="AW30" s="522" t="n"/>
      <c r="AX30" s="522" t="n"/>
      <c r="AY30" s="522" t="n"/>
      <c r="AZ30" s="522" t="n"/>
      <c r="BA30" s="522" t="n"/>
      <c r="BB30" s="522" t="n"/>
      <c r="BC30" s="522" t="n"/>
      <c r="BD30" s="525" t="n"/>
      <c r="BE30" s="522" t="n"/>
      <c r="BF30" s="522" t="n"/>
      <c r="BG30" s="522" t="n"/>
      <c r="BH30" s="522" t="n"/>
      <c r="BI30" s="522" t="n"/>
      <c r="BJ30" s="522" t="n"/>
      <c r="BK30" s="522" t="n"/>
      <c r="BL30" s="522" t="n"/>
      <c r="BM30" s="522" t="n"/>
      <c r="BN30" s="522" t="n"/>
      <c r="BO30" s="522" t="n"/>
      <c r="BP30" s="525" t="n"/>
      <c r="BQ30" s="522" t="n"/>
      <c r="BR30" s="522" t="n"/>
      <c r="BS30" s="522" t="n"/>
      <c r="BT30" s="522" t="n"/>
      <c r="BU30" s="522" t="n"/>
      <c r="BV30" s="522" t="n"/>
      <c r="BW30" s="522" t="n"/>
      <c r="BX30" s="522" t="n"/>
      <c r="BY30" s="522" t="n"/>
      <c r="BZ30" s="522" t="n"/>
      <c r="CA30" s="522" t="n"/>
      <c r="CB30" s="525" t="n"/>
      <c r="CC30" s="522" t="n"/>
      <c r="CD30" s="522" t="n"/>
      <c r="CE30" s="522" t="n"/>
      <c r="CF30" s="522" t="n"/>
      <c r="CG30" s="522" t="n"/>
      <c r="CH30" s="522" t="n"/>
      <c r="CI30" s="522" t="n"/>
      <c r="CJ30" s="522" t="n"/>
      <c r="CK30" s="522" t="n"/>
      <c r="CL30" s="522" t="n"/>
      <c r="CM30" s="522" t="n"/>
      <c r="CN30" s="525" t="n"/>
      <c r="CO30" s="522" t="n"/>
      <c r="CP30" s="522" t="n"/>
      <c r="CQ30" s="522" t="n"/>
      <c r="CR30" s="522" t="n"/>
      <c r="CS30" s="522" t="n"/>
      <c r="CT30" s="522" t="n"/>
      <c r="CU30" s="522" t="n"/>
      <c r="CV30" s="522" t="n"/>
      <c r="CW30" s="522" t="n"/>
      <c r="CX30" s="522" t="n"/>
      <c r="CY30" s="522" t="n"/>
      <c r="CZ30" s="525" t="n"/>
      <c r="DA30" s="522" t="n"/>
      <c r="DB30" s="522" t="n"/>
      <c r="DC30" s="522" t="n"/>
      <c r="DD30" s="522" t="n"/>
      <c r="DE30" s="522" t="n"/>
      <c r="DF30" s="522" t="n"/>
      <c r="DG30" s="522" t="n"/>
      <c r="DH30" s="522" t="n"/>
      <c r="DI30" s="522" t="n"/>
      <c r="DJ30" s="522" t="n"/>
      <c r="DK30" s="522" t="n"/>
      <c r="DL30" s="522" t="n"/>
      <c r="DM30" s="522" t="n"/>
      <c r="DN30" s="522" t="n"/>
      <c r="DO30" s="522" t="n"/>
      <c r="DP30" s="522" t="n"/>
      <c r="DQ30" s="522" t="n"/>
      <c r="DR30" s="522" t="n"/>
      <c r="DS30" s="522" t="n"/>
      <c r="DT30" s="522" t="n"/>
      <c r="DU30" s="522" t="n"/>
      <c r="DV30" s="522" t="n"/>
      <c r="DW30" s="522" t="n"/>
      <c r="DX30" s="522" t="n"/>
      <c r="DY30" s="522" t="n"/>
      <c r="DZ30" s="522" t="n"/>
      <c r="EA30" s="522" t="n"/>
      <c r="EB30" s="522" t="n"/>
      <c r="EC30" s="522" t="n"/>
      <c r="ED30" s="522" t="n"/>
      <c r="EE30" s="522" t="n"/>
      <c r="EF30" s="522" t="n"/>
      <c r="EG30" s="522" t="n"/>
      <c r="EH30" s="522" t="n"/>
      <c r="EI30" s="522" t="n"/>
      <c r="EJ30" s="522" t="n"/>
      <c r="EK30" s="522" t="n"/>
      <c r="EL30" s="522" t="n"/>
      <c r="EM30" s="522" t="n"/>
      <c r="EN30" s="522" t="n"/>
      <c r="EO30" s="522" t="n"/>
      <c r="EP30" s="522" t="n"/>
      <c r="EQ30" s="522" t="n"/>
      <c r="ER30" s="522" t="n"/>
      <c r="ES30" s="522" t="n"/>
      <c r="ET30" s="522" t="n"/>
      <c r="EU30" s="522" t="n"/>
      <c r="EV30" s="522" t="n"/>
      <c r="EW30" s="522" t="n"/>
      <c r="EX30" s="522" t="n"/>
      <c r="EY30" s="522" t="n"/>
      <c r="EZ30" s="522" t="n"/>
      <c r="FA30" s="522" t="n"/>
      <c r="FB30" s="522" t="n"/>
      <c r="FC30" s="522" t="n"/>
      <c r="FD30" s="522" t="n"/>
      <c r="FE30" s="522" t="n"/>
      <c r="FF30" s="522" t="n"/>
      <c r="FG30" s="522" t="n"/>
      <c r="FH30" s="522" t="n"/>
      <c r="FI30" s="522" t="n"/>
      <c r="FJ30" s="522" t="n"/>
      <c r="FK30" s="522" t="n"/>
      <c r="FL30" s="522" t="n"/>
      <c r="FM30" s="522" t="n"/>
      <c r="FN30" s="522" t="n"/>
      <c r="FO30" s="522" t="n"/>
      <c r="FP30" s="522" t="n"/>
      <c r="FQ30" s="522" t="n"/>
      <c r="FR30" s="522" t="n"/>
      <c r="FS30" s="522" t="n"/>
      <c r="FT30" s="522" t="n"/>
      <c r="FU30" s="522" t="n"/>
      <c r="FV30" s="522" t="n"/>
      <c r="FW30" s="522" t="n"/>
      <c r="FX30" s="522" t="n"/>
      <c r="FY30" s="522" t="n"/>
      <c r="FZ30" s="522" t="n"/>
      <c r="GA30" s="522" t="n"/>
      <c r="GB30" s="522" t="n"/>
      <c r="GC30" s="522" t="n"/>
      <c r="GD30" s="522" t="n"/>
      <c r="GE30" s="522" t="n"/>
      <c r="GF30" s="522" t="n"/>
      <c r="GG30" s="522" t="n"/>
      <c r="GH30" s="522" t="n"/>
      <c r="GI30" s="522" t="n"/>
      <c r="GJ30" s="522" t="n"/>
      <c r="GK30" s="522" t="n"/>
      <c r="GL30" s="522" t="n"/>
      <c r="GM30" s="522" t="n"/>
      <c r="GN30" s="522" t="n"/>
      <c r="GO30" s="522" t="n"/>
      <c r="GP30" s="522" t="n"/>
      <c r="GQ30" s="522" t="n"/>
      <c r="GR30" s="522" t="n"/>
      <c r="GS30" s="522" t="n"/>
      <c r="GT30" s="522" t="n"/>
      <c r="GU30" s="522" t="n"/>
      <c r="GV30" s="522" t="n"/>
      <c r="GW30" s="522" t="n"/>
      <c r="GX30" s="522" t="n"/>
      <c r="GY30" s="522" t="n"/>
      <c r="GZ30" s="522" t="n"/>
      <c r="HA30" s="522" t="n"/>
      <c r="HB30" s="522" t="n"/>
      <c r="HC30" s="522" t="n"/>
      <c r="HD30" s="522" t="n"/>
      <c r="HE30" s="522" t="n"/>
      <c r="HF30" s="522" t="n"/>
      <c r="HG30" s="522" t="n"/>
      <c r="HH30" s="522" t="n"/>
      <c r="HI30" s="522" t="n"/>
      <c r="HJ30" s="522" t="n"/>
      <c r="HK30" s="522" t="n"/>
      <c r="HL30" s="522" t="n"/>
      <c r="HM30" s="522" t="n"/>
      <c r="HN30" s="522" t="n"/>
      <c r="HO30" s="522" t="n"/>
      <c r="HP30" s="522" t="n"/>
      <c r="HQ30" s="522" t="n"/>
      <c r="HR30" s="522" t="n"/>
      <c r="HS30" s="522" t="n"/>
      <c r="HT30" s="522" t="n"/>
      <c r="HU30" s="522" t="n"/>
    </row>
    <row r="31" ht="16.2" customHeight="1">
      <c r="A31" s="19" t="inlineStr">
        <is>
          <t>ITBI + IPTU ESTOQUE(-)</t>
        </is>
      </c>
      <c r="B31" s="139" t="n"/>
      <c r="C31" s="20" t="n"/>
      <c r="D31" s="22" t="n"/>
      <c r="E31" s="20" t="n"/>
      <c r="F31" s="20" t="n"/>
      <c r="G31" s="20" t="n"/>
      <c r="H31" s="20" t="n"/>
      <c r="I31" s="21" t="n"/>
      <c r="J31" s="175" t="n"/>
      <c r="K31" s="21" t="n"/>
      <c r="L31" s="108" t="n"/>
      <c r="M31" s="220" t="n"/>
      <c r="N31" s="220" t="n"/>
      <c r="O31" s="220" t="n"/>
      <c r="P31" s="220" t="n"/>
      <c r="Q31" s="220" t="n"/>
      <c r="R31" s="220" t="n"/>
      <c r="S31" s="220" t="n"/>
      <c r="T31" s="220" t="n"/>
      <c r="U31" s="220" t="n"/>
      <c r="V31" s="220" t="n"/>
      <c r="W31" s="220" t="n"/>
      <c r="X31" s="220" t="n"/>
      <c r="Y31" s="220" t="n"/>
      <c r="Z31" s="220" t="n"/>
      <c r="AA31" s="220" t="n"/>
      <c r="AB31" s="220" t="n"/>
      <c r="AC31" s="220" t="n"/>
      <c r="AD31" s="220" t="n"/>
      <c r="AE31" s="220" t="n"/>
      <c r="AF31" s="220" t="n"/>
      <c r="AG31" s="220" t="n"/>
      <c r="AH31" s="200" t="n"/>
      <c r="AI31" s="334" t="n"/>
      <c r="AJ31" s="200" t="n"/>
      <c r="AK31" s="20" t="n"/>
      <c r="AL31" s="20" t="n"/>
      <c r="AM31" s="20" t="n"/>
      <c r="AN31" s="20" t="n"/>
      <c r="AO31" s="20" t="n"/>
      <c r="AP31" s="20" t="n"/>
      <c r="AQ31" s="21" t="n"/>
      <c r="AR31" s="21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99" t="n"/>
      <c r="BE31" s="22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99" t="n"/>
      <c r="BQ31" s="22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99" t="n"/>
      <c r="CC31" s="22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99" t="n"/>
      <c r="CO31" s="22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320" t="n"/>
      <c r="DA31" s="22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1" t="n"/>
      <c r="DK31" s="20" t="n"/>
      <c r="DL31" s="21" t="n"/>
      <c r="DM31" s="20" t="n"/>
      <c r="DN31" s="21" t="n"/>
      <c r="DO31" s="21" t="n"/>
      <c r="DP31" s="21" t="n"/>
      <c r="DQ31" s="21" t="n"/>
      <c r="DR31" s="21" t="n"/>
      <c r="DS31" s="21" t="n"/>
      <c r="DT31" s="21" t="n"/>
      <c r="DU31" s="21" t="n"/>
      <c r="DV31" s="21" t="n"/>
      <c r="DW31" s="21" t="n"/>
      <c r="DX31" s="21" t="n"/>
      <c r="DY31" s="21" t="n"/>
      <c r="DZ31" s="21" t="n"/>
      <c r="EA31" s="21" t="n"/>
      <c r="EB31" s="21" t="n"/>
      <c r="EC31" s="21" t="n"/>
      <c r="ED31" s="21" t="n"/>
      <c r="EE31" s="21" t="n"/>
      <c r="EF31" s="21" t="n"/>
      <c r="EG31" s="21" t="n"/>
      <c r="EH31" s="21" t="n"/>
      <c r="EI31" s="21" t="n"/>
      <c r="EJ31" s="21" t="n"/>
      <c r="EK31" s="21" t="n"/>
      <c r="EL31" s="21" t="n"/>
      <c r="EM31" s="21" t="n"/>
      <c r="EN31" s="21" t="n"/>
      <c r="EO31" s="21" t="n"/>
      <c r="EP31" s="21" t="n"/>
      <c r="EQ31" s="21" t="n"/>
      <c r="ER31" s="21" t="n"/>
      <c r="ES31" s="21" t="n"/>
      <c r="ET31" s="21" t="n"/>
      <c r="EU31" s="21" t="n"/>
      <c r="EV31" s="21" t="n"/>
      <c r="EW31" s="21" t="n"/>
      <c r="EX31" s="21" t="n"/>
      <c r="EY31" s="21" t="n"/>
      <c r="EZ31" s="21" t="n"/>
      <c r="FA31" s="21" t="n"/>
      <c r="FB31" s="21" t="n"/>
      <c r="FC31" s="21" t="n"/>
      <c r="FD31" s="21" t="n"/>
      <c r="FE31" s="21" t="n"/>
      <c r="FF31" s="21" t="n"/>
      <c r="FG31" s="21" t="n"/>
      <c r="FH31" s="21" t="n"/>
      <c r="FI31" s="21" t="n"/>
      <c r="FJ31" s="21" t="n"/>
      <c r="FK31" s="21" t="n"/>
      <c r="FL31" s="21" t="n"/>
      <c r="FM31" s="21" t="n"/>
      <c r="FN31" s="21" t="n"/>
      <c r="FO31" s="21" t="n"/>
      <c r="FP31" s="21" t="n"/>
      <c r="FQ31" s="21" t="n"/>
      <c r="FR31" s="21" t="n"/>
      <c r="FS31" s="21" t="n"/>
      <c r="FT31" s="21" t="n"/>
      <c r="FU31" s="21" t="n"/>
      <c r="FV31" s="21" t="n"/>
      <c r="FW31" s="21" t="n"/>
      <c r="FX31" s="21" t="n"/>
      <c r="FY31" s="21" t="n"/>
      <c r="FZ31" s="21" t="n"/>
      <c r="GA31" s="21" t="n"/>
      <c r="GB31" s="21" t="n"/>
      <c r="GC31" s="21" t="n"/>
      <c r="GD31" s="21" t="n"/>
      <c r="GE31" s="21" t="n"/>
      <c r="GF31" s="21" t="n"/>
      <c r="GG31" s="21" t="n"/>
      <c r="GH31" s="21" t="n"/>
      <c r="GI31" s="21" t="n"/>
      <c r="GJ31" s="21" t="n"/>
      <c r="GK31" s="21" t="n"/>
      <c r="GL31" s="21" t="n"/>
      <c r="GM31" s="21" t="n"/>
      <c r="GN31" s="21" t="n"/>
      <c r="GO31" s="21" t="n"/>
      <c r="GP31" s="21" t="n"/>
      <c r="GQ31" s="21" t="n"/>
      <c r="GR31" s="21" t="n"/>
      <c r="GS31" s="21" t="n"/>
      <c r="GT31" s="21" t="n"/>
      <c r="GU31" s="21" t="n"/>
      <c r="GV31" s="21" t="n"/>
      <c r="GW31" s="21" t="n"/>
      <c r="GX31" s="21" t="n"/>
      <c r="GY31" s="21" t="n"/>
      <c r="GZ31" s="21" t="n"/>
      <c r="HA31" s="21" t="n"/>
      <c r="HB31" s="21" t="n"/>
      <c r="HC31" s="21" t="n"/>
      <c r="HD31" s="21" t="n"/>
      <c r="HE31" s="21" t="n"/>
      <c r="HF31" s="21" t="n"/>
      <c r="HG31" s="21" t="n"/>
      <c r="HH31" s="21" t="n"/>
      <c r="HI31" s="21" t="n"/>
      <c r="HJ31" s="21" t="n"/>
      <c r="HK31" s="21" t="n"/>
      <c r="HL31" s="21" t="n"/>
      <c r="HM31" s="21" t="n"/>
      <c r="HN31" s="21" t="n"/>
      <c r="HO31" s="21" t="n"/>
      <c r="HP31" s="21" t="n"/>
      <c r="HQ31" s="21" t="n"/>
      <c r="HR31" s="21" t="n"/>
      <c r="HS31" s="21" t="n"/>
      <c r="HT31" s="21" t="n"/>
      <c r="HU31" s="21" t="n"/>
    </row>
    <row r="32" ht="15.75" customHeight="1">
      <c r="A32" s="7" t="inlineStr">
        <is>
          <t>ITBI</t>
        </is>
      </c>
      <c r="B32" s="136" t="n"/>
      <c r="C32" s="85" t="n"/>
      <c r="D32" s="87" t="n"/>
      <c r="E32" s="85" t="n"/>
      <c r="F32" s="85" t="n"/>
      <c r="G32" s="85" t="n"/>
      <c r="H32" s="85" t="n"/>
      <c r="I32" s="86" t="n"/>
      <c r="J32" s="218" t="n"/>
      <c r="K32" s="113" t="n"/>
      <c r="L32" s="122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0" t="n"/>
      <c r="X32" s="219" t="n"/>
      <c r="Y32" s="219" t="n"/>
      <c r="Z32" s="219" t="n"/>
      <c r="AA32" s="219" t="n"/>
      <c r="AB32" s="219" t="n"/>
      <c r="AC32" s="219" t="n"/>
      <c r="AD32" s="219" t="n"/>
      <c r="AE32" s="219" t="n"/>
      <c r="AF32" s="219" t="n"/>
      <c r="AG32" s="219" t="n"/>
      <c r="AH32" s="13" t="n"/>
      <c r="AI32" s="345" t="n"/>
      <c r="AJ32" s="13" t="n"/>
      <c r="AK32" s="87" t="n"/>
      <c r="AL32" s="87" t="n"/>
      <c r="AM32" s="87" t="n"/>
      <c r="AN32" s="87" t="n"/>
      <c r="AO32" s="87" t="n"/>
      <c r="AP32" s="87" t="n"/>
      <c r="AQ32" s="87" t="n"/>
      <c r="AR32" s="87" t="n"/>
      <c r="AS32" s="87" t="n"/>
      <c r="AT32" s="87" t="n"/>
      <c r="AU32" s="87" t="n"/>
      <c r="AV32" s="87" t="n"/>
      <c r="AW32" s="87" t="n"/>
      <c r="AX32" s="87" t="n"/>
      <c r="AY32" s="87" t="n"/>
      <c r="AZ32" s="87" t="n"/>
      <c r="BA32" s="87" t="n"/>
      <c r="BB32" s="87" t="n"/>
      <c r="BC32" s="87" t="n"/>
      <c r="BD32" s="87" t="n"/>
      <c r="BE32" s="87" t="n"/>
      <c r="BF32" s="87" t="n"/>
      <c r="BG32" s="87" t="n"/>
      <c r="BH32" s="87" t="n"/>
      <c r="BI32" s="87" t="n"/>
      <c r="BJ32" s="87" t="n"/>
      <c r="BK32" s="87" t="n"/>
      <c r="BL32" s="87" t="n"/>
      <c r="BM32" s="87" t="n"/>
      <c r="BN32" s="87" t="n"/>
      <c r="BO32" s="87" t="n"/>
      <c r="BP32" s="87" t="n"/>
      <c r="BQ32" s="87" t="n"/>
      <c r="BR32" s="87" t="n"/>
      <c r="BS32" s="87" t="n"/>
      <c r="BT32" s="87" t="n"/>
      <c r="BU32" s="87" t="n"/>
      <c r="BV32" s="87" t="n"/>
      <c r="BW32" s="87" t="n"/>
      <c r="BX32" s="87" t="n"/>
      <c r="BY32" s="87" t="n"/>
      <c r="BZ32" s="87" t="n"/>
      <c r="CA32" s="87" t="n"/>
      <c r="CB32" s="87" t="n"/>
      <c r="CC32" s="87" t="n"/>
      <c r="CD32" s="87" t="n"/>
      <c r="CE32" s="87" t="n"/>
      <c r="CF32" s="87" t="n"/>
      <c r="CG32" s="87" t="n"/>
      <c r="CH32" s="87" t="n"/>
      <c r="CI32" s="87" t="n"/>
      <c r="CJ32" s="87" t="n"/>
      <c r="CK32" s="87" t="n"/>
      <c r="CL32" s="87" t="n"/>
      <c r="CM32" s="87" t="n"/>
      <c r="CN32" s="87" t="n"/>
      <c r="CO32" s="87" t="n"/>
      <c r="CP32" s="87" t="n"/>
      <c r="CQ32" s="87" t="n"/>
      <c r="CR32" s="87" t="n"/>
      <c r="CS32" s="87" t="n"/>
      <c r="CT32" s="87" t="n"/>
      <c r="CU32" s="87" t="n"/>
      <c r="CV32" s="87" t="n"/>
      <c r="CW32" s="87" t="n"/>
      <c r="CX32" s="87" t="n"/>
      <c r="CY32" s="87" t="n"/>
      <c r="CZ32" s="87" t="n"/>
      <c r="DA32" s="87" t="n"/>
      <c r="DB32" s="87" t="n"/>
      <c r="DC32" s="87" t="n"/>
      <c r="DD32" s="87" t="n"/>
      <c r="DE32" s="87" t="n"/>
      <c r="DF32" s="87" t="n"/>
      <c r="DG32" s="87" t="n"/>
      <c r="DH32" s="87" t="n"/>
      <c r="DI32" s="87" t="n"/>
      <c r="DJ32" s="87" t="n"/>
      <c r="DK32" s="87" t="n"/>
      <c r="DL32" s="87" t="n"/>
      <c r="DM32" s="87" t="n"/>
      <c r="DN32" s="87" t="n"/>
      <c r="DO32" s="87" t="n"/>
      <c r="DP32" s="87" t="n"/>
      <c r="DQ32" s="87" t="n"/>
      <c r="DR32" s="87" t="n"/>
      <c r="DS32" s="87" t="n"/>
      <c r="DT32" s="87" t="n"/>
      <c r="DU32" s="87" t="n"/>
      <c r="DV32" s="87" t="n"/>
      <c r="DW32" s="87" t="n"/>
      <c r="DX32" s="87" t="n"/>
      <c r="DY32" s="87" t="n"/>
      <c r="DZ32" s="87" t="n"/>
      <c r="EA32" s="87" t="n"/>
      <c r="EB32" s="87" t="n"/>
      <c r="EC32" s="87" t="n"/>
      <c r="ED32" s="87" t="n"/>
      <c r="EE32" s="87" t="n"/>
      <c r="EF32" s="87" t="n"/>
      <c r="EG32" s="87" t="n"/>
      <c r="EH32" s="87" t="n"/>
      <c r="EI32" s="87" t="n"/>
      <c r="EJ32" s="87" t="n"/>
      <c r="EK32" s="87" t="n"/>
      <c r="EL32" s="87" t="n"/>
      <c r="EM32" s="87" t="n"/>
      <c r="EN32" s="87" t="n"/>
      <c r="EO32" s="87" t="n"/>
      <c r="EP32" s="87" t="n"/>
      <c r="EQ32" s="87" t="n"/>
      <c r="ER32" s="87" t="n"/>
      <c r="ES32" s="87" t="n"/>
      <c r="ET32" s="87" t="n"/>
      <c r="EU32" s="87" t="n"/>
      <c r="EV32" s="87" t="n"/>
      <c r="EW32" s="87" t="n"/>
      <c r="EX32" s="87" t="n"/>
      <c r="EY32" s="87" t="n"/>
      <c r="EZ32" s="87" t="n"/>
      <c r="FA32" s="87" t="n"/>
      <c r="FB32" s="87" t="n"/>
      <c r="FC32" s="87" t="n"/>
      <c r="FD32" s="87" t="n"/>
      <c r="FE32" s="87" t="n"/>
      <c r="FF32" s="87" t="n"/>
      <c r="FG32" s="87" t="n"/>
      <c r="FH32" s="87" t="n"/>
      <c r="FI32" s="87" t="n"/>
      <c r="FJ32" s="87" t="n"/>
      <c r="FK32" s="87" t="n"/>
      <c r="FL32" s="87" t="n"/>
      <c r="FM32" s="87" t="n"/>
      <c r="FN32" s="87" t="n"/>
      <c r="FO32" s="87" t="n"/>
      <c r="FP32" s="87" t="n"/>
      <c r="FQ32" s="87" t="n"/>
      <c r="FR32" s="87" t="n"/>
      <c r="FS32" s="87" t="n"/>
      <c r="FT32" s="87" t="n"/>
      <c r="FU32" s="87" t="n"/>
      <c r="FV32" s="87" t="n"/>
      <c r="FW32" s="87" t="n"/>
      <c r="FX32" s="87" t="n"/>
      <c r="FY32" s="87" t="n"/>
      <c r="FZ32" s="87" t="n"/>
      <c r="GA32" s="87" t="n"/>
      <c r="GB32" s="87" t="n"/>
      <c r="GC32" s="87" t="n"/>
      <c r="GD32" s="87" t="n"/>
      <c r="GE32" s="87" t="n"/>
      <c r="GF32" s="87" t="n"/>
      <c r="GG32" s="87" t="n"/>
      <c r="GH32" s="87" t="n"/>
      <c r="GI32" s="87" t="n"/>
      <c r="GJ32" s="87" t="n"/>
      <c r="GK32" s="87" t="n"/>
      <c r="GL32" s="87" t="n"/>
      <c r="GM32" s="87" t="n"/>
      <c r="GN32" s="87" t="n"/>
      <c r="GO32" s="87" t="n"/>
      <c r="GP32" s="87" t="n"/>
      <c r="GQ32" s="87" t="n"/>
      <c r="GR32" s="87" t="n"/>
      <c r="GS32" s="87" t="n"/>
      <c r="GT32" s="87" t="n"/>
      <c r="GU32" s="87" t="n"/>
      <c r="GV32" s="87" t="n"/>
      <c r="GW32" s="87" t="n"/>
      <c r="GX32" s="87" t="n"/>
      <c r="GY32" s="87" t="n"/>
      <c r="GZ32" s="87" t="n"/>
      <c r="HA32" s="87" t="n"/>
      <c r="HB32" s="87" t="n"/>
      <c r="HC32" s="87" t="n"/>
      <c r="HD32" s="87" t="n"/>
      <c r="HE32" s="87" t="n"/>
      <c r="HF32" s="87" t="n"/>
      <c r="HG32" s="87" t="n"/>
      <c r="HH32" s="87" t="n"/>
      <c r="HI32" s="87" t="n"/>
      <c r="HJ32" s="87" t="n"/>
      <c r="HK32" s="87" t="n"/>
      <c r="HL32" s="87" t="n"/>
      <c r="HM32" s="87" t="n"/>
      <c r="HN32" s="87" t="n"/>
      <c r="HO32" s="87" t="n"/>
      <c r="HP32" s="87" t="n"/>
      <c r="HQ32" s="87" t="n"/>
      <c r="HR32" s="87" t="n"/>
      <c r="HS32" s="87" t="n"/>
      <c r="HT32" s="87" t="n"/>
      <c r="HU32" s="87" t="n"/>
    </row>
    <row r="33" ht="15.75" customHeight="1">
      <c r="A33" s="7" t="inlineStr">
        <is>
          <t>IPTU Estoque</t>
        </is>
      </c>
      <c r="B33" s="136" t="n"/>
      <c r="C33" s="24" t="n"/>
      <c r="D33" s="26" t="n"/>
      <c r="E33" s="256" t="n"/>
      <c r="F33" s="256" t="n"/>
      <c r="G33" s="256" t="n"/>
      <c r="H33" s="256" t="n"/>
      <c r="I33" s="257" t="n"/>
      <c r="J33" s="176" t="n"/>
      <c r="K33" s="25" t="n"/>
      <c r="L33" s="34" t="n"/>
      <c r="M33" s="15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/>
      <c r="AF33" s="219" t="n"/>
      <c r="AG33" s="219" t="n"/>
      <c r="AH33" s="13" t="n"/>
      <c r="AI33" s="345" t="n"/>
      <c r="AJ33" s="13" t="n"/>
      <c r="AK33" s="87" t="n"/>
      <c r="AL33" s="87" t="n"/>
      <c r="AM33" s="87" t="n"/>
      <c r="AN33" s="87" t="n"/>
      <c r="AO33" s="87" t="n"/>
      <c r="AP33" s="87" t="n"/>
      <c r="AQ33" s="87" t="n"/>
      <c r="AR33" s="87" t="n"/>
      <c r="AS33" s="87" t="n"/>
      <c r="AT33" s="87" t="n"/>
      <c r="AU33" s="87" t="n"/>
      <c r="AV33" s="87" t="n"/>
      <c r="AW33" s="87" t="n"/>
      <c r="AX33" s="87" t="n"/>
      <c r="AY33" s="87" t="n"/>
      <c r="AZ33" s="87" t="n"/>
      <c r="BA33" s="87" t="n"/>
      <c r="BB33" s="87" t="n"/>
      <c r="BC33" s="87" t="n"/>
      <c r="BD33" s="87" t="n"/>
      <c r="BE33" s="87" t="n"/>
      <c r="BF33" s="87" t="n"/>
      <c r="BG33" s="87" t="n"/>
      <c r="BH33" s="87" t="n"/>
      <c r="BI33" s="87" t="n"/>
      <c r="BJ33" s="87" t="n"/>
      <c r="BK33" s="87" t="n"/>
      <c r="BL33" s="87" t="n"/>
      <c r="BM33" s="87" t="n"/>
      <c r="BN33" s="87" t="n"/>
      <c r="BO33" s="87" t="n"/>
      <c r="BP33" s="87" t="n"/>
      <c r="BQ33" s="87" t="n"/>
      <c r="BR33" s="87" t="n"/>
      <c r="BS33" s="87" t="n"/>
      <c r="BT33" s="87" t="n"/>
      <c r="BU33" s="87" t="n"/>
      <c r="BV33" s="87" t="n"/>
      <c r="BW33" s="87" t="n"/>
      <c r="BX33" s="87" t="n"/>
      <c r="BY33" s="87" t="n"/>
      <c r="BZ33" s="87" t="n"/>
      <c r="CA33" s="87" t="n"/>
      <c r="CB33" s="87" t="n"/>
      <c r="CC33" s="87" t="n"/>
      <c r="CD33" s="87" t="n"/>
      <c r="CE33" s="87" t="n"/>
      <c r="CF33" s="87" t="n"/>
      <c r="CG33" s="87" t="n"/>
      <c r="CH33" s="87" t="n"/>
      <c r="CI33" s="87" t="n"/>
      <c r="CJ33" s="87" t="n"/>
      <c r="CK33" s="87" t="n"/>
      <c r="CL33" s="87" t="n"/>
      <c r="CM33" s="87" t="n"/>
      <c r="CN33" s="87" t="n"/>
      <c r="CO33" s="87" t="n"/>
      <c r="CP33" s="87" t="n"/>
      <c r="CQ33" s="87" t="n"/>
      <c r="CR33" s="87" t="n"/>
      <c r="CS33" s="87" t="n"/>
      <c r="CT33" s="87" t="n"/>
      <c r="CU33" s="87" t="n"/>
      <c r="CV33" s="87" t="n"/>
      <c r="CW33" s="87" t="n"/>
      <c r="CX33" s="87" t="n"/>
      <c r="CY33" s="87" t="n"/>
      <c r="CZ33" s="87" t="n"/>
      <c r="DA33" s="87" t="n"/>
      <c r="DB33" s="87" t="n"/>
      <c r="DC33" s="87" t="n"/>
      <c r="DD33" s="87" t="n"/>
      <c r="DE33" s="87" t="n"/>
      <c r="DF33" s="87" t="n"/>
      <c r="DG33" s="87" t="n"/>
      <c r="DH33" s="87" t="n"/>
      <c r="DI33" s="87" t="n"/>
      <c r="DJ33" s="87" t="n"/>
      <c r="DK33" s="87" t="n"/>
      <c r="DL33" s="87" t="n"/>
      <c r="DM33" s="87" t="n"/>
      <c r="DN33" s="87" t="n"/>
      <c r="DO33" s="87" t="n"/>
      <c r="DP33" s="87" t="n"/>
      <c r="DQ33" s="87" t="n"/>
      <c r="DR33" s="87" t="n"/>
      <c r="DS33" s="87" t="n"/>
      <c r="DT33" s="87" t="n"/>
      <c r="DU33" s="87" t="n"/>
      <c r="DV33" s="87" t="n"/>
      <c r="DW33" s="87" t="n"/>
      <c r="DX33" s="87" t="n"/>
      <c r="DY33" s="87" t="n"/>
      <c r="DZ33" s="87" t="n"/>
      <c r="EA33" s="87" t="n"/>
      <c r="EB33" s="87" t="n"/>
      <c r="EC33" s="87" t="n"/>
      <c r="ED33" s="87" t="n"/>
      <c r="EE33" s="87" t="n"/>
      <c r="EF33" s="87" t="n"/>
      <c r="EG33" s="87" t="n"/>
      <c r="EH33" s="87" t="n"/>
      <c r="EI33" s="87" t="n"/>
      <c r="EJ33" s="87" t="n"/>
      <c r="EK33" s="87" t="n"/>
      <c r="EL33" s="87" t="n"/>
      <c r="EM33" s="87" t="n"/>
      <c r="EN33" s="87" t="n"/>
      <c r="EO33" s="26" t="n"/>
      <c r="EP33" s="26" t="n"/>
      <c r="EQ33" s="26" t="n"/>
      <c r="ER33" s="26" t="n"/>
      <c r="ES33" s="26" t="n"/>
      <c r="ET33" s="26" t="n"/>
      <c r="EU33" s="26" t="n"/>
      <c r="EV33" s="26" t="n"/>
      <c r="EW33" s="26" t="n"/>
      <c r="EX33" s="26" t="n"/>
      <c r="EY33" s="26" t="n"/>
      <c r="EZ33" s="26" t="n"/>
      <c r="FA33" s="26" t="n"/>
      <c r="FB33" s="26" t="n"/>
      <c r="FC33" s="26" t="n"/>
      <c r="FD33" s="26" t="n"/>
      <c r="FE33" s="26" t="n"/>
      <c r="FF33" s="26" t="n"/>
      <c r="FG33" s="26" t="n"/>
      <c r="FH33" s="26" t="n"/>
      <c r="FI33" s="26" t="n"/>
      <c r="FJ33" s="26" t="n"/>
      <c r="FK33" s="26" t="n"/>
      <c r="FL33" s="26" t="n"/>
      <c r="FM33" s="26" t="n"/>
      <c r="FN33" s="26" t="n"/>
      <c r="FO33" s="26" t="n"/>
      <c r="FP33" s="26" t="n"/>
      <c r="FQ33" s="26" t="n"/>
      <c r="FR33" s="26" t="n"/>
      <c r="FS33" s="26" t="n"/>
      <c r="FT33" s="26" t="n"/>
      <c r="FU33" s="26" t="n"/>
      <c r="FV33" s="26" t="n"/>
      <c r="FW33" s="26" t="n"/>
      <c r="FX33" s="26" t="n"/>
      <c r="FY33" s="26" t="n"/>
      <c r="FZ33" s="26" t="n"/>
      <c r="GA33" s="26" t="n"/>
      <c r="GB33" s="26" t="n"/>
      <c r="GC33" s="26" t="n"/>
      <c r="GD33" s="26" t="n"/>
      <c r="GE33" s="26" t="n"/>
      <c r="GF33" s="26" t="n"/>
      <c r="GG33" s="26" t="n"/>
      <c r="GH33" s="26" t="n"/>
      <c r="GI33" s="26" t="n"/>
      <c r="GJ33" s="26" t="n"/>
      <c r="GK33" s="26" t="n"/>
      <c r="GL33" s="26" t="n"/>
      <c r="GM33" s="26" t="n"/>
      <c r="GN33" s="26" t="n"/>
      <c r="GO33" s="26" t="n"/>
      <c r="GP33" s="26" t="n"/>
      <c r="GQ33" s="26" t="n"/>
      <c r="GR33" s="26" t="n"/>
      <c r="GS33" s="26" t="n"/>
      <c r="GT33" s="26" t="n"/>
      <c r="GU33" s="26" t="n"/>
      <c r="GV33" s="26" t="n"/>
      <c r="GW33" s="26" t="n"/>
      <c r="GX33" s="26" t="n"/>
      <c r="GY33" s="26" t="n"/>
      <c r="GZ33" s="26" t="n"/>
      <c r="HA33" s="26" t="n"/>
      <c r="HB33" s="26" t="n"/>
      <c r="HC33" s="26" t="n"/>
      <c r="HD33" s="26" t="n"/>
      <c r="HE33" s="26" t="n"/>
      <c r="HF33" s="26" t="n"/>
      <c r="HG33" s="26" t="n"/>
      <c r="HH33" s="26" t="n"/>
      <c r="HI33" s="26" t="n"/>
      <c r="HJ33" s="26" t="n"/>
      <c r="HK33" s="26" t="n"/>
      <c r="HL33" s="26" t="n"/>
      <c r="HM33" s="26" t="n"/>
      <c r="HN33" s="26" t="n"/>
      <c r="HO33" s="26" t="n"/>
      <c r="HP33" s="26" t="n"/>
      <c r="HQ33" s="26" t="n"/>
      <c r="HR33" s="26" t="n"/>
      <c r="HS33" s="26" t="n"/>
      <c r="HT33" s="26" t="n"/>
      <c r="HU33" s="26" t="n"/>
    </row>
    <row r="34" ht="15.75" customHeight="1">
      <c r="A34" s="7" t="inlineStr">
        <is>
          <t>Condominio Estoque</t>
        </is>
      </c>
      <c r="B34" s="136" t="n"/>
      <c r="C34" s="25" t="n"/>
      <c r="D34" s="53" t="n"/>
      <c r="E34" s="256" t="n"/>
      <c r="F34" s="256" t="n"/>
      <c r="G34" s="256" t="n"/>
      <c r="H34" s="256" t="n"/>
      <c r="I34" s="257" t="n"/>
      <c r="J34" s="176" t="n"/>
      <c r="K34" s="25" t="n"/>
      <c r="L34" s="34" t="n"/>
      <c r="M34" s="15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13" t="n"/>
      <c r="AI34" s="345" t="n"/>
      <c r="AJ34" s="13" t="n"/>
      <c r="AK34" s="87" t="n"/>
      <c r="AL34" s="87" t="n"/>
      <c r="AM34" s="87" t="n"/>
      <c r="AN34" s="87" t="n"/>
      <c r="AO34" s="87" t="n"/>
      <c r="AP34" s="87" t="n"/>
      <c r="AQ34" s="87" t="n"/>
      <c r="AR34" s="87" t="n"/>
      <c r="AS34" s="87" t="n"/>
      <c r="AT34" s="87" t="n"/>
      <c r="AU34" s="87" t="n"/>
      <c r="AV34" s="87" t="n"/>
      <c r="AW34" s="87" t="n"/>
      <c r="AX34" s="87" t="n"/>
      <c r="AY34" s="87" t="n"/>
      <c r="AZ34" s="87" t="n"/>
      <c r="BA34" s="87" t="n"/>
      <c r="BB34" s="87" t="n"/>
      <c r="BC34" s="87" t="n"/>
      <c r="BD34" s="87" t="n"/>
      <c r="BE34" s="87" t="n"/>
      <c r="BF34" s="87" t="n"/>
      <c r="BG34" s="87" t="n"/>
      <c r="BH34" s="87" t="n"/>
      <c r="BI34" s="87" t="n"/>
      <c r="BJ34" s="87" t="n"/>
      <c r="BK34" s="87" t="n"/>
      <c r="BL34" s="87" t="n"/>
      <c r="BM34" s="87" t="n"/>
      <c r="BN34" s="87" t="n"/>
      <c r="BO34" s="87" t="n"/>
      <c r="BP34" s="87" t="n"/>
      <c r="BQ34" s="87" t="n"/>
      <c r="BR34" s="87" t="n"/>
      <c r="BS34" s="87" t="n"/>
      <c r="BT34" s="87" t="n"/>
      <c r="BU34" s="87" t="n"/>
      <c r="BV34" s="87" t="n"/>
      <c r="BW34" s="87" t="n"/>
      <c r="BX34" s="87" t="n"/>
      <c r="BY34" s="87" t="n"/>
      <c r="BZ34" s="87" t="n"/>
      <c r="CA34" s="87" t="n"/>
      <c r="CB34" s="87" t="n"/>
      <c r="CC34" s="87" t="n"/>
      <c r="CD34" s="87" t="n"/>
      <c r="CE34" s="87" t="n"/>
      <c r="CF34" s="87" t="n"/>
      <c r="CG34" s="87" t="n"/>
      <c r="CH34" s="87" t="n"/>
      <c r="CI34" s="87" t="n"/>
      <c r="CJ34" s="87" t="n"/>
      <c r="CK34" s="87" t="n"/>
      <c r="CL34" s="87" t="n"/>
      <c r="CM34" s="87" t="n"/>
      <c r="CN34" s="87" t="n"/>
      <c r="CO34" s="87" t="n"/>
      <c r="CP34" s="87" t="n"/>
      <c r="CQ34" s="87" t="n"/>
      <c r="CR34" s="87" t="n"/>
      <c r="CS34" s="87" t="n"/>
      <c r="CT34" s="87" t="n"/>
      <c r="CU34" s="87" t="n"/>
      <c r="CV34" s="87" t="n"/>
      <c r="CW34" s="87" t="n"/>
      <c r="CX34" s="87" t="n"/>
      <c r="CY34" s="87" t="n"/>
      <c r="CZ34" s="87" t="n"/>
      <c r="DA34" s="87" t="n"/>
      <c r="DB34" s="87" t="n"/>
      <c r="DC34" s="87" t="n"/>
      <c r="DD34" s="87" t="n"/>
      <c r="DE34" s="87" t="n"/>
      <c r="DF34" s="87" t="n"/>
      <c r="DG34" s="87" t="n"/>
      <c r="DH34" s="87" t="n"/>
      <c r="DI34" s="87" t="n"/>
      <c r="DJ34" s="87" t="n"/>
      <c r="DK34" s="87" t="n"/>
      <c r="DL34" s="87" t="n"/>
      <c r="DM34" s="87" t="n"/>
      <c r="DN34" s="87" t="n"/>
      <c r="DO34" s="87" t="n"/>
      <c r="DP34" s="87" t="n"/>
      <c r="DQ34" s="87" t="n"/>
      <c r="DR34" s="87" t="n"/>
      <c r="DS34" s="87" t="n"/>
      <c r="DT34" s="87" t="n"/>
      <c r="DU34" s="87" t="n"/>
      <c r="DV34" s="87" t="n"/>
      <c r="DW34" s="87" t="n"/>
      <c r="DX34" s="87" t="n"/>
      <c r="DY34" s="87" t="n"/>
      <c r="DZ34" s="87" t="n"/>
      <c r="EA34" s="87" t="n"/>
      <c r="EB34" s="87" t="n"/>
      <c r="EC34" s="87" t="n"/>
      <c r="ED34" s="87" t="n"/>
      <c r="EE34" s="87" t="n"/>
      <c r="EF34" s="87" t="n"/>
      <c r="EG34" s="87" t="n"/>
      <c r="EH34" s="87" t="n"/>
      <c r="EI34" s="87" t="n"/>
      <c r="EJ34" s="87" t="n"/>
      <c r="EK34" s="87" t="n"/>
      <c r="EL34" s="87" t="n"/>
      <c r="EM34" s="87" t="n"/>
      <c r="EN34" s="87" t="n"/>
      <c r="EO34" s="87" t="n"/>
      <c r="EP34" s="87" t="n"/>
      <c r="EQ34" s="87" t="n"/>
      <c r="ER34" s="87" t="n"/>
      <c r="ES34" s="87" t="n"/>
      <c r="ET34" s="87" t="n"/>
      <c r="EU34" s="87" t="n"/>
      <c r="EV34" s="87" t="n"/>
      <c r="EW34" s="87" t="n"/>
      <c r="EX34" s="87" t="n"/>
      <c r="EY34" s="87" t="n"/>
      <c r="EZ34" s="87" t="n"/>
      <c r="FA34" s="87" t="n"/>
      <c r="FB34" s="87" t="n"/>
      <c r="FC34" s="87" t="n"/>
      <c r="FD34" s="87" t="n"/>
      <c r="FE34" s="87" t="n"/>
      <c r="FF34" s="87" t="n"/>
      <c r="FG34" s="87" t="n"/>
      <c r="FH34" s="87" t="n"/>
      <c r="FI34" s="87" t="n"/>
      <c r="FJ34" s="87" t="n"/>
      <c r="FK34" s="87" t="n"/>
      <c r="FL34" s="87" t="n"/>
      <c r="FM34" s="87" t="n"/>
      <c r="FN34" s="87" t="n"/>
      <c r="FO34" s="87" t="n"/>
      <c r="FP34" s="87" t="n"/>
      <c r="FQ34" s="87" t="n"/>
      <c r="FR34" s="87" t="n"/>
      <c r="FS34" s="87" t="n"/>
      <c r="FT34" s="87" t="n"/>
      <c r="FU34" s="87" t="n"/>
      <c r="FV34" s="87" t="n"/>
      <c r="FW34" s="87" t="n"/>
      <c r="FX34" s="87" t="n"/>
      <c r="FY34" s="87" t="n"/>
      <c r="FZ34" s="87" t="n"/>
      <c r="GA34" s="87" t="n"/>
      <c r="GB34" s="87" t="n"/>
      <c r="GC34" s="87" t="n"/>
      <c r="GD34" s="87" t="n"/>
      <c r="GE34" s="87" t="n"/>
      <c r="GF34" s="87" t="n"/>
      <c r="GG34" s="87" t="n"/>
      <c r="GH34" s="87" t="n"/>
      <c r="GI34" s="87" t="n"/>
      <c r="GJ34" s="87" t="n"/>
      <c r="GK34" s="87" t="n"/>
      <c r="GL34" s="87" t="n"/>
      <c r="GM34" s="87" t="n"/>
      <c r="GN34" s="87" t="n"/>
      <c r="GO34" s="87" t="n"/>
      <c r="GP34" s="87" t="n"/>
      <c r="GQ34" s="87" t="n"/>
      <c r="GR34" s="87" t="n"/>
      <c r="GS34" s="87" t="n"/>
      <c r="GT34" s="87" t="n"/>
      <c r="GU34" s="87" t="n"/>
      <c r="GV34" s="87" t="n"/>
      <c r="GW34" s="87" t="n"/>
      <c r="GX34" s="87" t="n"/>
      <c r="GY34" s="87" t="n"/>
      <c r="GZ34" s="87" t="n"/>
      <c r="HA34" s="87" t="n"/>
      <c r="HB34" s="87" t="n"/>
      <c r="HC34" s="87" t="n"/>
      <c r="HD34" s="87" t="n"/>
      <c r="HE34" s="87" t="n"/>
      <c r="HF34" s="87" t="n"/>
      <c r="HG34" s="87" t="n"/>
      <c r="HH34" s="87" t="n"/>
      <c r="HI34" s="87" t="n"/>
      <c r="HJ34" s="87" t="n"/>
      <c r="HK34" s="87" t="n"/>
      <c r="HL34" s="87" t="n"/>
      <c r="HM34" s="87" t="n"/>
      <c r="HN34" s="87" t="n"/>
      <c r="HO34" s="87" t="n"/>
      <c r="HP34" s="87" t="n"/>
      <c r="HQ34" s="87" t="n"/>
      <c r="HR34" s="87" t="n"/>
      <c r="HS34" s="87" t="n"/>
      <c r="HT34" s="87" t="n"/>
      <c r="HU34" s="87" t="n"/>
    </row>
    <row r="35" ht="15.75" customHeight="1" thickBot="1">
      <c r="A35" s="89" t="inlineStr">
        <is>
          <t>Subtotal</t>
        </is>
      </c>
      <c r="B35" s="137" t="n"/>
      <c r="C35" s="260" t="n"/>
      <c r="D35" s="260" t="n"/>
      <c r="E35" s="261" t="n"/>
      <c r="F35" s="261" t="n"/>
      <c r="G35" s="261" t="n"/>
      <c r="H35" s="261" t="n"/>
      <c r="I35" s="260" t="n"/>
      <c r="J35" s="262" t="n"/>
      <c r="K35" s="260" t="n"/>
      <c r="L35" s="263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  <c r="Y35" s="264" t="n"/>
      <c r="Z35" s="264" t="n"/>
      <c r="AA35" s="264" t="n"/>
      <c r="AB35" s="264" t="n"/>
      <c r="AC35" s="264" t="n"/>
      <c r="AD35" s="264" t="n"/>
      <c r="AE35" s="264" t="n"/>
      <c r="AF35" s="264" t="n"/>
      <c r="AG35" s="264" t="n"/>
      <c r="AH35" s="13" t="n"/>
      <c r="AI35" s="335" t="n"/>
      <c r="AJ35" s="13" t="n"/>
      <c r="AK35" s="271" t="n"/>
      <c r="AL35" s="271" t="n"/>
      <c r="AM35" s="271" t="n"/>
      <c r="AN35" s="271" t="n"/>
      <c r="AO35" s="271" t="n"/>
      <c r="AP35" s="271" t="n"/>
      <c r="AQ35" s="271" t="n"/>
      <c r="AR35" s="271" t="n"/>
      <c r="AS35" s="271" t="n"/>
      <c r="AT35" s="271" t="n"/>
      <c r="AU35" s="271" t="n"/>
      <c r="AV35" s="271" t="n"/>
      <c r="AW35" s="271" t="n"/>
      <c r="AX35" s="271" t="n"/>
      <c r="AY35" s="271" t="n"/>
      <c r="AZ35" s="271" t="n"/>
      <c r="BA35" s="271" t="n"/>
      <c r="BB35" s="271" t="n"/>
      <c r="BC35" s="271" t="n"/>
      <c r="BD35" s="271" t="n"/>
      <c r="BE35" s="271" t="n"/>
      <c r="BF35" s="271" t="n"/>
      <c r="BG35" s="271" t="n"/>
      <c r="BH35" s="271" t="n"/>
      <c r="BI35" s="271" t="n"/>
      <c r="BJ35" s="271" t="n"/>
      <c r="BK35" s="271" t="n"/>
      <c r="BL35" s="271" t="n"/>
      <c r="BM35" s="271" t="n"/>
      <c r="BN35" s="271" t="n"/>
      <c r="BO35" s="271" t="n"/>
      <c r="BP35" s="271" t="n"/>
      <c r="BQ35" s="271" t="n"/>
      <c r="BR35" s="271" t="n"/>
      <c r="BS35" s="271" t="n"/>
      <c r="BT35" s="271" t="n"/>
      <c r="BU35" s="271" t="n"/>
      <c r="BV35" s="271" t="n"/>
      <c r="BW35" s="271" t="n"/>
      <c r="BX35" s="271" t="n"/>
      <c r="BY35" s="271" t="n"/>
      <c r="BZ35" s="271" t="n"/>
      <c r="CA35" s="271" t="n"/>
      <c r="CB35" s="271" t="n"/>
      <c r="CC35" s="271" t="n"/>
      <c r="CD35" s="271" t="n"/>
      <c r="CE35" s="271" t="n"/>
      <c r="CF35" s="271" t="n"/>
      <c r="CG35" s="271" t="n"/>
      <c r="CH35" s="271" t="n"/>
      <c r="CI35" s="271" t="n"/>
      <c r="CJ35" s="271" t="n"/>
      <c r="CK35" s="271" t="n"/>
      <c r="CL35" s="271" t="n"/>
      <c r="CM35" s="271" t="n"/>
      <c r="CN35" s="271" t="n"/>
      <c r="CO35" s="271" t="n"/>
      <c r="CP35" s="271" t="n"/>
      <c r="CQ35" s="271" t="n"/>
      <c r="CR35" s="271" t="n"/>
      <c r="CS35" s="271" t="n"/>
      <c r="CT35" s="271" t="n"/>
      <c r="CU35" s="271" t="n"/>
      <c r="CV35" s="271" t="n"/>
      <c r="CW35" s="271" t="n"/>
      <c r="CX35" s="271" t="n"/>
      <c r="CY35" s="271" t="n"/>
      <c r="CZ35" s="271" t="n"/>
      <c r="DA35" s="271" t="n"/>
      <c r="DB35" s="271" t="n"/>
      <c r="DC35" s="271" t="n"/>
      <c r="DD35" s="271" t="n"/>
      <c r="DE35" s="271" t="n"/>
      <c r="DF35" s="271" t="n"/>
      <c r="DG35" s="271" t="n"/>
      <c r="DH35" s="271" t="n"/>
      <c r="DI35" s="271" t="n"/>
      <c r="DJ35" s="271" t="n"/>
      <c r="DK35" s="271" t="n"/>
      <c r="DL35" s="271" t="n"/>
      <c r="DM35" s="271" t="n"/>
      <c r="DN35" s="271" t="n"/>
      <c r="DO35" s="271" t="n"/>
      <c r="DP35" s="271" t="n"/>
      <c r="DQ35" s="271" t="n"/>
      <c r="DR35" s="271" t="n"/>
      <c r="DS35" s="271" t="n"/>
      <c r="DT35" s="271" t="n"/>
      <c r="DU35" s="271" t="n"/>
      <c r="DV35" s="271" t="n"/>
      <c r="DW35" s="271" t="n"/>
      <c r="DX35" s="271" t="n"/>
      <c r="DY35" s="271" t="n"/>
      <c r="DZ35" s="271" t="n"/>
      <c r="EA35" s="271" t="n"/>
      <c r="EB35" s="271" t="n"/>
      <c r="EC35" s="271" t="n"/>
      <c r="ED35" s="271" t="n"/>
      <c r="EE35" s="271" t="n"/>
      <c r="EF35" s="271" t="n"/>
      <c r="EG35" s="271" t="n"/>
      <c r="EH35" s="271" t="n"/>
      <c r="EI35" s="271" t="n"/>
      <c r="EJ35" s="271" t="n"/>
      <c r="EK35" s="271" t="n"/>
      <c r="EL35" s="271" t="n"/>
      <c r="EM35" s="271" t="n"/>
      <c r="EN35" s="271" t="n"/>
      <c r="EO35" s="271" t="n"/>
      <c r="EP35" s="271" t="n"/>
      <c r="EQ35" s="271" t="n"/>
      <c r="ER35" s="271" t="n"/>
      <c r="ES35" s="271" t="n"/>
      <c r="ET35" s="271" t="n"/>
      <c r="EU35" s="271" t="n"/>
      <c r="EV35" s="271" t="n"/>
      <c r="EW35" s="271" t="n"/>
      <c r="EX35" s="271" t="n"/>
      <c r="EY35" s="271" t="n"/>
      <c r="EZ35" s="271" t="n"/>
      <c r="FA35" s="271" t="n"/>
      <c r="FB35" s="271" t="n"/>
      <c r="FC35" s="271" t="n"/>
      <c r="FD35" s="271" t="n"/>
      <c r="FE35" s="271" t="n"/>
      <c r="FF35" s="271" t="n"/>
      <c r="FG35" s="271" t="n"/>
      <c r="FH35" s="271" t="n"/>
      <c r="FI35" s="271" t="n"/>
      <c r="FJ35" s="271" t="n"/>
      <c r="FK35" s="271" t="n"/>
      <c r="FL35" s="271" t="n"/>
      <c r="FM35" s="271" t="n"/>
      <c r="FN35" s="271" t="n"/>
      <c r="FO35" s="271" t="n"/>
      <c r="FP35" s="271" t="n"/>
      <c r="FQ35" s="271" t="n"/>
      <c r="FR35" s="271" t="n"/>
      <c r="FS35" s="271" t="n"/>
      <c r="FT35" s="271" t="n"/>
      <c r="FU35" s="271" t="n"/>
      <c r="FV35" s="271" t="n"/>
      <c r="FW35" s="271" t="n"/>
      <c r="FX35" s="271" t="n"/>
      <c r="FY35" s="271" t="n"/>
      <c r="FZ35" s="271" t="n"/>
      <c r="GA35" s="271" t="n"/>
      <c r="GB35" s="271" t="n"/>
      <c r="GC35" s="271" t="n"/>
      <c r="GD35" s="271" t="n"/>
      <c r="GE35" s="271" t="n"/>
      <c r="GF35" s="271" t="n"/>
      <c r="GG35" s="271" t="n"/>
      <c r="GH35" s="271" t="n"/>
      <c r="GI35" s="271" t="n"/>
      <c r="GJ35" s="271" t="n"/>
      <c r="GK35" s="271" t="n"/>
      <c r="GL35" s="271" t="n"/>
      <c r="GM35" s="271" t="n"/>
      <c r="GN35" s="271" t="n"/>
      <c r="GO35" s="271" t="n"/>
      <c r="GP35" s="271" t="n"/>
      <c r="GQ35" s="271" t="n"/>
      <c r="GR35" s="271" t="n"/>
      <c r="GS35" s="271" t="n"/>
      <c r="GT35" s="271" t="n"/>
      <c r="GU35" s="271" t="n"/>
      <c r="GV35" s="271" t="n"/>
      <c r="GW35" s="271" t="n"/>
      <c r="GX35" s="271" t="n"/>
      <c r="GY35" s="271" t="n"/>
      <c r="GZ35" s="271" t="n"/>
      <c r="HA35" s="271" t="n"/>
      <c r="HB35" s="271" t="n"/>
      <c r="HC35" s="271" t="n"/>
      <c r="HD35" s="271" t="n"/>
      <c r="HE35" s="271" t="n"/>
      <c r="HF35" s="271" t="n"/>
      <c r="HG35" s="271" t="n"/>
      <c r="HH35" s="271" t="n"/>
      <c r="HI35" s="271" t="n"/>
      <c r="HJ35" s="271" t="n"/>
      <c r="HK35" s="271" t="n"/>
      <c r="HL35" s="271" t="n"/>
      <c r="HM35" s="271" t="n"/>
      <c r="HN35" s="271" t="n"/>
      <c r="HO35" s="271" t="n"/>
      <c r="HP35" s="271" t="n"/>
      <c r="HQ35" s="271" t="n"/>
      <c r="HR35" s="271" t="n"/>
      <c r="HS35" s="271" t="n"/>
      <c r="HT35" s="271" t="n"/>
      <c r="HU35" s="271" t="n"/>
    </row>
    <row r="36" ht="6" customHeight="1">
      <c r="A36" s="90" t="n"/>
      <c r="B36" s="141" t="n"/>
      <c r="C36" s="91" t="n"/>
      <c r="D36" s="91" t="n"/>
      <c r="E36" s="91" t="n"/>
      <c r="F36" s="91" t="n"/>
      <c r="G36" s="91" t="n"/>
      <c r="H36" s="91" t="n"/>
      <c r="I36" s="91" t="n"/>
      <c r="J36" s="177" t="n"/>
      <c r="K36" s="91" t="n"/>
      <c r="L36" s="91" t="n"/>
      <c r="M36" s="178" t="n"/>
      <c r="N36" s="178" t="n"/>
      <c r="O36" s="178" t="n"/>
      <c r="P36" s="178" t="n"/>
      <c r="Q36" s="178" t="n"/>
      <c r="R36" s="178" t="n"/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3" t="n"/>
      <c r="AI36" s="333" t="n"/>
      <c r="AJ36" s="13" t="n"/>
      <c r="AK36" s="91" t="n"/>
      <c r="AL36" s="91" t="n"/>
      <c r="AM36" s="91" t="n"/>
      <c r="AN36" s="91" t="n"/>
      <c r="AO36" s="91" t="n"/>
      <c r="AP36" s="91" t="n"/>
      <c r="AQ36" s="91" t="n"/>
      <c r="AR36" s="91" t="n"/>
      <c r="AS36" s="91" t="n"/>
      <c r="AT36" s="91" t="n"/>
      <c r="AU36" s="91" t="n"/>
      <c r="AV36" s="91" t="n"/>
      <c r="AW36" s="91" t="n"/>
      <c r="AX36" s="91" t="n"/>
      <c r="AY36" s="91" t="n"/>
      <c r="AZ36" s="91" t="n"/>
      <c r="BA36" s="91" t="n"/>
      <c r="BB36" s="91" t="n"/>
      <c r="BC36" s="91" t="n"/>
      <c r="BD36" s="302" t="n"/>
      <c r="BE36" s="91" t="n"/>
      <c r="BF36" s="91" t="n"/>
      <c r="BG36" s="91" t="n"/>
      <c r="BH36" s="91" t="n"/>
      <c r="BI36" s="91" t="n"/>
      <c r="BJ36" s="91" t="n"/>
      <c r="BK36" s="91" t="n"/>
      <c r="BL36" s="91" t="n"/>
      <c r="BM36" s="91" t="n"/>
      <c r="BN36" s="91" t="n"/>
      <c r="BO36" s="91" t="n"/>
      <c r="BP36" s="302" t="n"/>
      <c r="BQ36" s="91" t="n"/>
      <c r="BR36" s="91" t="n"/>
      <c r="BS36" s="91" t="n"/>
      <c r="BT36" s="91" t="n"/>
      <c r="BU36" s="91" t="n"/>
      <c r="BV36" s="91" t="n"/>
      <c r="BW36" s="91" t="n"/>
      <c r="BX36" s="91" t="n"/>
      <c r="BY36" s="91" t="n"/>
      <c r="BZ36" s="91" t="n"/>
      <c r="CA36" s="91" t="n"/>
      <c r="CB36" s="302" t="n"/>
      <c r="CC36" s="91" t="n"/>
      <c r="CD36" s="91" t="n"/>
      <c r="CE36" s="91" t="n"/>
      <c r="CF36" s="91" t="n"/>
      <c r="CG36" s="91" t="n"/>
      <c r="CH36" s="91" t="n"/>
      <c r="CI36" s="91" t="n"/>
      <c r="CJ36" s="91" t="n"/>
      <c r="CK36" s="91" t="n"/>
      <c r="CL36" s="91" t="n"/>
      <c r="CM36" s="91" t="n"/>
      <c r="CN36" s="302" t="n"/>
      <c r="CO36" s="91" t="n"/>
      <c r="CP36" s="91" t="n"/>
      <c r="CQ36" s="91" t="n"/>
      <c r="CR36" s="91" t="n"/>
      <c r="CS36" s="91" t="n"/>
      <c r="CT36" s="91" t="n"/>
      <c r="CU36" s="91" t="n"/>
      <c r="CV36" s="91" t="n"/>
      <c r="CW36" s="91" t="n"/>
      <c r="CX36" s="91" t="n"/>
      <c r="CY36" s="91" t="n"/>
      <c r="CZ36" s="302" t="n"/>
      <c r="DA36" s="91" t="n"/>
      <c r="DB36" s="91" t="n"/>
      <c r="DC36" s="91" t="n"/>
      <c r="DD36" s="91" t="n"/>
      <c r="DE36" s="91" t="n"/>
      <c r="DF36" s="91" t="n"/>
      <c r="DG36" s="91" t="n"/>
      <c r="DH36" s="91" t="n"/>
      <c r="DI36" s="91" t="n"/>
      <c r="DJ36" s="91" t="n"/>
      <c r="DK36" s="91" t="n"/>
      <c r="DL36" s="91" t="n"/>
      <c r="DM36" s="91" t="n"/>
      <c r="DN36" s="91" t="n"/>
      <c r="DO36" s="91" t="n"/>
      <c r="DP36" s="91" t="n"/>
      <c r="DQ36" s="91" t="n"/>
      <c r="DR36" s="91" t="n"/>
      <c r="DS36" s="91" t="n"/>
      <c r="DT36" s="91" t="n"/>
      <c r="DU36" s="91" t="n"/>
      <c r="DV36" s="91" t="n"/>
      <c r="DW36" s="91" t="n"/>
      <c r="DX36" s="91" t="n"/>
      <c r="DY36" s="91" t="n"/>
      <c r="DZ36" s="91" t="n"/>
      <c r="EA36" s="91" t="n"/>
      <c r="EB36" s="91" t="n"/>
      <c r="EC36" s="91" t="n"/>
      <c r="ED36" s="91" t="n"/>
      <c r="EE36" s="91" t="n"/>
      <c r="EF36" s="91" t="n"/>
      <c r="EG36" s="91" t="n"/>
      <c r="EH36" s="91" t="n"/>
      <c r="EI36" s="91" t="n"/>
      <c r="EJ36" s="91" t="n"/>
      <c r="EK36" s="91" t="n"/>
      <c r="EL36" s="91" t="n"/>
      <c r="EM36" s="91" t="n"/>
      <c r="EN36" s="91" t="n"/>
      <c r="EO36" s="91" t="n"/>
      <c r="EP36" s="91" t="n"/>
      <c r="EQ36" s="91" t="n"/>
      <c r="ER36" s="91" t="n"/>
      <c r="ES36" s="91" t="n"/>
      <c r="ET36" s="91" t="n"/>
      <c r="EU36" s="91" t="n"/>
      <c r="EV36" s="91" t="n"/>
      <c r="EW36" s="91" t="n"/>
      <c r="EX36" s="91" t="n"/>
      <c r="EY36" s="91" t="n"/>
      <c r="EZ36" s="91" t="n"/>
      <c r="FA36" s="91" t="n"/>
      <c r="FB36" s="91" t="n"/>
      <c r="FC36" s="91" t="n"/>
      <c r="FD36" s="91" t="n"/>
      <c r="FE36" s="91" t="n"/>
      <c r="FF36" s="91" t="n"/>
      <c r="FG36" s="91" t="n"/>
      <c r="FH36" s="91" t="n"/>
      <c r="FI36" s="91" t="n"/>
      <c r="FJ36" s="91" t="n"/>
      <c r="FK36" s="91" t="n"/>
      <c r="FL36" s="91" t="n"/>
      <c r="FM36" s="91" t="n"/>
      <c r="FN36" s="91" t="n"/>
      <c r="FO36" s="91" t="n"/>
      <c r="FP36" s="91" t="n"/>
      <c r="FQ36" s="91" t="n"/>
      <c r="FR36" s="91" t="n"/>
      <c r="FS36" s="91" t="n"/>
      <c r="FT36" s="91" t="n"/>
      <c r="FU36" s="91" t="n"/>
      <c r="FV36" s="91" t="n"/>
      <c r="FW36" s="91" t="n"/>
      <c r="FX36" s="91" t="n"/>
      <c r="FY36" s="91" t="n"/>
      <c r="FZ36" s="91" t="n"/>
      <c r="GA36" s="91" t="n"/>
      <c r="GB36" s="91" t="n"/>
      <c r="GC36" s="91" t="n"/>
      <c r="GD36" s="91" t="n"/>
      <c r="GE36" s="91" t="n"/>
      <c r="GF36" s="91" t="n"/>
      <c r="GG36" s="91" t="n"/>
      <c r="GH36" s="91" t="n"/>
      <c r="GI36" s="91" t="n"/>
      <c r="GJ36" s="91" t="n"/>
      <c r="GK36" s="91" t="n"/>
      <c r="GL36" s="91" t="n"/>
      <c r="GM36" s="91" t="n"/>
      <c r="GN36" s="91" t="n"/>
      <c r="GO36" s="91" t="n"/>
      <c r="GP36" s="91" t="n"/>
      <c r="GQ36" s="91" t="n"/>
      <c r="GR36" s="91" t="n"/>
      <c r="GS36" s="91" t="n"/>
      <c r="GT36" s="91" t="n"/>
      <c r="GU36" s="91" t="n"/>
      <c r="GV36" s="91" t="n"/>
      <c r="GW36" s="91" t="n"/>
      <c r="GX36" s="91" t="n"/>
      <c r="GY36" s="91" t="n"/>
      <c r="GZ36" s="91" t="n"/>
      <c r="HA36" s="91" t="n"/>
      <c r="HB36" s="91" t="n"/>
      <c r="HC36" s="91" t="n"/>
      <c r="HD36" s="91" t="n"/>
      <c r="HE36" s="91" t="n"/>
      <c r="HF36" s="91" t="n"/>
      <c r="HG36" s="91" t="n"/>
      <c r="HH36" s="91" t="n"/>
      <c r="HI36" s="91" t="n"/>
      <c r="HJ36" s="91" t="n"/>
      <c r="HK36" s="91" t="n"/>
      <c r="HL36" s="91" t="n"/>
      <c r="HM36" s="91" t="n"/>
      <c r="HN36" s="91" t="n"/>
      <c r="HO36" s="91" t="n"/>
      <c r="HP36" s="91" t="n"/>
      <c r="HQ36" s="91" t="n"/>
      <c r="HR36" s="91" t="n"/>
      <c r="HS36" s="91" t="n"/>
      <c r="HT36" s="91" t="n"/>
      <c r="HU36" s="91" t="n"/>
    </row>
    <row r="37" ht="16.2" customHeight="1">
      <c r="A37" s="81" t="inlineStr">
        <is>
          <t>DESPESAS DE OBRA (-) | Projeto (-)</t>
        </is>
      </c>
      <c r="B37" s="142" t="n"/>
      <c r="C37" s="82" t="n"/>
      <c r="D37" s="84" t="n"/>
      <c r="E37" s="82" t="n"/>
      <c r="F37" s="82" t="n"/>
      <c r="G37" s="82" t="n"/>
      <c r="H37" s="82" t="n"/>
      <c r="I37" s="83" t="n"/>
      <c r="J37" s="179" t="n"/>
      <c r="K37" s="109" t="n"/>
      <c r="L37" s="108" t="n"/>
      <c r="M37" s="220" t="n"/>
      <c r="N37" s="220" t="n"/>
      <c r="O37" s="220" t="n"/>
      <c r="P37" s="220" t="n"/>
      <c r="Q37" s="220" t="n"/>
      <c r="R37" s="220" t="n"/>
      <c r="S37" s="220" t="n"/>
      <c r="T37" s="220" t="n"/>
      <c r="U37" s="220" t="n"/>
      <c r="V37" s="220" t="n"/>
      <c r="W37" s="220" t="n"/>
      <c r="X37" s="220" t="n"/>
      <c r="Y37" s="220" t="n"/>
      <c r="Z37" s="220" t="n"/>
      <c r="AA37" s="220" t="n"/>
      <c r="AB37" s="220" t="n"/>
      <c r="AC37" s="220" t="n"/>
      <c r="AD37" s="220" t="n"/>
      <c r="AE37" s="220" t="n"/>
      <c r="AF37" s="220" t="n"/>
      <c r="AG37" s="220" t="n"/>
      <c r="AH37" s="200" t="n"/>
      <c r="AI37" s="241" t="n"/>
      <c r="AJ37" s="200" t="n"/>
      <c r="AK37" s="92" t="n"/>
      <c r="AL37" s="92" t="n"/>
      <c r="AM37" s="92" t="n"/>
      <c r="AN37" s="92" t="n"/>
      <c r="AO37" s="92" t="n"/>
      <c r="AP37" s="92" t="n"/>
      <c r="AQ37" s="109" t="n"/>
      <c r="AR37" s="109" t="n"/>
      <c r="AS37" s="92" t="n"/>
      <c r="AT37" s="92" t="n"/>
      <c r="AU37" s="92" t="n"/>
      <c r="AV37" s="92" t="n"/>
      <c r="AW37" s="92" t="n"/>
      <c r="AX37" s="92" t="n"/>
      <c r="AY37" s="92" t="n"/>
      <c r="AZ37" s="92" t="n"/>
      <c r="BA37" s="92" t="n"/>
      <c r="BB37" s="92" t="n"/>
      <c r="BC37" s="92" t="n"/>
      <c r="BD37" s="303" t="n"/>
      <c r="BE37" s="272" t="n"/>
      <c r="BF37" s="92" t="n"/>
      <c r="BG37" s="92" t="n"/>
      <c r="BH37" s="92" t="n"/>
      <c r="BI37" s="92" t="n"/>
      <c r="BJ37" s="92" t="n"/>
      <c r="BK37" s="92" t="n"/>
      <c r="BL37" s="92" t="n"/>
      <c r="BM37" s="92" t="n"/>
      <c r="BN37" s="92" t="n"/>
      <c r="BO37" s="92" t="n"/>
      <c r="BP37" s="303" t="n"/>
      <c r="BQ37" s="272" t="n"/>
      <c r="BR37" s="92" t="n"/>
      <c r="BS37" s="92" t="n"/>
      <c r="BT37" s="92" t="n"/>
      <c r="BU37" s="92" t="n"/>
      <c r="BV37" s="92" t="n"/>
      <c r="BW37" s="92" t="n"/>
      <c r="BX37" s="92" t="n"/>
      <c r="BY37" s="92" t="n"/>
      <c r="BZ37" s="92" t="n"/>
      <c r="CA37" s="92" t="n"/>
      <c r="CB37" s="303" t="n"/>
      <c r="CC37" s="272" t="n"/>
      <c r="CD37" s="92" t="n"/>
      <c r="CE37" s="92" t="n"/>
      <c r="CF37" s="92" t="n"/>
      <c r="CG37" s="92" t="n"/>
      <c r="CH37" s="92" t="n"/>
      <c r="CI37" s="92" t="n"/>
      <c r="CJ37" s="92" t="n"/>
      <c r="CK37" s="92" t="n"/>
      <c r="CL37" s="92" t="n"/>
      <c r="CM37" s="92" t="n"/>
      <c r="CN37" s="303" t="n"/>
      <c r="CO37" s="272" t="n"/>
      <c r="CP37" s="92" t="n"/>
      <c r="CQ37" s="92" t="n"/>
      <c r="CR37" s="92" t="n"/>
      <c r="CS37" s="92" t="n"/>
      <c r="CT37" s="92" t="n"/>
      <c r="CU37" s="92" t="n"/>
      <c r="CV37" s="92" t="n"/>
      <c r="CW37" s="92" t="n"/>
      <c r="CX37" s="92" t="n"/>
      <c r="CY37" s="92" t="n"/>
      <c r="CZ37" s="303" t="n"/>
      <c r="DA37" s="272" t="n"/>
      <c r="DB37" s="92" t="n"/>
      <c r="DC37" s="92" t="n"/>
      <c r="DD37" s="92" t="n"/>
      <c r="DE37" s="92" t="n"/>
      <c r="DF37" s="92" t="n"/>
      <c r="DG37" s="92" t="n"/>
      <c r="DH37" s="92" t="n"/>
      <c r="DI37" s="92" t="n"/>
      <c r="DJ37" s="109" t="n"/>
      <c r="DK37" s="92" t="n"/>
      <c r="DL37" s="109" t="n"/>
      <c r="DM37" s="92" t="n"/>
      <c r="DN37" s="109" t="n"/>
      <c r="DO37" s="109" t="n"/>
      <c r="DP37" s="109" t="n"/>
      <c r="DQ37" s="109" t="n"/>
      <c r="DR37" s="109" t="n"/>
      <c r="DS37" s="109" t="n"/>
      <c r="DT37" s="109" t="n"/>
      <c r="DU37" s="109" t="n"/>
      <c r="DV37" s="109" t="n"/>
      <c r="DW37" s="109" t="n"/>
      <c r="DX37" s="109" t="n"/>
      <c r="DY37" s="109" t="n"/>
      <c r="DZ37" s="109" t="n"/>
      <c r="EA37" s="109" t="n"/>
      <c r="EB37" s="109" t="n"/>
      <c r="EC37" s="109" t="n"/>
      <c r="ED37" s="109" t="n"/>
      <c r="EE37" s="109" t="n"/>
      <c r="EF37" s="109" t="n"/>
      <c r="EG37" s="109" t="n"/>
      <c r="EH37" s="109" t="n"/>
      <c r="EI37" s="109" t="n"/>
      <c r="EJ37" s="109" t="n"/>
      <c r="EK37" s="109" t="n"/>
      <c r="EL37" s="109" t="n"/>
      <c r="EM37" s="109" t="n"/>
      <c r="EN37" s="109" t="n"/>
      <c r="EO37" s="109" t="n"/>
      <c r="EP37" s="109" t="n"/>
      <c r="EQ37" s="109" t="n"/>
      <c r="ER37" s="109" t="n"/>
      <c r="ES37" s="109" t="n"/>
      <c r="ET37" s="109" t="n"/>
      <c r="EU37" s="109" t="n"/>
      <c r="EV37" s="109" t="n"/>
      <c r="EW37" s="109" t="n"/>
      <c r="EX37" s="109" t="n"/>
      <c r="EY37" s="109" t="n"/>
      <c r="EZ37" s="109" t="n"/>
      <c r="FA37" s="109" t="n"/>
      <c r="FB37" s="109" t="n"/>
      <c r="FC37" s="109" t="n"/>
      <c r="FD37" s="109" t="n"/>
      <c r="FE37" s="109" t="n"/>
      <c r="FF37" s="109" t="n"/>
      <c r="FG37" s="109" t="n"/>
      <c r="FH37" s="109" t="n"/>
      <c r="FI37" s="109" t="n"/>
      <c r="FJ37" s="109" t="n"/>
      <c r="FK37" s="109" t="n"/>
      <c r="FL37" s="109" t="n"/>
      <c r="FM37" s="109" t="n"/>
      <c r="FN37" s="109" t="n"/>
      <c r="FO37" s="109" t="n"/>
      <c r="FP37" s="109" t="n"/>
      <c r="FQ37" s="109" t="n"/>
      <c r="FR37" s="109" t="n"/>
      <c r="FS37" s="109" t="n"/>
      <c r="FT37" s="109" t="n"/>
      <c r="FU37" s="109" t="n"/>
      <c r="FV37" s="109" t="n"/>
      <c r="FW37" s="109" t="n"/>
      <c r="FX37" s="109" t="n"/>
      <c r="FY37" s="109" t="n"/>
      <c r="FZ37" s="109" t="n"/>
      <c r="GA37" s="109" t="n"/>
      <c r="GB37" s="109" t="n"/>
      <c r="GC37" s="109" t="n"/>
      <c r="GD37" s="109" t="n"/>
      <c r="GE37" s="109" t="n"/>
      <c r="GF37" s="109" t="n"/>
      <c r="GG37" s="109" t="n"/>
      <c r="GH37" s="109" t="n"/>
      <c r="GI37" s="109" t="n"/>
      <c r="GJ37" s="109" t="n"/>
      <c r="GK37" s="109" t="n"/>
      <c r="GL37" s="109" t="n"/>
      <c r="GM37" s="109" t="n"/>
      <c r="GN37" s="109" t="n"/>
      <c r="GO37" s="109" t="n"/>
      <c r="GP37" s="109" t="n"/>
      <c r="GQ37" s="109" t="n"/>
      <c r="GR37" s="109" t="n"/>
      <c r="GS37" s="109" t="n"/>
      <c r="GT37" s="109" t="n"/>
      <c r="GU37" s="109" t="n"/>
      <c r="GV37" s="109" t="n"/>
      <c r="GW37" s="109" t="n"/>
      <c r="GX37" s="109" t="n"/>
      <c r="GY37" s="109" t="n"/>
      <c r="GZ37" s="109" t="n"/>
      <c r="HA37" s="109" t="n"/>
      <c r="HB37" s="109" t="n"/>
      <c r="HC37" s="109" t="n"/>
      <c r="HD37" s="109" t="n"/>
      <c r="HE37" s="109" t="n"/>
      <c r="HF37" s="109" t="n"/>
      <c r="HG37" s="109" t="n"/>
      <c r="HH37" s="109" t="n"/>
      <c r="HI37" s="109" t="n"/>
      <c r="HJ37" s="109" t="n"/>
      <c r="HK37" s="109" t="n"/>
      <c r="HL37" s="109" t="n"/>
      <c r="HM37" s="109" t="n"/>
      <c r="HN37" s="109" t="n"/>
      <c r="HO37" s="109" t="n"/>
      <c r="HP37" s="109" t="n"/>
      <c r="HQ37" s="109" t="n"/>
      <c r="HR37" s="109" t="n"/>
      <c r="HS37" s="109" t="n"/>
      <c r="HT37" s="109" t="n"/>
      <c r="HU37" s="109" t="n"/>
    </row>
    <row r="38" ht="18" customHeight="1">
      <c r="A38" s="7" t="inlineStr">
        <is>
          <t>OBRA - (revisão maio/25)</t>
        </is>
      </c>
      <c r="B38" s="136" t="n"/>
      <c r="C38" s="85" t="n"/>
      <c r="D38" s="87" t="n"/>
      <c r="E38" s="85" t="n"/>
      <c r="F38" s="85" t="n"/>
      <c r="G38" s="85" t="n"/>
      <c r="H38" s="85" t="n"/>
      <c r="I38" s="86" t="n"/>
      <c r="J38" s="526" t="n"/>
      <c r="K38" s="527" t="n"/>
      <c r="L38" s="528" t="n"/>
      <c r="M38" s="529" t="n"/>
      <c r="N38" s="529" t="n"/>
      <c r="O38" s="529" t="n"/>
      <c r="P38" s="529" t="n"/>
      <c r="Q38" s="529" t="n"/>
      <c r="R38" s="529" t="n"/>
      <c r="S38" s="529" t="n"/>
      <c r="T38" s="529" t="n"/>
      <c r="U38" s="529" t="n"/>
      <c r="V38" s="529" t="n"/>
      <c r="W38" s="529" t="n"/>
      <c r="X38" s="529" t="n"/>
      <c r="Y38" s="529" t="n"/>
      <c r="Z38" s="529" t="n"/>
      <c r="AA38" s="529" t="n"/>
      <c r="AB38" s="529" t="n"/>
      <c r="AC38" s="529" t="n"/>
      <c r="AD38" s="529" t="n"/>
      <c r="AE38" s="529" t="n"/>
      <c r="AF38" s="529" t="n"/>
      <c r="AG38" s="529" t="n"/>
      <c r="AH38" s="13" t="n"/>
      <c r="AI38" s="345" t="n"/>
      <c r="AJ38" s="13" t="n"/>
      <c r="AK38" s="87" t="n"/>
      <c r="AL38" s="87" t="n"/>
      <c r="AM38" s="87" t="n"/>
      <c r="AN38" s="87" t="n"/>
      <c r="AO38" s="87" t="n"/>
      <c r="AP38" s="87" t="n"/>
      <c r="AQ38" s="87" t="n"/>
      <c r="AR38" s="87" t="n"/>
      <c r="AS38" s="87" t="n"/>
      <c r="AT38" s="87" t="n"/>
      <c r="AU38" s="87" t="n"/>
      <c r="AV38" s="87" t="n"/>
      <c r="AW38" s="87" t="n"/>
      <c r="AX38" s="87" t="n"/>
      <c r="AY38" s="87" t="n"/>
      <c r="AZ38" s="87" t="n"/>
      <c r="BA38" s="87" t="n"/>
      <c r="BB38" s="87" t="n"/>
      <c r="BC38" s="87" t="n"/>
      <c r="BD38" s="87" t="n"/>
      <c r="BE38" s="87" t="n"/>
      <c r="BF38" s="87" t="n"/>
      <c r="BG38" s="87" t="n"/>
      <c r="BH38" s="87" t="n"/>
      <c r="BI38" s="87" t="n"/>
      <c r="BJ38" s="87" t="n"/>
      <c r="BK38" s="87" t="n"/>
      <c r="BL38" s="87" t="n"/>
      <c r="BM38" s="87" t="n"/>
      <c r="BN38" s="87" t="n"/>
      <c r="BO38" s="87" t="n"/>
      <c r="BP38" s="87" t="n"/>
      <c r="BQ38" s="87" t="n"/>
      <c r="BR38" s="87" t="n"/>
      <c r="BS38" s="87" t="n"/>
      <c r="BT38" s="87" t="n"/>
      <c r="BU38" s="87" t="n"/>
      <c r="BV38" s="87" t="n"/>
      <c r="BW38" s="87" t="n"/>
      <c r="BX38" s="87" t="n"/>
      <c r="BY38" s="87" t="n"/>
      <c r="BZ38" s="87" t="n"/>
      <c r="CA38" s="87" t="n"/>
      <c r="CB38" s="87" t="n"/>
      <c r="CC38" s="87" t="n"/>
      <c r="CD38" s="87" t="n"/>
      <c r="CE38" s="87" t="n"/>
      <c r="CF38" s="87" t="n"/>
      <c r="CG38" s="87" t="n"/>
      <c r="CH38" s="87" t="n"/>
      <c r="CI38" s="87" t="n"/>
      <c r="CJ38" s="87" t="n"/>
      <c r="CK38" s="87" t="n"/>
      <c r="CL38" s="87" t="n"/>
      <c r="CM38" s="87" t="n"/>
      <c r="CN38" s="87" t="n"/>
      <c r="CO38" s="87" t="n"/>
      <c r="CP38" s="87" t="n"/>
      <c r="CQ38" s="87" t="n"/>
      <c r="CR38" s="87" t="n"/>
      <c r="CS38" s="87" t="n"/>
      <c r="CT38" s="87" t="n"/>
      <c r="CU38" s="87" t="n"/>
      <c r="CV38" s="87" t="n"/>
      <c r="CW38" s="87" t="n"/>
      <c r="CX38" s="87" t="n"/>
      <c r="CY38" s="87" t="n"/>
      <c r="CZ38" s="87" t="n"/>
      <c r="DA38" s="87" t="n"/>
      <c r="DB38" s="87" t="n"/>
      <c r="DC38" s="87" t="n"/>
      <c r="DD38" s="87" t="n"/>
      <c r="DE38" s="87" t="n"/>
      <c r="DF38" s="87" t="n"/>
      <c r="DG38" s="87" t="n"/>
      <c r="DH38" s="87" t="n"/>
      <c r="DI38" s="87" t="n"/>
      <c r="DJ38" s="87" t="n"/>
      <c r="DK38" s="87" t="n"/>
      <c r="DL38" s="87" t="n"/>
      <c r="DM38" s="87" t="n"/>
      <c r="DN38" s="87" t="n"/>
      <c r="DO38" s="87" t="n"/>
      <c r="DP38" s="87" t="n"/>
      <c r="DQ38" s="87" t="n"/>
      <c r="DR38" s="87" t="n"/>
      <c r="DS38" s="87" t="n"/>
      <c r="DT38" s="87" t="n"/>
      <c r="DU38" s="87" t="n"/>
      <c r="DV38" s="87" t="n"/>
      <c r="DW38" s="87" t="n"/>
      <c r="DX38" s="87" t="n"/>
      <c r="DY38" s="87" t="n"/>
      <c r="DZ38" s="87" t="n"/>
      <c r="EA38" s="87" t="n"/>
      <c r="EB38" s="87" t="n"/>
      <c r="EC38" s="87" t="n"/>
      <c r="ED38" s="87" t="n"/>
      <c r="EE38" s="87" t="n"/>
      <c r="EF38" s="87" t="n"/>
      <c r="EG38" s="87" t="n"/>
      <c r="EH38" s="87" t="n"/>
      <c r="EI38" s="87" t="n"/>
      <c r="EJ38" s="87" t="n"/>
      <c r="EK38" s="87" t="n"/>
      <c r="EL38" s="87" t="n"/>
      <c r="EM38" s="87" t="n"/>
      <c r="EN38" s="87" t="n"/>
      <c r="EO38" s="87" t="n"/>
      <c r="EP38" s="87" t="n"/>
      <c r="EQ38" s="87" t="n"/>
      <c r="ER38" s="87" t="n"/>
      <c r="ES38" s="87" t="n"/>
      <c r="ET38" s="87" t="n"/>
      <c r="EU38" s="87" t="n"/>
      <c r="EV38" s="87" t="n"/>
      <c r="EW38" s="87" t="n"/>
      <c r="EX38" s="87" t="n"/>
      <c r="EY38" s="87" t="n"/>
      <c r="EZ38" s="87" t="n"/>
      <c r="FA38" s="87" t="n"/>
      <c r="FB38" s="87" t="n"/>
      <c r="FC38" s="87" t="n"/>
      <c r="FD38" s="87" t="n"/>
      <c r="FE38" s="87" t="n"/>
      <c r="FF38" s="87" t="n"/>
      <c r="FG38" s="87" t="n"/>
      <c r="FH38" s="87" t="n"/>
      <c r="FI38" s="87" t="n"/>
      <c r="FJ38" s="87" t="n"/>
      <c r="FK38" s="87" t="n"/>
      <c r="FL38" s="87" t="n"/>
      <c r="FM38" s="87" t="n"/>
      <c r="FN38" s="87" t="n"/>
      <c r="FO38" s="87" t="n"/>
      <c r="FP38" s="87" t="n"/>
      <c r="FQ38" s="87" t="n"/>
      <c r="FR38" s="87" t="n"/>
      <c r="FS38" s="87" t="n"/>
      <c r="FT38" s="87" t="n"/>
      <c r="FU38" s="87" t="n"/>
      <c r="FV38" s="87" t="n"/>
      <c r="FW38" s="87" t="n"/>
      <c r="FX38" s="87" t="n"/>
      <c r="FY38" s="87" t="n"/>
      <c r="FZ38" s="87" t="n"/>
      <c r="GA38" s="87" t="n"/>
      <c r="GB38" s="87" t="n"/>
      <c r="GC38" s="87" t="n"/>
      <c r="GD38" s="87" t="n"/>
      <c r="GE38" s="87" t="n"/>
      <c r="GF38" s="87" t="n"/>
      <c r="GG38" s="87" t="n"/>
      <c r="GH38" s="87" t="n"/>
      <c r="GI38" s="87" t="n"/>
      <c r="GJ38" s="87" t="n"/>
      <c r="GK38" s="87" t="n"/>
      <c r="GL38" s="87" t="n"/>
      <c r="GM38" s="87" t="n"/>
      <c r="GN38" s="87" t="n"/>
      <c r="GO38" s="87" t="n"/>
      <c r="GP38" s="87" t="n"/>
      <c r="GQ38" s="87" t="n"/>
      <c r="GR38" s="87" t="n"/>
      <c r="GS38" s="87" t="n"/>
      <c r="GT38" s="87" t="n"/>
      <c r="GU38" s="87" t="n"/>
      <c r="GV38" s="87" t="n"/>
      <c r="GW38" s="87" t="n"/>
      <c r="GX38" s="87" t="n"/>
      <c r="GY38" s="87" t="n"/>
      <c r="GZ38" s="87" t="n"/>
      <c r="HA38" s="87" t="n"/>
      <c r="HB38" s="87" t="n"/>
      <c r="HC38" s="87" t="n"/>
      <c r="HD38" s="87" t="n"/>
      <c r="HE38" s="87" t="n"/>
      <c r="HF38" s="87" t="n"/>
      <c r="HG38" s="87" t="n"/>
      <c r="HH38" s="87" t="n"/>
      <c r="HI38" s="87" t="n"/>
      <c r="HJ38" s="87" t="n"/>
      <c r="HK38" s="87" t="n"/>
      <c r="HL38" s="87" t="n"/>
      <c r="HM38" s="87" t="n"/>
      <c r="HN38" s="87" t="n"/>
      <c r="HO38" s="87" t="n"/>
      <c r="HP38" s="87" t="n"/>
      <c r="HQ38" s="87" t="n"/>
      <c r="HR38" s="87" t="n"/>
      <c r="HS38" s="87" t="n"/>
      <c r="HT38" s="87" t="n"/>
      <c r="HU38" s="87" t="n"/>
    </row>
    <row r="39" ht="16.2" customHeight="1">
      <c r="A39" s="1" t="inlineStr">
        <is>
          <t>CONTRAPARTIDA SAAE</t>
        </is>
      </c>
      <c r="B39" s="136" t="n"/>
      <c r="C39" s="53" t="n"/>
      <c r="D39" s="53" t="n"/>
      <c r="E39" s="53" t="n"/>
      <c r="F39" s="53" t="n"/>
      <c r="G39" s="53" t="n"/>
      <c r="H39" s="53" t="n"/>
      <c r="I39" s="53" t="n"/>
      <c r="J39" s="530" t="n"/>
      <c r="K39" s="531" t="n"/>
      <c r="L39" s="531" t="n"/>
      <c r="M39" s="532" t="n"/>
      <c r="N39" s="532" t="n"/>
      <c r="O39" s="532" t="n"/>
      <c r="P39" s="532" t="n"/>
      <c r="Q39" s="532" t="n"/>
      <c r="R39" s="532" t="n"/>
      <c r="S39" s="532" t="n"/>
      <c r="T39" s="532" t="n"/>
      <c r="U39" s="532" t="n"/>
      <c r="V39" s="532" t="n"/>
      <c r="W39" s="532" t="n"/>
      <c r="X39" s="532" t="n"/>
      <c r="Y39" s="532" t="n"/>
      <c r="Z39" s="532" t="n"/>
      <c r="AA39" s="532" t="n"/>
      <c r="AB39" s="532" t="n"/>
      <c r="AC39" s="532" t="n"/>
      <c r="AD39" s="532" t="n"/>
      <c r="AE39" s="532" t="n"/>
      <c r="AF39" s="532" t="n"/>
      <c r="AG39" s="532" t="n"/>
      <c r="AH39" s="13" t="n"/>
      <c r="AI39" s="345" t="n"/>
      <c r="AJ39" s="13" t="n"/>
      <c r="AK39" s="87" t="n"/>
      <c r="AL39" s="87" t="n"/>
      <c r="AM39" s="87" t="n"/>
      <c r="AN39" s="87" t="n"/>
      <c r="AO39" s="87" t="n"/>
      <c r="AP39" s="87" t="n"/>
      <c r="AQ39" s="87" t="n"/>
      <c r="AR39" s="87" t="n"/>
      <c r="AS39" s="87" t="n"/>
      <c r="AT39" s="87" t="n"/>
      <c r="AU39" s="87" t="n"/>
      <c r="AV39" s="87" t="n"/>
      <c r="AW39" s="87" t="n"/>
      <c r="AX39" s="87" t="n"/>
      <c r="AY39" s="87" t="n"/>
      <c r="AZ39" s="87" t="n"/>
      <c r="BA39" s="87" t="n"/>
      <c r="BB39" s="87" t="n"/>
      <c r="BC39" s="87" t="n"/>
      <c r="BD39" s="87" t="n"/>
      <c r="BE39" s="87" t="n"/>
      <c r="BF39" s="87" t="n"/>
      <c r="BG39" s="87" t="n"/>
      <c r="BH39" s="87" t="n"/>
      <c r="BI39" s="87" t="n"/>
      <c r="BJ39" s="87" t="n"/>
      <c r="BK39" s="87" t="n"/>
      <c r="BL39" s="87" t="n"/>
      <c r="BM39" s="87" t="n"/>
      <c r="BN39" s="87" t="n"/>
      <c r="BO39" s="87" t="n"/>
      <c r="BP39" s="87" t="n"/>
      <c r="BQ39" s="87" t="n"/>
      <c r="BR39" s="87" t="n"/>
      <c r="BS39" s="87" t="n"/>
      <c r="BT39" s="87" t="n"/>
      <c r="BU39" s="87" t="n"/>
      <c r="BV39" s="87" t="n"/>
      <c r="BW39" s="87" t="n"/>
      <c r="BX39" s="87" t="n"/>
      <c r="BY39" s="87" t="n"/>
      <c r="BZ39" s="87" t="n"/>
      <c r="CA39" s="87" t="n"/>
      <c r="CB39" s="87" t="n"/>
      <c r="CC39" s="87" t="n"/>
      <c r="CD39" s="87" t="n"/>
      <c r="CE39" s="87" t="n"/>
      <c r="CF39" s="87" t="n"/>
      <c r="CG39" s="87" t="n"/>
      <c r="CH39" s="87" t="n"/>
      <c r="CI39" s="87" t="n"/>
      <c r="CJ39" s="87" t="n"/>
      <c r="CK39" s="87" t="n"/>
      <c r="CL39" s="87" t="n"/>
      <c r="CM39" s="87" t="n"/>
      <c r="CN39" s="87" t="n"/>
      <c r="CO39" s="87" t="n"/>
      <c r="CP39" s="87" t="n"/>
      <c r="CQ39" s="87" t="n"/>
      <c r="CR39" s="87" t="n"/>
      <c r="CS39" s="87" t="n"/>
      <c r="CT39" s="87" t="n"/>
      <c r="CU39" s="87" t="n"/>
      <c r="CV39" s="87" t="n"/>
      <c r="CW39" s="87" t="n"/>
      <c r="CX39" s="87" t="n"/>
      <c r="CY39" s="87" t="n"/>
      <c r="CZ39" s="87" t="n"/>
      <c r="DA39" s="87" t="n"/>
      <c r="DB39" s="87" t="n"/>
      <c r="DC39" s="87" t="n"/>
      <c r="DD39" s="87" t="n"/>
      <c r="DE39" s="87" t="n"/>
      <c r="DF39" s="87" t="n"/>
      <c r="DG39" s="87" t="n"/>
      <c r="DH39" s="87" t="n"/>
      <c r="DI39" s="87" t="n"/>
      <c r="DJ39" s="87" t="n"/>
      <c r="DK39" s="87" t="n"/>
      <c r="DL39" s="87" t="n"/>
      <c r="DM39" s="87" t="n"/>
      <c r="DN39" s="87" t="n"/>
      <c r="DO39" s="87" t="n"/>
      <c r="DP39" s="87" t="n"/>
      <c r="DQ39" s="87" t="n"/>
      <c r="DR39" s="87" t="n"/>
      <c r="DS39" s="87" t="n"/>
      <c r="DT39" s="87" t="n"/>
      <c r="DU39" s="87" t="n"/>
      <c r="DV39" s="87" t="n"/>
      <c r="DW39" s="87" t="n"/>
      <c r="DX39" s="87" t="n"/>
      <c r="DY39" s="87" t="n"/>
      <c r="DZ39" s="87" t="n"/>
      <c r="EA39" s="87" t="n"/>
      <c r="EB39" s="87" t="n"/>
      <c r="EC39" s="87" t="n"/>
      <c r="ED39" s="87" t="n"/>
      <c r="EE39" s="87" t="n"/>
      <c r="EF39" s="87" t="n"/>
      <c r="EG39" s="87" t="n"/>
      <c r="EH39" s="87" t="n"/>
      <c r="EI39" s="87" t="n"/>
      <c r="EJ39" s="87" t="n"/>
      <c r="EK39" s="87" t="n"/>
      <c r="EL39" s="87" t="n"/>
      <c r="EM39" s="87" t="n"/>
      <c r="EN39" s="87" t="n"/>
      <c r="EO39" s="87" t="n"/>
      <c r="EP39" s="87" t="n"/>
      <c r="EQ39" s="87" t="n"/>
      <c r="ER39" s="87" t="n"/>
      <c r="ES39" s="87" t="n"/>
      <c r="ET39" s="87" t="n"/>
      <c r="EU39" s="87" t="n"/>
      <c r="EV39" s="87" t="n"/>
      <c r="EW39" s="87" t="n"/>
      <c r="EX39" s="87" t="n"/>
      <c r="EY39" s="87" t="n"/>
      <c r="EZ39" s="87" t="n"/>
      <c r="FA39" s="87" t="n"/>
      <c r="FB39" s="87" t="n"/>
      <c r="FC39" s="87" t="n"/>
      <c r="FD39" s="87" t="n"/>
      <c r="FE39" s="87" t="n"/>
      <c r="FF39" s="87" t="n"/>
      <c r="FG39" s="87" t="n"/>
      <c r="FH39" s="87" t="n"/>
      <c r="FI39" s="87" t="n"/>
      <c r="FJ39" s="87" t="n"/>
      <c r="FK39" s="87" t="n"/>
      <c r="FL39" s="87" t="n"/>
      <c r="FM39" s="87" t="n"/>
      <c r="FN39" s="87" t="n"/>
      <c r="FO39" s="87" t="n"/>
      <c r="FP39" s="87" t="n"/>
      <c r="FQ39" s="87" t="n"/>
      <c r="FR39" s="87" t="n"/>
      <c r="FS39" s="87" t="n"/>
      <c r="FT39" s="87" t="n"/>
      <c r="FU39" s="87" t="n"/>
      <c r="FV39" s="87" t="n"/>
      <c r="FW39" s="87" t="n"/>
      <c r="FX39" s="87" t="n"/>
      <c r="FY39" s="87" t="n"/>
      <c r="FZ39" s="87" t="n"/>
      <c r="GA39" s="87" t="n"/>
      <c r="GB39" s="87" t="n"/>
      <c r="GC39" s="87" t="n"/>
      <c r="GD39" s="87" t="n"/>
      <c r="GE39" s="87" t="n"/>
      <c r="GF39" s="87" t="n"/>
      <c r="GG39" s="87" t="n"/>
      <c r="GH39" s="87" t="n"/>
      <c r="GI39" s="87" t="n"/>
      <c r="GJ39" s="87" t="n"/>
      <c r="GK39" s="87" t="n"/>
      <c r="GL39" s="87" t="n"/>
      <c r="GM39" s="87" t="n"/>
      <c r="GN39" s="87" t="n"/>
      <c r="GO39" s="87" t="n"/>
      <c r="GP39" s="87" t="n"/>
      <c r="GQ39" s="87" t="n"/>
      <c r="GR39" s="87" t="n"/>
      <c r="GS39" s="87" t="n"/>
      <c r="GT39" s="87" t="n"/>
      <c r="GU39" s="87" t="n"/>
      <c r="GV39" s="87" t="n"/>
      <c r="GW39" s="87" t="n"/>
      <c r="GX39" s="87" t="n"/>
      <c r="GY39" s="87" t="n"/>
      <c r="GZ39" s="87" t="n"/>
      <c r="HA39" s="87" t="n"/>
      <c r="HB39" s="87" t="n"/>
      <c r="HC39" s="87" t="n"/>
      <c r="HD39" s="87" t="n"/>
      <c r="HE39" s="87" t="n"/>
      <c r="HF39" s="87" t="n"/>
      <c r="HG39" s="87" t="n"/>
      <c r="HH39" s="87" t="n"/>
      <c r="HI39" s="87" t="n"/>
      <c r="HJ39" s="87" t="n"/>
      <c r="HK39" s="87" t="n"/>
      <c r="HL39" s="87" t="n"/>
      <c r="HM39" s="87" t="n"/>
      <c r="HN39" s="87" t="n"/>
      <c r="HO39" s="87" t="n"/>
      <c r="HP39" s="87" t="n"/>
      <c r="HQ39" s="87" t="n"/>
      <c r="HR39" s="87" t="n"/>
      <c r="HS39" s="87" t="n"/>
      <c r="HT39" s="87" t="n"/>
      <c r="HU39" s="87" t="n"/>
    </row>
    <row r="40" ht="6.75" customHeight="1">
      <c r="A40" s="1" t="n"/>
      <c r="B40" s="128" t="n"/>
      <c r="C40" s="512" t="n"/>
      <c r="D40" s="512" t="n"/>
      <c r="E40" s="512" t="n"/>
      <c r="F40" s="512" t="n"/>
      <c r="G40" s="512" t="n"/>
      <c r="H40" s="512" t="n"/>
      <c r="I40" s="512" t="n"/>
      <c r="J40" s="513" t="n"/>
      <c r="K40" s="512" t="n"/>
      <c r="L40" s="512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2" t="n"/>
      <c r="AI40" s="533" t="n"/>
      <c r="AJ40" s="512" t="n"/>
      <c r="AK40" s="512" t="n"/>
      <c r="AL40" s="512" t="n"/>
      <c r="AM40" s="512" t="n"/>
      <c r="AN40" s="512" t="n"/>
      <c r="AO40" s="512" t="n"/>
      <c r="AP40" s="512" t="n"/>
      <c r="AQ40" s="512" t="n"/>
      <c r="AR40" s="512" t="n"/>
      <c r="AS40" s="512" t="n"/>
      <c r="AT40" s="512" t="n"/>
      <c r="AU40" s="512" t="n"/>
      <c r="AV40" s="512" t="n"/>
      <c r="AW40" s="512" t="n"/>
      <c r="AX40" s="512" t="n"/>
      <c r="AY40" s="512" t="n"/>
      <c r="AZ40" s="512" t="n"/>
      <c r="BA40" s="512" t="n"/>
      <c r="BB40" s="512" t="n"/>
      <c r="BC40" s="512" t="n"/>
      <c r="BD40" s="515" t="n"/>
      <c r="BE40" s="512" t="n"/>
      <c r="BF40" s="512" t="n"/>
      <c r="BG40" s="512" t="n"/>
      <c r="BH40" s="512" t="n"/>
      <c r="BI40" s="512" t="n"/>
      <c r="BJ40" s="512" t="n"/>
      <c r="BK40" s="512" t="n"/>
      <c r="BL40" s="512" t="n"/>
      <c r="BM40" s="512" t="n"/>
      <c r="BN40" s="512" t="n"/>
      <c r="BO40" s="512" t="n"/>
      <c r="BP40" s="515" t="n"/>
      <c r="BQ40" s="512" t="n"/>
      <c r="BR40" s="512" t="n"/>
      <c r="BS40" s="512" t="n"/>
      <c r="BT40" s="512" t="n"/>
      <c r="BU40" s="512" t="n"/>
      <c r="BV40" s="512" t="n"/>
      <c r="BW40" s="512" t="n"/>
      <c r="BX40" s="512" t="n"/>
      <c r="BY40" s="512" t="n"/>
      <c r="BZ40" s="512" t="n"/>
      <c r="CA40" s="512" t="n"/>
      <c r="CB40" s="515" t="n"/>
      <c r="CC40" s="512" t="n"/>
      <c r="CD40" s="512" t="n"/>
      <c r="CE40" s="512" t="n"/>
      <c r="CF40" s="512" t="n"/>
      <c r="CG40" s="512" t="n"/>
      <c r="CH40" s="512" t="n"/>
      <c r="CI40" s="512" t="n"/>
      <c r="CJ40" s="512" t="n"/>
      <c r="CK40" s="512" t="n"/>
      <c r="CL40" s="512" t="n"/>
      <c r="CM40" s="512" t="n"/>
      <c r="CN40" s="515" t="n"/>
      <c r="CO40" s="512" t="n"/>
      <c r="CP40" s="512" t="n"/>
      <c r="CQ40" s="512" t="n"/>
      <c r="CR40" s="512" t="n"/>
      <c r="CS40" s="512" t="n"/>
      <c r="CT40" s="512" t="n"/>
      <c r="CU40" s="512" t="n"/>
      <c r="CV40" s="512" t="n"/>
      <c r="CW40" s="512" t="n"/>
      <c r="CX40" s="512" t="n"/>
      <c r="CY40" s="512" t="n"/>
      <c r="CZ40" s="515" t="n"/>
      <c r="DA40" s="512" t="n"/>
      <c r="DB40" s="512" t="n"/>
      <c r="DC40" s="512" t="n"/>
      <c r="DD40" s="512" t="n"/>
      <c r="DE40" s="512" t="n"/>
      <c r="DF40" s="512" t="n"/>
      <c r="DG40" s="512" t="n"/>
      <c r="DH40" s="512" t="n"/>
      <c r="DI40" s="512" t="n"/>
      <c r="DJ40" s="512" t="n"/>
      <c r="DK40" s="512" t="n"/>
      <c r="DL40" s="512" t="n"/>
      <c r="DM40" s="512" t="n"/>
      <c r="DN40" s="512" t="n"/>
      <c r="DO40" s="512" t="n"/>
      <c r="DP40" s="512" t="n"/>
      <c r="DQ40" s="512" t="n"/>
      <c r="DR40" s="512" t="n"/>
      <c r="DS40" s="512" t="n"/>
      <c r="DT40" s="512" t="n"/>
      <c r="DU40" s="512" t="n"/>
      <c r="DV40" s="512" t="n"/>
      <c r="DW40" s="512" t="n"/>
      <c r="DX40" s="512" t="n"/>
      <c r="DY40" s="512" t="n"/>
      <c r="DZ40" s="512" t="n"/>
      <c r="EA40" s="512" t="n"/>
      <c r="EB40" s="512" t="n"/>
      <c r="EC40" s="512" t="n"/>
      <c r="ED40" s="512" t="n"/>
      <c r="EE40" s="512" t="n"/>
      <c r="EF40" s="512" t="n"/>
      <c r="EG40" s="512" t="n"/>
      <c r="EH40" s="512" t="n"/>
      <c r="EI40" s="512" t="n"/>
      <c r="EJ40" s="512" t="n"/>
      <c r="EK40" s="512" t="n"/>
      <c r="EL40" s="512" t="n"/>
      <c r="EM40" s="512" t="n"/>
      <c r="EN40" s="512" t="n"/>
      <c r="EO40" s="512" t="n"/>
      <c r="EP40" s="512" t="n"/>
      <c r="EQ40" s="512" t="n"/>
      <c r="ER40" s="512" t="n"/>
      <c r="ES40" s="512" t="n"/>
      <c r="ET40" s="512" t="n"/>
      <c r="EU40" s="512" t="n"/>
      <c r="EV40" s="512" t="n"/>
      <c r="EW40" s="512" t="n"/>
      <c r="EX40" s="512" t="n"/>
      <c r="EY40" s="512" t="n"/>
      <c r="EZ40" s="512" t="n"/>
      <c r="FA40" s="512" t="n"/>
      <c r="FB40" s="512" t="n"/>
      <c r="FC40" s="512" t="n"/>
      <c r="FD40" s="512" t="n"/>
      <c r="FE40" s="512" t="n"/>
      <c r="FF40" s="512" t="n"/>
      <c r="FG40" s="512" t="n"/>
      <c r="FH40" s="512" t="n"/>
      <c r="FI40" s="512" t="n"/>
      <c r="FJ40" s="512" t="n"/>
      <c r="FK40" s="512" t="n"/>
      <c r="FL40" s="512" t="n"/>
      <c r="FM40" s="512" t="n"/>
      <c r="FN40" s="512" t="n"/>
      <c r="FO40" s="512" t="n"/>
      <c r="FP40" s="512" t="n"/>
      <c r="FQ40" s="512" t="n"/>
      <c r="FR40" s="512" t="n"/>
      <c r="FS40" s="512" t="n"/>
      <c r="FT40" s="512" t="n"/>
      <c r="FU40" s="512" t="n"/>
      <c r="FV40" s="512" t="n"/>
      <c r="FW40" s="512" t="n"/>
      <c r="FX40" s="512" t="n"/>
      <c r="FY40" s="512" t="n"/>
      <c r="FZ40" s="512" t="n"/>
      <c r="GA40" s="512" t="n"/>
      <c r="GB40" s="512" t="n"/>
      <c r="GC40" s="512" t="n"/>
      <c r="GD40" s="512" t="n"/>
      <c r="GE40" s="512" t="n"/>
      <c r="GF40" s="512" t="n"/>
      <c r="GG40" s="512" t="n"/>
      <c r="GH40" s="512" t="n"/>
      <c r="GI40" s="512" t="n"/>
      <c r="GJ40" s="512" t="n"/>
      <c r="GK40" s="512" t="n"/>
      <c r="GL40" s="512" t="n"/>
      <c r="GM40" s="512" t="n"/>
      <c r="GN40" s="512" t="n"/>
      <c r="GO40" s="512" t="n"/>
      <c r="GP40" s="512" t="n"/>
      <c r="GQ40" s="512" t="n"/>
      <c r="GR40" s="512" t="n"/>
      <c r="GS40" s="512" t="n"/>
      <c r="GT40" s="512" t="n"/>
      <c r="GU40" s="512" t="n"/>
      <c r="GV40" s="512" t="n"/>
      <c r="GW40" s="512" t="n"/>
      <c r="GX40" s="512" t="n"/>
      <c r="GY40" s="512" t="n"/>
      <c r="GZ40" s="512" t="n"/>
      <c r="HA40" s="512" t="n"/>
      <c r="HB40" s="512" t="n"/>
      <c r="HC40" s="512" t="n"/>
      <c r="HD40" s="512" t="n"/>
      <c r="HE40" s="512" t="n"/>
      <c r="HF40" s="512" t="n"/>
      <c r="HG40" s="512" t="n"/>
      <c r="HH40" s="512" t="n"/>
      <c r="HI40" s="512" t="n"/>
      <c r="HJ40" s="512" t="n"/>
      <c r="HK40" s="512" t="n"/>
      <c r="HL40" s="512" t="n"/>
      <c r="HM40" s="512" t="n"/>
      <c r="HN40" s="512" t="n"/>
      <c r="HO40" s="512" t="n"/>
      <c r="HP40" s="512" t="n"/>
      <c r="HQ40" s="512" t="n"/>
      <c r="HR40" s="512" t="n"/>
      <c r="HS40" s="512" t="n"/>
      <c r="HT40" s="512" t="n"/>
      <c r="HU40" s="512" t="n"/>
    </row>
    <row r="41" ht="16.2" customHeight="1">
      <c r="A41" s="19" t="inlineStr">
        <is>
          <t>INCORPORAÇÃO (-)</t>
        </is>
      </c>
      <c r="B41" s="139" t="n"/>
      <c r="C41" s="20" t="n"/>
      <c r="D41" s="22" t="n"/>
      <c r="E41" s="20" t="n"/>
      <c r="F41" s="20" t="n"/>
      <c r="G41" s="20" t="n"/>
      <c r="H41" s="20" t="n"/>
      <c r="I41" s="21" t="n"/>
      <c r="J41" s="175" t="n"/>
      <c r="K41" s="21" t="n"/>
      <c r="L41" s="108" t="n"/>
      <c r="M41" s="220" t="n"/>
      <c r="N41" s="220" t="n"/>
      <c r="O41" s="220" t="n"/>
      <c r="P41" s="220" t="n"/>
      <c r="Q41" s="220" t="n"/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00" t="n"/>
      <c r="AI41" s="241" t="n"/>
      <c r="AJ41" s="200" t="n"/>
      <c r="AK41" s="20" t="n"/>
      <c r="AL41" s="20" t="n"/>
      <c r="AM41" s="20" t="n"/>
      <c r="AN41" s="20" t="n"/>
      <c r="AO41" s="20" t="n"/>
      <c r="AP41" s="20" t="n"/>
      <c r="AQ41" s="21" t="n"/>
      <c r="AR41" s="21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99" t="n"/>
      <c r="BE41" s="22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99" t="n"/>
      <c r="BQ41" s="22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99" t="n"/>
      <c r="CC41" s="22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99" t="n"/>
      <c r="CO41" s="22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99" t="n"/>
      <c r="DA41" s="22" t="n"/>
      <c r="DB41" s="20" t="n"/>
      <c r="DC41" s="20" t="n"/>
      <c r="DD41" s="20" t="n"/>
      <c r="DE41" s="20" t="n"/>
      <c r="DF41" s="20" t="n"/>
      <c r="DG41" s="20" t="n"/>
      <c r="DH41" s="20" t="n"/>
      <c r="DI41" s="20" t="n"/>
      <c r="DJ41" s="21" t="n"/>
      <c r="DK41" s="20" t="n"/>
      <c r="DL41" s="21" t="n"/>
      <c r="DM41" s="20" t="n"/>
      <c r="DN41" s="21" t="n"/>
      <c r="DO41" s="21" t="n"/>
      <c r="DP41" s="21" t="n"/>
      <c r="DQ41" s="21" t="n"/>
      <c r="DR41" s="21" t="n"/>
      <c r="DS41" s="21" t="n"/>
      <c r="DT41" s="21" t="n"/>
      <c r="DU41" s="21" t="n"/>
      <c r="DV41" s="21" t="n"/>
      <c r="DW41" s="21" t="n"/>
      <c r="DX41" s="21" t="n"/>
      <c r="DY41" s="21" t="n"/>
      <c r="DZ41" s="21" t="n"/>
      <c r="EA41" s="21" t="n"/>
      <c r="EB41" s="21" t="n"/>
      <c r="EC41" s="21" t="n"/>
      <c r="ED41" s="21" t="n"/>
      <c r="EE41" s="21" t="n"/>
      <c r="EF41" s="21" t="n"/>
      <c r="EG41" s="21" t="n"/>
      <c r="EH41" s="21" t="n"/>
      <c r="EI41" s="21" t="n"/>
      <c r="EJ41" s="21" t="n"/>
      <c r="EK41" s="21" t="n"/>
      <c r="EL41" s="21" t="n"/>
      <c r="EM41" s="21" t="n"/>
      <c r="EN41" s="21" t="n"/>
      <c r="EO41" s="21" t="n"/>
      <c r="EP41" s="21" t="n"/>
      <c r="EQ41" s="21" t="n"/>
      <c r="ER41" s="21" t="n"/>
      <c r="ES41" s="21" t="n"/>
      <c r="ET41" s="21" t="n"/>
      <c r="EU41" s="21" t="n"/>
      <c r="EV41" s="21" t="n"/>
      <c r="EW41" s="21" t="n"/>
      <c r="EX41" s="21" t="n"/>
      <c r="EY41" s="21" t="n"/>
      <c r="EZ41" s="21" t="n"/>
      <c r="FA41" s="21" t="n"/>
      <c r="FB41" s="21" t="n"/>
      <c r="FC41" s="21" t="n"/>
      <c r="FD41" s="21" t="n"/>
      <c r="FE41" s="21" t="n"/>
      <c r="FF41" s="21" t="n"/>
      <c r="FG41" s="21" t="n"/>
      <c r="FH41" s="21" t="n"/>
      <c r="FI41" s="21" t="n"/>
      <c r="FJ41" s="21" t="n"/>
      <c r="FK41" s="21" t="n"/>
      <c r="FL41" s="21" t="n"/>
      <c r="FM41" s="21" t="n"/>
      <c r="FN41" s="21" t="n"/>
      <c r="FO41" s="21" t="n"/>
      <c r="FP41" s="21" t="n"/>
      <c r="FQ41" s="21" t="n"/>
      <c r="FR41" s="21" t="n"/>
      <c r="FS41" s="21" t="n"/>
      <c r="FT41" s="21" t="n"/>
      <c r="FU41" s="21" t="n"/>
      <c r="FV41" s="21" t="n"/>
      <c r="FW41" s="21" t="n"/>
      <c r="FX41" s="21" t="n"/>
      <c r="FY41" s="21" t="n"/>
      <c r="FZ41" s="21" t="n"/>
      <c r="GA41" s="21" t="n"/>
      <c r="GB41" s="21" t="n"/>
      <c r="GC41" s="21" t="n"/>
      <c r="GD41" s="21" t="n"/>
      <c r="GE41" s="21" t="n"/>
      <c r="GF41" s="21" t="n"/>
      <c r="GG41" s="21" t="n"/>
      <c r="GH41" s="21" t="n"/>
      <c r="GI41" s="21" t="n"/>
      <c r="GJ41" s="21" t="n"/>
      <c r="GK41" s="21" t="n"/>
      <c r="GL41" s="21" t="n"/>
      <c r="GM41" s="21" t="n"/>
      <c r="GN41" s="21" t="n"/>
      <c r="GO41" s="21" t="n"/>
      <c r="GP41" s="21" t="n"/>
      <c r="GQ41" s="21" t="n"/>
      <c r="GR41" s="21" t="n"/>
      <c r="GS41" s="21" t="n"/>
      <c r="GT41" s="21" t="n"/>
      <c r="GU41" s="21" t="n"/>
      <c r="GV41" s="21" t="n"/>
      <c r="GW41" s="21" t="n"/>
      <c r="GX41" s="21" t="n"/>
      <c r="GY41" s="21" t="n"/>
      <c r="GZ41" s="21" t="n"/>
      <c r="HA41" s="21" t="n"/>
      <c r="HB41" s="21" t="n"/>
      <c r="HC41" s="21" t="n"/>
      <c r="HD41" s="21" t="n"/>
      <c r="HE41" s="21" t="n"/>
      <c r="HF41" s="21" t="n"/>
      <c r="HG41" s="21" t="n"/>
      <c r="HH41" s="21" t="n"/>
      <c r="HI41" s="21" t="n"/>
      <c r="HJ41" s="21" t="n"/>
      <c r="HK41" s="21" t="n"/>
      <c r="HL41" s="21" t="n"/>
      <c r="HM41" s="21" t="n"/>
      <c r="HN41" s="21" t="n"/>
      <c r="HO41" s="21" t="n"/>
      <c r="HP41" s="21" t="n"/>
      <c r="HQ41" s="21" t="n"/>
      <c r="HR41" s="21" t="n"/>
      <c r="HS41" s="21" t="n"/>
      <c r="HT41" s="21" t="n"/>
      <c r="HU41" s="21" t="n"/>
    </row>
    <row r="42" ht="16.2" customHeight="1">
      <c r="A42" s="7" t="inlineStr">
        <is>
          <t>Incorporação</t>
        </is>
      </c>
      <c r="B42" s="136" t="n"/>
      <c r="C42" s="85" t="n"/>
      <c r="D42" s="87" t="n"/>
      <c r="E42" s="85" t="n"/>
      <c r="F42" s="85" t="n"/>
      <c r="G42" s="85" t="n"/>
      <c r="H42" s="85" t="n"/>
      <c r="I42" s="86" t="n"/>
      <c r="J42" s="170" t="n"/>
      <c r="K42" s="86" t="n"/>
      <c r="L42" s="34" t="n"/>
      <c r="M42" s="159" t="n"/>
      <c r="N42" s="219" t="n"/>
      <c r="O42" s="219" t="n"/>
      <c r="P42" s="219" t="n"/>
      <c r="Q42" s="219" t="n"/>
      <c r="R42" s="219" t="n"/>
      <c r="S42" s="219" t="n"/>
      <c r="T42" s="219" t="n"/>
      <c r="U42" s="219" t="n"/>
      <c r="V42" s="219" t="n"/>
      <c r="W42" s="219" t="n"/>
      <c r="X42" s="219" t="n"/>
      <c r="Y42" s="219" t="n"/>
      <c r="Z42" s="219" t="n"/>
      <c r="AA42" s="219" t="n"/>
      <c r="AB42" s="219" t="n"/>
      <c r="AC42" s="219" t="n"/>
      <c r="AD42" s="219" t="n"/>
      <c r="AE42" s="219" t="n"/>
      <c r="AF42" s="219" t="n"/>
      <c r="AG42" s="219" t="n"/>
      <c r="AH42" s="13" t="n"/>
      <c r="AI42" s="345" t="n"/>
      <c r="AJ42" s="13" t="n"/>
      <c r="AK42" s="87" t="n"/>
      <c r="AL42" s="87" t="n"/>
      <c r="AM42" s="87" t="n"/>
      <c r="AN42" s="87" t="n"/>
      <c r="AO42" s="87" t="n"/>
      <c r="AP42" s="87" t="n"/>
      <c r="AQ42" s="87" t="n"/>
      <c r="AR42" s="87" t="n"/>
      <c r="AS42" s="87" t="n"/>
      <c r="AT42" s="87" t="n"/>
      <c r="AU42" s="87" t="n"/>
      <c r="AV42" s="87" t="n"/>
      <c r="AW42" s="87" t="n"/>
      <c r="AX42" s="87" t="n"/>
      <c r="AY42" s="87" t="n"/>
      <c r="AZ42" s="87" t="n"/>
      <c r="BA42" s="87" t="n"/>
      <c r="BB42" s="87" t="n"/>
      <c r="BC42" s="87" t="n"/>
      <c r="BD42" s="87" t="n"/>
      <c r="BE42" s="87" t="n"/>
      <c r="BF42" s="87" t="n"/>
      <c r="BG42" s="87" t="n"/>
      <c r="BH42" s="87" t="n"/>
      <c r="BI42" s="87" t="n"/>
      <c r="BJ42" s="87" t="n"/>
      <c r="BK42" s="87" t="n"/>
      <c r="BL42" s="87" t="n"/>
      <c r="BM42" s="87" t="n"/>
      <c r="BN42" s="87" t="n"/>
      <c r="BO42" s="87" t="n"/>
      <c r="BP42" s="87" t="n"/>
      <c r="BQ42" s="87" t="n"/>
      <c r="BR42" s="87" t="n"/>
      <c r="BS42" s="87" t="n"/>
      <c r="BT42" s="87" t="n"/>
      <c r="BU42" s="87" t="n"/>
      <c r="BV42" s="87" t="n"/>
      <c r="BW42" s="87" t="n"/>
      <c r="BX42" s="87" t="n"/>
      <c r="BY42" s="87" t="n"/>
      <c r="BZ42" s="87" t="n"/>
      <c r="CA42" s="87" t="n"/>
      <c r="CB42" s="87" t="n"/>
      <c r="CC42" s="87" t="n"/>
      <c r="CD42" s="87" t="n"/>
      <c r="CE42" s="87" t="n"/>
      <c r="CF42" s="87" t="n"/>
      <c r="CG42" s="87" t="n"/>
      <c r="CH42" s="87" t="n"/>
      <c r="CI42" s="87" t="n"/>
      <c r="CJ42" s="87" t="n"/>
      <c r="CK42" s="87" t="n"/>
      <c r="CL42" s="87" t="n"/>
      <c r="CM42" s="87" t="n"/>
      <c r="CN42" s="87" t="n"/>
      <c r="CO42" s="87" t="n"/>
      <c r="CP42" s="87" t="n"/>
      <c r="CQ42" s="87" t="n"/>
      <c r="CR42" s="87" t="n"/>
      <c r="CS42" s="87" t="n"/>
      <c r="CT42" s="87" t="n"/>
      <c r="CU42" s="87" t="n"/>
      <c r="CV42" s="87" t="n"/>
      <c r="CW42" s="87" t="n"/>
      <c r="CX42" s="87" t="n"/>
      <c r="CY42" s="87" t="n"/>
      <c r="CZ42" s="87" t="n"/>
      <c r="DA42" s="87" t="n"/>
      <c r="DB42" s="87" t="n"/>
      <c r="DC42" s="87" t="n"/>
      <c r="DD42" s="87" t="n"/>
      <c r="DE42" s="87" t="n"/>
      <c r="DF42" s="87" t="n"/>
      <c r="DG42" s="87" t="n"/>
      <c r="DH42" s="87" t="n"/>
      <c r="DI42" s="87" t="n"/>
      <c r="DJ42" s="87" t="n"/>
      <c r="DK42" s="87" t="n"/>
      <c r="DL42" s="87" t="n"/>
      <c r="DM42" s="87" t="n"/>
      <c r="DN42" s="87" t="n"/>
      <c r="DO42" s="87" t="n"/>
      <c r="DP42" s="87" t="n"/>
      <c r="DQ42" s="87" t="n"/>
      <c r="DR42" s="87" t="n"/>
      <c r="DS42" s="87" t="n"/>
      <c r="DT42" s="87" t="n"/>
      <c r="DU42" s="87" t="n"/>
      <c r="DV42" s="87" t="n"/>
      <c r="DW42" s="87" t="n"/>
      <c r="DX42" s="87" t="n"/>
      <c r="DY42" s="87" t="n"/>
      <c r="DZ42" s="87" t="n"/>
      <c r="EA42" s="87" t="n"/>
      <c r="EB42" s="87" t="n"/>
      <c r="EC42" s="87" t="n"/>
      <c r="ED42" s="87" t="n"/>
      <c r="EE42" s="87" t="n"/>
      <c r="EF42" s="87" t="n"/>
      <c r="EG42" s="87" t="n"/>
      <c r="EH42" s="87" t="n"/>
      <c r="EI42" s="87" t="n"/>
      <c r="EJ42" s="87" t="n"/>
      <c r="EK42" s="87" t="n"/>
      <c r="EL42" s="87" t="n"/>
      <c r="EM42" s="87" t="n"/>
      <c r="EN42" s="87" t="n"/>
      <c r="EO42" s="87" t="n"/>
      <c r="EP42" s="87" t="n"/>
      <c r="EQ42" s="87" t="n"/>
      <c r="ER42" s="87" t="n"/>
      <c r="ES42" s="87" t="n"/>
      <c r="ET42" s="87" t="n"/>
      <c r="EU42" s="87" t="n"/>
      <c r="EV42" s="87" t="n"/>
      <c r="EW42" s="87" t="n"/>
      <c r="EX42" s="87" t="n"/>
      <c r="EY42" s="87" t="n"/>
      <c r="EZ42" s="87" t="n"/>
      <c r="FA42" s="87" t="n"/>
      <c r="FB42" s="87" t="n"/>
      <c r="FC42" s="87" t="n"/>
      <c r="FD42" s="87" t="n"/>
      <c r="FE42" s="87" t="n"/>
      <c r="FF42" s="87" t="n"/>
      <c r="FG42" s="87" t="n"/>
      <c r="FH42" s="87" t="n"/>
      <c r="FI42" s="87" t="n"/>
      <c r="FJ42" s="87" t="n"/>
      <c r="FK42" s="87" t="n"/>
      <c r="FL42" s="87" t="n"/>
      <c r="FM42" s="87" t="n"/>
      <c r="FN42" s="87" t="n"/>
      <c r="FO42" s="87" t="n"/>
      <c r="FP42" s="87" t="n"/>
      <c r="FQ42" s="87" t="n"/>
      <c r="FR42" s="87" t="n"/>
      <c r="FS42" s="87" t="n"/>
      <c r="FT42" s="87" t="n"/>
      <c r="FU42" s="87" t="n"/>
      <c r="FV42" s="87" t="n"/>
      <c r="FW42" s="87" t="n"/>
      <c r="FX42" s="87" t="n"/>
      <c r="FY42" s="87" t="n"/>
      <c r="FZ42" s="87" t="n"/>
      <c r="GA42" s="87" t="n"/>
      <c r="GB42" s="87" t="n"/>
      <c r="GC42" s="87" t="n"/>
      <c r="GD42" s="87" t="n"/>
      <c r="GE42" s="87" t="n"/>
      <c r="GF42" s="87" t="n"/>
      <c r="GG42" s="87" t="n"/>
      <c r="GH42" s="87" t="n"/>
      <c r="GI42" s="87" t="n"/>
      <c r="GJ42" s="87" t="n"/>
      <c r="GK42" s="87" t="n"/>
      <c r="GL42" s="87" t="n"/>
      <c r="GM42" s="87" t="n"/>
      <c r="GN42" s="87" t="n"/>
      <c r="GO42" s="87" t="n"/>
      <c r="GP42" s="87" t="n"/>
      <c r="GQ42" s="87" t="n"/>
      <c r="GR42" s="87" t="n"/>
      <c r="GS42" s="87" t="n"/>
      <c r="GT42" s="87" t="n"/>
      <c r="GU42" s="87" t="n"/>
      <c r="GV42" s="87" t="n"/>
      <c r="GW42" s="87" t="n"/>
      <c r="GX42" s="87" t="n"/>
      <c r="GY42" s="87" t="n"/>
      <c r="GZ42" s="87" t="n"/>
      <c r="HA42" s="87" t="n"/>
      <c r="HB42" s="87" t="n"/>
      <c r="HC42" s="87" t="n"/>
      <c r="HD42" s="87" t="n"/>
      <c r="HE42" s="87" t="n"/>
      <c r="HF42" s="87" t="n"/>
      <c r="HG42" s="87" t="n"/>
      <c r="HH42" s="87" t="n"/>
      <c r="HI42" s="87" t="n"/>
      <c r="HJ42" s="87" t="n"/>
      <c r="HK42" s="87" t="n"/>
      <c r="HL42" s="87" t="n"/>
      <c r="HM42" s="87" t="n"/>
      <c r="HN42" s="87" t="n"/>
      <c r="HO42" s="87" t="n"/>
      <c r="HP42" s="87" t="n"/>
      <c r="HQ42" s="87" t="n"/>
      <c r="HR42" s="87" t="n"/>
      <c r="HS42" s="87" t="n"/>
      <c r="HT42" s="87" t="n"/>
      <c r="HU42" s="87" t="n"/>
    </row>
    <row r="43" ht="16.2" customHeight="1">
      <c r="A43" s="1" t="inlineStr">
        <is>
          <t>Gerenciamento</t>
        </is>
      </c>
      <c r="B43" s="136" t="n"/>
      <c r="C43" s="53" t="n"/>
      <c r="D43" s="53" t="n"/>
      <c r="E43" s="53" t="n"/>
      <c r="F43" s="53" t="n"/>
      <c r="G43" s="53" t="n"/>
      <c r="H43" s="53" t="n"/>
      <c r="I43" s="53" t="n"/>
      <c r="J43" s="185" t="n"/>
      <c r="K43" s="53" t="n"/>
      <c r="L43" s="53" t="n"/>
      <c r="M43" s="186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  <c r="AD43" s="337" t="n"/>
      <c r="AE43" s="337" t="n"/>
      <c r="AF43" s="337" t="n"/>
      <c r="AG43" s="337" t="n"/>
      <c r="AH43" s="13" t="n"/>
      <c r="AI43" s="345" t="n"/>
      <c r="AJ43" s="13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/>
      <c r="BN43" s="26" t="n"/>
      <c r="BO43" s="26" t="n"/>
      <c r="BP43" s="26" t="n"/>
      <c r="BQ43" s="26" t="n"/>
      <c r="BR43" s="26" t="n"/>
      <c r="BS43" s="26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26" t="n"/>
      <c r="CC43" s="26" t="n"/>
      <c r="CD43" s="26" t="n"/>
      <c r="CE43" s="26" t="n"/>
      <c r="CF43" s="26" t="n"/>
      <c r="CG43" s="26" t="n"/>
      <c r="CH43" s="26" t="n"/>
      <c r="CI43" s="26" t="n"/>
      <c r="CJ43" s="26" t="n"/>
      <c r="CK43" s="26" t="n"/>
      <c r="CL43" s="26" t="n"/>
      <c r="CM43" s="26" t="n"/>
      <c r="CN43" s="26" t="n"/>
      <c r="CO43" s="26" t="n"/>
      <c r="CP43" s="26" t="n"/>
      <c r="CQ43" s="26" t="n"/>
      <c r="CR43" s="26" t="n"/>
      <c r="CS43" s="26" t="n"/>
      <c r="CT43" s="26" t="n"/>
      <c r="CU43" s="26" t="n"/>
      <c r="CV43" s="26" t="n"/>
      <c r="CW43" s="26" t="n"/>
      <c r="CX43" s="26" t="n"/>
      <c r="CY43" s="26" t="n"/>
      <c r="CZ43" s="26" t="n"/>
      <c r="DA43" s="26" t="n"/>
      <c r="DB43" s="26" t="n"/>
      <c r="DC43" s="26" t="n"/>
      <c r="DD43" s="26" t="n"/>
      <c r="DE43" s="26" t="n"/>
      <c r="DF43" s="26" t="n"/>
      <c r="DG43" s="26" t="n"/>
      <c r="DH43" s="26" t="n"/>
      <c r="DI43" s="26" t="n"/>
      <c r="DJ43" s="26" t="n"/>
      <c r="DK43" s="26" t="n"/>
      <c r="DL43" s="26" t="n"/>
      <c r="DM43" s="26" t="n"/>
      <c r="DN43" s="26" t="n"/>
      <c r="DO43" s="26" t="n"/>
      <c r="DP43" s="26" t="n"/>
      <c r="DQ43" s="26" t="n"/>
      <c r="DR43" s="26" t="n"/>
      <c r="DS43" s="26" t="n"/>
      <c r="DT43" s="26" t="n"/>
      <c r="DU43" s="26" t="n"/>
      <c r="DV43" s="26" t="n"/>
      <c r="DW43" s="26" t="n"/>
      <c r="DX43" s="26" t="n"/>
      <c r="DY43" s="26" t="n"/>
      <c r="DZ43" s="26" t="n"/>
      <c r="EA43" s="26" t="n"/>
      <c r="EB43" s="26" t="n"/>
      <c r="EC43" s="26" t="n"/>
      <c r="ED43" s="26" t="n"/>
      <c r="EE43" s="26" t="n"/>
      <c r="EF43" s="26" t="n"/>
      <c r="EG43" s="26" t="n"/>
      <c r="EH43" s="26" t="n"/>
      <c r="EI43" s="26" t="n"/>
      <c r="EJ43" s="26" t="n"/>
      <c r="EK43" s="26" t="n"/>
      <c r="EL43" s="26" t="n"/>
      <c r="EM43" s="26" t="n"/>
      <c r="EN43" s="26" t="n"/>
      <c r="EO43" s="26" t="n"/>
      <c r="EP43" s="26" t="n"/>
      <c r="EQ43" s="26" t="n"/>
      <c r="ER43" s="26" t="n"/>
      <c r="ES43" s="26" t="n"/>
      <c r="ET43" s="26" t="n"/>
      <c r="EU43" s="26" t="n"/>
      <c r="EV43" s="26" t="n"/>
      <c r="EW43" s="26" t="n"/>
      <c r="EX43" s="26" t="n"/>
      <c r="EY43" s="26" t="n"/>
      <c r="EZ43" s="26" t="n"/>
      <c r="FA43" s="26" t="n"/>
      <c r="FB43" s="26" t="n"/>
      <c r="FC43" s="26" t="n"/>
      <c r="FD43" s="26" t="n"/>
      <c r="FE43" s="26" t="n"/>
      <c r="FF43" s="26" t="n"/>
      <c r="FG43" s="26" t="n"/>
      <c r="FH43" s="26" t="n"/>
      <c r="FI43" s="26" t="n"/>
      <c r="FJ43" s="26" t="n"/>
      <c r="FK43" s="26" t="n"/>
      <c r="FL43" s="26" t="n"/>
      <c r="FM43" s="26" t="n"/>
      <c r="FN43" s="26" t="n"/>
      <c r="FO43" s="26" t="n"/>
      <c r="FP43" s="26" t="n"/>
      <c r="FQ43" s="26" t="n"/>
      <c r="FR43" s="26" t="n"/>
      <c r="FS43" s="26" t="n"/>
      <c r="FT43" s="26" t="n"/>
      <c r="FU43" s="26" t="n"/>
      <c r="FV43" s="26" t="n"/>
      <c r="FW43" s="26" t="n"/>
      <c r="FX43" s="26" t="n"/>
      <c r="FY43" s="26" t="n"/>
      <c r="FZ43" s="26" t="n"/>
      <c r="GA43" s="26" t="n"/>
      <c r="GB43" s="26" t="n"/>
      <c r="GC43" s="26" t="n"/>
      <c r="GD43" s="26" t="n"/>
      <c r="GE43" s="26" t="n"/>
      <c r="GF43" s="26" t="n"/>
      <c r="GG43" s="26" t="n"/>
      <c r="GH43" s="26" t="n"/>
      <c r="GI43" s="26" t="n"/>
      <c r="GJ43" s="26" t="n"/>
      <c r="GK43" s="26" t="n"/>
      <c r="GL43" s="26" t="n"/>
      <c r="GM43" s="26" t="n"/>
      <c r="GN43" s="26" t="n"/>
      <c r="GO43" s="26" t="n"/>
      <c r="GP43" s="26" t="n"/>
      <c r="GQ43" s="26" t="n"/>
      <c r="GR43" s="26" t="n"/>
      <c r="GS43" s="26" t="n"/>
      <c r="GT43" s="26" t="n"/>
      <c r="GU43" s="26" t="n"/>
      <c r="GV43" s="26" t="n"/>
      <c r="GW43" s="26" t="n"/>
      <c r="GX43" s="26" t="n"/>
      <c r="GY43" s="26" t="n"/>
      <c r="GZ43" s="26" t="n"/>
      <c r="HA43" s="26" t="n"/>
      <c r="HB43" s="26" t="n"/>
      <c r="HC43" s="26" t="n"/>
      <c r="HD43" s="26" t="n"/>
      <c r="HE43" s="26" t="n"/>
      <c r="HF43" s="26" t="n"/>
      <c r="HG43" s="26" t="n"/>
      <c r="HH43" s="26" t="n"/>
      <c r="HI43" s="26" t="n"/>
      <c r="HJ43" s="26" t="n"/>
      <c r="HK43" s="26" t="n"/>
      <c r="HL43" s="26" t="n"/>
      <c r="HM43" s="26" t="n"/>
      <c r="HN43" s="26" t="n"/>
      <c r="HO43" s="26" t="n"/>
      <c r="HP43" s="26" t="n"/>
      <c r="HQ43" s="26" t="n"/>
      <c r="HR43" s="26" t="n"/>
      <c r="HS43" s="26" t="n"/>
      <c r="HT43" s="26" t="n"/>
      <c r="HU43" s="26" t="n"/>
    </row>
    <row r="44" ht="6.6" customHeight="1">
      <c r="A44" s="1" t="n"/>
      <c r="B44" s="128" t="n"/>
      <c r="C44" s="512" t="n"/>
      <c r="D44" s="512" t="n"/>
      <c r="E44" s="512" t="n"/>
      <c r="F44" s="512" t="n"/>
      <c r="G44" s="512" t="n"/>
      <c r="H44" s="512" t="n"/>
      <c r="I44" s="512" t="n"/>
      <c r="J44" s="513" t="n"/>
      <c r="K44" s="512" t="n"/>
      <c r="L44" s="512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514" t="n"/>
      <c r="AH44" s="512" t="n"/>
      <c r="AI44" s="533" t="n"/>
      <c r="AJ44" s="512" t="n"/>
      <c r="AK44" s="512" t="n"/>
      <c r="AL44" s="512" t="n"/>
      <c r="AM44" s="512" t="n"/>
      <c r="AN44" s="512" t="n"/>
      <c r="AO44" s="512" t="n"/>
      <c r="AP44" s="512" t="n"/>
      <c r="AQ44" s="512" t="n"/>
      <c r="AR44" s="512" t="n"/>
      <c r="AS44" s="512" t="n"/>
      <c r="AT44" s="512" t="n"/>
      <c r="AU44" s="512" t="n"/>
      <c r="AV44" s="512" t="n"/>
      <c r="AW44" s="512" t="n"/>
      <c r="AX44" s="512" t="n"/>
      <c r="AY44" s="512" t="n"/>
      <c r="AZ44" s="512" t="n"/>
      <c r="BA44" s="512" t="n"/>
      <c r="BB44" s="512" t="n"/>
      <c r="BC44" s="512" t="n"/>
      <c r="BD44" s="515" t="n"/>
      <c r="BE44" s="512" t="n"/>
      <c r="BF44" s="512" t="n"/>
      <c r="BG44" s="512" t="n"/>
      <c r="BH44" s="512" t="n"/>
      <c r="BI44" s="512" t="n"/>
      <c r="BJ44" s="512" t="n"/>
      <c r="BK44" s="512" t="n"/>
      <c r="BL44" s="512" t="n"/>
      <c r="BM44" s="512" t="n"/>
      <c r="BN44" s="512" t="n"/>
      <c r="BO44" s="512" t="n"/>
      <c r="BP44" s="515" t="n"/>
      <c r="BQ44" s="512" t="n"/>
      <c r="BR44" s="512" t="n"/>
      <c r="BS44" s="512" t="n"/>
      <c r="BT44" s="512" t="n"/>
      <c r="BU44" s="512" t="n"/>
      <c r="BV44" s="512" t="n"/>
      <c r="BW44" s="512" t="n"/>
      <c r="BX44" s="512" t="n"/>
      <c r="BY44" s="512" t="n"/>
      <c r="BZ44" s="512" t="n"/>
      <c r="CA44" s="512" t="n"/>
      <c r="CB44" s="515" t="n"/>
      <c r="CC44" s="512" t="n"/>
      <c r="CD44" s="512" t="n"/>
      <c r="CE44" s="512" t="n"/>
      <c r="CF44" s="512" t="n"/>
      <c r="CG44" s="512" t="n"/>
      <c r="CH44" s="512" t="n"/>
      <c r="CI44" s="512" t="n"/>
      <c r="CJ44" s="512" t="n"/>
      <c r="CK44" s="512" t="n"/>
      <c r="CL44" s="512" t="n"/>
      <c r="CM44" s="512" t="n"/>
      <c r="CN44" s="515" t="n"/>
      <c r="CO44" s="512" t="n"/>
      <c r="CP44" s="512" t="n"/>
      <c r="CQ44" s="512" t="n"/>
      <c r="CR44" s="512" t="n"/>
      <c r="CS44" s="512" t="n"/>
      <c r="CT44" s="512" t="n"/>
      <c r="CU44" s="512" t="n"/>
      <c r="CV44" s="512" t="n"/>
      <c r="CW44" s="512" t="n"/>
      <c r="CX44" s="512" t="n"/>
      <c r="CY44" s="512" t="n"/>
      <c r="CZ44" s="515" t="n"/>
      <c r="DA44" s="512" t="n"/>
      <c r="DB44" s="512" t="n"/>
      <c r="DC44" s="512" t="n"/>
      <c r="DD44" s="512" t="n"/>
      <c r="DE44" s="512" t="n"/>
      <c r="DF44" s="512" t="n"/>
      <c r="DG44" s="512" t="n"/>
      <c r="DH44" s="512" t="n"/>
      <c r="DI44" s="512" t="n"/>
      <c r="DJ44" s="512" t="n"/>
      <c r="DK44" s="512" t="n"/>
      <c r="DL44" s="512" t="n"/>
      <c r="DM44" s="512" t="n"/>
      <c r="DN44" s="512" t="n"/>
      <c r="DO44" s="512" t="n"/>
      <c r="DP44" s="512" t="n"/>
      <c r="DQ44" s="512" t="n"/>
      <c r="DR44" s="512" t="n"/>
      <c r="DS44" s="512" t="n"/>
      <c r="DT44" s="512" t="n"/>
      <c r="DU44" s="512" t="n"/>
      <c r="DV44" s="512" t="n"/>
      <c r="DW44" s="512" t="n"/>
      <c r="DX44" s="512" t="n"/>
      <c r="DY44" s="512" t="n"/>
      <c r="DZ44" s="512" t="n"/>
      <c r="EA44" s="512" t="n"/>
      <c r="EB44" s="512" t="n"/>
      <c r="EC44" s="512" t="n"/>
      <c r="ED44" s="512" t="n"/>
      <c r="EE44" s="512" t="n"/>
      <c r="EF44" s="512" t="n"/>
      <c r="EG44" s="512" t="n"/>
      <c r="EH44" s="512" t="n"/>
      <c r="EI44" s="512" t="n"/>
      <c r="EJ44" s="512" t="n"/>
      <c r="EK44" s="512" t="n"/>
      <c r="EL44" s="512" t="n"/>
      <c r="EM44" s="512" t="n"/>
      <c r="EN44" s="512" t="n"/>
      <c r="EO44" s="512" t="n"/>
      <c r="EP44" s="512" t="n"/>
      <c r="EQ44" s="512" t="n"/>
      <c r="ER44" s="512" t="n"/>
      <c r="ES44" s="512" t="n"/>
      <c r="ET44" s="512" t="n"/>
      <c r="EU44" s="512" t="n"/>
      <c r="EV44" s="512" t="n"/>
      <c r="EW44" s="512" t="n"/>
      <c r="EX44" s="512" t="n"/>
      <c r="EY44" s="512" t="n"/>
      <c r="EZ44" s="512" t="n"/>
      <c r="FA44" s="512" t="n"/>
      <c r="FB44" s="512" t="n"/>
      <c r="FC44" s="512" t="n"/>
      <c r="FD44" s="512" t="n"/>
      <c r="FE44" s="512" t="n"/>
      <c r="FF44" s="512" t="n"/>
      <c r="FG44" s="512" t="n"/>
      <c r="FH44" s="512" t="n"/>
      <c r="FI44" s="512" t="n"/>
      <c r="FJ44" s="512" t="n"/>
      <c r="FK44" s="512" t="n"/>
      <c r="FL44" s="512" t="n"/>
      <c r="FM44" s="512" t="n"/>
      <c r="FN44" s="512" t="n"/>
      <c r="FO44" s="512" t="n"/>
      <c r="FP44" s="512" t="n"/>
      <c r="FQ44" s="512" t="n"/>
      <c r="FR44" s="512" t="n"/>
      <c r="FS44" s="512" t="n"/>
      <c r="FT44" s="512" t="n"/>
      <c r="FU44" s="512" t="n"/>
      <c r="FV44" s="512" t="n"/>
      <c r="FW44" s="512" t="n"/>
      <c r="FX44" s="512" t="n"/>
      <c r="FY44" s="512" t="n"/>
      <c r="FZ44" s="512" t="n"/>
      <c r="GA44" s="512" t="n"/>
      <c r="GB44" s="512" t="n"/>
      <c r="GC44" s="512" t="n"/>
      <c r="GD44" s="512" t="n"/>
      <c r="GE44" s="512" t="n"/>
      <c r="GF44" s="512" t="n"/>
      <c r="GG44" s="512" t="n"/>
      <c r="GH44" s="512" t="n"/>
      <c r="GI44" s="512" t="n"/>
      <c r="GJ44" s="512" t="n"/>
      <c r="GK44" s="512" t="n"/>
      <c r="GL44" s="512" t="n"/>
      <c r="GM44" s="512" t="n"/>
      <c r="GN44" s="512" t="n"/>
      <c r="GO44" s="512" t="n"/>
      <c r="GP44" s="512" t="n"/>
      <c r="GQ44" s="512" t="n"/>
      <c r="GR44" s="512" t="n"/>
      <c r="GS44" s="512" t="n"/>
      <c r="GT44" s="512" t="n"/>
      <c r="GU44" s="512" t="n"/>
      <c r="GV44" s="512" t="n"/>
      <c r="GW44" s="512" t="n"/>
      <c r="GX44" s="512" t="n"/>
      <c r="GY44" s="512" t="n"/>
      <c r="GZ44" s="512" t="n"/>
      <c r="HA44" s="512" t="n"/>
      <c r="HB44" s="512" t="n"/>
      <c r="HC44" s="512" t="n"/>
      <c r="HD44" s="512" t="n"/>
      <c r="HE44" s="512" t="n"/>
      <c r="HF44" s="512" t="n"/>
      <c r="HG44" s="512" t="n"/>
      <c r="HH44" s="512" t="n"/>
      <c r="HI44" s="512" t="n"/>
      <c r="HJ44" s="512" t="n"/>
      <c r="HK44" s="512" t="n"/>
      <c r="HL44" s="512" t="n"/>
      <c r="HM44" s="512" t="n"/>
      <c r="HN44" s="512" t="n"/>
      <c r="HO44" s="512" t="n"/>
      <c r="HP44" s="512" t="n"/>
      <c r="HQ44" s="512" t="n"/>
      <c r="HR44" s="512" t="n"/>
      <c r="HS44" s="512" t="n"/>
      <c r="HT44" s="512" t="n"/>
      <c r="HU44" s="512" t="n"/>
    </row>
    <row r="45" ht="16.2" customHeight="1">
      <c r="A45" s="19" t="inlineStr">
        <is>
          <t>DESPESAS JÚRIDICAS (-)</t>
        </is>
      </c>
      <c r="B45" s="139" t="n"/>
      <c r="C45" s="20" t="n"/>
      <c r="D45" s="22" t="n"/>
      <c r="E45" s="20" t="n"/>
      <c r="F45" s="20" t="n"/>
      <c r="G45" s="20" t="n"/>
      <c r="H45" s="20" t="n"/>
      <c r="I45" s="21" t="n"/>
      <c r="J45" s="175" t="n"/>
      <c r="K45" s="21" t="n"/>
      <c r="L45" s="108" t="n"/>
      <c r="M45" s="220" t="n"/>
      <c r="N45" s="220" t="n"/>
      <c r="O45" s="220" t="n"/>
      <c r="P45" s="220" t="n"/>
      <c r="Q45" s="220" t="n"/>
      <c r="R45" s="220" t="n"/>
      <c r="S45" s="220" t="n"/>
      <c r="T45" s="220" t="n"/>
      <c r="U45" s="220" t="n"/>
      <c r="V45" s="220" t="n"/>
      <c r="W45" s="220" t="n"/>
      <c r="X45" s="220" t="n"/>
      <c r="Y45" s="220" t="n"/>
      <c r="Z45" s="220" t="n"/>
      <c r="AA45" s="220" t="n"/>
      <c r="AB45" s="220" t="n"/>
      <c r="AC45" s="220" t="n"/>
      <c r="AD45" s="220" t="n"/>
      <c r="AE45" s="220" t="n"/>
      <c r="AF45" s="220" t="n"/>
      <c r="AG45" s="220" t="n"/>
      <c r="AH45" s="200" t="n"/>
      <c r="AI45" s="241" t="n"/>
      <c r="AJ45" s="200" t="n"/>
      <c r="AK45" s="20" t="n"/>
      <c r="AL45" s="20" t="n"/>
      <c r="AM45" s="20" t="n"/>
      <c r="AN45" s="20" t="n"/>
      <c r="AO45" s="20" t="n"/>
      <c r="AP45" s="20" t="n"/>
      <c r="AQ45" s="21" t="n"/>
      <c r="AR45" s="21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99" t="n"/>
      <c r="BE45" s="22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99" t="n"/>
      <c r="BQ45" s="22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99" t="n"/>
      <c r="CC45" s="22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99" t="n"/>
      <c r="CO45" s="22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99" t="n"/>
      <c r="DA45" s="22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1" t="n"/>
      <c r="DK45" s="20" t="n"/>
      <c r="DL45" s="21" t="n"/>
      <c r="DM45" s="20" t="n"/>
      <c r="DN45" s="21" t="n"/>
      <c r="DO45" s="21" t="n"/>
      <c r="DP45" s="21" t="n"/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n"/>
      <c r="DZ45" s="21" t="n"/>
      <c r="EA45" s="21" t="n"/>
      <c r="EB45" s="21" t="n"/>
      <c r="EC45" s="21" t="n"/>
      <c r="ED45" s="21" t="n"/>
      <c r="EE45" s="21" t="n"/>
      <c r="EF45" s="21" t="n"/>
      <c r="EG45" s="21" t="n"/>
      <c r="EH45" s="21" t="n"/>
      <c r="EI45" s="21" t="n"/>
      <c r="EJ45" s="21" t="n"/>
      <c r="EK45" s="21" t="n"/>
      <c r="EL45" s="21" t="n"/>
      <c r="EM45" s="21" t="n"/>
      <c r="EN45" s="21" t="n"/>
      <c r="EO45" s="21" t="n"/>
      <c r="EP45" s="21" t="n"/>
      <c r="EQ45" s="21" t="n"/>
      <c r="ER45" s="21" t="n"/>
      <c r="ES45" s="21" t="n"/>
      <c r="ET45" s="21" t="n"/>
      <c r="EU45" s="21" t="n"/>
      <c r="EV45" s="21" t="n"/>
      <c r="EW45" s="21" t="n"/>
      <c r="EX45" s="21" t="n"/>
      <c r="EY45" s="21" t="n"/>
      <c r="EZ45" s="21" t="n"/>
      <c r="FA45" s="21" t="n"/>
      <c r="FB45" s="21" t="n"/>
      <c r="FC45" s="21" t="n"/>
      <c r="FD45" s="21" t="n"/>
      <c r="FE45" s="21" t="n"/>
      <c r="FF45" s="21" t="n"/>
      <c r="FG45" s="21" t="n"/>
      <c r="FH45" s="21" t="n"/>
      <c r="FI45" s="21" t="n"/>
      <c r="FJ45" s="21" t="n"/>
      <c r="FK45" s="21" t="n"/>
      <c r="FL45" s="21" t="n"/>
      <c r="FM45" s="21" t="n"/>
      <c r="FN45" s="21" t="n"/>
      <c r="FO45" s="21" t="n"/>
      <c r="FP45" s="21" t="n"/>
      <c r="FQ45" s="21" t="n"/>
      <c r="FR45" s="21" t="n"/>
      <c r="FS45" s="21" t="n"/>
      <c r="FT45" s="21" t="n"/>
      <c r="FU45" s="21" t="n"/>
      <c r="FV45" s="21" t="n"/>
      <c r="FW45" s="21" t="n"/>
      <c r="FX45" s="21" t="n"/>
      <c r="FY45" s="21" t="n"/>
      <c r="FZ45" s="21" t="n"/>
      <c r="GA45" s="21" t="n"/>
      <c r="GB45" s="21" t="n"/>
      <c r="GC45" s="21" t="n"/>
      <c r="GD45" s="21" t="n"/>
      <c r="GE45" s="21" t="n"/>
      <c r="GF45" s="21" t="n"/>
      <c r="GG45" s="21" t="n"/>
      <c r="GH45" s="21" t="n"/>
      <c r="GI45" s="21" t="n"/>
      <c r="GJ45" s="21" t="n"/>
      <c r="GK45" s="21" t="n"/>
      <c r="GL45" s="21" t="n"/>
      <c r="GM45" s="21" t="n"/>
      <c r="GN45" s="21" t="n"/>
      <c r="GO45" s="21" t="n"/>
      <c r="GP45" s="21" t="n"/>
      <c r="GQ45" s="21" t="n"/>
      <c r="GR45" s="21" t="n"/>
      <c r="GS45" s="21" t="n"/>
      <c r="GT45" s="21" t="n"/>
      <c r="GU45" s="21" t="n"/>
      <c r="GV45" s="21" t="n"/>
      <c r="GW45" s="21" t="n"/>
      <c r="GX45" s="21" t="n"/>
      <c r="GY45" s="21" t="n"/>
      <c r="GZ45" s="21" t="n"/>
      <c r="HA45" s="21" t="n"/>
      <c r="HB45" s="21" t="n"/>
      <c r="HC45" s="21" t="n"/>
      <c r="HD45" s="21" t="n"/>
      <c r="HE45" s="21" t="n"/>
      <c r="HF45" s="21" t="n"/>
      <c r="HG45" s="21" t="n"/>
      <c r="HH45" s="21" t="n"/>
      <c r="HI45" s="21" t="n"/>
      <c r="HJ45" s="21" t="n"/>
      <c r="HK45" s="21" t="n"/>
      <c r="HL45" s="21" t="n"/>
      <c r="HM45" s="21" t="n"/>
      <c r="HN45" s="21" t="n"/>
      <c r="HO45" s="21" t="n"/>
      <c r="HP45" s="21" t="n"/>
      <c r="HQ45" s="21" t="n"/>
      <c r="HR45" s="21" t="n"/>
      <c r="HS45" s="21" t="n"/>
      <c r="HT45" s="21" t="n"/>
      <c r="HU45" s="21" t="n"/>
    </row>
    <row r="46" ht="18.75" customHeight="1">
      <c r="A46" s="7" t="inlineStr">
        <is>
          <t>Despesas juridicas</t>
        </is>
      </c>
      <c r="B46" s="136" t="n"/>
      <c r="C46" s="85" t="n"/>
      <c r="D46" s="87" t="n"/>
      <c r="E46" s="85" t="n"/>
      <c r="F46" s="85" t="n"/>
      <c r="G46" s="85" t="n"/>
      <c r="H46" s="85" t="n"/>
      <c r="I46" s="86" t="n"/>
      <c r="J46" s="218" t="n"/>
      <c r="K46" s="113" t="n"/>
      <c r="L46" s="122" t="n"/>
      <c r="M46" s="219" t="n"/>
      <c r="N46" s="219" t="n"/>
      <c r="O46" s="219" t="n"/>
      <c r="P46" s="219" t="n"/>
      <c r="Q46" s="219" t="n"/>
      <c r="R46" s="219" t="n"/>
      <c r="S46" s="219" t="n"/>
      <c r="T46" s="219" t="n"/>
      <c r="U46" s="219" t="n"/>
      <c r="V46" s="219" t="n"/>
      <c r="W46" s="219" t="n"/>
      <c r="X46" s="219" t="n"/>
      <c r="Y46" s="219" t="n"/>
      <c r="Z46" s="219" t="n"/>
      <c r="AA46" s="219" t="n"/>
      <c r="AB46" s="219" t="n"/>
      <c r="AC46" s="219" t="n"/>
      <c r="AD46" s="219" t="n"/>
      <c r="AE46" s="219" t="n"/>
      <c r="AF46" s="219" t="n"/>
      <c r="AG46" s="219" t="n"/>
      <c r="AH46" s="13" t="n"/>
      <c r="AI46" s="342" t="n"/>
      <c r="AJ46" s="13" t="n"/>
      <c r="AK46" s="26" t="n"/>
      <c r="AL46" s="26" t="n"/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  <c r="AY46" s="26" t="n"/>
      <c r="AZ46" s="26" t="n"/>
      <c r="BA46" s="26" t="n"/>
      <c r="BB46" s="26" t="n"/>
      <c r="BC46" s="26" t="n"/>
      <c r="BD46" s="26" t="n"/>
      <c r="BE46" s="26" t="n"/>
      <c r="BF46" s="26" t="n"/>
      <c r="BG46" s="26" t="n"/>
      <c r="BH46" s="26" t="n"/>
      <c r="BI46" s="26" t="n"/>
      <c r="BJ46" s="26" t="n"/>
      <c r="BK46" s="26" t="n"/>
      <c r="BL46" s="26" t="n"/>
      <c r="BM46" s="26" t="n"/>
      <c r="BN46" s="26" t="n"/>
      <c r="BO46" s="26" t="n"/>
      <c r="BP46" s="26" t="n"/>
      <c r="BQ46" s="26" t="n"/>
      <c r="BR46" s="26" t="n"/>
      <c r="BS46" s="26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26" t="n"/>
      <c r="CC46" s="26" t="n"/>
      <c r="CD46" s="26" t="n"/>
      <c r="CE46" s="26" t="n"/>
      <c r="CF46" s="26" t="n"/>
      <c r="CG46" s="26" t="n"/>
      <c r="CH46" s="26" t="n"/>
      <c r="CI46" s="26" t="n"/>
      <c r="CJ46" s="26" t="n"/>
      <c r="CK46" s="26" t="n"/>
      <c r="CL46" s="26" t="n"/>
      <c r="CM46" s="26" t="n"/>
      <c r="CN46" s="26" t="n"/>
      <c r="CO46" s="26" t="n"/>
      <c r="CP46" s="26" t="n"/>
      <c r="CQ46" s="26" t="n"/>
      <c r="CR46" s="26" t="n"/>
      <c r="CS46" s="26" t="n"/>
      <c r="CT46" s="26" t="n"/>
      <c r="CU46" s="26" t="n"/>
      <c r="CV46" s="26" t="n"/>
      <c r="CW46" s="26" t="n"/>
      <c r="CX46" s="26" t="n"/>
      <c r="CY46" s="26" t="n"/>
      <c r="CZ46" s="26" t="n"/>
      <c r="DA46" s="26" t="n"/>
      <c r="DB46" s="26" t="n"/>
      <c r="DC46" s="26" t="n"/>
      <c r="DD46" s="26" t="n"/>
      <c r="DE46" s="26" t="n"/>
      <c r="DF46" s="26" t="n"/>
      <c r="DG46" s="26" t="n"/>
      <c r="DH46" s="26" t="n"/>
      <c r="DI46" s="26" t="n"/>
      <c r="DJ46" s="26" t="n"/>
      <c r="DK46" s="26" t="n"/>
      <c r="DL46" s="26" t="n"/>
      <c r="DM46" s="26" t="n"/>
      <c r="DN46" s="26" t="n"/>
      <c r="DO46" s="26" t="n"/>
      <c r="DP46" s="26" t="n"/>
      <c r="DQ46" s="26" t="n"/>
      <c r="DR46" s="26" t="n"/>
      <c r="DS46" s="26" t="n"/>
      <c r="DT46" s="26" t="n"/>
      <c r="DU46" s="26" t="n"/>
      <c r="DV46" s="26" t="n"/>
      <c r="DW46" s="26" t="n"/>
      <c r="DX46" s="26" t="n"/>
      <c r="DY46" s="26" t="n"/>
      <c r="DZ46" s="26" t="n"/>
      <c r="EA46" s="26" t="n"/>
      <c r="EB46" s="26" t="n"/>
      <c r="EC46" s="26" t="n"/>
      <c r="ED46" s="26" t="n"/>
      <c r="EE46" s="26" t="n"/>
      <c r="EF46" s="26" t="n"/>
      <c r="EG46" s="26" t="n"/>
      <c r="EH46" s="26" t="n"/>
      <c r="EI46" s="26" t="n"/>
      <c r="EJ46" s="26" t="n"/>
      <c r="EK46" s="26" t="n"/>
      <c r="EL46" s="26" t="n"/>
      <c r="EM46" s="26" t="n"/>
      <c r="EN46" s="26" t="n"/>
      <c r="EO46" s="26" t="n"/>
      <c r="EP46" s="26" t="n"/>
      <c r="EQ46" s="26" t="n"/>
      <c r="ER46" s="26" t="n"/>
      <c r="ES46" s="26" t="n"/>
      <c r="ET46" s="26" t="n"/>
      <c r="EU46" s="26" t="n"/>
      <c r="EV46" s="26" t="n"/>
      <c r="EW46" s="26" t="n"/>
      <c r="EX46" s="26" t="n"/>
      <c r="EY46" s="26" t="n"/>
      <c r="EZ46" s="26" t="n"/>
      <c r="FA46" s="26" t="n"/>
      <c r="FB46" s="26" t="n"/>
      <c r="FC46" s="26" t="n"/>
      <c r="FD46" s="26" t="n"/>
      <c r="FE46" s="26" t="n"/>
      <c r="FF46" s="26" t="n"/>
      <c r="FG46" s="26" t="n"/>
      <c r="FH46" s="26" t="n"/>
      <c r="FI46" s="26" t="n"/>
      <c r="FJ46" s="26" t="n"/>
      <c r="FK46" s="26" t="n"/>
      <c r="FL46" s="26" t="n"/>
      <c r="FM46" s="26" t="n"/>
      <c r="FN46" s="26" t="n"/>
      <c r="FO46" s="26" t="n"/>
      <c r="FP46" s="26" t="n"/>
      <c r="FQ46" s="26" t="n"/>
      <c r="FR46" s="26" t="n"/>
      <c r="FS46" s="26" t="n"/>
      <c r="FT46" s="26" t="n"/>
      <c r="FU46" s="26" t="n"/>
      <c r="FV46" s="26" t="n"/>
      <c r="FW46" s="26" t="n"/>
      <c r="FX46" s="26" t="n"/>
      <c r="FY46" s="26" t="n"/>
      <c r="FZ46" s="26" t="n"/>
      <c r="GA46" s="26" t="n"/>
      <c r="GB46" s="26" t="n"/>
      <c r="GC46" s="26" t="n"/>
      <c r="GD46" s="26" t="n"/>
      <c r="GE46" s="26" t="n"/>
      <c r="GF46" s="26" t="n"/>
      <c r="GG46" s="26" t="n"/>
      <c r="GH46" s="26" t="n"/>
      <c r="GI46" s="26" t="n"/>
      <c r="GJ46" s="26" t="n"/>
      <c r="GK46" s="26" t="n"/>
      <c r="GL46" s="26" t="n"/>
      <c r="GM46" s="26" t="n"/>
      <c r="GN46" s="26" t="n"/>
      <c r="GO46" s="26" t="n"/>
      <c r="GP46" s="26" t="n"/>
      <c r="GQ46" s="26" t="n"/>
      <c r="GR46" s="26" t="n"/>
      <c r="GS46" s="26" t="n"/>
      <c r="GT46" s="26" t="n"/>
      <c r="GU46" s="26" t="n"/>
      <c r="GV46" s="26" t="n"/>
      <c r="GW46" s="26" t="n"/>
      <c r="GX46" s="26" t="n"/>
      <c r="GY46" s="26" t="n"/>
      <c r="GZ46" s="26" t="n"/>
      <c r="HA46" s="26" t="n"/>
      <c r="HB46" s="26" t="n"/>
      <c r="HC46" s="26" t="n"/>
      <c r="HD46" s="26" t="n"/>
      <c r="HE46" s="26" t="n"/>
      <c r="HF46" s="26" t="n"/>
      <c r="HG46" s="26" t="n"/>
      <c r="HH46" s="26" t="n"/>
      <c r="HI46" s="26" t="n"/>
      <c r="HJ46" s="26" t="n"/>
      <c r="HK46" s="26" t="n"/>
      <c r="HL46" s="26" t="n"/>
      <c r="HM46" s="26" t="n"/>
      <c r="HN46" s="26" t="n"/>
      <c r="HO46" s="26" t="n"/>
      <c r="HP46" s="26" t="n"/>
      <c r="HQ46" s="26" t="n"/>
      <c r="HR46" s="26" t="n"/>
      <c r="HS46" s="26" t="n"/>
      <c r="HT46" s="26" t="n"/>
      <c r="HU46" s="26" t="n"/>
    </row>
    <row r="47" ht="6" customHeight="1">
      <c r="A47" s="1" t="n"/>
      <c r="B47" s="128" t="n"/>
      <c r="C47" s="512" t="n"/>
      <c r="D47" s="512" t="n"/>
      <c r="E47" s="512" t="n"/>
      <c r="F47" s="512" t="n"/>
      <c r="G47" s="512" t="n"/>
      <c r="H47" s="512" t="n"/>
      <c r="I47" s="512" t="n"/>
      <c r="J47" s="513" t="n"/>
      <c r="K47" s="512" t="n"/>
      <c r="L47" s="512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514" t="n"/>
      <c r="AA47" s="514" t="n"/>
      <c r="AB47" s="514" t="n"/>
      <c r="AC47" s="514" t="n"/>
      <c r="AD47" s="514" t="n"/>
      <c r="AE47" s="514" t="n"/>
      <c r="AF47" s="514" t="n"/>
      <c r="AG47" s="514" t="n"/>
      <c r="AH47" s="512" t="n"/>
      <c r="AI47" s="533" t="n"/>
      <c r="AJ47" s="512" t="n"/>
      <c r="AK47" s="512" t="n"/>
      <c r="AL47" s="512" t="n"/>
      <c r="AM47" s="512" t="n"/>
      <c r="AN47" s="512" t="n"/>
      <c r="AO47" s="512" t="n"/>
      <c r="AP47" s="512" t="n"/>
      <c r="AQ47" s="512" t="n"/>
      <c r="AR47" s="512" t="n"/>
      <c r="AS47" s="512" t="n"/>
      <c r="AT47" s="512" t="n"/>
      <c r="AU47" s="512" t="n"/>
      <c r="AV47" s="512" t="n"/>
      <c r="AW47" s="512" t="n"/>
      <c r="AX47" s="512" t="n"/>
      <c r="AY47" s="512" t="n"/>
      <c r="AZ47" s="512" t="n"/>
      <c r="BA47" s="512" t="n"/>
      <c r="BB47" s="512" t="n"/>
      <c r="BC47" s="512" t="n"/>
      <c r="BD47" s="515" t="n"/>
      <c r="BE47" s="512" t="n"/>
      <c r="BF47" s="512" t="n"/>
      <c r="BG47" s="512" t="n"/>
      <c r="BH47" s="512" t="n"/>
      <c r="BI47" s="512" t="n"/>
      <c r="BJ47" s="512" t="n"/>
      <c r="BK47" s="512" t="n"/>
      <c r="BL47" s="512" t="n"/>
      <c r="BM47" s="512" t="n"/>
      <c r="BN47" s="512" t="n"/>
      <c r="BO47" s="512" t="n"/>
      <c r="BP47" s="515" t="n"/>
      <c r="BQ47" s="512" t="n"/>
      <c r="BR47" s="512" t="n"/>
      <c r="BS47" s="512" t="n"/>
      <c r="BT47" s="512" t="n"/>
      <c r="BU47" s="512" t="n"/>
      <c r="BV47" s="512" t="n"/>
      <c r="BW47" s="512" t="n"/>
      <c r="BX47" s="512" t="n"/>
      <c r="BY47" s="512" t="n"/>
      <c r="BZ47" s="512" t="n"/>
      <c r="CA47" s="512" t="n"/>
      <c r="CB47" s="515" t="n"/>
      <c r="CC47" s="512" t="n"/>
      <c r="CD47" s="512" t="n"/>
      <c r="CE47" s="512" t="n"/>
      <c r="CF47" s="512" t="n"/>
      <c r="CG47" s="512" t="n"/>
      <c r="CH47" s="512" t="n"/>
      <c r="CI47" s="512" t="n"/>
      <c r="CJ47" s="512" t="n"/>
      <c r="CK47" s="512" t="n"/>
      <c r="CL47" s="512" t="n"/>
      <c r="CM47" s="512" t="n"/>
      <c r="CN47" s="515" t="n"/>
      <c r="CO47" s="512" t="n"/>
      <c r="CP47" s="512" t="n"/>
      <c r="CQ47" s="512" t="n"/>
      <c r="CR47" s="512" t="n"/>
      <c r="CS47" s="512" t="n"/>
      <c r="CT47" s="512" t="n"/>
      <c r="CU47" s="512" t="n"/>
      <c r="CV47" s="512" t="n"/>
      <c r="CW47" s="512" t="n"/>
      <c r="CX47" s="512" t="n"/>
      <c r="CY47" s="512" t="n"/>
      <c r="CZ47" s="515" t="n"/>
      <c r="DA47" s="512" t="n"/>
      <c r="DB47" s="512" t="n"/>
      <c r="DC47" s="512" t="n"/>
      <c r="DD47" s="512" t="n"/>
      <c r="DE47" s="512" t="n"/>
      <c r="DF47" s="512" t="n"/>
      <c r="DG47" s="512" t="n"/>
      <c r="DH47" s="512" t="n"/>
      <c r="DI47" s="512" t="n"/>
      <c r="DJ47" s="512" t="n"/>
      <c r="DK47" s="512" t="n"/>
      <c r="DL47" s="512" t="n"/>
      <c r="DM47" s="512" t="n"/>
      <c r="DN47" s="512" t="n"/>
      <c r="DO47" s="512" t="n"/>
      <c r="DP47" s="512" t="n"/>
      <c r="DQ47" s="512" t="n"/>
      <c r="DR47" s="512" t="n"/>
      <c r="DS47" s="512" t="n"/>
      <c r="DT47" s="512" t="n"/>
      <c r="DU47" s="512" t="n"/>
      <c r="DV47" s="512" t="n"/>
      <c r="DW47" s="512" t="n"/>
      <c r="DX47" s="512" t="n"/>
      <c r="DY47" s="512" t="n"/>
      <c r="DZ47" s="512" t="n"/>
      <c r="EA47" s="512" t="n"/>
      <c r="EB47" s="512" t="n"/>
      <c r="EC47" s="512" t="n"/>
      <c r="ED47" s="512" t="n"/>
      <c r="EE47" s="512" t="n"/>
      <c r="EF47" s="512" t="n"/>
      <c r="EG47" s="512" t="n"/>
      <c r="EH47" s="512" t="n"/>
      <c r="EI47" s="512" t="n"/>
      <c r="EJ47" s="512" t="n"/>
      <c r="EK47" s="512" t="n"/>
      <c r="EL47" s="512" t="n"/>
      <c r="EM47" s="512" t="n"/>
      <c r="EN47" s="512" t="n"/>
      <c r="EO47" s="512" t="n"/>
      <c r="EP47" s="512" t="n"/>
      <c r="EQ47" s="512" t="n"/>
      <c r="ER47" s="512" t="n"/>
      <c r="ES47" s="512" t="n"/>
      <c r="ET47" s="512" t="n"/>
      <c r="EU47" s="512" t="n"/>
      <c r="EV47" s="512" t="n"/>
      <c r="EW47" s="512" t="n"/>
      <c r="EX47" s="512" t="n"/>
      <c r="EY47" s="512" t="n"/>
      <c r="EZ47" s="512" t="n"/>
      <c r="FA47" s="512" t="n"/>
      <c r="FB47" s="512" t="n"/>
      <c r="FC47" s="512" t="n"/>
      <c r="FD47" s="512" t="n"/>
      <c r="FE47" s="512" t="n"/>
      <c r="FF47" s="512" t="n"/>
      <c r="FG47" s="512" t="n"/>
      <c r="FH47" s="512" t="n"/>
      <c r="FI47" s="512" t="n"/>
      <c r="FJ47" s="512" t="n"/>
      <c r="FK47" s="512" t="n"/>
      <c r="FL47" s="512" t="n"/>
      <c r="FM47" s="512" t="n"/>
      <c r="FN47" s="512" t="n"/>
      <c r="FO47" s="512" t="n"/>
      <c r="FP47" s="512" t="n"/>
      <c r="FQ47" s="512" t="n"/>
      <c r="FR47" s="512" t="n"/>
      <c r="FS47" s="512" t="n"/>
      <c r="FT47" s="512" t="n"/>
      <c r="FU47" s="512" t="n"/>
      <c r="FV47" s="512" t="n"/>
      <c r="FW47" s="512" t="n"/>
      <c r="FX47" s="512" t="n"/>
      <c r="FY47" s="512" t="n"/>
      <c r="FZ47" s="512" t="n"/>
      <c r="GA47" s="512" t="n"/>
      <c r="GB47" s="512" t="n"/>
      <c r="GC47" s="512" t="n"/>
      <c r="GD47" s="512" t="n"/>
      <c r="GE47" s="512" t="n"/>
      <c r="GF47" s="512" t="n"/>
      <c r="GG47" s="512" t="n"/>
      <c r="GH47" s="512" t="n"/>
      <c r="GI47" s="512" t="n"/>
      <c r="GJ47" s="512" t="n"/>
      <c r="GK47" s="512" t="n"/>
      <c r="GL47" s="512" t="n"/>
      <c r="GM47" s="512" t="n"/>
      <c r="GN47" s="512" t="n"/>
      <c r="GO47" s="512" t="n"/>
      <c r="GP47" s="512" t="n"/>
      <c r="GQ47" s="512" t="n"/>
      <c r="GR47" s="512" t="n"/>
      <c r="GS47" s="512" t="n"/>
      <c r="GT47" s="512" t="n"/>
      <c r="GU47" s="512" t="n"/>
      <c r="GV47" s="512" t="n"/>
      <c r="GW47" s="512" t="n"/>
      <c r="GX47" s="512" t="n"/>
      <c r="GY47" s="512" t="n"/>
      <c r="GZ47" s="512" t="n"/>
      <c r="HA47" s="512" t="n"/>
      <c r="HB47" s="512" t="n"/>
      <c r="HC47" s="512" t="n"/>
      <c r="HD47" s="512" t="n"/>
      <c r="HE47" s="512" t="n"/>
      <c r="HF47" s="512" t="n"/>
      <c r="HG47" s="512" t="n"/>
      <c r="HH47" s="512" t="n"/>
      <c r="HI47" s="512" t="n"/>
      <c r="HJ47" s="512" t="n"/>
      <c r="HK47" s="512" t="n"/>
      <c r="HL47" s="512" t="n"/>
      <c r="HM47" s="512" t="n"/>
      <c r="HN47" s="512" t="n"/>
      <c r="HO47" s="512" t="n"/>
      <c r="HP47" s="512" t="n"/>
      <c r="HQ47" s="512" t="n"/>
      <c r="HR47" s="512" t="n"/>
      <c r="HS47" s="512" t="n"/>
      <c r="HT47" s="512" t="n"/>
      <c r="HU47" s="512" t="n"/>
    </row>
    <row r="48" ht="16.2" customHeight="1">
      <c r="A48" s="19" t="inlineStr">
        <is>
          <t>OUTRAS DESPESAS (-)</t>
        </is>
      </c>
      <c r="B48" s="139" t="n"/>
      <c r="C48" s="20" t="n"/>
      <c r="D48" s="22" t="n"/>
      <c r="E48" s="20" t="n"/>
      <c r="F48" s="20" t="n"/>
      <c r="G48" s="20" t="n"/>
      <c r="H48" s="20" t="n"/>
      <c r="I48" s="21" t="n"/>
      <c r="J48" s="175" t="n"/>
      <c r="K48" s="21" t="n"/>
      <c r="L48" s="108" t="n"/>
      <c r="M48" s="220" t="n"/>
      <c r="N48" s="220" t="n"/>
      <c r="O48" s="220" t="n"/>
      <c r="P48" s="220" t="n"/>
      <c r="Q48" s="220" t="n"/>
      <c r="R48" s="220" t="n"/>
      <c r="S48" s="220" t="n"/>
      <c r="T48" s="220" t="n"/>
      <c r="U48" s="220" t="n"/>
      <c r="V48" s="220" t="n"/>
      <c r="W48" s="220" t="n"/>
      <c r="X48" s="220" t="n"/>
      <c r="Y48" s="220" t="n"/>
      <c r="Z48" s="220" t="n"/>
      <c r="AA48" s="220" t="n"/>
      <c r="AB48" s="220" t="n"/>
      <c r="AC48" s="220" t="n"/>
      <c r="AD48" s="220" t="n"/>
      <c r="AE48" s="220" t="n"/>
      <c r="AF48" s="220" t="n"/>
      <c r="AG48" s="220" t="n"/>
      <c r="AH48" s="200" t="n"/>
      <c r="AI48" s="241" t="n"/>
      <c r="AJ48" s="200" t="n"/>
      <c r="AK48" s="20" t="n"/>
      <c r="AL48" s="20" t="n"/>
      <c r="AM48" s="20" t="n"/>
      <c r="AN48" s="20" t="n"/>
      <c r="AO48" s="20" t="n"/>
      <c r="AP48" s="20" t="n"/>
      <c r="AQ48" s="21" t="n"/>
      <c r="AR48" s="21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99" t="n"/>
      <c r="BE48" s="22" t="n"/>
      <c r="BF48" s="20" t="n"/>
      <c r="BG48" s="20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99" t="n"/>
      <c r="BQ48" s="22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99" t="n"/>
      <c r="CC48" s="22" t="n"/>
      <c r="CD48" s="20" t="n"/>
      <c r="CE48" s="20" t="n"/>
      <c r="CF48" s="20" t="n"/>
      <c r="CG48" s="20" t="n"/>
      <c r="CH48" s="20" t="n"/>
      <c r="CI48" s="20" t="n"/>
      <c r="CJ48" s="20" t="n"/>
      <c r="CK48" s="20" t="n"/>
      <c r="CL48" s="20" t="n"/>
      <c r="CM48" s="20" t="n"/>
      <c r="CN48" s="299" t="n"/>
      <c r="CO48" s="22" t="n"/>
      <c r="CP48" s="20" t="n"/>
      <c r="CQ48" s="20" t="n"/>
      <c r="CR48" s="20" t="n"/>
      <c r="CS48" s="20" t="n"/>
      <c r="CT48" s="20" t="n"/>
      <c r="CU48" s="20" t="n"/>
      <c r="CV48" s="20" t="n"/>
      <c r="CW48" s="20" t="n"/>
      <c r="CX48" s="20" t="n"/>
      <c r="CY48" s="20" t="n"/>
      <c r="CZ48" s="299" t="n"/>
      <c r="DA48" s="22" t="n"/>
      <c r="DB48" s="20" t="n"/>
      <c r="DC48" s="20" t="n"/>
      <c r="DD48" s="20" t="n"/>
      <c r="DE48" s="20" t="n"/>
      <c r="DF48" s="20" t="n"/>
      <c r="DG48" s="20" t="n"/>
      <c r="DH48" s="20" t="n"/>
      <c r="DI48" s="20" t="n"/>
      <c r="DJ48" s="21" t="n"/>
      <c r="DK48" s="20" t="n"/>
      <c r="DL48" s="21" t="n"/>
      <c r="DM48" s="20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n"/>
      <c r="DZ48" s="21" t="n"/>
      <c r="EA48" s="21" t="n"/>
      <c r="EB48" s="21" t="n"/>
      <c r="EC48" s="21" t="n"/>
      <c r="ED48" s="21" t="n"/>
      <c r="EE48" s="21" t="n"/>
      <c r="EF48" s="21" t="n"/>
      <c r="EG48" s="21" t="n"/>
      <c r="EH48" s="21" t="n"/>
      <c r="EI48" s="21" t="n"/>
      <c r="EJ48" s="21" t="n"/>
      <c r="EK48" s="21" t="n"/>
      <c r="EL48" s="21" t="n"/>
      <c r="EM48" s="21" t="n"/>
      <c r="EN48" s="21" t="n"/>
      <c r="EO48" s="21" t="n"/>
      <c r="EP48" s="21" t="n"/>
      <c r="EQ48" s="21" t="n"/>
      <c r="ER48" s="21" t="n"/>
      <c r="ES48" s="21" t="n"/>
      <c r="ET48" s="21" t="n"/>
      <c r="EU48" s="21" t="n"/>
      <c r="EV48" s="21" t="n"/>
      <c r="EW48" s="21" t="n"/>
      <c r="EX48" s="21" t="n"/>
      <c r="EY48" s="21" t="n"/>
      <c r="EZ48" s="21" t="n"/>
      <c r="FA48" s="21" t="n"/>
      <c r="FB48" s="21" t="n"/>
      <c r="FC48" s="21" t="n"/>
      <c r="FD48" s="21" t="n"/>
      <c r="FE48" s="21" t="n"/>
      <c r="FF48" s="21" t="n"/>
      <c r="FG48" s="21" t="n"/>
      <c r="FH48" s="21" t="n"/>
      <c r="FI48" s="21" t="n"/>
      <c r="FJ48" s="21" t="n"/>
      <c r="FK48" s="21" t="n"/>
      <c r="FL48" s="21" t="n"/>
      <c r="FM48" s="21" t="n"/>
      <c r="FN48" s="21" t="n"/>
      <c r="FO48" s="21" t="n"/>
      <c r="FP48" s="21" t="n"/>
      <c r="FQ48" s="21" t="n"/>
      <c r="FR48" s="21" t="n"/>
      <c r="FS48" s="21" t="n"/>
      <c r="FT48" s="21" t="n"/>
      <c r="FU48" s="21" t="n"/>
      <c r="FV48" s="21" t="n"/>
      <c r="FW48" s="21" t="n"/>
      <c r="FX48" s="21" t="n"/>
      <c r="FY48" s="21" t="n"/>
      <c r="FZ48" s="21" t="n"/>
      <c r="GA48" s="21" t="n"/>
      <c r="GB48" s="21" t="n"/>
      <c r="GC48" s="21" t="n"/>
      <c r="GD48" s="21" t="n"/>
      <c r="GE48" s="21" t="n"/>
      <c r="GF48" s="21" t="n"/>
      <c r="GG48" s="21" t="n"/>
      <c r="GH48" s="21" t="n"/>
      <c r="GI48" s="21" t="n"/>
      <c r="GJ48" s="21" t="n"/>
      <c r="GK48" s="21" t="n"/>
      <c r="GL48" s="21" t="n"/>
      <c r="GM48" s="21" t="n"/>
      <c r="GN48" s="21" t="n"/>
      <c r="GO48" s="21" t="n"/>
      <c r="GP48" s="21" t="n"/>
      <c r="GQ48" s="21" t="n"/>
      <c r="GR48" s="21" t="n"/>
      <c r="GS48" s="21" t="n"/>
      <c r="GT48" s="21" t="n"/>
      <c r="GU48" s="21" t="n"/>
      <c r="GV48" s="21" t="n"/>
      <c r="GW48" s="21" t="n"/>
      <c r="GX48" s="21" t="n"/>
      <c r="GY48" s="21" t="n"/>
      <c r="GZ48" s="21" t="n"/>
      <c r="HA48" s="21" t="n"/>
      <c r="HB48" s="21" t="n"/>
      <c r="HC48" s="21" t="n"/>
      <c r="HD48" s="21" t="n"/>
      <c r="HE48" s="21" t="n"/>
      <c r="HF48" s="21" t="n"/>
      <c r="HG48" s="21" t="n"/>
      <c r="HH48" s="21" t="n"/>
      <c r="HI48" s="21" t="n"/>
      <c r="HJ48" s="21" t="n"/>
      <c r="HK48" s="21" t="n"/>
      <c r="HL48" s="21" t="n"/>
      <c r="HM48" s="21" t="n"/>
      <c r="HN48" s="21" t="n"/>
      <c r="HO48" s="21" t="n"/>
      <c r="HP48" s="21" t="n"/>
      <c r="HQ48" s="21" t="n"/>
      <c r="HR48" s="21" t="n"/>
      <c r="HS48" s="21" t="n"/>
      <c r="HT48" s="21" t="n"/>
      <c r="HU48" s="21" t="n"/>
    </row>
    <row r="49" ht="16.2" customHeight="1">
      <c r="A49" s="58" t="inlineStr">
        <is>
          <t>Outras Despesas (adm)</t>
        </is>
      </c>
      <c r="B49" s="136" t="n"/>
      <c r="C49" s="33" t="n"/>
      <c r="D49" s="76" t="n"/>
      <c r="E49" s="33" t="n"/>
      <c r="F49" s="33" t="n"/>
      <c r="G49" s="33" t="n"/>
      <c r="H49" s="33" t="n"/>
      <c r="I49" s="75" t="n"/>
      <c r="J49" s="223" t="n"/>
      <c r="K49" s="119" t="n"/>
      <c r="L49" s="122" t="n"/>
      <c r="M49" s="219" t="n"/>
      <c r="N49" s="219" t="n"/>
      <c r="O49" s="219" t="n"/>
      <c r="P49" s="219" t="n"/>
      <c r="Q49" s="219" t="n"/>
      <c r="R49" s="219" t="n"/>
      <c r="S49" s="219" t="n"/>
      <c r="T49" s="219" t="n"/>
      <c r="U49" s="219" t="n"/>
      <c r="V49" s="219" t="n"/>
      <c r="W49" s="219" t="n"/>
      <c r="X49" s="219" t="n"/>
      <c r="Y49" s="219" t="n"/>
      <c r="Z49" s="219" t="n"/>
      <c r="AA49" s="219" t="n"/>
      <c r="AB49" s="219" t="n"/>
      <c r="AC49" s="219" t="n"/>
      <c r="AD49" s="219" t="n"/>
      <c r="AE49" s="219" t="n"/>
      <c r="AF49" s="219" t="n"/>
      <c r="AG49" s="219" t="n"/>
      <c r="AH49" s="13" t="n"/>
      <c r="AI49" s="345" t="n"/>
      <c r="AJ49" s="13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76" t="n"/>
      <c r="BV49" s="76" t="n"/>
      <c r="BW49" s="76" t="n"/>
      <c r="BX49" s="76" t="n"/>
      <c r="BY49" s="76" t="n"/>
      <c r="BZ49" s="76" t="n"/>
      <c r="CA49" s="76" t="n"/>
      <c r="CB49" s="76" t="n"/>
      <c r="CC49" s="76" t="n"/>
      <c r="CD49" s="76" t="n"/>
      <c r="CE49" s="76" t="n"/>
      <c r="CF49" s="76" t="n"/>
      <c r="CG49" s="76" t="n"/>
      <c r="CH49" s="76" t="n"/>
      <c r="CI49" s="76" t="n"/>
      <c r="CJ49" s="76" t="n"/>
      <c r="CK49" s="76" t="n"/>
      <c r="CL49" s="76" t="n"/>
      <c r="CM49" s="76" t="n"/>
      <c r="CN49" s="76" t="n"/>
      <c r="CO49" s="76" t="n"/>
      <c r="CP49" s="76" t="n"/>
      <c r="CQ49" s="76" t="n"/>
      <c r="CR49" s="76" t="n"/>
      <c r="CS49" s="76" t="n"/>
      <c r="CT49" s="76" t="n"/>
      <c r="CU49" s="76" t="n"/>
      <c r="CV49" s="76" t="n"/>
      <c r="CW49" s="76" t="n"/>
      <c r="CX49" s="76" t="n"/>
      <c r="CY49" s="76" t="n"/>
      <c r="CZ49" s="76" t="n"/>
      <c r="DA49" s="76" t="n"/>
      <c r="DB49" s="76" t="n"/>
      <c r="DC49" s="76" t="n"/>
      <c r="DD49" s="76" t="n"/>
      <c r="DE49" s="76" t="n"/>
      <c r="DF49" s="76" t="n"/>
      <c r="DG49" s="76" t="n"/>
      <c r="DH49" s="76" t="n"/>
      <c r="DI49" s="76" t="n"/>
      <c r="DJ49" s="76" t="n"/>
      <c r="DK49" s="76" t="n"/>
      <c r="DL49" s="76" t="n"/>
      <c r="DM49" s="76" t="n"/>
      <c r="DN49" s="76" t="n"/>
      <c r="DO49" s="76" t="n"/>
      <c r="DP49" s="76" t="n"/>
      <c r="DQ49" s="76" t="n"/>
      <c r="DR49" s="76" t="n"/>
      <c r="DS49" s="76" t="n"/>
      <c r="DT49" s="76" t="n"/>
      <c r="DU49" s="76" t="n"/>
      <c r="DV49" s="76" t="n"/>
      <c r="DW49" s="76" t="n"/>
      <c r="DX49" s="76" t="n"/>
      <c r="DY49" s="76" t="n"/>
      <c r="DZ49" s="76" t="n"/>
      <c r="EA49" s="76" t="n"/>
      <c r="EB49" s="76" t="n"/>
      <c r="EC49" s="76" t="n"/>
      <c r="ED49" s="76" t="n"/>
      <c r="EE49" s="76" t="n"/>
      <c r="EF49" s="76" t="n"/>
      <c r="EG49" s="76" t="n"/>
      <c r="EH49" s="76" t="n"/>
      <c r="EI49" s="76" t="n"/>
      <c r="EJ49" s="76" t="n"/>
      <c r="EK49" s="76" t="n"/>
      <c r="EL49" s="76" t="n"/>
      <c r="EM49" s="76" t="n"/>
      <c r="EN49" s="76" t="n"/>
      <c r="EO49" s="76" t="n"/>
      <c r="EP49" s="76" t="n"/>
      <c r="EQ49" s="76" t="n"/>
      <c r="ER49" s="76" t="n"/>
      <c r="ES49" s="76" t="n"/>
      <c r="ET49" s="76" t="n"/>
      <c r="EU49" s="76" t="n"/>
      <c r="EV49" s="76" t="n"/>
      <c r="EW49" s="76" t="n"/>
      <c r="EX49" s="76" t="n"/>
      <c r="EY49" s="76" t="n"/>
      <c r="EZ49" s="76" t="n"/>
      <c r="FA49" s="76" t="n"/>
      <c r="FB49" s="76" t="n"/>
      <c r="FC49" s="76" t="n"/>
      <c r="FD49" s="76" t="n"/>
      <c r="FE49" s="76" t="n"/>
      <c r="FF49" s="76" t="n"/>
      <c r="FG49" s="76" t="n"/>
      <c r="FH49" s="76" t="n"/>
      <c r="FI49" s="76" t="n"/>
      <c r="FJ49" s="76" t="n"/>
      <c r="FK49" s="76" t="n"/>
      <c r="FL49" s="76" t="n"/>
      <c r="FM49" s="76" t="n"/>
      <c r="FN49" s="76" t="n"/>
      <c r="FO49" s="76" t="n"/>
      <c r="FP49" s="76" t="n"/>
      <c r="FQ49" s="76" t="n"/>
      <c r="FR49" s="76" t="n"/>
      <c r="FS49" s="76" t="n"/>
      <c r="FT49" s="76" t="n"/>
      <c r="FU49" s="76" t="n"/>
      <c r="FV49" s="76" t="n"/>
      <c r="FW49" s="76" t="n"/>
      <c r="FX49" s="76" t="n"/>
      <c r="FY49" s="76" t="n"/>
      <c r="FZ49" s="76" t="n"/>
      <c r="GA49" s="76" t="n"/>
      <c r="GB49" s="76" t="n"/>
      <c r="GC49" s="76" t="n"/>
      <c r="GD49" s="76" t="n"/>
      <c r="GE49" s="76" t="n"/>
      <c r="GF49" s="76" t="n"/>
      <c r="GG49" s="76" t="n"/>
      <c r="GH49" s="76" t="n"/>
      <c r="GI49" s="76" t="n"/>
      <c r="GJ49" s="76" t="n"/>
      <c r="GK49" s="76" t="n"/>
      <c r="GL49" s="76" t="n"/>
      <c r="GM49" s="76" t="n"/>
      <c r="GN49" s="76" t="n"/>
      <c r="GO49" s="76" t="n"/>
      <c r="GP49" s="76" t="n"/>
      <c r="GQ49" s="76" t="n"/>
      <c r="GR49" s="76" t="n"/>
      <c r="GS49" s="76" t="n"/>
      <c r="GT49" s="76" t="n"/>
      <c r="GU49" s="76" t="n"/>
      <c r="GV49" s="76" t="n"/>
      <c r="GW49" s="76" t="n"/>
      <c r="GX49" s="76" t="n"/>
      <c r="GY49" s="76" t="n"/>
      <c r="GZ49" s="76" t="n"/>
      <c r="HA49" s="76" t="n"/>
      <c r="HB49" s="76" t="n"/>
      <c r="HC49" s="76" t="n"/>
      <c r="HD49" s="76" t="n"/>
      <c r="HE49" s="76" t="n"/>
      <c r="HF49" s="76" t="n"/>
      <c r="HG49" s="76" t="n"/>
      <c r="HH49" s="76" t="n"/>
      <c r="HI49" s="76" t="n"/>
      <c r="HJ49" s="76" t="n"/>
      <c r="HK49" s="76" t="n"/>
      <c r="HL49" s="76" t="n"/>
      <c r="HM49" s="76" t="n"/>
      <c r="HN49" s="76" t="n"/>
      <c r="HO49" s="76" t="n"/>
      <c r="HP49" s="76" t="n"/>
      <c r="HQ49" s="76" t="n"/>
      <c r="HR49" s="76" t="n"/>
      <c r="HS49" s="76" t="n"/>
      <c r="HT49" s="76" t="n"/>
      <c r="HU49" s="76" t="n"/>
    </row>
    <row r="50" ht="6" customHeight="1">
      <c r="A50" s="23" t="n"/>
      <c r="B50" s="265" t="n"/>
      <c r="C50" s="105" t="n"/>
      <c r="D50" s="104" t="n"/>
      <c r="E50" s="105" t="n"/>
      <c r="F50" s="105" t="n"/>
      <c r="G50" s="105" t="n"/>
      <c r="H50" s="105" t="n"/>
      <c r="I50" s="106" t="n"/>
      <c r="J50" s="180" t="n"/>
      <c r="K50" s="105" t="n"/>
      <c r="L50" s="105" t="n"/>
      <c r="M50" s="181" t="n"/>
      <c r="N50" s="181" t="n"/>
      <c r="O50" s="181" t="n"/>
      <c r="P50" s="181" t="n"/>
      <c r="Q50" s="181" t="n"/>
      <c r="R50" s="181" t="n"/>
      <c r="S50" s="181" t="n"/>
      <c r="T50" s="181" t="n"/>
      <c r="U50" s="181" t="n"/>
      <c r="V50" s="181" t="n"/>
      <c r="W50" s="181" t="n"/>
      <c r="X50" s="181" t="n"/>
      <c r="Y50" s="181" t="n"/>
      <c r="Z50" s="181" t="n"/>
      <c r="AA50" s="181" t="n"/>
      <c r="AB50" s="181" t="n"/>
      <c r="AC50" s="181" t="n"/>
      <c r="AD50" s="181" t="n"/>
      <c r="AE50" s="181" t="n"/>
      <c r="AF50" s="181" t="n"/>
      <c r="AG50" s="181" t="n"/>
      <c r="AH50" s="13" t="n"/>
      <c r="AI50" s="345" t="n"/>
      <c r="AJ50" s="13" t="n"/>
      <c r="AK50" s="105" t="n"/>
      <c r="AL50" s="105" t="n"/>
      <c r="AM50" s="105" t="n"/>
      <c r="AN50" s="105" t="n"/>
      <c r="AO50" s="105" t="n"/>
      <c r="AP50" s="105" t="n"/>
      <c r="AQ50" s="106" t="n"/>
      <c r="AR50" s="106" t="n"/>
      <c r="AS50" s="105" t="n"/>
      <c r="AT50" s="105" t="n"/>
      <c r="AU50" s="105" t="n"/>
      <c r="AV50" s="105" t="n"/>
      <c r="AW50" s="105" t="n"/>
      <c r="AX50" s="105" t="n"/>
      <c r="AY50" s="105" t="n"/>
      <c r="AZ50" s="105" t="n"/>
      <c r="BA50" s="105" t="n"/>
      <c r="BB50" s="105" t="n"/>
      <c r="BC50" s="105" t="n"/>
      <c r="BD50" s="304" t="n"/>
      <c r="BE50" s="104" t="n"/>
      <c r="BF50" s="105" t="n"/>
      <c r="BG50" s="105" t="n"/>
      <c r="BH50" s="105" t="n"/>
      <c r="BI50" s="105" t="n"/>
      <c r="BJ50" s="105" t="n"/>
      <c r="BK50" s="105" t="n"/>
      <c r="BL50" s="105" t="n"/>
      <c r="BM50" s="105" t="n"/>
      <c r="BN50" s="105" t="n"/>
      <c r="BO50" s="105" t="n"/>
      <c r="BP50" s="304" t="n"/>
      <c r="BQ50" s="104" t="n"/>
      <c r="BR50" s="105" t="n"/>
      <c r="BS50" s="105" t="n"/>
      <c r="BT50" s="105" t="n"/>
      <c r="BU50" s="105" t="n"/>
      <c r="BV50" s="105" t="n"/>
      <c r="BW50" s="105" t="n"/>
      <c r="BX50" s="105" t="n"/>
      <c r="BY50" s="105" t="n"/>
      <c r="BZ50" s="105" t="n"/>
      <c r="CA50" s="105" t="n"/>
      <c r="CB50" s="304" t="n"/>
      <c r="CC50" s="104" t="n"/>
      <c r="CD50" s="105" t="n"/>
      <c r="CE50" s="105" t="n"/>
      <c r="CF50" s="105" t="n"/>
      <c r="CG50" s="105" t="n"/>
      <c r="CH50" s="105" t="n"/>
      <c r="CI50" s="105" t="n"/>
      <c r="CJ50" s="105" t="n"/>
      <c r="CK50" s="105" t="n"/>
      <c r="CL50" s="105" t="n"/>
      <c r="CM50" s="105" t="n"/>
      <c r="CN50" s="304" t="n"/>
      <c r="CO50" s="104" t="n"/>
      <c r="CP50" s="105" t="n"/>
      <c r="CQ50" s="105" t="n"/>
      <c r="CR50" s="105" t="n"/>
      <c r="CS50" s="105" t="n"/>
      <c r="CT50" s="105" t="n"/>
      <c r="CU50" s="105" t="n"/>
      <c r="CV50" s="105" t="n"/>
      <c r="CW50" s="105" t="n"/>
      <c r="CX50" s="105" t="n"/>
      <c r="CY50" s="105" t="n"/>
      <c r="CZ50" s="304" t="n"/>
      <c r="DA50" s="104" t="n"/>
      <c r="DB50" s="105" t="n"/>
      <c r="DC50" s="105" t="n"/>
      <c r="DD50" s="105" t="n"/>
      <c r="DE50" s="105" t="n"/>
      <c r="DF50" s="105" t="n"/>
      <c r="DG50" s="105" t="n"/>
      <c r="DH50" s="105" t="n"/>
      <c r="DI50" s="105" t="n"/>
      <c r="DJ50" s="106" t="n"/>
      <c r="DK50" s="105" t="n"/>
      <c r="DL50" s="106" t="n"/>
      <c r="DM50" s="105" t="n"/>
      <c r="DN50" s="106" t="n"/>
      <c r="DO50" s="106" t="n"/>
      <c r="DP50" s="106" t="n"/>
      <c r="DQ50" s="106" t="n"/>
      <c r="DR50" s="106" t="n"/>
      <c r="DS50" s="106" t="n"/>
      <c r="DT50" s="106" t="n"/>
      <c r="DU50" s="106" t="n"/>
      <c r="DV50" s="106" t="n"/>
      <c r="DW50" s="106" t="n"/>
      <c r="DX50" s="106" t="n"/>
      <c r="DY50" s="106" t="n"/>
      <c r="DZ50" s="106" t="n"/>
      <c r="EA50" s="106" t="n"/>
      <c r="EB50" s="106" t="n"/>
      <c r="EC50" s="106" t="n"/>
      <c r="ED50" s="106" t="n"/>
      <c r="EE50" s="106" t="n"/>
      <c r="EF50" s="106" t="n"/>
      <c r="EG50" s="106" t="n"/>
      <c r="EH50" s="106" t="n"/>
      <c r="EI50" s="106" t="n"/>
      <c r="EJ50" s="106" t="n"/>
      <c r="EK50" s="106" t="n"/>
      <c r="EL50" s="106" t="n"/>
      <c r="EM50" s="106" t="n"/>
      <c r="EN50" s="106" t="n"/>
      <c r="EO50" s="106" t="n"/>
      <c r="EP50" s="106" t="n"/>
      <c r="EQ50" s="106" t="n"/>
      <c r="ER50" s="106" t="n"/>
      <c r="ES50" s="106" t="n"/>
      <c r="ET50" s="106" t="n"/>
      <c r="EU50" s="106" t="n"/>
      <c r="EV50" s="106" t="n"/>
      <c r="EW50" s="106" t="n"/>
      <c r="EX50" s="106" t="n"/>
      <c r="EY50" s="106" t="n"/>
      <c r="EZ50" s="106" t="n"/>
      <c r="FA50" s="106" t="n"/>
      <c r="FB50" s="106" t="n"/>
      <c r="FC50" s="106" t="n"/>
      <c r="FD50" s="106" t="n"/>
      <c r="FE50" s="106" t="n"/>
      <c r="FF50" s="106" t="n"/>
      <c r="FG50" s="106" t="n"/>
      <c r="FH50" s="106" t="n"/>
      <c r="FI50" s="106" t="n"/>
      <c r="FJ50" s="106" t="n"/>
      <c r="FK50" s="106" t="n"/>
      <c r="FL50" s="106" t="n"/>
      <c r="FM50" s="106" t="n"/>
      <c r="FN50" s="106" t="n"/>
      <c r="FO50" s="106" t="n"/>
      <c r="FP50" s="106" t="n"/>
      <c r="FQ50" s="106" t="n"/>
      <c r="FR50" s="106" t="n"/>
      <c r="FS50" s="106" t="n"/>
      <c r="FT50" s="106" t="n"/>
      <c r="FU50" s="106" t="n"/>
      <c r="FV50" s="106" t="n"/>
      <c r="FW50" s="106" t="n"/>
      <c r="FX50" s="106" t="n"/>
      <c r="FY50" s="106" t="n"/>
      <c r="FZ50" s="106" t="n"/>
      <c r="GA50" s="106" t="n"/>
      <c r="GB50" s="106" t="n"/>
      <c r="GC50" s="106" t="n"/>
      <c r="GD50" s="106" t="n"/>
      <c r="GE50" s="106" t="n"/>
      <c r="GF50" s="106" t="n"/>
      <c r="GG50" s="106" t="n"/>
      <c r="GH50" s="106" t="n"/>
      <c r="GI50" s="106" t="n"/>
      <c r="GJ50" s="106" t="n"/>
      <c r="GK50" s="106" t="n"/>
      <c r="GL50" s="106" t="n"/>
      <c r="GM50" s="106" t="n"/>
      <c r="GN50" s="106" t="n"/>
      <c r="GO50" s="106" t="n"/>
      <c r="GP50" s="106" t="n"/>
      <c r="GQ50" s="106" t="n"/>
      <c r="GR50" s="106" t="n"/>
      <c r="GS50" s="106" t="n"/>
      <c r="GT50" s="106" t="n"/>
      <c r="GU50" s="106" t="n"/>
      <c r="GV50" s="106" t="n"/>
      <c r="GW50" s="106" t="n"/>
      <c r="GX50" s="106" t="n"/>
      <c r="GY50" s="106" t="n"/>
      <c r="GZ50" s="106" t="n"/>
      <c r="HA50" s="106" t="n"/>
      <c r="HB50" s="106" t="n"/>
      <c r="HC50" s="106" t="n"/>
      <c r="HD50" s="106" t="n"/>
      <c r="HE50" s="106" t="n"/>
      <c r="HF50" s="106" t="n"/>
      <c r="HG50" s="106" t="n"/>
      <c r="HH50" s="106" t="n"/>
      <c r="HI50" s="106" t="n"/>
      <c r="HJ50" s="106" t="n"/>
      <c r="HK50" s="106" t="n"/>
      <c r="HL50" s="106" t="n"/>
      <c r="HM50" s="106" t="n"/>
      <c r="HN50" s="106" t="n"/>
      <c r="HO50" s="106" t="n"/>
      <c r="HP50" s="106" t="n"/>
      <c r="HQ50" s="106" t="n"/>
      <c r="HR50" s="106" t="n"/>
      <c r="HS50" s="106" t="n"/>
      <c r="HT50" s="106" t="n"/>
      <c r="HU50" s="106" t="n"/>
    </row>
    <row r="51" ht="16.2" customFormat="1" customHeight="1" s="267">
      <c r="A51" s="73" t="inlineStr">
        <is>
          <t>TOTAL DE DESPESAS OPERACIONAIS (-)</t>
        </is>
      </c>
      <c r="B51" s="268" t="n"/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N51" s="255" t="n"/>
      <c r="O51" s="255" t="n"/>
      <c r="P51" s="255" t="n"/>
      <c r="Q51" s="255" t="n"/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13" t="n"/>
      <c r="AI51" s="245" t="n"/>
      <c r="AJ51" s="13" t="n"/>
      <c r="AK51" s="255" t="n"/>
      <c r="AL51" s="255" t="n"/>
      <c r="AM51" s="255" t="n"/>
      <c r="AN51" s="255" t="n"/>
      <c r="AO51" s="255" t="n"/>
      <c r="AP51" s="255" t="n"/>
      <c r="AQ51" s="255" t="n"/>
      <c r="AR51" s="255" t="n"/>
      <c r="AS51" s="255" t="n"/>
      <c r="AT51" s="255" t="n"/>
      <c r="AU51" s="255" t="n"/>
      <c r="AV51" s="255" t="n"/>
      <c r="AW51" s="255" t="n"/>
      <c r="AX51" s="255" t="n"/>
      <c r="AY51" s="255" t="n"/>
      <c r="AZ51" s="255" t="n"/>
      <c r="BA51" s="255" t="n"/>
      <c r="BB51" s="255" t="n"/>
      <c r="BC51" s="255" t="n"/>
      <c r="BD51" s="255" t="n"/>
      <c r="BE51" s="255" t="n"/>
      <c r="BF51" s="255" t="n"/>
      <c r="BG51" s="255" t="n"/>
      <c r="BH51" s="255" t="n"/>
      <c r="BI51" s="255" t="n"/>
      <c r="BJ51" s="255" t="n"/>
      <c r="BK51" s="255" t="n"/>
      <c r="BL51" s="255" t="n"/>
      <c r="BM51" s="255" t="n"/>
      <c r="BN51" s="255" t="n"/>
      <c r="BO51" s="255" t="n"/>
      <c r="BP51" s="255" t="n"/>
      <c r="BQ51" s="255" t="n"/>
      <c r="BR51" s="255" t="n"/>
      <c r="BS51" s="255" t="n"/>
      <c r="BT51" s="255" t="n"/>
      <c r="BU51" s="255" t="n"/>
      <c r="BV51" s="255" t="n"/>
      <c r="BW51" s="255" t="n"/>
      <c r="BX51" s="255" t="n"/>
      <c r="BY51" s="255" t="n"/>
      <c r="BZ51" s="255" t="n"/>
      <c r="CA51" s="255" t="n"/>
      <c r="CB51" s="255" t="n"/>
      <c r="CC51" s="255" t="n"/>
      <c r="CD51" s="255" t="n"/>
      <c r="CE51" s="255" t="n"/>
      <c r="CF51" s="255" t="n"/>
      <c r="CG51" s="255" t="n"/>
      <c r="CH51" s="255" t="n"/>
      <c r="CI51" s="255" t="n"/>
      <c r="CJ51" s="255" t="n"/>
      <c r="CK51" s="255" t="n"/>
      <c r="CL51" s="255" t="n"/>
      <c r="CM51" s="255" t="n"/>
      <c r="CN51" s="255" t="n"/>
      <c r="CO51" s="255" t="n"/>
      <c r="CP51" s="255" t="n"/>
      <c r="CQ51" s="255" t="n"/>
      <c r="CR51" s="255" t="n"/>
      <c r="CS51" s="255" t="n"/>
      <c r="CT51" s="255" t="n"/>
      <c r="CU51" s="255" t="n"/>
      <c r="CV51" s="255" t="n"/>
      <c r="CW51" s="255" t="n"/>
      <c r="CX51" s="255" t="n"/>
      <c r="CY51" s="255" t="n"/>
      <c r="CZ51" s="255" t="n"/>
      <c r="DA51" s="255" t="n"/>
      <c r="DB51" s="255" t="n"/>
      <c r="DC51" s="255" t="n"/>
      <c r="DD51" s="255" t="n"/>
      <c r="DE51" s="255" t="n"/>
      <c r="DF51" s="255" t="n"/>
      <c r="DG51" s="255" t="n"/>
      <c r="DH51" s="255" t="n"/>
      <c r="DI51" s="255" t="n"/>
      <c r="DJ51" s="255" t="n"/>
      <c r="DK51" s="255" t="n"/>
      <c r="DL51" s="255" t="n"/>
      <c r="DM51" s="255" t="n"/>
      <c r="DN51" s="255" t="n"/>
      <c r="DO51" s="255" t="n"/>
      <c r="DP51" s="255" t="n"/>
      <c r="DQ51" s="255" t="n"/>
      <c r="DR51" s="255" t="n"/>
      <c r="DS51" s="255" t="n"/>
      <c r="DT51" s="255" t="n"/>
      <c r="DU51" s="255" t="n"/>
      <c r="DV51" s="255" t="n"/>
      <c r="DW51" s="255" t="n"/>
      <c r="DX51" s="255" t="n"/>
      <c r="DY51" s="255" t="n"/>
      <c r="DZ51" s="255" t="n"/>
      <c r="EA51" s="255" t="n"/>
      <c r="EB51" s="255" t="n"/>
      <c r="EC51" s="255" t="n"/>
      <c r="ED51" s="255" t="n"/>
      <c r="EE51" s="255" t="n"/>
      <c r="EF51" s="255" t="n"/>
      <c r="EG51" s="255" t="n"/>
      <c r="EH51" s="255" t="n"/>
      <c r="EI51" s="255" t="n"/>
      <c r="EJ51" s="255" t="n"/>
      <c r="EK51" s="255" t="n"/>
      <c r="EL51" s="255" t="n"/>
      <c r="EM51" s="255" t="n"/>
      <c r="EN51" s="255" t="n"/>
      <c r="EO51" s="255" t="n"/>
      <c r="EP51" s="255" t="n"/>
      <c r="EQ51" s="255" t="n"/>
      <c r="ER51" s="255" t="n"/>
      <c r="ES51" s="255" t="n"/>
      <c r="ET51" s="255" t="n"/>
      <c r="EU51" s="255" t="n"/>
      <c r="EV51" s="255" t="n"/>
      <c r="EW51" s="255" t="n"/>
      <c r="EX51" s="255" t="n"/>
      <c r="EY51" s="255" t="n"/>
      <c r="EZ51" s="255" t="n"/>
      <c r="FA51" s="255" t="n"/>
      <c r="FB51" s="255" t="n"/>
      <c r="FC51" s="255" t="n"/>
      <c r="FD51" s="255" t="n"/>
      <c r="FE51" s="255" t="n"/>
      <c r="FF51" s="255" t="n"/>
      <c r="FG51" s="255" t="n"/>
      <c r="FH51" s="255" t="n"/>
      <c r="FI51" s="255" t="n"/>
      <c r="FJ51" s="255" t="n"/>
      <c r="FK51" s="255" t="n"/>
      <c r="FL51" s="255" t="n"/>
      <c r="FM51" s="255" t="n"/>
      <c r="FN51" s="255" t="n"/>
      <c r="FO51" s="255" t="n"/>
      <c r="FP51" s="255" t="n"/>
      <c r="FQ51" s="255" t="n"/>
      <c r="FR51" s="255" t="n"/>
      <c r="FS51" s="255" t="n"/>
      <c r="FT51" s="255" t="n"/>
      <c r="FU51" s="255" t="n"/>
      <c r="FV51" s="255" t="n"/>
      <c r="FW51" s="255" t="n"/>
      <c r="FX51" s="255" t="n"/>
      <c r="FY51" s="255" t="n"/>
      <c r="FZ51" s="255" t="n"/>
      <c r="GA51" s="255" t="n"/>
      <c r="GB51" s="255" t="n"/>
      <c r="GC51" s="255" t="n"/>
      <c r="GD51" s="255" t="n"/>
      <c r="GE51" s="255" t="n"/>
      <c r="GF51" s="255" t="n"/>
      <c r="GG51" s="255" t="n"/>
      <c r="GH51" s="255" t="n"/>
      <c r="GI51" s="255" t="n"/>
      <c r="GJ51" s="255" t="n"/>
      <c r="GK51" s="255" t="n"/>
      <c r="GL51" s="255" t="n"/>
      <c r="GM51" s="255" t="n"/>
      <c r="GN51" s="255" t="n"/>
      <c r="GO51" s="255" t="n"/>
      <c r="GP51" s="255" t="n"/>
      <c r="GQ51" s="255" t="n"/>
      <c r="GR51" s="255" t="n"/>
      <c r="GS51" s="255" t="n"/>
      <c r="GT51" s="255" t="n"/>
      <c r="GU51" s="255" t="n"/>
      <c r="GV51" s="255" t="n"/>
      <c r="GW51" s="255" t="n"/>
      <c r="GX51" s="255" t="n"/>
      <c r="GY51" s="255" t="n"/>
      <c r="GZ51" s="255" t="n"/>
      <c r="HA51" s="255" t="n"/>
      <c r="HB51" s="255" t="n"/>
      <c r="HC51" s="255" t="n"/>
      <c r="HD51" s="255" t="n"/>
      <c r="HE51" s="255" t="n"/>
      <c r="HF51" s="255" t="n"/>
      <c r="HG51" s="255" t="n"/>
      <c r="HH51" s="255" t="n"/>
      <c r="HI51" s="255" t="n"/>
      <c r="HJ51" s="255" t="n"/>
      <c r="HK51" s="255" t="n"/>
      <c r="HL51" s="255" t="n"/>
      <c r="HM51" s="255" t="n"/>
      <c r="HN51" s="255" t="n"/>
      <c r="HO51" s="255" t="n"/>
      <c r="HP51" s="255" t="n"/>
      <c r="HQ51" s="255" t="n"/>
      <c r="HR51" s="255" t="n"/>
      <c r="HS51" s="255" t="n"/>
      <c r="HT51" s="255" t="n"/>
      <c r="HU51" s="255" t="n"/>
    </row>
    <row r="52" ht="15.75" customHeight="1">
      <c r="A52" s="74" t="inlineStr">
        <is>
          <t>TOTAL ACUMULADO DE DESPESAS OP.(-)</t>
        </is>
      </c>
      <c r="B52" s="269" t="n"/>
      <c r="C52" s="59" t="n"/>
      <c r="D52" s="59" t="n"/>
      <c r="E52" s="59" t="n"/>
      <c r="F52" s="59" t="n"/>
      <c r="G52" s="59" t="n"/>
      <c r="H52" s="59" t="n"/>
      <c r="I52" s="103" t="n"/>
      <c r="J52" s="182" t="n"/>
      <c r="K52" s="103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13" t="n"/>
      <c r="AI52" s="183" t="n"/>
      <c r="AJ52" s="13" t="n"/>
      <c r="AK52" s="59" t="n"/>
      <c r="AL52" s="59" t="n"/>
      <c r="AM52" s="59" t="n"/>
      <c r="AN52" s="59" t="n"/>
      <c r="AO52" s="59" t="n"/>
      <c r="AP52" s="59" t="n"/>
      <c r="AQ52" s="103" t="n"/>
      <c r="AR52" s="103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305" t="n"/>
      <c r="BE52" s="100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305" t="n"/>
      <c r="BQ52" s="100" t="n"/>
      <c r="BR52" s="59" t="n"/>
      <c r="BS52" s="59" t="n"/>
      <c r="BT52" s="59" t="n"/>
      <c r="BU52" s="59" t="n"/>
      <c r="BV52" s="59" t="n"/>
      <c r="BW52" s="59" t="n"/>
      <c r="BX52" s="59" t="n"/>
      <c r="BY52" s="59" t="n"/>
      <c r="BZ52" s="59" t="n"/>
      <c r="CA52" s="59" t="n"/>
      <c r="CB52" s="305" t="n"/>
      <c r="CC52" s="100" t="n"/>
      <c r="CD52" s="59" t="n"/>
      <c r="CE52" s="59" t="n"/>
      <c r="CF52" s="59" t="n"/>
      <c r="CG52" s="59" t="n"/>
      <c r="CH52" s="59" t="n"/>
      <c r="CI52" s="59" t="n"/>
      <c r="CJ52" s="59" t="n"/>
      <c r="CK52" s="59" t="n"/>
      <c r="CL52" s="59" t="n"/>
      <c r="CM52" s="59" t="n"/>
      <c r="CN52" s="305" t="n"/>
      <c r="CO52" s="100" t="n"/>
      <c r="CP52" s="59" t="n"/>
      <c r="CQ52" s="59" t="n"/>
      <c r="CR52" s="59" t="n"/>
      <c r="CS52" s="59" t="n"/>
      <c r="CT52" s="59" t="n"/>
      <c r="CU52" s="59" t="n"/>
      <c r="CV52" s="59" t="n"/>
      <c r="CW52" s="59" t="n"/>
      <c r="CX52" s="59" t="n"/>
      <c r="CY52" s="59" t="n"/>
      <c r="CZ52" s="305" t="n"/>
      <c r="DA52" s="100" t="n"/>
      <c r="DB52" s="59" t="n"/>
      <c r="DC52" s="59" t="n"/>
      <c r="DD52" s="59" t="n"/>
      <c r="DE52" s="59" t="n"/>
      <c r="DF52" s="59" t="n"/>
      <c r="DG52" s="59" t="n"/>
      <c r="DH52" s="59" t="n"/>
      <c r="DI52" s="59" t="n"/>
      <c r="DJ52" s="103" t="n"/>
      <c r="DK52" s="59" t="n"/>
      <c r="DL52" s="103" t="n"/>
      <c r="DM52" s="59" t="n"/>
      <c r="DN52" s="103" t="n"/>
      <c r="DO52" s="103" t="n"/>
      <c r="DP52" s="103" t="n"/>
      <c r="DQ52" s="103" t="n"/>
      <c r="DR52" s="103" t="n"/>
      <c r="DS52" s="103" t="n"/>
      <c r="DT52" s="103" t="n"/>
      <c r="DU52" s="103" t="n"/>
      <c r="DV52" s="103" t="n"/>
      <c r="DW52" s="103" t="n"/>
      <c r="DX52" s="103" t="n"/>
      <c r="DY52" s="103" t="n"/>
      <c r="DZ52" s="103" t="n"/>
      <c r="EA52" s="103" t="n"/>
      <c r="EB52" s="103" t="n"/>
      <c r="EC52" s="103" t="n"/>
      <c r="ED52" s="103" t="n"/>
      <c r="EE52" s="103" t="n"/>
      <c r="EF52" s="103" t="n"/>
      <c r="EG52" s="103" t="n"/>
      <c r="EH52" s="103" t="n"/>
      <c r="EI52" s="103" t="n"/>
      <c r="EJ52" s="103" t="n"/>
      <c r="EK52" s="103" t="n"/>
      <c r="EL52" s="103" t="n"/>
      <c r="EM52" s="103" t="n"/>
      <c r="EN52" s="103" t="n"/>
      <c r="EO52" s="103" t="n"/>
      <c r="EP52" s="103" t="n"/>
      <c r="EQ52" s="103" t="n"/>
      <c r="ER52" s="103" t="n"/>
      <c r="ES52" s="103" t="n"/>
      <c r="ET52" s="103" t="n"/>
      <c r="EU52" s="103" t="n"/>
      <c r="EV52" s="103" t="n"/>
      <c r="EW52" s="103" t="n"/>
      <c r="EX52" s="103" t="n"/>
      <c r="EY52" s="103" t="n"/>
      <c r="EZ52" s="103" t="n"/>
      <c r="FA52" s="103" t="n"/>
      <c r="FB52" s="103" t="n"/>
      <c r="FC52" s="103" t="n"/>
      <c r="FD52" s="103" t="n"/>
      <c r="FE52" s="103" t="n"/>
      <c r="FF52" s="103" t="n"/>
      <c r="FG52" s="103" t="n"/>
      <c r="FH52" s="103" t="n"/>
      <c r="FI52" s="103" t="n"/>
      <c r="FJ52" s="103" t="n"/>
      <c r="FK52" s="103" t="n"/>
      <c r="FL52" s="103" t="n"/>
      <c r="FM52" s="103" t="n"/>
      <c r="FN52" s="103" t="n"/>
      <c r="FO52" s="103" t="n"/>
      <c r="FP52" s="103" t="n"/>
      <c r="FQ52" s="103" t="n"/>
      <c r="FR52" s="103" t="n"/>
      <c r="FS52" s="103" t="n"/>
      <c r="FT52" s="103" t="n"/>
      <c r="FU52" s="103" t="n"/>
      <c r="FV52" s="103" t="n"/>
      <c r="FW52" s="103" t="n"/>
      <c r="FX52" s="103" t="n"/>
      <c r="FY52" s="103" t="n"/>
      <c r="FZ52" s="103" t="n"/>
      <c r="GA52" s="103" t="n"/>
      <c r="GB52" s="103" t="n"/>
      <c r="GC52" s="103" t="n"/>
      <c r="GD52" s="103" t="n"/>
      <c r="GE52" s="103" t="n"/>
      <c r="GF52" s="103" t="n"/>
      <c r="GG52" s="103" t="n"/>
      <c r="GH52" s="103" t="n"/>
      <c r="GI52" s="103" t="n"/>
      <c r="GJ52" s="103" t="n"/>
      <c r="GK52" s="103" t="n"/>
      <c r="GL52" s="103" t="n"/>
      <c r="GM52" s="103" t="n"/>
      <c r="GN52" s="103" t="n"/>
      <c r="GO52" s="103" t="n"/>
      <c r="GP52" s="103" t="n"/>
      <c r="GQ52" s="103" t="n"/>
      <c r="GR52" s="103" t="n"/>
      <c r="GS52" s="103" t="n"/>
      <c r="GT52" s="103" t="n"/>
      <c r="GU52" s="103" t="n"/>
      <c r="GV52" s="103" t="n"/>
      <c r="GW52" s="103" t="n"/>
      <c r="GX52" s="103" t="n"/>
      <c r="GY52" s="103" t="n"/>
      <c r="GZ52" s="103" t="n"/>
      <c r="HA52" s="103" t="n"/>
      <c r="HB52" s="103" t="n"/>
      <c r="HC52" s="103" t="n"/>
      <c r="HD52" s="103" t="n"/>
      <c r="HE52" s="103" t="n"/>
      <c r="HF52" s="103" t="n"/>
      <c r="HG52" s="103" t="n"/>
      <c r="HH52" s="103" t="n"/>
      <c r="HI52" s="103" t="n"/>
      <c r="HJ52" s="103" t="n"/>
      <c r="HK52" s="103" t="n"/>
      <c r="HL52" s="103" t="n"/>
      <c r="HM52" s="103" t="n"/>
      <c r="HN52" s="103" t="n"/>
      <c r="HO52" s="103" t="n"/>
      <c r="HP52" s="103" t="n"/>
      <c r="HQ52" s="103" t="n"/>
      <c r="HR52" s="103" t="n"/>
      <c r="HS52" s="103" t="n"/>
      <c r="HT52" s="103" t="n"/>
      <c r="HU52" s="103" t="n"/>
    </row>
    <row r="53" ht="15.75" customHeight="1">
      <c r="A53" s="54" t="n"/>
      <c r="B53" s="144" t="n"/>
      <c r="C53" s="69" t="n"/>
      <c r="D53" s="69" t="n"/>
      <c r="E53" s="69" t="n"/>
      <c r="F53" s="69" t="n"/>
      <c r="G53" s="69" t="n"/>
      <c r="H53" s="69" t="n"/>
      <c r="I53" s="203" t="n"/>
      <c r="J53" s="184" t="n"/>
      <c r="K53" s="95" t="n"/>
      <c r="L53" s="95" t="n"/>
      <c r="M53" s="225" t="n"/>
      <c r="N53" s="225" t="n"/>
      <c r="O53" s="225" t="n"/>
      <c r="P53" s="225" t="n"/>
      <c r="Q53" s="225" t="n"/>
      <c r="R53" s="225" t="n"/>
      <c r="S53" s="225" t="n"/>
      <c r="T53" s="225" t="n"/>
      <c r="U53" s="225" t="n"/>
      <c r="V53" s="225" t="n"/>
      <c r="W53" s="225" t="n"/>
      <c r="X53" s="225" t="n"/>
      <c r="Y53" s="225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13" t="n"/>
      <c r="AI53" s="242" t="n"/>
      <c r="AJ53" s="13" t="n"/>
      <c r="AK53" s="95" t="n"/>
      <c r="AL53" s="95" t="n"/>
      <c r="AM53" s="95" t="n"/>
      <c r="AN53" s="95" t="n"/>
      <c r="AO53" s="95" t="n"/>
      <c r="AP53" s="95" t="n"/>
      <c r="AQ53" s="95" t="n"/>
      <c r="AR53" s="95" t="n"/>
      <c r="AS53" s="95" t="n"/>
      <c r="AT53" s="95" t="n"/>
      <c r="AU53" s="95" t="n"/>
      <c r="AV53" s="95" t="n"/>
      <c r="AW53" s="95" t="n"/>
      <c r="AX53" s="95" t="n"/>
      <c r="AY53" s="95" t="n"/>
      <c r="AZ53" s="95" t="n"/>
      <c r="BA53" s="95" t="n"/>
      <c r="BB53" s="95" t="n"/>
      <c r="BC53" s="95" t="n"/>
      <c r="BD53" s="306" t="n"/>
      <c r="BE53" s="95" t="n"/>
      <c r="BF53" s="95" t="n"/>
      <c r="BG53" s="95" t="n"/>
      <c r="BH53" s="95" t="n"/>
      <c r="BI53" s="95" t="n"/>
      <c r="BJ53" s="95" t="n"/>
      <c r="BK53" s="95" t="n"/>
      <c r="BL53" s="95" t="n"/>
      <c r="BM53" s="95" t="n"/>
      <c r="BN53" s="95" t="n"/>
      <c r="BO53" s="95" t="n"/>
      <c r="BP53" s="306" t="n"/>
      <c r="BQ53" s="95" t="n"/>
      <c r="BR53" s="95" t="n"/>
      <c r="BS53" s="95" t="n"/>
      <c r="BT53" s="95" t="n"/>
      <c r="BU53" s="95" t="n"/>
      <c r="BV53" s="95" t="n"/>
      <c r="BW53" s="95" t="n"/>
      <c r="BX53" s="95" t="n"/>
      <c r="BY53" s="95" t="n"/>
      <c r="BZ53" s="95" t="n"/>
      <c r="CA53" s="95" t="n"/>
      <c r="CB53" s="306" t="n"/>
      <c r="CC53" s="95" t="n"/>
      <c r="CD53" s="95" t="n"/>
      <c r="CE53" s="95" t="n"/>
      <c r="CF53" s="95" t="n"/>
      <c r="CG53" s="95" t="n"/>
      <c r="CH53" s="95" t="n"/>
      <c r="CI53" s="95" t="n"/>
      <c r="CJ53" s="95" t="n"/>
      <c r="CK53" s="95" t="n"/>
      <c r="CL53" s="95" t="n"/>
      <c r="CM53" s="95" t="n"/>
      <c r="CN53" s="306" t="n"/>
      <c r="CO53" s="95" t="n"/>
      <c r="CP53" s="95" t="n"/>
      <c r="CQ53" s="95" t="n"/>
      <c r="CR53" s="95" t="n"/>
      <c r="CS53" s="95" t="n"/>
      <c r="CT53" s="95" t="n"/>
      <c r="CU53" s="95" t="n"/>
      <c r="CV53" s="95" t="n"/>
      <c r="CW53" s="95" t="n"/>
      <c r="CX53" s="95" t="n"/>
      <c r="CY53" s="95" t="n"/>
      <c r="CZ53" s="306" t="n"/>
      <c r="DA53" s="95" t="n"/>
      <c r="DB53" s="95" t="n"/>
      <c r="DC53" s="95" t="n"/>
      <c r="DD53" s="95" t="n"/>
      <c r="DE53" s="95" t="n"/>
      <c r="DF53" s="95" t="n"/>
      <c r="DG53" s="95" t="n"/>
      <c r="DH53" s="95" t="n"/>
      <c r="DI53" s="95" t="n"/>
      <c r="DJ53" s="95" t="n"/>
      <c r="DK53" s="95" t="n"/>
      <c r="DL53" s="95" t="n"/>
      <c r="DM53" s="95" t="n"/>
      <c r="DN53" s="95" t="n"/>
      <c r="DO53" s="95" t="n"/>
      <c r="DP53" s="95" t="n"/>
      <c r="DQ53" s="95" t="n"/>
      <c r="DR53" s="95" t="n"/>
      <c r="DS53" s="95" t="n"/>
      <c r="DT53" s="95" t="n"/>
      <c r="DU53" s="95" t="n"/>
      <c r="DV53" s="95" t="n"/>
      <c r="DW53" s="95" t="n"/>
      <c r="DX53" s="95" t="n"/>
      <c r="DY53" s="95" t="n"/>
      <c r="DZ53" s="95" t="n"/>
      <c r="EA53" s="95" t="n"/>
      <c r="EB53" s="95" t="n"/>
      <c r="EC53" s="95" t="n"/>
      <c r="ED53" s="95" t="n"/>
      <c r="EE53" s="95" t="n"/>
      <c r="EF53" s="95" t="n"/>
      <c r="EG53" s="95" t="n"/>
      <c r="EH53" s="95" t="n"/>
      <c r="EI53" s="95" t="n"/>
      <c r="EJ53" s="95" t="n"/>
      <c r="EK53" s="95" t="n"/>
      <c r="EL53" s="95" t="n"/>
      <c r="EM53" s="95" t="n"/>
      <c r="EN53" s="95" t="n"/>
      <c r="EO53" s="95" t="n"/>
      <c r="EP53" s="95" t="n"/>
      <c r="EQ53" s="95" t="n"/>
      <c r="ER53" s="95" t="n"/>
      <c r="ES53" s="95" t="n"/>
      <c r="ET53" s="95" t="n"/>
      <c r="EU53" s="95" t="n"/>
      <c r="EV53" s="95" t="n"/>
      <c r="EW53" s="95" t="n"/>
      <c r="EX53" s="95" t="n"/>
      <c r="EY53" s="95" t="n"/>
      <c r="EZ53" s="95" t="n"/>
      <c r="FA53" s="95" t="n"/>
      <c r="FB53" s="95" t="n"/>
      <c r="FC53" s="95" t="n"/>
      <c r="FD53" s="95" t="n"/>
      <c r="FE53" s="95" t="n"/>
      <c r="FF53" s="95" t="n"/>
      <c r="FG53" s="95" t="n"/>
      <c r="FH53" s="95" t="n"/>
      <c r="FI53" s="95" t="n"/>
      <c r="FJ53" s="95" t="n"/>
      <c r="FK53" s="95" t="n"/>
      <c r="FL53" s="95" t="n"/>
      <c r="FM53" s="95" t="n"/>
      <c r="FN53" s="95" t="n"/>
      <c r="FO53" s="95" t="n"/>
      <c r="FP53" s="95" t="n"/>
      <c r="FQ53" s="95" t="n"/>
      <c r="FR53" s="95" t="n"/>
      <c r="FS53" s="95" t="n"/>
      <c r="FT53" s="95" t="n"/>
      <c r="FU53" s="95" t="n"/>
      <c r="FV53" s="95" t="n"/>
      <c r="FW53" s="95" t="n"/>
      <c r="FX53" s="95" t="n"/>
      <c r="FY53" s="95" t="n"/>
      <c r="FZ53" s="95" t="n"/>
      <c r="GA53" s="95" t="n"/>
      <c r="GB53" s="95" t="n"/>
      <c r="GC53" s="95" t="n"/>
      <c r="GD53" s="95" t="n"/>
      <c r="GE53" s="95" t="n"/>
      <c r="GF53" s="95" t="n"/>
      <c r="GG53" s="95" t="n"/>
      <c r="GH53" s="95" t="n"/>
      <c r="GI53" s="95" t="n"/>
      <c r="GJ53" s="95" t="n"/>
      <c r="GK53" s="95" t="n"/>
      <c r="GL53" s="95" t="n"/>
      <c r="GM53" s="95" t="n"/>
      <c r="GN53" s="95" t="n"/>
      <c r="GO53" s="95" t="n"/>
      <c r="GP53" s="95" t="n"/>
      <c r="GQ53" s="95" t="n"/>
      <c r="GR53" s="95" t="n"/>
      <c r="GS53" s="95" t="n"/>
      <c r="GT53" s="95" t="n"/>
      <c r="GU53" s="95" t="n"/>
      <c r="GV53" s="95" t="n"/>
      <c r="GW53" s="95" t="n"/>
      <c r="GX53" s="95" t="n"/>
      <c r="GY53" s="95" t="n"/>
      <c r="GZ53" s="95" t="n"/>
      <c r="HA53" s="95" t="n"/>
      <c r="HB53" s="95" t="n"/>
      <c r="HC53" s="95" t="n"/>
      <c r="HD53" s="95" t="n"/>
      <c r="HE53" s="95" t="n"/>
      <c r="HF53" s="95" t="n"/>
      <c r="HG53" s="95" t="n"/>
      <c r="HH53" s="95" t="n"/>
      <c r="HI53" s="95" t="n"/>
      <c r="HJ53" s="95" t="n"/>
      <c r="HK53" s="95" t="n"/>
      <c r="HL53" s="95" t="n"/>
      <c r="HM53" s="95" t="n"/>
      <c r="HN53" s="95" t="n"/>
      <c r="HO53" s="95" t="n"/>
      <c r="HP53" s="95" t="n"/>
      <c r="HQ53" s="95" t="n"/>
      <c r="HR53" s="95" t="n"/>
      <c r="HS53" s="95" t="n"/>
      <c r="HT53" s="95" t="n"/>
      <c r="HU53" s="95" t="n"/>
    </row>
    <row r="54" ht="18" customHeight="1">
      <c r="A54" s="19" t="inlineStr">
        <is>
          <t>IMPOSTOS (-)</t>
        </is>
      </c>
      <c r="B54" s="139" t="n"/>
      <c r="C54" s="20" t="n"/>
      <c r="D54" s="22" t="n"/>
      <c r="E54" s="20" t="n"/>
      <c r="F54" s="20" t="n"/>
      <c r="G54" s="20" t="n"/>
      <c r="H54" s="20" t="n"/>
      <c r="I54" s="21" t="n"/>
      <c r="J54" s="175" t="n"/>
      <c r="K54" s="21" t="n"/>
      <c r="L54" s="108" t="n"/>
      <c r="M54" s="220" t="n"/>
      <c r="N54" s="220" t="n"/>
      <c r="O54" s="220" t="n"/>
      <c r="P54" s="220" t="n"/>
      <c r="Q54" s="220" t="n"/>
      <c r="R54" s="220" t="n"/>
      <c r="S54" s="220" t="n"/>
      <c r="T54" s="220" t="n"/>
      <c r="U54" s="220" t="n"/>
      <c r="V54" s="220" t="n"/>
      <c r="W54" s="220" t="n"/>
      <c r="X54" s="220" t="n"/>
      <c r="Y54" s="220" t="n"/>
      <c r="Z54" s="220" t="n"/>
      <c r="AA54" s="220" t="n"/>
      <c r="AB54" s="220" t="n"/>
      <c r="AC54" s="220" t="n"/>
      <c r="AD54" s="220" t="n"/>
      <c r="AE54" s="220" t="n"/>
      <c r="AF54" s="220" t="n"/>
      <c r="AG54" s="220" t="n"/>
      <c r="AH54" s="200" t="n"/>
      <c r="AI54" s="241" t="n"/>
      <c r="AJ54" s="200" t="n"/>
      <c r="AK54" s="20" t="n"/>
      <c r="AL54" s="20" t="n"/>
      <c r="AM54" s="20" t="n"/>
      <c r="AN54" s="20" t="n"/>
      <c r="AO54" s="20" t="n"/>
      <c r="AP54" s="20" t="n"/>
      <c r="AQ54" s="21" t="n"/>
      <c r="AR54" s="21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20" t="n"/>
      <c r="BC54" s="20" t="n"/>
      <c r="BD54" s="299" t="n"/>
      <c r="BE54" s="22" t="n"/>
      <c r="BF54" s="20" t="n"/>
      <c r="BG54" s="20" t="n"/>
      <c r="BH54" s="20" t="n"/>
      <c r="BI54" s="20" t="n"/>
      <c r="BJ54" s="20" t="n"/>
      <c r="BK54" s="20" t="n"/>
      <c r="BL54" s="20" t="n"/>
      <c r="BM54" s="20" t="n"/>
      <c r="BN54" s="20" t="n"/>
      <c r="BO54" s="20" t="n"/>
      <c r="BP54" s="299" t="n"/>
      <c r="BQ54" s="22" t="n"/>
      <c r="BR54" s="20" t="n"/>
      <c r="BS54" s="20" t="n"/>
      <c r="BT54" s="20" t="n"/>
      <c r="BU54" s="20" t="n"/>
      <c r="BV54" s="20" t="n"/>
      <c r="BW54" s="20" t="n"/>
      <c r="BX54" s="20" t="n"/>
      <c r="BY54" s="20" t="n"/>
      <c r="BZ54" s="20" t="n"/>
      <c r="CA54" s="20" t="n"/>
      <c r="CB54" s="299" t="n"/>
      <c r="CC54" s="22" t="n"/>
      <c r="CD54" s="20" t="n"/>
      <c r="CE54" s="20" t="n"/>
      <c r="CF54" s="20" t="n"/>
      <c r="CG54" s="20" t="n"/>
      <c r="CH54" s="20" t="n"/>
      <c r="CI54" s="20" t="n"/>
      <c r="CJ54" s="20" t="n"/>
      <c r="CK54" s="20" t="n"/>
      <c r="CL54" s="20" t="n"/>
      <c r="CM54" s="20" t="n"/>
      <c r="CN54" s="299" t="n"/>
      <c r="CO54" s="22" t="n"/>
      <c r="CP54" s="20" t="n"/>
      <c r="CQ54" s="20" t="n"/>
      <c r="CR54" s="20" t="n"/>
      <c r="CS54" s="20" t="n"/>
      <c r="CT54" s="20" t="n"/>
      <c r="CU54" s="20" t="n"/>
      <c r="CV54" s="20" t="n"/>
      <c r="CW54" s="20" t="n"/>
      <c r="CX54" s="20" t="n"/>
      <c r="CY54" s="20" t="n"/>
      <c r="CZ54" s="299" t="n"/>
      <c r="DA54" s="22" t="n"/>
      <c r="DB54" s="20" t="n"/>
      <c r="DC54" s="20" t="n"/>
      <c r="DD54" s="20" t="n"/>
      <c r="DE54" s="20" t="n"/>
      <c r="DF54" s="20" t="n"/>
      <c r="DG54" s="20" t="n"/>
      <c r="DH54" s="20" t="n"/>
      <c r="DI54" s="20" t="n"/>
      <c r="DJ54" s="21" t="n"/>
      <c r="DK54" s="20" t="n"/>
      <c r="DL54" s="21" t="n"/>
      <c r="DM54" s="20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n"/>
      <c r="DZ54" s="21" t="n"/>
      <c r="EA54" s="21" t="n"/>
      <c r="EB54" s="21" t="n"/>
      <c r="EC54" s="21" t="n"/>
      <c r="ED54" s="21" t="n"/>
      <c r="EE54" s="21" t="n"/>
      <c r="EF54" s="21" t="n"/>
      <c r="EG54" s="21" t="n"/>
      <c r="EH54" s="21" t="n"/>
      <c r="EI54" s="21" t="n"/>
      <c r="EJ54" s="21" t="n"/>
      <c r="EK54" s="21" t="n"/>
      <c r="EL54" s="21" t="n"/>
      <c r="EM54" s="21" t="n"/>
      <c r="EN54" s="21" t="n"/>
      <c r="EO54" s="21" t="n"/>
      <c r="EP54" s="21" t="n"/>
      <c r="EQ54" s="21" t="n"/>
      <c r="ER54" s="21" t="n"/>
      <c r="ES54" s="21" t="n"/>
      <c r="ET54" s="21" t="n"/>
      <c r="EU54" s="21" t="n"/>
      <c r="EV54" s="21" t="n"/>
      <c r="EW54" s="21" t="n"/>
      <c r="EX54" s="21" t="n"/>
      <c r="EY54" s="21" t="n"/>
      <c r="EZ54" s="21" t="n"/>
      <c r="FA54" s="21" t="n"/>
      <c r="FB54" s="21" t="n"/>
      <c r="FC54" s="21" t="n"/>
      <c r="FD54" s="21" t="n"/>
      <c r="FE54" s="21" t="n"/>
      <c r="FF54" s="21" t="n"/>
      <c r="FG54" s="21" t="n"/>
      <c r="FH54" s="21" t="n"/>
      <c r="FI54" s="21" t="n"/>
      <c r="FJ54" s="21" t="n"/>
      <c r="FK54" s="21" t="n"/>
      <c r="FL54" s="21" t="n"/>
      <c r="FM54" s="21" t="n"/>
      <c r="FN54" s="21" t="n"/>
      <c r="FO54" s="21" t="n"/>
      <c r="FP54" s="21" t="n"/>
      <c r="FQ54" s="21" t="n"/>
      <c r="FR54" s="21" t="n"/>
      <c r="FS54" s="21" t="n"/>
      <c r="FT54" s="21" t="n"/>
      <c r="FU54" s="21" t="n"/>
      <c r="FV54" s="21" t="n"/>
      <c r="FW54" s="21" t="n"/>
      <c r="FX54" s="21" t="n"/>
      <c r="FY54" s="21" t="n"/>
      <c r="FZ54" s="21" t="n"/>
      <c r="GA54" s="21" t="n"/>
      <c r="GB54" s="21" t="n"/>
      <c r="GC54" s="21" t="n"/>
      <c r="GD54" s="21" t="n"/>
      <c r="GE54" s="21" t="n"/>
      <c r="GF54" s="21" t="n"/>
      <c r="GG54" s="21" t="n"/>
      <c r="GH54" s="21" t="n"/>
      <c r="GI54" s="21" t="n"/>
      <c r="GJ54" s="21" t="n"/>
      <c r="GK54" s="21" t="n"/>
      <c r="GL54" s="21" t="n"/>
      <c r="GM54" s="21" t="n"/>
      <c r="GN54" s="21" t="n"/>
      <c r="GO54" s="21" t="n"/>
      <c r="GP54" s="21" t="n"/>
      <c r="GQ54" s="21" t="n"/>
      <c r="GR54" s="21" t="n"/>
      <c r="GS54" s="21" t="n"/>
      <c r="GT54" s="21" t="n"/>
      <c r="GU54" s="21" t="n"/>
      <c r="GV54" s="21" t="n"/>
      <c r="GW54" s="21" t="n"/>
      <c r="GX54" s="21" t="n"/>
      <c r="GY54" s="21" t="n"/>
      <c r="GZ54" s="21" t="n"/>
      <c r="HA54" s="21" t="n"/>
      <c r="HB54" s="21" t="n"/>
      <c r="HC54" s="21" t="n"/>
      <c r="HD54" s="21" t="n"/>
      <c r="HE54" s="21" t="n"/>
      <c r="HF54" s="21" t="n"/>
      <c r="HG54" s="21" t="n"/>
      <c r="HH54" s="21" t="n"/>
      <c r="HI54" s="21" t="n"/>
      <c r="HJ54" s="21" t="n"/>
      <c r="HK54" s="21" t="n"/>
      <c r="HL54" s="21" t="n"/>
      <c r="HM54" s="21" t="n"/>
      <c r="HN54" s="21" t="n"/>
      <c r="HO54" s="21" t="n"/>
      <c r="HP54" s="21" t="n"/>
      <c r="HQ54" s="21" t="n"/>
      <c r="HR54" s="21" t="n"/>
      <c r="HS54" s="21" t="n"/>
      <c r="HT54" s="21" t="n"/>
      <c r="HU54" s="21" t="n"/>
    </row>
    <row r="55" ht="16.2" customHeight="1">
      <c r="A55" s="7" t="inlineStr">
        <is>
          <t>Impostos</t>
        </is>
      </c>
      <c r="B55" s="136" t="n"/>
      <c r="C55" s="85" t="n"/>
      <c r="D55" s="87" t="n"/>
      <c r="E55" s="85" t="n"/>
      <c r="F55" s="85" t="n"/>
      <c r="G55" s="85" t="n"/>
      <c r="H55" s="85" t="n"/>
      <c r="I55" s="86" t="n"/>
      <c r="J55" s="218" t="n"/>
      <c r="K55" s="113" t="n"/>
      <c r="L55" s="122" t="n"/>
      <c r="M55" s="219" t="n"/>
      <c r="N55" s="219" t="n"/>
      <c r="O55" s="219" t="n"/>
      <c r="P55" s="219" t="n"/>
      <c r="Q55" s="219" t="n"/>
      <c r="R55" s="219" t="n"/>
      <c r="S55" s="219" t="n"/>
      <c r="T55" s="219" t="n"/>
      <c r="U55" s="219" t="n"/>
      <c r="V55" s="219" t="n"/>
      <c r="W55" s="219" t="n"/>
      <c r="X55" s="219" t="n"/>
      <c r="Y55" s="219" t="n"/>
      <c r="Z55" s="219" t="n"/>
      <c r="AA55" s="219" t="n"/>
      <c r="AB55" s="219" t="n"/>
      <c r="AC55" s="219" t="n"/>
      <c r="AD55" s="219" t="n"/>
      <c r="AE55" s="219" t="n"/>
      <c r="AF55" s="219" t="n"/>
      <c r="AG55" s="219" t="n"/>
      <c r="AH55" s="13" t="n"/>
      <c r="AI55" s="345" t="n"/>
      <c r="AJ55" s="87" t="n"/>
      <c r="AK55" s="87" t="n"/>
      <c r="AL55" s="85" t="n"/>
      <c r="AM55" s="85" t="n"/>
      <c r="AN55" s="85" t="n"/>
      <c r="AO55" s="85" t="n"/>
      <c r="AP55" s="85" t="n"/>
      <c r="AQ55" s="86" t="n"/>
      <c r="AR55" s="86" t="n"/>
      <c r="AS55" s="85" t="n"/>
      <c r="AT55" s="85" t="n"/>
      <c r="AU55" s="85" t="n"/>
      <c r="AV55" s="85" t="n"/>
      <c r="AW55" s="85" t="n"/>
      <c r="AX55" s="85" t="n"/>
      <c r="AY55" s="85" t="n"/>
      <c r="AZ55" s="85" t="n"/>
      <c r="BA55" s="85" t="n"/>
      <c r="BB55" s="85" t="n"/>
      <c r="BC55" s="85" t="n"/>
      <c r="BD55" s="296" t="n"/>
      <c r="BE55" s="87" t="n"/>
      <c r="BF55" s="85" t="n"/>
      <c r="BG55" s="85" t="n"/>
      <c r="BH55" s="85" t="n"/>
      <c r="BI55" s="85" t="n"/>
      <c r="BJ55" s="85" t="n"/>
      <c r="BK55" s="85" t="n"/>
      <c r="BL55" s="85" t="n"/>
      <c r="BM55" s="85" t="n"/>
      <c r="BN55" s="85" t="n"/>
      <c r="BO55" s="85" t="n"/>
      <c r="BP55" s="296" t="n"/>
      <c r="BQ55" s="87" t="n"/>
      <c r="BR55" s="85" t="n"/>
      <c r="BS55" s="85" t="n"/>
      <c r="BT55" s="85" t="n"/>
      <c r="BU55" s="85" t="n"/>
      <c r="BV55" s="85" t="n"/>
      <c r="BW55" s="85" t="n"/>
      <c r="BX55" s="85" t="n"/>
      <c r="BY55" s="85" t="n"/>
      <c r="BZ55" s="85" t="n"/>
      <c r="CA55" s="85" t="n"/>
      <c r="CB55" s="296" t="n"/>
      <c r="CC55" s="87" t="n"/>
      <c r="CD55" s="85" t="n"/>
      <c r="CE55" s="85" t="n"/>
      <c r="CF55" s="85" t="n"/>
      <c r="CG55" s="85" t="n"/>
      <c r="CH55" s="85" t="n"/>
      <c r="CI55" s="85" t="n"/>
      <c r="CJ55" s="85" t="n"/>
      <c r="CK55" s="85" t="n"/>
      <c r="CL55" s="85" t="n"/>
      <c r="CM55" s="85" t="n"/>
      <c r="CN55" s="296" t="n"/>
      <c r="CO55" s="87" t="n"/>
      <c r="CP55" s="85" t="n"/>
      <c r="CQ55" s="85" t="n"/>
      <c r="CR55" s="85" t="n"/>
      <c r="CS55" s="85" t="n"/>
      <c r="CT55" s="85" t="n"/>
      <c r="CU55" s="85" t="n"/>
      <c r="CV55" s="85" t="n"/>
      <c r="CW55" s="85" t="n"/>
      <c r="CX55" s="85" t="n"/>
      <c r="CY55" s="85" t="n"/>
      <c r="CZ55" s="296" t="n"/>
      <c r="DA55" s="87" t="n"/>
      <c r="DB55" s="85" t="n"/>
      <c r="DC55" s="85" t="n"/>
      <c r="DD55" s="85" t="n"/>
      <c r="DE55" s="85" t="n"/>
      <c r="DF55" s="85" t="n"/>
      <c r="DG55" s="85" t="n"/>
      <c r="DH55" s="85" t="n"/>
      <c r="DI55" s="85" t="n"/>
      <c r="DJ55" s="85" t="n"/>
      <c r="DK55" s="85" t="n"/>
      <c r="DL55" s="85" t="n"/>
      <c r="DM55" s="85" t="n"/>
      <c r="DN55" s="85" t="n"/>
      <c r="DO55" s="85" t="n"/>
      <c r="DP55" s="85" t="n"/>
      <c r="DQ55" s="85" t="n"/>
      <c r="DR55" s="85" t="n"/>
      <c r="DS55" s="85" t="n"/>
      <c r="DT55" s="85" t="n"/>
      <c r="DU55" s="85" t="n"/>
      <c r="DV55" s="85" t="n"/>
      <c r="DW55" s="85" t="n"/>
      <c r="DX55" s="85" t="n"/>
      <c r="DY55" s="87" t="n"/>
      <c r="DZ55" s="87" t="n"/>
      <c r="EA55" s="85" t="n"/>
      <c r="EB55" s="85" t="n"/>
      <c r="EC55" s="85" t="n"/>
      <c r="ED55" s="85" t="n"/>
      <c r="EE55" s="85" t="n"/>
      <c r="EF55" s="85" t="n"/>
      <c r="EG55" s="85" t="n"/>
      <c r="EH55" s="85" t="n"/>
      <c r="EI55" s="86" t="n"/>
      <c r="EJ55" s="86" t="n"/>
      <c r="EK55" s="85" t="n"/>
      <c r="EL55" s="85" t="n"/>
      <c r="EM55" s="85" t="n"/>
      <c r="EN55" s="85" t="n"/>
      <c r="EO55" s="85" t="n"/>
      <c r="EP55" s="85" t="n"/>
      <c r="EQ55" s="85" t="n"/>
      <c r="ER55" s="85" t="n"/>
      <c r="ES55" s="85" t="n"/>
      <c r="ET55" s="85" t="n"/>
      <c r="EU55" s="85" t="n"/>
      <c r="EV55" s="296" t="n"/>
      <c r="EW55" s="87" t="n"/>
      <c r="EX55" s="85" t="n"/>
      <c r="EY55" s="85" t="n"/>
      <c r="EZ55" s="85" t="n"/>
      <c r="FA55" s="85" t="n"/>
      <c r="FB55" s="85" t="n"/>
      <c r="FC55" s="85" t="n"/>
      <c r="FD55" s="85" t="n"/>
      <c r="FE55" s="85" t="n"/>
      <c r="FF55" s="85" t="n"/>
      <c r="FG55" s="85" t="n"/>
      <c r="FH55" s="296" t="n"/>
      <c r="FI55" s="87" t="n"/>
      <c r="FJ55" s="85" t="n"/>
      <c r="FK55" s="85" t="n"/>
      <c r="FL55" s="85" t="n"/>
      <c r="FM55" s="85" t="n"/>
      <c r="FN55" s="85" t="n"/>
      <c r="FO55" s="85" t="n"/>
      <c r="FP55" s="85" t="n"/>
      <c r="FQ55" s="85" t="n"/>
      <c r="FR55" s="85" t="n"/>
      <c r="FS55" s="85" t="n"/>
      <c r="FT55" s="85" t="n"/>
      <c r="FU55" s="85" t="n"/>
      <c r="FV55" s="85" t="n"/>
      <c r="FW55" s="85" t="n"/>
      <c r="FX55" s="85" t="n"/>
      <c r="FY55" s="85" t="n"/>
      <c r="FZ55" s="85" t="n"/>
      <c r="GA55" s="85" t="n"/>
      <c r="GB55" s="85" t="n"/>
      <c r="GC55" s="85" t="n"/>
      <c r="GD55" s="85" t="n"/>
      <c r="GE55" s="85" t="n"/>
      <c r="GF55" s="85" t="n"/>
      <c r="GG55" s="85" t="n"/>
      <c r="GH55" s="85" t="n"/>
      <c r="GI55" s="85" t="n"/>
      <c r="GJ55" s="85" t="n"/>
      <c r="GK55" s="85" t="n"/>
      <c r="GL55" s="85" t="n"/>
      <c r="GM55" s="85" t="n"/>
      <c r="GN55" s="85" t="n"/>
      <c r="GO55" s="85" t="n"/>
      <c r="GP55" s="85" t="n"/>
      <c r="GQ55" s="85" t="n"/>
      <c r="GR55" s="85" t="n"/>
      <c r="GS55" s="85" t="n"/>
      <c r="GT55" s="85" t="n"/>
      <c r="GU55" s="85" t="n"/>
      <c r="GV55" s="85" t="n"/>
      <c r="GW55" s="85" t="n"/>
      <c r="GX55" s="85" t="n"/>
      <c r="GY55" s="85" t="n"/>
      <c r="GZ55" s="85" t="n"/>
      <c r="HA55" s="85" t="n"/>
      <c r="HB55" s="85" t="n"/>
      <c r="HC55" s="85" t="n"/>
      <c r="HD55" s="85" t="n"/>
      <c r="HE55" s="85" t="n"/>
      <c r="HF55" s="85" t="n"/>
      <c r="HG55" s="85" t="n"/>
      <c r="HH55" s="85" t="n"/>
      <c r="HI55" s="85" t="n"/>
      <c r="HJ55" s="85" t="n"/>
      <c r="HK55" s="85" t="n"/>
      <c r="HL55" s="85" t="n"/>
      <c r="HM55" s="85" t="n"/>
      <c r="HN55" s="85" t="n"/>
      <c r="HO55" s="85" t="n"/>
      <c r="HP55" s="85" t="n"/>
      <c r="HQ55" s="85" t="n"/>
      <c r="HR55" s="85" t="n"/>
      <c r="HS55" s="85" t="n"/>
      <c r="HT55" s="85" t="n"/>
      <c r="HU55" s="85" t="n"/>
    </row>
    <row r="56" ht="16.2" customHeight="1">
      <c r="A56" s="1" t="n"/>
      <c r="B56" s="145" t="n"/>
      <c r="C56" s="53" t="n"/>
      <c r="D56" s="53" t="n"/>
      <c r="E56" s="53" t="n"/>
      <c r="F56" s="53" t="n"/>
      <c r="G56" s="53" t="n"/>
      <c r="H56" s="53" t="n"/>
      <c r="I56" s="53" t="n"/>
      <c r="J56" s="185" t="n"/>
      <c r="K56" s="53" t="n"/>
      <c r="L56" s="53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13" t="n"/>
      <c r="AI56" s="240" t="n"/>
      <c r="AJ56" s="1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307" t="n"/>
      <c r="BE56" s="53" t="n"/>
      <c r="BF56" s="53" t="n"/>
      <c r="BG56" s="53" t="n"/>
      <c r="BH56" s="53" t="n"/>
      <c r="BI56" s="53" t="n"/>
      <c r="BJ56" s="53" t="n"/>
      <c r="BK56" s="53" t="n"/>
      <c r="BL56" s="53" t="n"/>
      <c r="BM56" s="53" t="n"/>
      <c r="BN56" s="53" t="n"/>
      <c r="BO56" s="53" t="n"/>
      <c r="BP56" s="307" t="n"/>
      <c r="BQ56" s="53" t="n"/>
      <c r="BR56" s="53" t="n"/>
      <c r="BS56" s="53" t="n"/>
      <c r="BT56" s="53" t="n"/>
      <c r="BU56" s="53" t="n"/>
      <c r="BV56" s="53" t="n"/>
      <c r="BW56" s="53" t="n"/>
      <c r="BX56" s="53" t="n"/>
      <c r="BY56" s="53" t="n"/>
      <c r="BZ56" s="53" t="n"/>
      <c r="CA56" s="53" t="n"/>
      <c r="CB56" s="307" t="n"/>
      <c r="CC56" s="53" t="n"/>
      <c r="CD56" s="53" t="n"/>
      <c r="CE56" s="53" t="n"/>
      <c r="CF56" s="53" t="n"/>
      <c r="CG56" s="53" t="n"/>
      <c r="CH56" s="53" t="n"/>
      <c r="CI56" s="53" t="n"/>
      <c r="CJ56" s="53" t="n"/>
      <c r="CK56" s="53" t="n"/>
      <c r="CL56" s="53" t="n"/>
      <c r="CM56" s="53" t="n"/>
      <c r="CN56" s="307" t="n"/>
      <c r="CO56" s="53" t="n"/>
      <c r="CP56" s="53" t="n"/>
      <c r="CQ56" s="53" t="n"/>
      <c r="CR56" s="53" t="n"/>
      <c r="CS56" s="53" t="n"/>
      <c r="CT56" s="53" t="n"/>
      <c r="CU56" s="53" t="n"/>
      <c r="CV56" s="53" t="n"/>
      <c r="CW56" s="53" t="n"/>
      <c r="CX56" s="53" t="n"/>
      <c r="CY56" s="53" t="n"/>
      <c r="CZ56" s="307" t="n"/>
      <c r="DA56" s="53" t="n"/>
      <c r="DB56" s="53" t="n"/>
      <c r="DC56" s="53" t="n"/>
      <c r="DD56" s="53" t="n"/>
      <c r="DE56" s="53" t="n"/>
      <c r="DF56" s="53" t="n"/>
      <c r="DG56" s="53" t="n"/>
      <c r="DH56" s="53" t="n"/>
      <c r="DI56" s="53" t="n"/>
      <c r="DJ56" s="53" t="n"/>
      <c r="DK56" s="53" t="n"/>
      <c r="DL56" s="53" t="n"/>
      <c r="DM56" s="53" t="n"/>
      <c r="DN56" s="53" t="n"/>
      <c r="DO56" s="53" t="n"/>
      <c r="DP56" s="53" t="n"/>
      <c r="DQ56" s="53" t="n"/>
      <c r="DR56" s="53" t="n"/>
      <c r="DS56" s="53" t="n"/>
      <c r="DT56" s="53" t="n"/>
      <c r="DU56" s="53" t="n"/>
      <c r="DV56" s="53" t="n"/>
      <c r="DW56" s="53" t="n"/>
      <c r="DX56" s="53" t="n"/>
      <c r="DY56" s="53" t="n"/>
      <c r="DZ56" s="53" t="n"/>
      <c r="EA56" s="53" t="n"/>
      <c r="EB56" s="53" t="n"/>
      <c r="EC56" s="53" t="n"/>
      <c r="ED56" s="53" t="n"/>
      <c r="EE56" s="53" t="n"/>
      <c r="EF56" s="53" t="n"/>
      <c r="EG56" s="53" t="n"/>
      <c r="EH56" s="53" t="n"/>
      <c r="EI56" s="53" t="n"/>
      <c r="EJ56" s="53" t="n"/>
      <c r="EK56" s="53" t="n"/>
      <c r="EL56" s="53" t="n"/>
      <c r="EM56" s="53" t="n"/>
      <c r="EN56" s="53" t="n"/>
      <c r="EO56" s="53" t="n"/>
      <c r="EP56" s="53" t="n"/>
      <c r="EQ56" s="53" t="n"/>
      <c r="ER56" s="53" t="n"/>
      <c r="ES56" s="53" t="n"/>
      <c r="ET56" s="53" t="n"/>
      <c r="EU56" s="53" t="n"/>
      <c r="EV56" s="53" t="n"/>
      <c r="EW56" s="53" t="n"/>
      <c r="EX56" s="53" t="n"/>
      <c r="EY56" s="53" t="n"/>
      <c r="EZ56" s="53" t="n"/>
      <c r="FA56" s="53" t="n"/>
      <c r="FB56" s="53" t="n"/>
      <c r="FC56" s="53" t="n"/>
      <c r="FD56" s="53" t="n"/>
      <c r="FE56" s="53" t="n"/>
      <c r="FF56" s="53" t="n"/>
      <c r="FG56" s="53" t="n"/>
      <c r="FH56" s="53" t="n"/>
      <c r="FI56" s="53" t="n"/>
      <c r="FJ56" s="53" t="n"/>
      <c r="FK56" s="53" t="n"/>
      <c r="FL56" s="53" t="n"/>
      <c r="FM56" s="53" t="n"/>
      <c r="FN56" s="53" t="n"/>
      <c r="FO56" s="53" t="n"/>
      <c r="FP56" s="53" t="n"/>
      <c r="FQ56" s="53" t="n"/>
      <c r="FR56" s="53" t="n"/>
      <c r="FS56" s="53" t="n"/>
      <c r="FT56" s="53" t="n"/>
      <c r="FU56" s="53" t="n"/>
      <c r="FV56" s="53" t="n"/>
      <c r="FW56" s="53" t="n"/>
      <c r="FX56" s="53" t="n"/>
      <c r="FY56" s="53" t="n"/>
      <c r="FZ56" s="53" t="n"/>
      <c r="GA56" s="53" t="n"/>
      <c r="GB56" s="53" t="n"/>
      <c r="GC56" s="53" t="n"/>
      <c r="GD56" s="53" t="n"/>
      <c r="GE56" s="53" t="n"/>
      <c r="GF56" s="53" t="n"/>
      <c r="GG56" s="53" t="n"/>
      <c r="GH56" s="53" t="n"/>
      <c r="GI56" s="53" t="n"/>
      <c r="GJ56" s="53" t="n"/>
      <c r="GK56" s="53" t="n"/>
      <c r="GL56" s="53" t="n"/>
      <c r="GM56" s="53" t="n"/>
      <c r="GN56" s="53" t="n"/>
      <c r="GO56" s="53" t="n"/>
      <c r="GP56" s="53" t="n"/>
      <c r="GQ56" s="53" t="n"/>
      <c r="GR56" s="53" t="n"/>
      <c r="GS56" s="53" t="n"/>
      <c r="GT56" s="53" t="n"/>
      <c r="GU56" s="53" t="n"/>
      <c r="GV56" s="53" t="n"/>
      <c r="GW56" s="53" t="n"/>
      <c r="GX56" s="53" t="n"/>
      <c r="GY56" s="53" t="n"/>
      <c r="GZ56" s="53" t="n"/>
      <c r="HA56" s="53" t="n"/>
      <c r="HB56" s="53" t="n"/>
      <c r="HC56" s="53" t="n"/>
      <c r="HD56" s="53" t="n"/>
      <c r="HE56" s="53" t="n"/>
      <c r="HF56" s="53" t="n"/>
      <c r="HG56" s="53" t="n"/>
      <c r="HH56" s="53" t="n"/>
      <c r="HI56" s="53" t="n"/>
      <c r="HJ56" s="53" t="n"/>
      <c r="HK56" s="53" t="n"/>
      <c r="HL56" s="53" t="n"/>
      <c r="HM56" s="53" t="n"/>
      <c r="HN56" s="53" t="n"/>
      <c r="HO56" s="53" t="n"/>
      <c r="HP56" s="53" t="n"/>
      <c r="HQ56" s="53" t="n"/>
      <c r="HR56" s="53" t="n"/>
      <c r="HS56" s="53" t="n"/>
      <c r="HT56" s="53" t="n"/>
      <c r="HU56" s="53" t="n"/>
    </row>
    <row r="57" ht="16.2" customHeight="1">
      <c r="A57" s="19" t="inlineStr">
        <is>
          <t>DESAPROPRIAÇÃO (-)</t>
        </is>
      </c>
      <c r="B57" s="139" t="n"/>
      <c r="C57" s="20" t="n"/>
      <c r="D57" s="22" t="n"/>
      <c r="E57" s="20" t="n"/>
      <c r="F57" s="20" t="n"/>
      <c r="G57" s="20" t="n"/>
      <c r="H57" s="20" t="n"/>
      <c r="I57" s="21" t="n"/>
      <c r="J57" s="175" t="n"/>
      <c r="K57" s="21" t="n"/>
      <c r="L57" s="108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00" t="n"/>
      <c r="AI57" s="241" t="n"/>
      <c r="AJ57" s="200" t="n"/>
      <c r="AK57" s="20" t="n"/>
      <c r="AL57" s="20" t="n"/>
      <c r="AM57" s="20" t="n"/>
      <c r="AN57" s="20" t="n"/>
      <c r="AO57" s="20" t="n"/>
      <c r="AP57" s="20" t="n"/>
      <c r="AQ57" s="21" t="n"/>
      <c r="AR57" s="21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99" t="n"/>
      <c r="BE57" s="22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99" t="n"/>
      <c r="BQ57" s="22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99" t="n"/>
      <c r="CC57" s="22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99" t="n"/>
      <c r="CO57" s="22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99" t="n"/>
      <c r="DA57" s="22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1" t="n"/>
      <c r="DK57" s="20" t="n"/>
      <c r="DL57" s="21" t="n"/>
      <c r="DM57" s="20" t="n"/>
      <c r="DN57" s="21" t="n"/>
      <c r="DO57" s="21" t="n"/>
      <c r="DP57" s="21" t="n"/>
      <c r="DQ57" s="21" t="n"/>
      <c r="DR57" s="21" t="n"/>
      <c r="DS57" s="21" t="n"/>
      <c r="DT57" s="21" t="n"/>
      <c r="DU57" s="21" t="n"/>
      <c r="DV57" s="21" t="n"/>
      <c r="DW57" s="21" t="n"/>
      <c r="DX57" s="21" t="n"/>
      <c r="DY57" s="21" t="n"/>
      <c r="DZ57" s="21" t="n"/>
      <c r="EA57" s="21" t="n"/>
      <c r="EB57" s="21" t="n"/>
      <c r="EC57" s="21" t="n"/>
      <c r="ED57" s="21" t="n"/>
      <c r="EE57" s="21" t="n"/>
      <c r="EF57" s="21" t="n"/>
      <c r="EG57" s="21" t="n"/>
      <c r="EH57" s="21" t="n"/>
      <c r="EI57" s="21" t="n"/>
      <c r="EJ57" s="21" t="n"/>
      <c r="EK57" s="21" t="n"/>
      <c r="EL57" s="21" t="n"/>
      <c r="EM57" s="21" t="n"/>
      <c r="EN57" s="21" t="n"/>
      <c r="EO57" s="21" t="n"/>
      <c r="EP57" s="21" t="n"/>
      <c r="EQ57" s="21" t="n"/>
      <c r="ER57" s="21" t="n"/>
      <c r="ES57" s="21" t="n"/>
      <c r="ET57" s="21" t="n"/>
      <c r="EU57" s="21" t="n"/>
      <c r="EV57" s="21" t="n"/>
      <c r="EW57" s="21" t="n"/>
      <c r="EX57" s="21" t="n"/>
      <c r="EY57" s="21" t="n"/>
      <c r="EZ57" s="21" t="n"/>
      <c r="FA57" s="21" t="n"/>
      <c r="FB57" s="21" t="n"/>
      <c r="FC57" s="21" t="n"/>
      <c r="FD57" s="21" t="n"/>
      <c r="FE57" s="21" t="n"/>
      <c r="FF57" s="21" t="n"/>
      <c r="FG57" s="21" t="n"/>
      <c r="FH57" s="21" t="n"/>
      <c r="FI57" s="21" t="n"/>
      <c r="FJ57" s="21" t="n"/>
      <c r="FK57" s="21" t="n"/>
      <c r="FL57" s="21" t="n"/>
      <c r="FM57" s="21" t="n"/>
      <c r="FN57" s="21" t="n"/>
      <c r="FO57" s="21" t="n"/>
      <c r="FP57" s="21" t="n"/>
      <c r="FQ57" s="21" t="n"/>
      <c r="FR57" s="21" t="n"/>
      <c r="FS57" s="21" t="n"/>
      <c r="FT57" s="21" t="n"/>
      <c r="FU57" s="21" t="n"/>
      <c r="FV57" s="21" t="n"/>
      <c r="FW57" s="21" t="n"/>
      <c r="FX57" s="21" t="n"/>
      <c r="FY57" s="21" t="n"/>
      <c r="FZ57" s="21" t="n"/>
      <c r="GA57" s="21" t="n"/>
      <c r="GB57" s="21" t="n"/>
      <c r="GC57" s="21" t="n"/>
      <c r="GD57" s="21" t="n"/>
      <c r="GE57" s="21" t="n"/>
      <c r="GF57" s="21" t="n"/>
      <c r="GG57" s="21" t="n"/>
      <c r="GH57" s="21" t="n"/>
      <c r="GI57" s="21" t="n"/>
      <c r="GJ57" s="21" t="n"/>
      <c r="GK57" s="21" t="n"/>
      <c r="GL57" s="21" t="n"/>
      <c r="GM57" s="21" t="n"/>
      <c r="GN57" s="21" t="n"/>
      <c r="GO57" s="21" t="n"/>
      <c r="GP57" s="21" t="n"/>
      <c r="GQ57" s="21" t="n"/>
      <c r="GR57" s="21" t="n"/>
      <c r="GS57" s="21" t="n"/>
      <c r="GT57" s="21" t="n"/>
      <c r="GU57" s="21" t="n"/>
      <c r="GV57" s="21" t="n"/>
      <c r="GW57" s="21" t="n"/>
      <c r="GX57" s="21" t="n"/>
      <c r="GY57" s="21" t="n"/>
      <c r="GZ57" s="21" t="n"/>
      <c r="HA57" s="21" t="n"/>
      <c r="HB57" s="21" t="n"/>
      <c r="HC57" s="21" t="n"/>
      <c r="HD57" s="21" t="n"/>
      <c r="HE57" s="21" t="n"/>
      <c r="HF57" s="21" t="n"/>
      <c r="HG57" s="21" t="n"/>
      <c r="HH57" s="21" t="n"/>
      <c r="HI57" s="21" t="n"/>
      <c r="HJ57" s="21" t="n"/>
      <c r="HK57" s="21" t="n"/>
      <c r="HL57" s="21" t="n"/>
      <c r="HM57" s="21" t="n"/>
      <c r="HN57" s="21" t="n"/>
      <c r="HO57" s="21" t="n"/>
      <c r="HP57" s="21" t="n"/>
      <c r="HQ57" s="21" t="n"/>
      <c r="HR57" s="21" t="n"/>
      <c r="HS57" s="21" t="n"/>
      <c r="HT57" s="21" t="n"/>
      <c r="HU57" s="21" t="n"/>
    </row>
    <row r="58" ht="16.2" customHeight="1">
      <c r="A58" s="7" t="inlineStr">
        <is>
          <t>Desapropriação</t>
        </is>
      </c>
      <c r="B58" s="136" t="n"/>
      <c r="C58" s="85" t="n"/>
      <c r="D58" s="87" t="n"/>
      <c r="E58" s="85" t="n"/>
      <c r="F58" s="85" t="n"/>
      <c r="G58" s="85" t="n"/>
      <c r="H58" s="85" t="n"/>
      <c r="I58" s="86" t="n"/>
      <c r="J58" s="170" t="n"/>
      <c r="K58" s="86" t="n"/>
      <c r="L58" s="34" t="n"/>
      <c r="M58" s="159" t="n"/>
      <c r="N58" s="159" t="n"/>
      <c r="O58" s="159" t="n"/>
      <c r="P58" s="159" t="n"/>
      <c r="Q58" s="159" t="n"/>
      <c r="R58" s="159" t="n"/>
      <c r="S58" s="159" t="n"/>
      <c r="T58" s="159" t="n"/>
      <c r="U58" s="159" t="n"/>
      <c r="V58" s="159" t="n"/>
      <c r="W58" s="159" t="n"/>
      <c r="X58" s="159" t="n"/>
      <c r="Y58" s="159" t="n"/>
      <c r="Z58" s="159" t="n"/>
      <c r="AA58" s="159" t="n"/>
      <c r="AB58" s="159" t="n"/>
      <c r="AC58" s="159" t="n"/>
      <c r="AD58" s="159" t="n"/>
      <c r="AE58" s="159" t="n"/>
      <c r="AF58" s="159" t="n"/>
      <c r="AG58" s="159" t="n"/>
      <c r="AH58" s="13" t="n"/>
      <c r="AI58" s="345" t="n"/>
      <c r="AJ58" s="13" t="n"/>
      <c r="AK58" s="87" t="n"/>
      <c r="AL58" s="87" t="n"/>
      <c r="AM58" s="87" t="n"/>
      <c r="AN58" s="85" t="n"/>
      <c r="AO58" s="85" t="n"/>
      <c r="AP58" s="85" t="n"/>
      <c r="AQ58" s="85" t="n"/>
      <c r="AR58" s="85" t="n"/>
      <c r="AS58" s="85" t="n"/>
      <c r="AT58" s="85" t="n"/>
      <c r="AU58" s="85" t="n"/>
      <c r="AV58" s="85" t="n"/>
      <c r="AW58" s="85" t="n"/>
      <c r="AX58" s="85" t="n"/>
      <c r="AY58" s="85" t="n"/>
      <c r="AZ58" s="85" t="n"/>
      <c r="BA58" s="85" t="n"/>
      <c r="BB58" s="85" t="n"/>
      <c r="BC58" s="85" t="n"/>
      <c r="BD58" s="85" t="n"/>
      <c r="BE58" s="85" t="n"/>
      <c r="BF58" s="85" t="n"/>
      <c r="BG58" s="85" t="n"/>
      <c r="BH58" s="85" t="n"/>
      <c r="BI58" s="85" t="n"/>
      <c r="BJ58" s="85" t="n"/>
      <c r="BK58" s="85" t="n"/>
      <c r="BL58" s="85" t="n"/>
      <c r="BM58" s="85" t="n"/>
      <c r="BN58" s="85" t="n"/>
      <c r="BO58" s="85" t="n"/>
      <c r="BP58" s="85" t="n"/>
      <c r="BQ58" s="85" t="n"/>
      <c r="BR58" s="85" t="n"/>
      <c r="BS58" s="85" t="n"/>
      <c r="BT58" s="85" t="n"/>
      <c r="BU58" s="85" t="n"/>
      <c r="BV58" s="85" t="n"/>
      <c r="BW58" s="85" t="n"/>
      <c r="BX58" s="85" t="n"/>
      <c r="BY58" s="85" t="n"/>
      <c r="BZ58" s="85" t="n"/>
      <c r="CA58" s="85" t="n"/>
      <c r="CB58" s="85" t="n"/>
      <c r="CC58" s="85" t="n"/>
      <c r="CD58" s="85" t="n"/>
      <c r="CE58" s="85" t="n"/>
      <c r="CF58" s="85" t="n"/>
      <c r="CG58" s="85" t="n"/>
      <c r="CH58" s="85" t="n"/>
      <c r="CI58" s="85" t="n"/>
      <c r="CJ58" s="85" t="n"/>
      <c r="CK58" s="85" t="n"/>
      <c r="CL58" s="85" t="n"/>
      <c r="CM58" s="85" t="n"/>
      <c r="CN58" s="85" t="n"/>
      <c r="CO58" s="85" t="n"/>
      <c r="CP58" s="85" t="n"/>
      <c r="CQ58" s="85" t="n"/>
      <c r="CR58" s="85" t="n"/>
      <c r="CS58" s="85" t="n"/>
      <c r="CT58" s="85" t="n"/>
      <c r="CU58" s="85" t="n"/>
      <c r="CV58" s="85" t="n"/>
      <c r="CW58" s="85" t="n"/>
      <c r="CX58" s="85" t="n"/>
      <c r="CY58" s="85" t="n"/>
      <c r="CZ58" s="85" t="n"/>
      <c r="DA58" s="85" t="n"/>
      <c r="DB58" s="85" t="n"/>
      <c r="DC58" s="85" t="n"/>
      <c r="DD58" s="85" t="n"/>
      <c r="DE58" s="85" t="n"/>
      <c r="DF58" s="85" t="n"/>
      <c r="DG58" s="85" t="n"/>
      <c r="DH58" s="85" t="n"/>
      <c r="DI58" s="85" t="n"/>
      <c r="DJ58" s="85" t="n"/>
      <c r="DK58" s="85" t="n"/>
      <c r="DL58" s="85" t="n"/>
      <c r="DM58" s="85" t="n"/>
      <c r="DN58" s="85" t="n"/>
      <c r="DO58" s="85" t="n"/>
      <c r="DP58" s="85" t="n"/>
      <c r="DQ58" s="85" t="n"/>
      <c r="DR58" s="85" t="n"/>
      <c r="DS58" s="85" t="n"/>
      <c r="DT58" s="85" t="n"/>
      <c r="DU58" s="85" t="n"/>
      <c r="DV58" s="85" t="n"/>
      <c r="DW58" s="85" t="n"/>
      <c r="DX58" s="85" t="n"/>
      <c r="DY58" s="85" t="n"/>
      <c r="DZ58" s="85" t="n"/>
      <c r="EA58" s="85" t="n"/>
      <c r="EB58" s="85" t="n"/>
      <c r="EC58" s="85" t="n"/>
      <c r="ED58" s="85" t="n"/>
      <c r="EE58" s="85" t="n"/>
      <c r="EF58" s="85" t="n"/>
      <c r="EG58" s="85" t="n"/>
      <c r="EH58" s="85" t="n"/>
      <c r="EI58" s="85" t="n"/>
      <c r="EJ58" s="85" t="n"/>
      <c r="EK58" s="85" t="n"/>
      <c r="EL58" s="85" t="n"/>
      <c r="EM58" s="85" t="n"/>
      <c r="EN58" s="85" t="n"/>
      <c r="EO58" s="85" t="n"/>
      <c r="EP58" s="85" t="n"/>
      <c r="EQ58" s="85" t="n"/>
      <c r="ER58" s="85" t="n"/>
      <c r="ES58" s="85" t="n"/>
      <c r="ET58" s="85" t="n"/>
      <c r="EU58" s="85" t="n"/>
      <c r="EV58" s="85" t="n"/>
      <c r="EW58" s="85" t="n"/>
      <c r="EX58" s="85" t="n"/>
      <c r="EY58" s="85" t="n"/>
      <c r="EZ58" s="85" t="n"/>
      <c r="FA58" s="85" t="n"/>
      <c r="FB58" s="85" t="n"/>
      <c r="FC58" s="85" t="n"/>
      <c r="FD58" s="85" t="n"/>
      <c r="FE58" s="85" t="n"/>
      <c r="FF58" s="85" t="n"/>
      <c r="FG58" s="85" t="n"/>
      <c r="FH58" s="85" t="n"/>
      <c r="FI58" s="85" t="n"/>
      <c r="FJ58" s="85" t="n"/>
      <c r="FK58" s="85" t="n"/>
      <c r="FL58" s="85" t="n"/>
      <c r="FM58" s="85" t="n"/>
      <c r="FN58" s="85" t="n"/>
      <c r="FO58" s="85" t="n"/>
      <c r="FP58" s="85" t="n"/>
      <c r="FQ58" s="85" t="n"/>
      <c r="FR58" s="85" t="n"/>
      <c r="FS58" s="85" t="n"/>
      <c r="FT58" s="85" t="n"/>
      <c r="FU58" s="85" t="n"/>
      <c r="FV58" s="85" t="n"/>
      <c r="FW58" s="85" t="n"/>
      <c r="FX58" s="85" t="n"/>
      <c r="FY58" s="85" t="n"/>
      <c r="FZ58" s="85" t="n"/>
      <c r="GA58" s="85" t="n"/>
      <c r="GB58" s="85" t="n"/>
      <c r="GC58" s="85" t="n"/>
      <c r="GD58" s="85" t="n"/>
      <c r="GE58" s="85" t="n"/>
      <c r="GF58" s="85" t="n"/>
      <c r="GG58" s="85" t="n"/>
      <c r="GH58" s="85" t="n"/>
      <c r="GI58" s="85" t="n"/>
      <c r="GJ58" s="85" t="n"/>
      <c r="GK58" s="85" t="n"/>
      <c r="GL58" s="85" t="n"/>
      <c r="GM58" s="85" t="n"/>
      <c r="GN58" s="85" t="n"/>
      <c r="GO58" s="85" t="n"/>
      <c r="GP58" s="85" t="n"/>
      <c r="GQ58" s="85" t="n"/>
      <c r="GR58" s="85" t="n"/>
      <c r="GS58" s="85" t="n"/>
      <c r="GT58" s="85" t="n"/>
      <c r="GU58" s="85" t="n"/>
      <c r="GV58" s="85" t="n"/>
      <c r="GW58" s="85" t="n"/>
      <c r="GX58" s="85" t="n"/>
      <c r="GY58" s="85" t="n"/>
      <c r="GZ58" s="85" t="n"/>
      <c r="HA58" s="85" t="n"/>
      <c r="HB58" s="85" t="n"/>
      <c r="HC58" s="85" t="n"/>
      <c r="HD58" s="85" t="n"/>
      <c r="HE58" s="85" t="n"/>
      <c r="HF58" s="85" t="n"/>
      <c r="HG58" s="85" t="n"/>
      <c r="HH58" s="85" t="n"/>
      <c r="HI58" s="85" t="n"/>
      <c r="HJ58" s="85" t="n"/>
      <c r="HK58" s="85" t="n"/>
      <c r="HL58" s="85" t="n"/>
      <c r="HM58" s="85" t="n"/>
      <c r="HN58" s="85" t="n"/>
      <c r="HO58" s="85" t="n"/>
      <c r="HP58" s="85" t="n"/>
      <c r="HQ58" s="85" t="n"/>
      <c r="HR58" s="85" t="n"/>
      <c r="HS58" s="85" t="n"/>
      <c r="HT58" s="85" t="n"/>
      <c r="HU58" s="85" t="n"/>
    </row>
    <row r="59" ht="7.2" customHeight="1">
      <c r="A59" s="1" t="n"/>
      <c r="B59" s="143" t="n"/>
      <c r="C59" s="53" t="n"/>
      <c r="D59" s="53" t="n"/>
      <c r="E59" s="53" t="n"/>
      <c r="F59" s="53" t="n"/>
      <c r="G59" s="53" t="n"/>
      <c r="H59" s="53" t="n"/>
      <c r="I59" s="53" t="n"/>
      <c r="J59" s="185" t="n"/>
      <c r="K59" s="53" t="n"/>
      <c r="L59" s="53" t="n"/>
      <c r="M59" s="186" t="n"/>
      <c r="N59" s="186" t="n"/>
      <c r="O59" s="186" t="n"/>
      <c r="P59" s="186" t="n"/>
      <c r="Q59" s="186" t="n"/>
      <c r="R59" s="186" t="n"/>
      <c r="S59" s="186" t="n"/>
      <c r="T59" s="186" t="n"/>
      <c r="U59" s="186" t="n"/>
      <c r="V59" s="186" t="n"/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3" t="n"/>
      <c r="AI59" s="240" t="n"/>
      <c r="AJ59" s="13" t="n"/>
      <c r="AK59" s="53" t="n"/>
      <c r="AL59" s="53" t="n"/>
      <c r="AM59" s="53" t="n"/>
      <c r="AN59" s="53" t="n"/>
      <c r="AO59" s="53" t="n"/>
      <c r="AP59" s="53" t="n"/>
      <c r="AQ59" s="53" t="n"/>
      <c r="AR59" s="53" t="n"/>
      <c r="AS59" s="53" t="n"/>
      <c r="AT59" s="53" t="n"/>
      <c r="AU59" s="53" t="n"/>
      <c r="AV59" s="53" t="n"/>
      <c r="AW59" s="53" t="n"/>
      <c r="AX59" s="53" t="n"/>
      <c r="AY59" s="53" t="n"/>
      <c r="AZ59" s="53" t="n"/>
      <c r="BA59" s="53" t="n"/>
      <c r="BB59" s="53" t="n"/>
      <c r="BC59" s="53" t="n"/>
      <c r="BD59" s="307" t="n"/>
      <c r="BE59" s="53" t="n"/>
      <c r="BF59" s="53" t="n"/>
      <c r="BG59" s="53" t="n"/>
      <c r="BH59" s="53" t="n"/>
      <c r="BI59" s="53" t="n"/>
      <c r="BJ59" s="53" t="n"/>
      <c r="BK59" s="53" t="n"/>
      <c r="BL59" s="53" t="n"/>
      <c r="BM59" s="53" t="n"/>
      <c r="BN59" s="53" t="n"/>
      <c r="BO59" s="53" t="n"/>
      <c r="BP59" s="307" t="n"/>
      <c r="BQ59" s="53" t="n"/>
      <c r="BR59" s="53" t="n"/>
      <c r="BS59" s="53" t="n"/>
      <c r="BT59" s="53" t="n"/>
      <c r="BU59" s="53" t="n"/>
      <c r="BV59" s="53" t="n"/>
      <c r="BW59" s="53" t="n"/>
      <c r="BX59" s="53" t="n"/>
      <c r="BY59" s="53" t="n"/>
      <c r="BZ59" s="53" t="n"/>
      <c r="CA59" s="53" t="n"/>
      <c r="CB59" s="307" t="n"/>
      <c r="CC59" s="53" t="n"/>
      <c r="CD59" s="53" t="n"/>
      <c r="CE59" s="53" t="n"/>
      <c r="CF59" s="53" t="n"/>
      <c r="CG59" s="53" t="n"/>
      <c r="CH59" s="53" t="n"/>
      <c r="CI59" s="53" t="n"/>
      <c r="CJ59" s="53" t="n"/>
      <c r="CK59" s="53" t="n"/>
      <c r="CL59" s="53" t="n"/>
      <c r="CM59" s="53" t="n"/>
      <c r="CN59" s="307" t="n"/>
      <c r="CO59" s="53" t="n"/>
      <c r="CP59" s="53" t="n"/>
      <c r="CQ59" s="53" t="n"/>
      <c r="CR59" s="53" t="n"/>
      <c r="CS59" s="53" t="n"/>
      <c r="CT59" s="53" t="n"/>
      <c r="CU59" s="53" t="n"/>
      <c r="CV59" s="53" t="n"/>
      <c r="CW59" s="53" t="n"/>
      <c r="CX59" s="53" t="n"/>
      <c r="CY59" s="53" t="n"/>
      <c r="CZ59" s="307" t="n"/>
      <c r="DA59" s="53" t="n"/>
      <c r="DB59" s="53" t="n"/>
      <c r="DC59" s="53" t="n"/>
      <c r="DD59" s="53" t="n"/>
      <c r="DE59" s="53" t="n"/>
      <c r="DF59" s="53" t="n"/>
      <c r="DG59" s="53" t="n"/>
      <c r="DH59" s="53" t="n"/>
      <c r="DI59" s="53" t="n"/>
      <c r="DJ59" s="53" t="n"/>
      <c r="DK59" s="53" t="n"/>
      <c r="DL59" s="53" t="n"/>
      <c r="DM59" s="53" t="n"/>
      <c r="DN59" s="53" t="n"/>
      <c r="DO59" s="53" t="n"/>
      <c r="DP59" s="53" t="n"/>
      <c r="DQ59" s="53" t="n"/>
      <c r="DR59" s="53" t="n"/>
      <c r="DS59" s="53" t="n"/>
      <c r="DT59" s="53" t="n"/>
      <c r="DU59" s="53" t="n"/>
      <c r="DV59" s="53" t="n"/>
      <c r="DW59" s="53" t="n"/>
      <c r="DX59" s="53" t="n"/>
      <c r="DY59" s="53" t="n"/>
      <c r="DZ59" s="53" t="n"/>
      <c r="EA59" s="53" t="n"/>
      <c r="EB59" s="53" t="n"/>
      <c r="EC59" s="53" t="n"/>
      <c r="ED59" s="53" t="n"/>
      <c r="EE59" s="53" t="n"/>
      <c r="EF59" s="53" t="n"/>
      <c r="EG59" s="53" t="n"/>
      <c r="EH59" s="53" t="n"/>
      <c r="EI59" s="53" t="n"/>
      <c r="EJ59" s="53" t="n"/>
      <c r="EK59" s="53" t="n"/>
      <c r="EL59" s="53" t="n"/>
      <c r="EM59" s="53" t="n"/>
      <c r="EN59" s="53" t="n"/>
      <c r="EO59" s="53" t="n"/>
      <c r="EP59" s="53" t="n"/>
      <c r="EQ59" s="53" t="n"/>
      <c r="ER59" s="53" t="n"/>
      <c r="ES59" s="53" t="n"/>
      <c r="ET59" s="53" t="n"/>
      <c r="EU59" s="53" t="n"/>
      <c r="EV59" s="53" t="n"/>
      <c r="EW59" s="53" t="n"/>
      <c r="EX59" s="53" t="n"/>
      <c r="EY59" s="53" t="n"/>
      <c r="EZ59" s="53" t="n"/>
      <c r="FA59" s="53" t="n"/>
      <c r="FB59" s="53" t="n"/>
      <c r="FC59" s="53" t="n"/>
      <c r="FD59" s="53" t="n"/>
      <c r="FE59" s="53" t="n"/>
      <c r="FF59" s="53" t="n"/>
      <c r="FG59" s="53" t="n"/>
      <c r="FH59" s="53" t="n"/>
      <c r="FI59" s="53" t="n"/>
      <c r="FJ59" s="53" t="n"/>
      <c r="FK59" s="53" t="n"/>
      <c r="FL59" s="53" t="n"/>
      <c r="FM59" s="53" t="n"/>
      <c r="FN59" s="53" t="n"/>
      <c r="FO59" s="53" t="n"/>
      <c r="FP59" s="53" t="n"/>
      <c r="FQ59" s="53" t="n"/>
      <c r="FR59" s="53" t="n"/>
      <c r="FS59" s="53" t="n"/>
      <c r="FT59" s="53" t="n"/>
      <c r="FU59" s="53" t="n"/>
      <c r="FV59" s="53" t="n"/>
      <c r="FW59" s="53" t="n"/>
      <c r="FX59" s="53" t="n"/>
      <c r="FY59" s="53" t="n"/>
      <c r="FZ59" s="53" t="n"/>
      <c r="GA59" s="53" t="n"/>
      <c r="GB59" s="53" t="n"/>
      <c r="GC59" s="53" t="n"/>
      <c r="GD59" s="53" t="n"/>
      <c r="GE59" s="53" t="n"/>
      <c r="GF59" s="53" t="n"/>
      <c r="GG59" s="53" t="n"/>
      <c r="GH59" s="53" t="n"/>
      <c r="GI59" s="53" t="n"/>
      <c r="GJ59" s="53" t="n"/>
      <c r="GK59" s="53" t="n"/>
      <c r="GL59" s="53" t="n"/>
      <c r="GM59" s="53" t="n"/>
      <c r="GN59" s="53" t="n"/>
      <c r="GO59" s="53" t="n"/>
      <c r="GP59" s="53" t="n"/>
      <c r="GQ59" s="53" t="n"/>
      <c r="GR59" s="53" t="n"/>
      <c r="GS59" s="53" t="n"/>
      <c r="GT59" s="53" t="n"/>
      <c r="GU59" s="53" t="n"/>
      <c r="GV59" s="53" t="n"/>
      <c r="GW59" s="53" t="n"/>
      <c r="GX59" s="53" t="n"/>
      <c r="GY59" s="53" t="n"/>
      <c r="GZ59" s="53" t="n"/>
      <c r="HA59" s="53" t="n"/>
      <c r="HB59" s="53" t="n"/>
      <c r="HC59" s="53" t="n"/>
      <c r="HD59" s="53" t="n"/>
      <c r="HE59" s="53" t="n"/>
      <c r="HF59" s="53" t="n"/>
      <c r="HG59" s="53" t="n"/>
      <c r="HH59" s="53" t="n"/>
      <c r="HI59" s="53" t="n"/>
      <c r="HJ59" s="53" t="n"/>
      <c r="HK59" s="53" t="n"/>
      <c r="HL59" s="53" t="n"/>
      <c r="HM59" s="53" t="n"/>
      <c r="HN59" s="53" t="n"/>
      <c r="HO59" s="53" t="n"/>
      <c r="HP59" s="53" t="n"/>
      <c r="HQ59" s="53" t="n"/>
      <c r="HR59" s="53" t="n"/>
      <c r="HS59" s="53" t="n"/>
      <c r="HT59" s="53" t="n"/>
      <c r="HU59" s="53" t="n"/>
    </row>
    <row r="60" ht="16.2" customHeight="1">
      <c r="A60" s="19" t="inlineStr">
        <is>
          <t>DISTRATOS (-)</t>
        </is>
      </c>
      <c r="B60" s="139" t="n"/>
      <c r="C60" s="20" t="n"/>
      <c r="D60" s="22" t="n"/>
      <c r="E60" s="20" t="n"/>
      <c r="F60" s="20" t="n"/>
      <c r="G60" s="20" t="n"/>
      <c r="H60" s="20" t="n"/>
      <c r="I60" s="21" t="n"/>
      <c r="J60" s="175" t="n"/>
      <c r="K60" s="21" t="n"/>
      <c r="L60" s="108" t="n"/>
      <c r="M60" s="220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20" t="n"/>
      <c r="AA60" s="220" t="n"/>
      <c r="AB60" s="220" t="n"/>
      <c r="AC60" s="220" t="n"/>
      <c r="AD60" s="220" t="n"/>
      <c r="AE60" s="220" t="n"/>
      <c r="AF60" s="220" t="n"/>
      <c r="AG60" s="220" t="n"/>
      <c r="AH60" s="200" t="n"/>
      <c r="AI60" s="241" t="n"/>
      <c r="AJ60" s="200" t="n"/>
      <c r="AK60" s="20" t="n"/>
      <c r="AL60" s="20" t="n"/>
      <c r="AM60" s="20" t="n"/>
      <c r="AN60" s="20" t="n"/>
      <c r="AO60" s="20" t="n"/>
      <c r="AP60" s="20" t="n"/>
      <c r="AQ60" s="21" t="n"/>
      <c r="AR60" s="21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99" t="n"/>
      <c r="BE60" s="22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99" t="n"/>
      <c r="BQ60" s="22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99" t="n"/>
      <c r="CC60" s="22" t="n"/>
      <c r="CD60" s="20" t="n"/>
      <c r="CE60" s="20" t="n"/>
      <c r="CF60" s="20" t="n"/>
      <c r="CG60" s="20" t="n"/>
      <c r="CH60" s="20" t="n"/>
      <c r="CI60" s="20" t="n"/>
      <c r="CJ60" s="20" t="n"/>
      <c r="CK60" s="20" t="n"/>
      <c r="CL60" s="20" t="n"/>
      <c r="CM60" s="20" t="n"/>
      <c r="CN60" s="299" t="n"/>
      <c r="CO60" s="22" t="n"/>
      <c r="CP60" s="20" t="n"/>
      <c r="CQ60" s="20" t="n"/>
      <c r="CR60" s="20" t="n"/>
      <c r="CS60" s="20" t="n"/>
      <c r="CT60" s="20" t="n"/>
      <c r="CU60" s="20" t="n"/>
      <c r="CV60" s="20" t="n"/>
      <c r="CW60" s="20" t="n"/>
      <c r="CX60" s="20" t="n"/>
      <c r="CY60" s="20" t="n"/>
      <c r="CZ60" s="299" t="n"/>
      <c r="DA60" s="22" t="n"/>
      <c r="DB60" s="20" t="n"/>
      <c r="DC60" s="20" t="n"/>
      <c r="DD60" s="20" t="n"/>
      <c r="DE60" s="20" t="n"/>
      <c r="DF60" s="20" t="n"/>
      <c r="DG60" s="20" t="n"/>
      <c r="DH60" s="20" t="n"/>
      <c r="DI60" s="20" t="n"/>
      <c r="DJ60" s="21" t="n"/>
      <c r="DK60" s="20" t="n"/>
      <c r="DL60" s="21" t="n"/>
      <c r="DM60" s="20" t="n"/>
      <c r="DN60" s="21" t="n"/>
      <c r="DO60" s="21" t="n"/>
      <c r="DP60" s="21" t="n"/>
      <c r="DQ60" s="21" t="n"/>
      <c r="DR60" s="21" t="n"/>
      <c r="DS60" s="21" t="n"/>
      <c r="DT60" s="21" t="n"/>
      <c r="DU60" s="21" t="n"/>
      <c r="DV60" s="21" t="n"/>
      <c r="DW60" s="21" t="n"/>
      <c r="DX60" s="21" t="n"/>
      <c r="DY60" s="21" t="n"/>
      <c r="DZ60" s="21" t="n"/>
      <c r="EA60" s="21" t="n"/>
      <c r="EB60" s="21" t="n"/>
      <c r="EC60" s="21" t="n"/>
      <c r="ED60" s="21" t="n"/>
      <c r="EE60" s="21" t="n"/>
      <c r="EF60" s="21" t="n"/>
      <c r="EG60" s="21" t="n"/>
      <c r="EH60" s="21" t="n"/>
      <c r="EI60" s="21" t="n"/>
      <c r="EJ60" s="21" t="n"/>
      <c r="EK60" s="21" t="n"/>
      <c r="EL60" s="21" t="n"/>
      <c r="EM60" s="21" t="n"/>
      <c r="EN60" s="21" t="n"/>
      <c r="EO60" s="21" t="n"/>
      <c r="EP60" s="21" t="n"/>
      <c r="EQ60" s="21" t="n"/>
      <c r="ER60" s="21" t="n"/>
      <c r="ES60" s="21" t="n"/>
      <c r="ET60" s="21" t="n"/>
      <c r="EU60" s="21" t="n"/>
      <c r="EV60" s="21" t="n"/>
      <c r="EW60" s="21" t="n"/>
      <c r="EX60" s="21" t="n"/>
      <c r="EY60" s="21" t="n"/>
      <c r="EZ60" s="21" t="n"/>
      <c r="FA60" s="21" t="n"/>
      <c r="FB60" s="21" t="n"/>
      <c r="FC60" s="21" t="n"/>
      <c r="FD60" s="21" t="n"/>
      <c r="FE60" s="21" t="n"/>
      <c r="FF60" s="21" t="n"/>
      <c r="FG60" s="21" t="n"/>
      <c r="FH60" s="21" t="n"/>
      <c r="FI60" s="21" t="n"/>
      <c r="FJ60" s="21" t="n"/>
      <c r="FK60" s="21" t="n"/>
      <c r="FL60" s="21" t="n"/>
      <c r="FM60" s="21" t="n"/>
      <c r="FN60" s="21" t="n"/>
      <c r="FO60" s="21" t="n"/>
      <c r="FP60" s="21" t="n"/>
      <c r="FQ60" s="21" t="n"/>
      <c r="FR60" s="21" t="n"/>
      <c r="FS60" s="21" t="n"/>
      <c r="FT60" s="21" t="n"/>
      <c r="FU60" s="21" t="n"/>
      <c r="FV60" s="21" t="n"/>
      <c r="FW60" s="21" t="n"/>
      <c r="FX60" s="21" t="n"/>
      <c r="FY60" s="21" t="n"/>
      <c r="FZ60" s="21" t="n"/>
      <c r="GA60" s="21" t="n"/>
      <c r="GB60" s="21" t="n"/>
      <c r="GC60" s="21" t="n"/>
      <c r="GD60" s="21" t="n"/>
      <c r="GE60" s="21" t="n"/>
      <c r="GF60" s="21" t="n"/>
      <c r="GG60" s="21" t="n"/>
      <c r="GH60" s="21" t="n"/>
      <c r="GI60" s="21" t="n"/>
      <c r="GJ60" s="21" t="n"/>
      <c r="GK60" s="21" t="n"/>
      <c r="GL60" s="21" t="n"/>
      <c r="GM60" s="21" t="n"/>
      <c r="GN60" s="21" t="n"/>
      <c r="GO60" s="21" t="n"/>
      <c r="GP60" s="21" t="n"/>
      <c r="GQ60" s="21" t="n"/>
      <c r="GR60" s="21" t="n"/>
      <c r="GS60" s="21" t="n"/>
      <c r="GT60" s="21" t="n"/>
      <c r="GU60" s="21" t="n"/>
      <c r="GV60" s="21" t="n"/>
      <c r="GW60" s="21" t="n"/>
      <c r="GX60" s="21" t="n"/>
      <c r="GY60" s="21" t="n"/>
      <c r="GZ60" s="21" t="n"/>
      <c r="HA60" s="21" t="n"/>
      <c r="HB60" s="21" t="n"/>
      <c r="HC60" s="21" t="n"/>
      <c r="HD60" s="21" t="n"/>
      <c r="HE60" s="21" t="n"/>
      <c r="HF60" s="21" t="n"/>
      <c r="HG60" s="21" t="n"/>
      <c r="HH60" s="21" t="n"/>
      <c r="HI60" s="21" t="n"/>
      <c r="HJ60" s="21" t="n"/>
      <c r="HK60" s="21" t="n"/>
      <c r="HL60" s="21" t="n"/>
      <c r="HM60" s="21" t="n"/>
      <c r="HN60" s="21" t="n"/>
      <c r="HO60" s="21" t="n"/>
      <c r="HP60" s="21" t="n"/>
      <c r="HQ60" s="21" t="n"/>
      <c r="HR60" s="21" t="n"/>
      <c r="HS60" s="21" t="n"/>
      <c r="HT60" s="21" t="n"/>
      <c r="HU60" s="21" t="n"/>
    </row>
    <row r="61" ht="16.2" customHeight="1">
      <c r="A61" s="7" t="inlineStr">
        <is>
          <t>Devoluções</t>
        </is>
      </c>
      <c r="B61" s="136" t="n"/>
      <c r="C61" s="85" t="n"/>
      <c r="D61" s="87" t="n"/>
      <c r="E61" s="85" t="n"/>
      <c r="F61" s="85" t="n"/>
      <c r="G61" s="85" t="n"/>
      <c r="H61" s="85" t="n"/>
      <c r="I61" s="86" t="n"/>
      <c r="J61" s="228" t="n"/>
      <c r="K61" s="229" t="n"/>
      <c r="L61" s="122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13" t="n"/>
      <c r="AI61" s="441" t="n"/>
      <c r="AJ61" s="13" t="n"/>
      <c r="AK61" s="85" t="n"/>
      <c r="AL61" s="85" t="n"/>
      <c r="AM61" s="85" t="n"/>
      <c r="AN61" s="85" t="n"/>
      <c r="AO61" s="85" t="n"/>
      <c r="AP61" s="85" t="n"/>
      <c r="AQ61" s="86" t="n"/>
      <c r="AR61" s="86" t="n"/>
      <c r="AS61" s="85" t="n"/>
      <c r="AT61" s="85" t="n"/>
      <c r="AU61" s="85" t="n"/>
      <c r="AV61" s="85" t="n"/>
      <c r="AW61" s="85" t="n"/>
      <c r="AX61" s="85" t="n"/>
      <c r="AY61" s="85" t="n"/>
      <c r="AZ61" s="85" t="n"/>
      <c r="BA61" s="85" t="n"/>
      <c r="BB61" s="85" t="n"/>
      <c r="BC61" s="85" t="n"/>
      <c r="BD61" s="296" t="n"/>
      <c r="BE61" s="87" t="n"/>
      <c r="BF61" s="85" t="n"/>
      <c r="BG61" s="85" t="n"/>
      <c r="BH61" s="85" t="n"/>
      <c r="BI61" s="85" t="n"/>
      <c r="BJ61" s="85" t="n"/>
      <c r="BK61" s="85" t="n"/>
      <c r="BL61" s="85" t="n"/>
      <c r="BM61" s="85" t="n"/>
      <c r="BN61" s="85" t="n"/>
      <c r="BO61" s="85" t="n"/>
      <c r="BP61" s="296" t="n"/>
      <c r="BQ61" s="87" t="n"/>
      <c r="BR61" s="85" t="n"/>
      <c r="BS61" s="85" t="n"/>
      <c r="BT61" s="85" t="n"/>
      <c r="BU61" s="85" t="n"/>
      <c r="BV61" s="85" t="n"/>
      <c r="BW61" s="85" t="n"/>
      <c r="BX61" s="85" t="n"/>
      <c r="BY61" s="85" t="n"/>
      <c r="BZ61" s="85" t="n"/>
      <c r="CA61" s="85" t="n"/>
      <c r="CB61" s="296" t="n"/>
      <c r="CC61" s="87" t="n"/>
      <c r="CD61" s="85" t="n"/>
      <c r="CE61" s="85" t="n"/>
      <c r="CF61" s="85" t="n"/>
      <c r="CG61" s="85" t="n"/>
      <c r="CH61" s="85" t="n"/>
      <c r="CI61" s="85" t="n"/>
      <c r="CJ61" s="85" t="n"/>
      <c r="CK61" s="85" t="n"/>
      <c r="CL61" s="85" t="n"/>
      <c r="CM61" s="85" t="n"/>
      <c r="CN61" s="296" t="n"/>
      <c r="CO61" s="87" t="n"/>
      <c r="CP61" s="85" t="n"/>
      <c r="CQ61" s="85" t="n"/>
      <c r="CR61" s="85" t="n"/>
      <c r="CS61" s="85" t="n"/>
      <c r="CT61" s="85" t="n"/>
      <c r="CU61" s="85" t="n"/>
      <c r="CV61" s="85" t="n"/>
      <c r="CW61" s="85" t="n"/>
      <c r="CX61" s="85" t="n"/>
      <c r="CY61" s="85" t="n"/>
      <c r="CZ61" s="296" t="n"/>
      <c r="DA61" s="87" t="n"/>
      <c r="DB61" s="85" t="n"/>
      <c r="DC61" s="85" t="n"/>
      <c r="DD61" s="85" t="n"/>
      <c r="DE61" s="85" t="n"/>
      <c r="DF61" s="85" t="n"/>
      <c r="DG61" s="85" t="n"/>
      <c r="DH61" s="85" t="n"/>
      <c r="DI61" s="85" t="n"/>
      <c r="DJ61" s="86" t="n"/>
      <c r="DK61" s="85" t="n"/>
      <c r="DL61" s="86" t="n"/>
      <c r="DM61" s="85" t="n"/>
      <c r="DN61" s="86" t="n"/>
      <c r="DO61" s="86" t="n"/>
      <c r="DP61" s="86" t="n"/>
      <c r="DQ61" s="86" t="n"/>
      <c r="DR61" s="86" t="n"/>
      <c r="DS61" s="86" t="n"/>
      <c r="DT61" s="86" t="n"/>
      <c r="DU61" s="86" t="n"/>
      <c r="DV61" s="86" t="n"/>
      <c r="DW61" s="86" t="n"/>
      <c r="DX61" s="86" t="n"/>
      <c r="DY61" s="86" t="n"/>
      <c r="DZ61" s="86" t="n"/>
      <c r="EA61" s="86" t="n"/>
      <c r="EB61" s="86" t="n"/>
      <c r="EC61" s="86" t="n"/>
      <c r="ED61" s="86" t="n"/>
      <c r="EE61" s="86" t="n"/>
      <c r="EF61" s="86" t="n"/>
      <c r="EG61" s="86" t="n"/>
      <c r="EH61" s="86" t="n"/>
      <c r="EI61" s="86" t="n"/>
      <c r="EJ61" s="86" t="n"/>
      <c r="EK61" s="86" t="n"/>
      <c r="EL61" s="86" t="n"/>
      <c r="EM61" s="86" t="n"/>
      <c r="EN61" s="86" t="n"/>
      <c r="EO61" s="86" t="n"/>
      <c r="EP61" s="86" t="n"/>
      <c r="EQ61" s="86" t="n"/>
      <c r="ER61" s="86" t="n"/>
      <c r="ES61" s="86" t="n"/>
      <c r="ET61" s="86" t="n"/>
      <c r="EU61" s="86" t="n"/>
      <c r="EV61" s="86" t="n"/>
      <c r="EW61" s="86" t="n"/>
      <c r="EX61" s="86" t="n"/>
      <c r="EY61" s="86" t="n"/>
      <c r="EZ61" s="86" t="n"/>
      <c r="FA61" s="86" t="n"/>
      <c r="FB61" s="86" t="n"/>
      <c r="FC61" s="86" t="n"/>
      <c r="FD61" s="86" t="n"/>
      <c r="FE61" s="86" t="n"/>
      <c r="FF61" s="86" t="n"/>
      <c r="FG61" s="86" t="n"/>
      <c r="FH61" s="86" t="n"/>
      <c r="FI61" s="86" t="n"/>
      <c r="FJ61" s="86" t="n"/>
      <c r="FK61" s="86" t="n"/>
      <c r="FL61" s="86" t="n"/>
      <c r="FM61" s="86" t="n"/>
      <c r="FN61" s="86" t="n"/>
      <c r="FO61" s="86" t="n"/>
      <c r="FP61" s="86" t="n"/>
      <c r="FQ61" s="86" t="n"/>
      <c r="FR61" s="86" t="n"/>
      <c r="FS61" s="86" t="n"/>
      <c r="FT61" s="86" t="n"/>
      <c r="FU61" s="86" t="n"/>
      <c r="FV61" s="86" t="n"/>
      <c r="FW61" s="86" t="n"/>
      <c r="FX61" s="86" t="n"/>
      <c r="FY61" s="86" t="n"/>
      <c r="FZ61" s="86" t="n"/>
      <c r="GA61" s="86" t="n"/>
      <c r="GB61" s="86" t="n"/>
      <c r="GC61" s="86" t="n"/>
      <c r="GD61" s="86" t="n"/>
      <c r="GE61" s="86" t="n"/>
      <c r="GF61" s="86" t="n"/>
      <c r="GG61" s="86" t="n"/>
      <c r="GH61" s="86" t="n"/>
      <c r="GI61" s="86" t="n"/>
      <c r="GJ61" s="86" t="n"/>
      <c r="GK61" s="86" t="n"/>
      <c r="GL61" s="86" t="n"/>
      <c r="GM61" s="86" t="n"/>
      <c r="GN61" s="86" t="n"/>
      <c r="GO61" s="86" t="n"/>
      <c r="GP61" s="86" t="n"/>
      <c r="GQ61" s="86" t="n"/>
      <c r="GR61" s="86" t="n"/>
      <c r="GS61" s="86" t="n"/>
      <c r="GT61" s="86" t="n"/>
      <c r="GU61" s="86" t="n"/>
      <c r="GV61" s="86" t="n"/>
      <c r="GW61" s="86" t="n"/>
      <c r="GX61" s="86" t="n"/>
      <c r="GY61" s="86" t="n"/>
      <c r="GZ61" s="86" t="n"/>
      <c r="HA61" s="86" t="n"/>
      <c r="HB61" s="86" t="n"/>
      <c r="HC61" s="86" t="n"/>
      <c r="HD61" s="86" t="n"/>
      <c r="HE61" s="86" t="n"/>
      <c r="HF61" s="86" t="n"/>
      <c r="HG61" s="86" t="n"/>
      <c r="HH61" s="86" t="n"/>
      <c r="HI61" s="86" t="n"/>
      <c r="HJ61" s="86" t="n"/>
      <c r="HK61" s="86" t="n"/>
      <c r="HL61" s="86" t="n"/>
      <c r="HM61" s="86" t="n"/>
      <c r="HN61" s="86" t="n"/>
      <c r="HO61" s="86" t="n"/>
      <c r="HP61" s="86" t="n"/>
      <c r="HQ61" s="86" t="n"/>
      <c r="HR61" s="86" t="n"/>
      <c r="HS61" s="86" t="n"/>
      <c r="HT61" s="86" t="n"/>
      <c r="HU61" s="86" t="n"/>
    </row>
    <row r="62" ht="8.4" customHeight="1">
      <c r="A62" s="28" t="n"/>
      <c r="B62" s="146" t="n"/>
      <c r="C62" s="512" t="n"/>
      <c r="D62" s="512" t="n"/>
      <c r="E62" s="512" t="n"/>
      <c r="F62" s="512" t="n"/>
      <c r="G62" s="512" t="n"/>
      <c r="H62" s="512" t="n"/>
      <c r="I62" s="512" t="n"/>
      <c r="J62" s="513" t="n"/>
      <c r="K62" s="512" t="n"/>
      <c r="L62" s="512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514" t="n"/>
      <c r="AA62" s="514" t="n"/>
      <c r="AB62" s="514" t="n"/>
      <c r="AC62" s="514" t="n"/>
      <c r="AD62" s="514" t="n"/>
      <c r="AE62" s="514" t="n"/>
      <c r="AF62" s="514" t="n"/>
      <c r="AG62" s="514" t="n"/>
      <c r="AH62" s="512" t="n"/>
      <c r="AI62" s="533" t="n"/>
      <c r="AJ62" s="512" t="n"/>
      <c r="AK62" s="512" t="n"/>
      <c r="AL62" s="512" t="n"/>
      <c r="AM62" s="512" t="n"/>
      <c r="AN62" s="512" t="n"/>
      <c r="AO62" s="512" t="n"/>
      <c r="AP62" s="512" t="n"/>
      <c r="AQ62" s="512" t="n"/>
      <c r="AR62" s="512" t="n"/>
      <c r="AS62" s="512" t="n"/>
      <c r="AT62" s="512" t="n"/>
      <c r="AU62" s="512" t="n"/>
      <c r="AV62" s="512" t="n"/>
      <c r="AW62" s="512" t="n"/>
      <c r="AX62" s="512" t="n"/>
      <c r="AY62" s="512" t="n"/>
      <c r="AZ62" s="512" t="n"/>
      <c r="BA62" s="512" t="n"/>
      <c r="BB62" s="512" t="n"/>
      <c r="BC62" s="512" t="n"/>
      <c r="BD62" s="515" t="n"/>
      <c r="BE62" s="512" t="n"/>
      <c r="BF62" s="512" t="n"/>
      <c r="BG62" s="512" t="n"/>
      <c r="BH62" s="512" t="n"/>
      <c r="BI62" s="512" t="n"/>
      <c r="BJ62" s="512" t="n"/>
      <c r="BK62" s="512" t="n"/>
      <c r="BL62" s="512" t="n"/>
      <c r="BM62" s="512" t="n"/>
      <c r="BN62" s="512" t="n"/>
      <c r="BO62" s="512" t="n"/>
      <c r="BP62" s="515" t="n"/>
      <c r="BQ62" s="512" t="n"/>
      <c r="BR62" s="512" t="n"/>
      <c r="BS62" s="512" t="n"/>
      <c r="BT62" s="512" t="n"/>
      <c r="BU62" s="512" t="n"/>
      <c r="BV62" s="512" t="n"/>
      <c r="BW62" s="512" t="n"/>
      <c r="BX62" s="512" t="n"/>
      <c r="BY62" s="512" t="n"/>
      <c r="BZ62" s="512" t="n"/>
      <c r="CA62" s="512" t="n"/>
      <c r="CB62" s="515" t="n"/>
      <c r="CC62" s="512" t="n"/>
      <c r="CD62" s="512" t="n"/>
      <c r="CE62" s="512" t="n"/>
      <c r="CF62" s="512" t="n"/>
      <c r="CG62" s="512" t="n"/>
      <c r="CH62" s="512" t="n"/>
      <c r="CI62" s="512" t="n"/>
      <c r="CJ62" s="512" t="n"/>
      <c r="CK62" s="512" t="n"/>
      <c r="CL62" s="512" t="n"/>
      <c r="CM62" s="512" t="n"/>
      <c r="CN62" s="515" t="n"/>
      <c r="CO62" s="512" t="n"/>
      <c r="CP62" s="512" t="n"/>
      <c r="CQ62" s="512" t="n"/>
      <c r="CR62" s="512" t="n"/>
      <c r="CS62" s="512" t="n"/>
      <c r="CT62" s="512" t="n"/>
      <c r="CU62" s="512" t="n"/>
      <c r="CV62" s="512" t="n"/>
      <c r="CW62" s="512" t="n"/>
      <c r="CX62" s="512" t="n"/>
      <c r="CY62" s="512" t="n"/>
      <c r="CZ62" s="515" t="n"/>
      <c r="DA62" s="512" t="n"/>
      <c r="DB62" s="512" t="n"/>
      <c r="DC62" s="512" t="n"/>
      <c r="DD62" s="512" t="n"/>
      <c r="DE62" s="512" t="n"/>
      <c r="DF62" s="512" t="n"/>
      <c r="DG62" s="512" t="n"/>
      <c r="DH62" s="512" t="n"/>
      <c r="DI62" s="512" t="n"/>
      <c r="DJ62" s="512" t="n"/>
      <c r="DK62" s="512" t="n"/>
      <c r="DL62" s="512" t="n"/>
      <c r="DM62" s="512" t="n"/>
      <c r="DN62" s="512" t="n"/>
      <c r="DO62" s="512" t="n"/>
      <c r="DP62" s="512" t="n"/>
      <c r="DQ62" s="512" t="n"/>
      <c r="DR62" s="512" t="n"/>
      <c r="DS62" s="512" t="n"/>
      <c r="DT62" s="512" t="n"/>
      <c r="DU62" s="512" t="n"/>
      <c r="DV62" s="512" t="n"/>
      <c r="DW62" s="512" t="n"/>
      <c r="DX62" s="512" t="n"/>
      <c r="DY62" s="512" t="n"/>
      <c r="DZ62" s="512" t="n"/>
      <c r="EA62" s="512" t="n"/>
      <c r="EB62" s="512" t="n"/>
      <c r="EC62" s="512" t="n"/>
      <c r="ED62" s="512" t="n"/>
      <c r="EE62" s="512" t="n"/>
      <c r="EF62" s="512" t="n"/>
      <c r="EG62" s="512" t="n"/>
      <c r="EH62" s="512" t="n"/>
      <c r="EI62" s="512" t="n"/>
      <c r="EJ62" s="512" t="n"/>
      <c r="EK62" s="512" t="n"/>
      <c r="EL62" s="512" t="n"/>
      <c r="EM62" s="512" t="n"/>
      <c r="EN62" s="512" t="n"/>
      <c r="EO62" s="512" t="n"/>
      <c r="EP62" s="512" t="n"/>
      <c r="EQ62" s="512" t="n"/>
      <c r="ER62" s="512" t="n"/>
      <c r="ES62" s="512" t="n"/>
      <c r="ET62" s="512" t="n"/>
      <c r="EU62" s="512" t="n"/>
      <c r="EV62" s="512" t="n"/>
      <c r="EW62" s="512" t="n"/>
      <c r="EX62" s="512" t="n"/>
      <c r="EY62" s="512" t="n"/>
      <c r="EZ62" s="512" t="n"/>
      <c r="FA62" s="512" t="n"/>
      <c r="FB62" s="512" t="n"/>
      <c r="FC62" s="512" t="n"/>
      <c r="FD62" s="512" t="n"/>
      <c r="FE62" s="512" t="n"/>
      <c r="FF62" s="512" t="n"/>
      <c r="FG62" s="512" t="n"/>
      <c r="FH62" s="512" t="n"/>
      <c r="FI62" s="512" t="n"/>
      <c r="FJ62" s="512" t="n"/>
      <c r="FK62" s="512" t="n"/>
      <c r="FL62" s="512" t="n"/>
      <c r="FM62" s="512" t="n"/>
      <c r="FN62" s="512" t="n"/>
      <c r="FO62" s="512" t="n"/>
      <c r="FP62" s="512" t="n"/>
      <c r="FQ62" s="512" t="n"/>
      <c r="FR62" s="512" t="n"/>
      <c r="FS62" s="512" t="n"/>
      <c r="FT62" s="512" t="n"/>
      <c r="FU62" s="512" t="n"/>
      <c r="FV62" s="512" t="n"/>
      <c r="FW62" s="512" t="n"/>
      <c r="FX62" s="512" t="n"/>
      <c r="FY62" s="512" t="n"/>
      <c r="FZ62" s="512" t="n"/>
      <c r="GA62" s="512" t="n"/>
      <c r="GB62" s="512" t="n"/>
      <c r="GC62" s="512" t="n"/>
      <c r="GD62" s="512" t="n"/>
      <c r="GE62" s="512" t="n"/>
      <c r="GF62" s="512" t="n"/>
      <c r="GG62" s="512" t="n"/>
      <c r="GH62" s="512" t="n"/>
      <c r="GI62" s="512" t="n"/>
      <c r="GJ62" s="512" t="n"/>
      <c r="GK62" s="512" t="n"/>
      <c r="GL62" s="512" t="n"/>
      <c r="GM62" s="512" t="n"/>
      <c r="GN62" s="512" t="n"/>
      <c r="GO62" s="512" t="n"/>
      <c r="GP62" s="512" t="n"/>
      <c r="GQ62" s="512" t="n"/>
      <c r="GR62" s="512" t="n"/>
      <c r="GS62" s="512" t="n"/>
      <c r="GT62" s="512" t="n"/>
      <c r="GU62" s="512" t="n"/>
      <c r="GV62" s="512" t="n"/>
      <c r="GW62" s="512" t="n"/>
      <c r="GX62" s="512" t="n"/>
      <c r="GY62" s="512" t="n"/>
      <c r="GZ62" s="512" t="n"/>
      <c r="HA62" s="512" t="n"/>
      <c r="HB62" s="512" t="n"/>
      <c r="HC62" s="512" t="n"/>
      <c r="HD62" s="512" t="n"/>
      <c r="HE62" s="512" t="n"/>
      <c r="HF62" s="512" t="n"/>
      <c r="HG62" s="512" t="n"/>
      <c r="HH62" s="512" t="n"/>
      <c r="HI62" s="512" t="n"/>
      <c r="HJ62" s="512" t="n"/>
      <c r="HK62" s="512" t="n"/>
      <c r="HL62" s="512" t="n"/>
      <c r="HM62" s="512" t="n"/>
      <c r="HN62" s="512" t="n"/>
      <c r="HO62" s="512" t="n"/>
      <c r="HP62" s="512" t="n"/>
      <c r="HQ62" s="512" t="n"/>
      <c r="HR62" s="512" t="n"/>
      <c r="HS62" s="512" t="n"/>
      <c r="HT62" s="512" t="n"/>
      <c r="HU62" s="512" t="n"/>
    </row>
    <row r="63" ht="16.2" customHeight="1">
      <c r="A63" s="19" t="inlineStr">
        <is>
          <t>DISTRIBUIÇÕES (-)</t>
        </is>
      </c>
      <c r="B63" s="139" t="n"/>
      <c r="C63" s="20" t="n"/>
      <c r="D63" s="22" t="n"/>
      <c r="E63" s="20" t="n"/>
      <c r="F63" s="20" t="n"/>
      <c r="G63" s="20" t="n"/>
      <c r="H63" s="20" t="n"/>
      <c r="I63" s="21" t="n"/>
      <c r="J63" s="175" t="n"/>
      <c r="K63" s="21" t="n"/>
      <c r="L63" s="108" t="n"/>
      <c r="M63" s="220" t="n"/>
      <c r="N63" s="220" t="n"/>
      <c r="O63" s="220" t="n"/>
      <c r="P63" s="220" t="n"/>
      <c r="Q63" s="220" t="n"/>
      <c r="R63" s="220" t="n"/>
      <c r="S63" s="220" t="n"/>
      <c r="T63" s="220" t="n"/>
      <c r="U63" s="220" t="n"/>
      <c r="V63" s="220" t="n"/>
      <c r="W63" s="220" t="n"/>
      <c r="X63" s="220" t="n"/>
      <c r="Y63" s="220" t="n"/>
      <c r="Z63" s="220" t="n"/>
      <c r="AA63" s="220" t="n"/>
      <c r="AB63" s="220" t="n"/>
      <c r="AC63" s="220" t="n"/>
      <c r="AD63" s="220" t="n"/>
      <c r="AE63" s="220" t="n"/>
      <c r="AF63" s="220" t="n"/>
      <c r="AG63" s="220" t="n"/>
      <c r="AH63" s="200" t="n"/>
      <c r="AI63" s="241" t="n"/>
      <c r="AJ63" s="200" t="n"/>
      <c r="AK63" s="20" t="n"/>
      <c r="AL63" s="20" t="n"/>
      <c r="AM63" s="20" t="n"/>
      <c r="AN63" s="20" t="n"/>
      <c r="AO63" s="20" t="n"/>
      <c r="AP63" s="20" t="n"/>
      <c r="AQ63" s="21" t="n"/>
      <c r="AR63" s="21" t="n"/>
      <c r="AS63" s="20" t="n"/>
      <c r="AT63" s="20" t="n"/>
      <c r="AU63" s="20" t="n"/>
      <c r="AV63" s="20" t="n"/>
      <c r="AW63" s="20" t="n"/>
      <c r="AX63" s="20" t="n"/>
      <c r="AY63" s="20" t="n"/>
      <c r="AZ63" s="20" t="n"/>
      <c r="BA63" s="20" t="n"/>
      <c r="BB63" s="20" t="n"/>
      <c r="BC63" s="20" t="n"/>
      <c r="BD63" s="299" t="n"/>
      <c r="BE63" s="22" t="n"/>
      <c r="BF63" s="20" t="n"/>
      <c r="BG63" s="20" t="n"/>
      <c r="BH63" s="444" t="n"/>
      <c r="BI63" s="444" t="n"/>
      <c r="BJ63" s="444" t="n"/>
      <c r="BK63" s="20" t="n"/>
      <c r="BL63" s="20" t="n"/>
      <c r="BM63" s="20" t="n"/>
      <c r="BN63" s="20" t="n"/>
      <c r="BO63" s="20" t="n"/>
      <c r="BP63" s="299" t="n"/>
      <c r="BQ63" s="22" t="n"/>
      <c r="BR63" s="20" t="n"/>
      <c r="BS63" s="20" t="n"/>
      <c r="BT63" s="20" t="n"/>
      <c r="BU63" s="20" t="n"/>
      <c r="BV63" s="20" t="n"/>
      <c r="BW63" s="20" t="n"/>
      <c r="BX63" s="20" t="n"/>
      <c r="BY63" s="20" t="n"/>
      <c r="BZ63" s="20" t="n"/>
      <c r="CA63" s="20" t="n"/>
      <c r="CB63" s="299" t="n"/>
      <c r="CC63" s="22" t="n"/>
      <c r="CD63" s="20" t="n"/>
      <c r="CE63" s="20" t="n"/>
      <c r="CF63" s="20" t="n"/>
      <c r="CG63" s="20" t="n"/>
      <c r="CH63" s="20" t="n"/>
      <c r="CI63" s="20" t="n"/>
      <c r="CJ63" s="20" t="n"/>
      <c r="CK63" s="20" t="n"/>
      <c r="CL63" s="20" t="n"/>
      <c r="CM63" s="20" t="n"/>
      <c r="CN63" s="299" t="n"/>
      <c r="CO63" s="22" t="n"/>
      <c r="CP63" s="20" t="n"/>
      <c r="CQ63" s="20" t="n"/>
      <c r="CR63" s="20" t="n"/>
      <c r="CS63" s="20" t="n"/>
      <c r="CT63" s="20" t="n"/>
      <c r="CU63" s="20" t="n"/>
      <c r="CV63" s="20" t="n"/>
      <c r="CW63" s="20" t="n"/>
      <c r="CX63" s="20" t="n"/>
      <c r="CY63" s="20" t="n"/>
      <c r="CZ63" s="299" t="n"/>
      <c r="DA63" s="22" t="n"/>
      <c r="DB63" s="20" t="n"/>
      <c r="DC63" s="20" t="n"/>
      <c r="DD63" s="20" t="n"/>
      <c r="DE63" s="20" t="n"/>
      <c r="DF63" s="20" t="n"/>
      <c r="DG63" s="20" t="n"/>
      <c r="DH63" s="20" t="n"/>
      <c r="DI63" s="20" t="n"/>
      <c r="DJ63" s="21" t="n"/>
      <c r="DK63" s="20" t="n"/>
      <c r="DL63" s="21" t="n"/>
      <c r="DM63" s="20" t="n"/>
      <c r="DN63" s="21" t="n"/>
      <c r="DO63" s="21" t="n"/>
      <c r="DP63" s="21" t="n"/>
      <c r="DQ63" s="21" t="n"/>
      <c r="DR63" s="21" t="n"/>
      <c r="DS63" s="21" t="n"/>
      <c r="DT63" s="21" t="n"/>
      <c r="DU63" s="21" t="n"/>
      <c r="DV63" s="21" t="n"/>
      <c r="DW63" s="21" t="n"/>
      <c r="DX63" s="21" t="n"/>
      <c r="DY63" s="21" t="n"/>
      <c r="DZ63" s="21" t="n"/>
      <c r="EA63" s="21" t="n"/>
      <c r="EB63" s="21" t="n"/>
      <c r="EC63" s="21" t="n"/>
      <c r="ED63" s="21" t="n"/>
      <c r="EE63" s="21" t="n"/>
      <c r="EF63" s="21" t="n"/>
      <c r="EG63" s="21" t="n"/>
      <c r="EH63" s="21" t="n"/>
      <c r="EI63" s="21" t="n"/>
      <c r="EJ63" s="21" t="n"/>
      <c r="EK63" s="21" t="n"/>
      <c r="EL63" s="21" t="n"/>
      <c r="EM63" s="21" t="n"/>
      <c r="EN63" s="21" t="n"/>
      <c r="EO63" s="21" t="n"/>
      <c r="EP63" s="21" t="n"/>
      <c r="EQ63" s="21" t="n"/>
      <c r="ER63" s="21" t="n"/>
      <c r="ES63" s="21" t="n"/>
      <c r="ET63" s="21" t="n"/>
      <c r="EU63" s="21" t="n"/>
      <c r="EV63" s="21" t="n"/>
      <c r="EW63" s="21" t="n"/>
      <c r="EX63" s="21" t="n"/>
      <c r="EY63" s="21" t="n"/>
      <c r="EZ63" s="21" t="n"/>
      <c r="FA63" s="21" t="n"/>
      <c r="FB63" s="21" t="n"/>
      <c r="FC63" s="21" t="n"/>
      <c r="FD63" s="21" t="n"/>
      <c r="FE63" s="21" t="n"/>
      <c r="FF63" s="21" t="n"/>
      <c r="FG63" s="21" t="n"/>
      <c r="FH63" s="21" t="n"/>
      <c r="FI63" s="21" t="n"/>
      <c r="FJ63" s="21" t="n"/>
      <c r="FK63" s="21" t="n"/>
      <c r="FL63" s="21" t="n"/>
      <c r="FM63" s="21" t="n"/>
      <c r="FN63" s="21" t="n"/>
      <c r="FO63" s="21" t="n"/>
      <c r="FP63" s="21" t="n"/>
      <c r="FQ63" s="21" t="n"/>
      <c r="FR63" s="21" t="n"/>
      <c r="FS63" s="21" t="n"/>
      <c r="FT63" s="21" t="n"/>
      <c r="FU63" s="21" t="n"/>
      <c r="FV63" s="21" t="n"/>
      <c r="FW63" s="21" t="n"/>
      <c r="FX63" s="21" t="n"/>
      <c r="FY63" s="21" t="n"/>
      <c r="FZ63" s="21" t="n"/>
      <c r="GA63" s="21" t="n"/>
      <c r="GB63" s="21" t="n"/>
      <c r="GC63" s="21" t="n"/>
      <c r="GD63" s="21" t="n"/>
      <c r="GE63" s="21" t="n"/>
      <c r="GF63" s="21" t="n"/>
      <c r="GG63" s="21" t="n"/>
      <c r="GH63" s="21" t="n"/>
      <c r="GI63" s="21" t="n"/>
      <c r="GJ63" s="21" t="n"/>
      <c r="GK63" s="21" t="n"/>
      <c r="GL63" s="21" t="n"/>
      <c r="GM63" s="21" t="n"/>
      <c r="GN63" s="21" t="n"/>
      <c r="GO63" s="21" t="n"/>
      <c r="GP63" s="21" t="n"/>
      <c r="GQ63" s="21" t="n"/>
      <c r="GR63" s="21" t="n"/>
      <c r="GS63" s="21" t="n"/>
      <c r="GT63" s="21" t="n"/>
      <c r="GU63" s="21" t="n"/>
      <c r="GV63" s="21" t="n"/>
      <c r="GW63" s="21" t="n"/>
      <c r="GX63" s="21" t="n"/>
      <c r="GY63" s="21" t="n"/>
      <c r="GZ63" s="21" t="n"/>
      <c r="HA63" s="21" t="n"/>
      <c r="HB63" s="21" t="n"/>
      <c r="HC63" s="21" t="n"/>
      <c r="HD63" s="21" t="n"/>
      <c r="HE63" s="21" t="n"/>
      <c r="HF63" s="21" t="n"/>
      <c r="HG63" s="21" t="n"/>
      <c r="HH63" s="21" t="n"/>
      <c r="HI63" s="21" t="n"/>
      <c r="HJ63" s="21" t="n"/>
      <c r="HK63" s="21" t="n"/>
      <c r="HL63" s="21" t="n"/>
      <c r="HM63" s="21" t="n"/>
      <c r="HN63" s="21" t="n"/>
      <c r="HO63" s="21" t="n"/>
      <c r="HP63" s="21" t="n"/>
      <c r="HQ63" s="21" t="n"/>
      <c r="HR63" s="21" t="n"/>
      <c r="HS63" s="21" t="n"/>
      <c r="HT63" s="21" t="n"/>
      <c r="HU63" s="21" t="n"/>
    </row>
    <row r="64" ht="16.2" customHeight="1">
      <c r="A64" s="7" t="inlineStr">
        <is>
          <t>Devolução de Aporte</t>
        </is>
      </c>
      <c r="B64" s="136" t="n"/>
      <c r="C64" s="85" t="n"/>
      <c r="D64" s="85" t="n"/>
      <c r="E64" s="85" t="n"/>
      <c r="F64" s="85" t="n"/>
      <c r="G64" s="85" t="n"/>
      <c r="H64" s="85" t="n"/>
      <c r="I64" s="86" t="n"/>
      <c r="J64" s="224" t="n"/>
      <c r="K64" s="110" t="n"/>
      <c r="L64" s="34" t="n"/>
      <c r="M64" s="159" t="n"/>
      <c r="N64" s="159" t="n"/>
      <c r="O64" s="159" t="n"/>
      <c r="P64" s="159" t="n"/>
      <c r="Q64" s="159" t="n"/>
      <c r="R64" s="159" t="n"/>
      <c r="S64" s="159" t="n"/>
      <c r="T64" s="159" t="n"/>
      <c r="U64" s="159" t="n"/>
      <c r="V64" s="159" t="n"/>
      <c r="W64" s="159" t="n"/>
      <c r="X64" s="159" t="n"/>
      <c r="Y64" s="159" t="n"/>
      <c r="Z64" s="159" t="n"/>
      <c r="AA64" s="159" t="n"/>
      <c r="AB64" s="159" t="n"/>
      <c r="AC64" s="159" t="n"/>
      <c r="AD64" s="159" t="n"/>
      <c r="AE64" s="159" t="n"/>
      <c r="AF64" s="159" t="n"/>
      <c r="AG64" s="159" t="n"/>
      <c r="AH64" s="53" t="n"/>
      <c r="AI64" s="345" t="n"/>
      <c r="AJ64" s="53" t="n"/>
      <c r="AK64" s="87" t="n"/>
      <c r="AL64" s="87" t="n"/>
      <c r="AM64" s="87" t="n"/>
      <c r="AN64" s="87" t="n"/>
      <c r="AO64" s="87" t="n"/>
      <c r="AP64" s="87" t="n"/>
      <c r="AQ64" s="87" t="n"/>
      <c r="AR64" s="87" t="n"/>
      <c r="AS64" s="87" t="n"/>
      <c r="AT64" s="87" t="n"/>
      <c r="AU64" s="87" t="n"/>
      <c r="AV64" s="87" t="n"/>
      <c r="AW64" s="87" t="n"/>
      <c r="AX64" s="87" t="n"/>
      <c r="AY64" s="87" t="n"/>
      <c r="AZ64" s="87" t="n"/>
      <c r="BA64" s="87" t="n"/>
      <c r="BB64" s="87" t="n"/>
      <c r="BC64" s="87" t="n"/>
      <c r="BD64" s="87" t="n"/>
      <c r="BE64" s="87" t="n"/>
      <c r="BF64" s="87" t="n"/>
      <c r="BG64" s="443" t="n"/>
      <c r="BH64" s="87" t="n"/>
      <c r="BI64" s="87" t="n"/>
      <c r="BJ64" s="87" t="n"/>
      <c r="BK64" s="87" t="n"/>
      <c r="BL64" s="87" t="n"/>
      <c r="BM64" s="87" t="n"/>
      <c r="BN64" s="87" t="n"/>
      <c r="BO64" s="87" t="n"/>
      <c r="BP64" s="87" t="n"/>
      <c r="BQ64" s="87" t="n"/>
      <c r="BR64" s="87" t="n"/>
      <c r="BS64" s="87" t="n"/>
      <c r="BT64" s="87" t="n"/>
      <c r="BU64" s="87" t="n"/>
      <c r="BV64" s="87" t="n"/>
      <c r="BW64" s="87" t="n"/>
      <c r="BX64" s="87" t="n"/>
      <c r="BY64" s="87" t="n"/>
      <c r="BZ64" s="87" t="n"/>
      <c r="CA64" s="87" t="n"/>
      <c r="CB64" s="87" t="n"/>
      <c r="CC64" s="87" t="n"/>
      <c r="CD64" s="87" t="n"/>
      <c r="CE64" s="87" t="n"/>
      <c r="CF64" s="87" t="n"/>
      <c r="CG64" s="87" t="n"/>
      <c r="CH64" s="87" t="n"/>
      <c r="CI64" s="87" t="n"/>
      <c r="CJ64" s="87" t="n"/>
      <c r="CK64" s="87" t="n"/>
      <c r="CL64" s="87" t="n"/>
      <c r="CM64" s="87" t="n"/>
      <c r="CN64" s="87" t="n"/>
      <c r="CO64" s="87" t="n"/>
      <c r="CP64" s="87" t="n"/>
      <c r="CQ64" s="87" t="n"/>
      <c r="CR64" s="87" t="n"/>
      <c r="CS64" s="87" t="n"/>
      <c r="CT64" s="87" t="n"/>
      <c r="CU64" s="87" t="n"/>
      <c r="CV64" s="87" t="n"/>
      <c r="CW64" s="87" t="n"/>
      <c r="CX64" s="87" t="n"/>
      <c r="CY64" s="87" t="n"/>
      <c r="CZ64" s="87" t="n"/>
      <c r="DA64" s="87" t="n"/>
      <c r="DB64" s="87" t="n"/>
      <c r="DC64" s="87" t="n"/>
      <c r="DD64" s="87" t="n"/>
      <c r="DE64" s="87" t="n"/>
      <c r="DF64" s="87" t="n"/>
      <c r="DG64" s="87" t="n"/>
      <c r="DH64" s="87" t="n"/>
      <c r="DI64" s="87" t="n"/>
      <c r="DJ64" s="87" t="n"/>
      <c r="DK64" s="87" t="n"/>
      <c r="DL64" s="87" t="n"/>
      <c r="DM64" s="87" t="n"/>
      <c r="DN64" s="87" t="n"/>
      <c r="DO64" s="87" t="n"/>
      <c r="DP64" s="87" t="n"/>
      <c r="DQ64" s="87" t="n"/>
      <c r="DR64" s="87" t="n"/>
      <c r="DS64" s="87" t="n"/>
      <c r="DT64" s="87" t="n"/>
      <c r="DU64" s="87" t="n"/>
      <c r="DV64" s="87" t="n"/>
      <c r="DW64" s="87" t="n"/>
      <c r="DX64" s="87" t="n"/>
      <c r="DY64" s="87" t="n"/>
      <c r="DZ64" s="87" t="n"/>
      <c r="EA64" s="87" t="n"/>
      <c r="EB64" s="87" t="n"/>
      <c r="EC64" s="87" t="n"/>
      <c r="ED64" s="87" t="n"/>
      <c r="EE64" s="87" t="n"/>
      <c r="EF64" s="87" t="n"/>
      <c r="EG64" s="87" t="n"/>
      <c r="EH64" s="87" t="n"/>
      <c r="EI64" s="87" t="n"/>
      <c r="EJ64" s="87" t="n"/>
      <c r="EK64" s="87" t="n"/>
      <c r="EL64" s="87" t="n"/>
      <c r="EM64" s="87" t="n"/>
      <c r="EN64" s="87" t="n"/>
      <c r="EO64" s="87" t="n"/>
      <c r="EP64" s="87" t="n"/>
      <c r="EQ64" s="87" t="n"/>
      <c r="ER64" s="87" t="n"/>
      <c r="ES64" s="87" t="n"/>
      <c r="ET64" s="87" t="n"/>
      <c r="EU64" s="87" t="n"/>
      <c r="EV64" s="87" t="n"/>
      <c r="EW64" s="87" t="n"/>
      <c r="EX64" s="87" t="n"/>
      <c r="EY64" s="87" t="n"/>
      <c r="EZ64" s="87" t="n"/>
      <c r="FA64" s="87" t="n"/>
      <c r="FB64" s="87" t="n"/>
      <c r="FC64" s="87" t="n"/>
      <c r="FD64" s="87" t="n"/>
      <c r="FE64" s="87" t="n"/>
      <c r="FF64" s="87" t="n"/>
      <c r="FG64" s="87" t="n"/>
      <c r="FH64" s="87" t="n"/>
      <c r="FI64" s="87" t="n"/>
      <c r="FJ64" s="87" t="n"/>
      <c r="FK64" s="87" t="n"/>
      <c r="FL64" s="87" t="n"/>
      <c r="FM64" s="87" t="n"/>
      <c r="FN64" s="87" t="n"/>
      <c r="FO64" s="87" t="n"/>
      <c r="FP64" s="87" t="n"/>
      <c r="FQ64" s="87" t="n"/>
      <c r="FR64" s="87" t="n"/>
      <c r="FS64" s="87" t="n"/>
      <c r="FT64" s="87" t="n"/>
      <c r="FU64" s="87" t="n"/>
      <c r="FV64" s="87" t="n"/>
      <c r="FW64" s="87" t="n"/>
      <c r="FX64" s="87" t="n"/>
      <c r="FY64" s="87" t="n"/>
      <c r="FZ64" s="87" t="n"/>
      <c r="GA64" s="87" t="n"/>
      <c r="GB64" s="87" t="n"/>
      <c r="GC64" s="87" t="n"/>
      <c r="GD64" s="87" t="n"/>
      <c r="GE64" s="87" t="n"/>
      <c r="GF64" s="87" t="n"/>
      <c r="GG64" s="87" t="n"/>
      <c r="GH64" s="87" t="n"/>
      <c r="GI64" s="87" t="n"/>
      <c r="GJ64" s="87" t="n"/>
      <c r="GK64" s="87" t="n"/>
      <c r="GL64" s="87" t="n"/>
      <c r="GM64" s="87" t="n"/>
      <c r="GN64" s="87" t="n"/>
      <c r="GO64" s="87" t="n"/>
      <c r="GP64" s="87" t="n"/>
      <c r="GQ64" s="87" t="n"/>
      <c r="GR64" s="87" t="n"/>
      <c r="GS64" s="87" t="n"/>
      <c r="GT64" s="87" t="n"/>
      <c r="GU64" s="87" t="n"/>
      <c r="GV64" s="87" t="n"/>
      <c r="GW64" s="87" t="n"/>
      <c r="GX64" s="87" t="n"/>
      <c r="GY64" s="87" t="n"/>
      <c r="GZ64" s="87" t="n"/>
      <c r="HA64" s="87" t="n"/>
      <c r="HB64" s="87" t="n"/>
      <c r="HC64" s="87" t="n"/>
      <c r="HD64" s="87" t="n"/>
      <c r="HE64" s="87" t="n"/>
      <c r="HF64" s="87" t="n"/>
      <c r="HG64" s="87" t="n"/>
      <c r="HH64" s="87" t="n"/>
      <c r="HI64" s="87" t="n"/>
      <c r="HJ64" s="87" t="n"/>
      <c r="HK64" s="87" t="n"/>
      <c r="HL64" s="87" t="n"/>
      <c r="HM64" s="87" t="n"/>
      <c r="HN64" s="87" t="n"/>
      <c r="HO64" s="87" t="n"/>
      <c r="HP64" s="87" t="n"/>
      <c r="HQ64" s="87" t="n"/>
      <c r="HR64" s="87" t="n"/>
      <c r="HS64" s="87" t="n"/>
      <c r="HT64" s="87" t="n"/>
      <c r="HU64" s="87" t="n"/>
    </row>
    <row r="65" ht="12.75" customHeight="1">
      <c r="A65" s="23" t="inlineStr">
        <is>
          <t>Distribuição de Resultado</t>
        </is>
      </c>
      <c r="B65" s="136" t="n"/>
      <c r="C65" s="24" t="n"/>
      <c r="D65" s="33" t="n"/>
      <c r="E65" s="24" t="n"/>
      <c r="F65" s="24" t="n"/>
      <c r="G65" s="24" t="n"/>
      <c r="H65" s="24" t="n"/>
      <c r="I65" s="25" t="n"/>
      <c r="J65" s="209" t="n"/>
      <c r="K65" s="118" t="n"/>
      <c r="L65" s="122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53" t="n"/>
      <c r="AI65" s="345" t="n"/>
      <c r="AJ65" s="53" t="n"/>
      <c r="AK65" s="26" t="n"/>
      <c r="AL65" s="26" t="n"/>
      <c r="AM65" s="26" t="n"/>
      <c r="AN65" s="26" t="n"/>
      <c r="AO65" s="26" t="n"/>
      <c r="AP65" s="26" t="n"/>
      <c r="AQ65" s="26" t="n"/>
      <c r="AR65" s="26" t="n"/>
      <c r="AS65" s="26" t="n"/>
      <c r="AT65" s="26" t="n"/>
      <c r="AU65" s="26" t="n"/>
      <c r="AV65" s="26" t="n"/>
      <c r="AW65" s="26" t="n"/>
      <c r="AX65" s="26" t="n"/>
      <c r="AY65" s="26" t="n"/>
      <c r="AZ65" s="26" t="n"/>
      <c r="BA65" s="26" t="n"/>
      <c r="BB65" s="26" t="n"/>
      <c r="BC65" s="26" t="n"/>
      <c r="BD65" s="26" t="n"/>
      <c r="BE65" s="26" t="n"/>
      <c r="BF65" s="26" t="n"/>
      <c r="BG65" s="53" t="n"/>
      <c r="BH65" s="87" t="n"/>
      <c r="BI65" s="87" t="n"/>
      <c r="BJ65" s="87" t="n"/>
      <c r="BK65" s="26" t="n"/>
      <c r="BL65" s="26" t="n"/>
      <c r="BM65" s="87" t="n"/>
      <c r="BN65" s="87" t="n"/>
      <c r="BO65" s="26" t="n"/>
      <c r="BP65" s="26" t="n"/>
      <c r="BQ65" s="26" t="n"/>
      <c r="BR65" s="26" t="n"/>
      <c r="BS65" s="26" t="n"/>
      <c r="BT65" s="26" t="n"/>
      <c r="BU65" s="26" t="n"/>
      <c r="BV65" s="26" t="n"/>
      <c r="BW65" s="26" t="n"/>
      <c r="BX65" s="26" t="n"/>
      <c r="BY65" s="26" t="n"/>
      <c r="BZ65" s="26" t="n"/>
      <c r="CA65" s="26" t="n"/>
      <c r="CB65" s="26" t="n"/>
      <c r="CC65" s="26" t="n"/>
      <c r="CD65" s="26" t="n"/>
      <c r="CE65" s="26" t="n"/>
      <c r="CF65" s="26" t="n"/>
      <c r="CG65" s="26" t="n"/>
      <c r="CH65" s="26" t="n"/>
      <c r="CI65" s="26" t="n"/>
      <c r="CJ65" s="26" t="n"/>
      <c r="CK65" s="26" t="n"/>
      <c r="CL65" s="26" t="n"/>
      <c r="CM65" s="26" t="n"/>
      <c r="CN65" s="26" t="n"/>
      <c r="CO65" s="26" t="n"/>
      <c r="CP65" s="26" t="n"/>
      <c r="CQ65" s="26" t="n"/>
      <c r="CR65" s="26" t="n"/>
      <c r="CS65" s="26" t="n"/>
      <c r="CT65" s="26" t="n"/>
      <c r="CU65" s="26" t="n"/>
      <c r="CV65" s="26" t="n"/>
      <c r="CW65" s="26" t="n"/>
      <c r="CX65" s="26" t="n"/>
      <c r="CY65" s="26" t="n"/>
      <c r="CZ65" s="26" t="n"/>
      <c r="DA65" s="26" t="n"/>
      <c r="DB65" s="26" t="n"/>
      <c r="DC65" s="26" t="n"/>
      <c r="DD65" s="26" t="n"/>
      <c r="DE65" s="26" t="n"/>
      <c r="DF65" s="26" t="n"/>
      <c r="DG65" s="26" t="n"/>
      <c r="DH65" s="26" t="n"/>
      <c r="DI65" s="26" t="n"/>
      <c r="DJ65" s="26" t="n"/>
      <c r="DK65" s="26" t="n"/>
      <c r="DL65" s="26" t="n"/>
      <c r="DM65" s="26" t="n"/>
      <c r="DN65" s="26" t="n"/>
      <c r="DO65" s="26" t="n"/>
      <c r="DP65" s="26" t="n"/>
      <c r="DQ65" s="26" t="n"/>
      <c r="DR65" s="26" t="n"/>
      <c r="DS65" s="26" t="n"/>
      <c r="DT65" s="26" t="n"/>
      <c r="DU65" s="26" t="n"/>
      <c r="DV65" s="26" t="n"/>
      <c r="DW65" s="26" t="n"/>
      <c r="DX65" s="26" t="n"/>
      <c r="DY65" s="26" t="n"/>
      <c r="DZ65" s="26" t="n"/>
      <c r="EA65" s="26" t="n"/>
      <c r="EB65" s="26" t="n"/>
      <c r="EC65" s="26" t="n"/>
      <c r="ED65" s="26" t="n"/>
      <c r="EE65" s="26" t="n"/>
      <c r="EF65" s="26" t="n"/>
      <c r="EG65" s="26" t="n"/>
      <c r="EH65" s="26" t="n"/>
      <c r="EI65" s="26" t="n"/>
      <c r="EJ65" s="26" t="n"/>
      <c r="EK65" s="26" t="n"/>
      <c r="EL65" s="26" t="n"/>
      <c r="EM65" s="26" t="n"/>
      <c r="EN65" s="26" t="n"/>
      <c r="EO65" s="26" t="n"/>
      <c r="EP65" s="26" t="n"/>
      <c r="EQ65" s="26" t="n"/>
      <c r="ER65" s="26" t="n"/>
      <c r="ES65" s="26" t="n"/>
      <c r="ET65" s="26" t="n"/>
      <c r="EU65" s="26" t="n"/>
      <c r="EV65" s="26" t="n"/>
      <c r="EW65" s="26" t="n"/>
      <c r="EX65" s="26" t="n"/>
      <c r="EY65" s="26" t="n"/>
      <c r="EZ65" s="26" t="n"/>
      <c r="FA65" s="26" t="n"/>
      <c r="FB65" s="26" t="n"/>
      <c r="FC65" s="26" t="n"/>
      <c r="FD65" s="26" t="n"/>
      <c r="FE65" s="26" t="n"/>
      <c r="FF65" s="26" t="n"/>
      <c r="FG65" s="26" t="n"/>
      <c r="FH65" s="26" t="n"/>
      <c r="FI65" s="26" t="n"/>
      <c r="FJ65" s="26" t="n"/>
      <c r="FK65" s="26" t="n"/>
      <c r="FL65" s="26" t="n"/>
      <c r="FM65" s="26" t="n"/>
      <c r="FN65" s="26" t="n"/>
      <c r="FO65" s="26" t="n"/>
      <c r="FP65" s="26" t="n"/>
      <c r="FQ65" s="26" t="n"/>
      <c r="FR65" s="26" t="n"/>
      <c r="FS65" s="26" t="n"/>
      <c r="FT65" s="26" t="n"/>
      <c r="FU65" s="26" t="n"/>
      <c r="FV65" s="26" t="n"/>
      <c r="FW65" s="26" t="n"/>
      <c r="FX65" s="26" t="n"/>
      <c r="FY65" s="26" t="n"/>
      <c r="FZ65" s="26" t="n"/>
      <c r="GA65" s="26" t="n"/>
      <c r="GB65" s="26" t="n"/>
      <c r="GC65" s="26" t="n"/>
      <c r="GD65" s="26" t="n"/>
      <c r="GE65" s="26" t="n"/>
      <c r="GF65" s="26" t="n"/>
      <c r="GG65" s="26" t="n"/>
      <c r="GH65" s="26" t="n"/>
      <c r="GI65" s="26" t="n"/>
      <c r="GJ65" s="26" t="n"/>
      <c r="GK65" s="26" t="n"/>
      <c r="GL65" s="26" t="n"/>
      <c r="GM65" s="26" t="n"/>
      <c r="GN65" s="26" t="n"/>
      <c r="GO65" s="26" t="n"/>
      <c r="GP65" s="26" t="n"/>
      <c r="GQ65" s="26" t="n"/>
      <c r="GR65" s="26" t="n"/>
      <c r="GS65" s="26" t="n"/>
      <c r="GT65" s="26" t="n"/>
      <c r="GU65" s="26" t="n"/>
      <c r="GV65" s="26" t="n"/>
      <c r="GW65" s="26" t="n"/>
      <c r="GX65" s="26" t="n"/>
      <c r="GY65" s="26" t="n"/>
      <c r="GZ65" s="26" t="n"/>
      <c r="HA65" s="26" t="n"/>
      <c r="HB65" s="26" t="n"/>
      <c r="HC65" s="26" t="n"/>
      <c r="HD65" s="26" t="n"/>
      <c r="HE65" s="26" t="n"/>
      <c r="HF65" s="26" t="n"/>
      <c r="HG65" s="26" t="n"/>
      <c r="HH65" s="26" t="n"/>
      <c r="HI65" s="26" t="n"/>
      <c r="HJ65" s="26" t="n"/>
      <c r="HK65" s="26" t="n"/>
      <c r="HL65" s="26" t="n"/>
      <c r="HM65" s="26" t="n"/>
      <c r="HN65" s="26" t="n"/>
      <c r="HO65" s="26" t="n"/>
      <c r="HP65" s="26" t="n"/>
      <c r="HQ65" s="26" t="n"/>
      <c r="HR65" s="26" t="n"/>
      <c r="HS65" s="26" t="n"/>
      <c r="HT65" s="26" t="n"/>
      <c r="HU65" s="26" t="n"/>
    </row>
    <row r="66" ht="16.2" customHeight="1">
      <c r="A66" s="12" t="inlineStr">
        <is>
          <t>Subtotal</t>
        </is>
      </c>
      <c r="B66" s="136" t="n"/>
      <c r="C66" s="30" t="n"/>
      <c r="D66" s="30" t="n"/>
      <c r="E66" s="30" t="n"/>
      <c r="F66" s="30" t="n"/>
      <c r="G66" s="30" t="n"/>
      <c r="H66" s="30" t="n"/>
      <c r="I66" s="31" t="n"/>
      <c r="J66" s="187" t="n"/>
      <c r="K66" s="31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13" t="n"/>
      <c r="AI66" s="188" t="n"/>
      <c r="AJ66" s="13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445" t="n"/>
      <c r="BI66" s="445" t="n"/>
      <c r="BJ66" s="445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  <c r="CZ66" s="32" t="n"/>
      <c r="DA66" s="32" t="n"/>
      <c r="DB66" s="32" t="n"/>
      <c r="DC66" s="32" t="n"/>
      <c r="DD66" s="32" t="n"/>
      <c r="DE66" s="32" t="n"/>
      <c r="DF66" s="32" t="n"/>
      <c r="DG66" s="32" t="n"/>
      <c r="DH66" s="32" t="n"/>
      <c r="DI66" s="32" t="n"/>
      <c r="DJ66" s="32" t="n"/>
      <c r="DK66" s="32" t="n"/>
      <c r="DL66" s="32" t="n"/>
      <c r="DM66" s="32" t="n"/>
      <c r="DN66" s="32" t="n"/>
      <c r="DO66" s="32" t="n"/>
      <c r="DP66" s="32" t="n"/>
      <c r="DQ66" s="32" t="n"/>
      <c r="DR66" s="32" t="n"/>
      <c r="DS66" s="32" t="n"/>
      <c r="DT66" s="32" t="n"/>
      <c r="DU66" s="32" t="n"/>
      <c r="DV66" s="32" t="n"/>
      <c r="DW66" s="32" t="n"/>
      <c r="DX66" s="32" t="n"/>
      <c r="DY66" s="32" t="n"/>
      <c r="DZ66" s="32" t="n"/>
      <c r="EA66" s="32" t="n"/>
      <c r="EB66" s="32" t="n"/>
      <c r="EC66" s="32" t="n"/>
      <c r="ED66" s="32" t="n"/>
      <c r="EE66" s="32" t="n"/>
      <c r="EF66" s="32" t="n"/>
      <c r="EG66" s="32" t="n"/>
      <c r="EH66" s="32" t="n"/>
      <c r="EI66" s="32" t="n"/>
      <c r="EJ66" s="32" t="n"/>
      <c r="EK66" s="32" t="n"/>
      <c r="EL66" s="32" t="n"/>
      <c r="EM66" s="32" t="n"/>
      <c r="EN66" s="32" t="n"/>
      <c r="EO66" s="32" t="n"/>
      <c r="EP66" s="32" t="n"/>
      <c r="EQ66" s="32" t="n"/>
      <c r="ER66" s="32" t="n"/>
      <c r="ES66" s="32" t="n"/>
      <c r="ET66" s="32" t="n"/>
      <c r="EU66" s="32" t="n"/>
      <c r="EV66" s="32" t="n"/>
      <c r="EW66" s="32" t="n"/>
      <c r="EX66" s="32" t="n"/>
      <c r="EY66" s="32" t="n"/>
      <c r="EZ66" s="32" t="n"/>
      <c r="FA66" s="32" t="n"/>
      <c r="FB66" s="32" t="n"/>
      <c r="FC66" s="32" t="n"/>
      <c r="FD66" s="32" t="n"/>
      <c r="FE66" s="32" t="n"/>
      <c r="FF66" s="32" t="n"/>
      <c r="FG66" s="32" t="n"/>
      <c r="FH66" s="32" t="n"/>
      <c r="FI66" s="32" t="n"/>
      <c r="FJ66" s="32" t="n"/>
      <c r="FK66" s="32" t="n"/>
      <c r="FL66" s="32" t="n"/>
      <c r="FM66" s="32" t="n"/>
      <c r="FN66" s="32" t="n"/>
      <c r="FO66" s="32" t="n"/>
      <c r="FP66" s="32" t="n"/>
      <c r="FQ66" s="32" t="n"/>
      <c r="FR66" s="32" t="n"/>
      <c r="FS66" s="32" t="n"/>
      <c r="FT66" s="32" t="n"/>
      <c r="FU66" s="32" t="n"/>
      <c r="FV66" s="32" t="n"/>
      <c r="FW66" s="32" t="n"/>
      <c r="FX66" s="32" t="n"/>
      <c r="FY66" s="32" t="n"/>
      <c r="FZ66" s="32" t="n"/>
      <c r="GA66" s="32" t="n"/>
      <c r="GB66" s="32" t="n"/>
      <c r="GC66" s="32" t="n"/>
      <c r="GD66" s="32" t="n"/>
      <c r="GE66" s="32" t="n"/>
      <c r="GF66" s="32" t="n"/>
      <c r="GG66" s="32" t="n"/>
      <c r="GH66" s="32" t="n"/>
      <c r="GI66" s="32" t="n"/>
      <c r="GJ66" s="32" t="n"/>
      <c r="GK66" s="32" t="n"/>
      <c r="GL66" s="32" t="n"/>
      <c r="GM66" s="32" t="n"/>
      <c r="GN66" s="32" t="n"/>
      <c r="GO66" s="32" t="n"/>
      <c r="GP66" s="32" t="n"/>
      <c r="GQ66" s="32" t="n"/>
      <c r="GR66" s="32" t="n"/>
      <c r="GS66" s="32" t="n"/>
      <c r="GT66" s="32" t="n"/>
      <c r="GU66" s="32" t="n"/>
      <c r="GV66" s="32" t="n"/>
      <c r="GW66" s="32" t="n"/>
      <c r="GX66" s="32" t="n"/>
      <c r="GY66" s="32" t="n"/>
      <c r="GZ66" s="32" t="n"/>
      <c r="HA66" s="32" t="n"/>
      <c r="HB66" s="32" t="n"/>
      <c r="HC66" s="32" t="n"/>
      <c r="HD66" s="32" t="n"/>
      <c r="HE66" s="32" t="n"/>
      <c r="HF66" s="32" t="n"/>
      <c r="HG66" s="32" t="n"/>
      <c r="HH66" s="32" t="n"/>
      <c r="HI66" s="32" t="n"/>
      <c r="HJ66" s="32" t="n"/>
      <c r="HK66" s="32" t="n"/>
      <c r="HL66" s="32" t="n"/>
      <c r="HM66" s="32" t="n"/>
      <c r="HN66" s="32" t="n"/>
      <c r="HO66" s="32" t="n"/>
      <c r="HP66" s="32" t="n"/>
      <c r="HQ66" s="32" t="n"/>
      <c r="HR66" s="32" t="n"/>
      <c r="HS66" s="32" t="n"/>
      <c r="HT66" s="32" t="n"/>
      <c r="HU66" s="32" t="n"/>
    </row>
    <row r="67" ht="16.2" customHeight="1">
      <c r="A67" s="28" t="n"/>
      <c r="B67" s="146" t="n"/>
      <c r="C67" s="512" t="n"/>
      <c r="D67" s="512" t="n"/>
      <c r="E67" s="512" t="n"/>
      <c r="F67" s="512" t="n"/>
      <c r="G67" s="512" t="n"/>
      <c r="H67" s="512" t="n"/>
      <c r="I67" s="512" t="n"/>
      <c r="J67" s="513" t="n"/>
      <c r="K67" s="512" t="n"/>
      <c r="L67" s="512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514" t="n"/>
      <c r="AA67" s="514" t="n"/>
      <c r="AB67" s="514" t="n"/>
      <c r="AC67" s="514" t="n"/>
      <c r="AD67" s="514" t="n"/>
      <c r="AE67" s="514" t="n"/>
      <c r="AF67" s="514" t="n"/>
      <c r="AG67" s="514" t="n"/>
      <c r="AH67" s="512" t="n"/>
      <c r="AI67" s="533" t="n"/>
      <c r="AJ67" s="512" t="n"/>
      <c r="AK67" s="512" t="n"/>
      <c r="AL67" s="512" t="n"/>
      <c r="AM67" s="512" t="n"/>
      <c r="AN67" s="512" t="n"/>
      <c r="AO67" s="512" t="n"/>
      <c r="AP67" s="512" t="n"/>
      <c r="AQ67" s="512" t="n"/>
      <c r="AR67" s="512" t="n"/>
      <c r="AS67" s="512" t="n"/>
      <c r="AT67" s="512" t="n"/>
      <c r="AU67" s="512" t="n"/>
      <c r="AV67" s="512" t="n"/>
      <c r="AW67" s="512" t="n"/>
      <c r="AX67" s="512" t="n"/>
      <c r="AY67" s="512" t="n"/>
      <c r="AZ67" s="512" t="n"/>
      <c r="BA67" s="512" t="n"/>
      <c r="BB67" s="512" t="n"/>
      <c r="BC67" s="512" t="n"/>
      <c r="BD67" s="515" t="n"/>
      <c r="BE67" s="512" t="n"/>
      <c r="BF67" s="512" t="n"/>
      <c r="BG67" s="512" t="n"/>
      <c r="BH67" s="512" t="n"/>
      <c r="BI67" s="512" t="n"/>
      <c r="BJ67" s="512" t="n"/>
      <c r="BK67" s="512" t="n"/>
      <c r="BL67" s="512" t="n"/>
      <c r="BM67" s="512" t="n"/>
      <c r="BN67" s="512" t="n"/>
      <c r="BO67" s="512" t="n"/>
      <c r="BP67" s="515" t="n"/>
      <c r="BQ67" s="512" t="n"/>
      <c r="BR67" s="512" t="n"/>
      <c r="BS67" s="512" t="n"/>
      <c r="BT67" s="512" t="n"/>
      <c r="BU67" s="512" t="n"/>
      <c r="BV67" s="512" t="n"/>
      <c r="BW67" s="512" t="n"/>
      <c r="BX67" s="512" t="n"/>
      <c r="BY67" s="512" t="n"/>
      <c r="BZ67" s="512" t="n"/>
      <c r="CA67" s="512" t="n"/>
      <c r="CB67" s="515" t="n"/>
      <c r="CC67" s="512" t="n"/>
      <c r="CD67" s="512" t="n"/>
      <c r="CE67" s="512" t="n"/>
      <c r="CF67" s="512" t="n"/>
      <c r="CG67" s="512" t="n"/>
      <c r="CH67" s="512" t="n"/>
      <c r="CI67" s="512" t="n"/>
      <c r="CJ67" s="512" t="n"/>
      <c r="CK67" s="512" t="n"/>
      <c r="CL67" s="512" t="n"/>
      <c r="CM67" s="512" t="n"/>
      <c r="CN67" s="515" t="n"/>
      <c r="CO67" s="512" t="n"/>
      <c r="CP67" s="512" t="n"/>
      <c r="CQ67" s="512" t="n"/>
      <c r="CR67" s="512" t="n"/>
      <c r="CS67" s="512" t="n"/>
      <c r="CT67" s="512" t="n"/>
      <c r="CU67" s="512" t="n"/>
      <c r="CV67" s="512" t="n"/>
      <c r="CW67" s="512" t="n"/>
      <c r="CX67" s="512" t="n"/>
      <c r="CY67" s="512" t="n"/>
      <c r="CZ67" s="515" t="n"/>
      <c r="DA67" s="512" t="n"/>
      <c r="DB67" s="512" t="n"/>
      <c r="DC67" s="512" t="n"/>
      <c r="DD67" s="512" t="n"/>
      <c r="DE67" s="512" t="n"/>
      <c r="DF67" s="512" t="n"/>
      <c r="DG67" s="512" t="n"/>
      <c r="DH67" s="512" t="n"/>
      <c r="DI67" s="512" t="n"/>
      <c r="DJ67" s="512" t="n"/>
      <c r="DK67" s="512" t="n"/>
      <c r="DL67" s="512" t="n"/>
      <c r="DM67" s="512" t="n"/>
      <c r="DN67" s="512" t="n"/>
      <c r="DO67" s="512" t="n"/>
      <c r="DP67" s="512" t="n"/>
      <c r="DQ67" s="512" t="n"/>
      <c r="DR67" s="512" t="n"/>
      <c r="DS67" s="512" t="n"/>
      <c r="DT67" s="512" t="n"/>
      <c r="DU67" s="512" t="n"/>
      <c r="DV67" s="512" t="n"/>
      <c r="DW67" s="512" t="n"/>
      <c r="DX67" s="512" t="n"/>
      <c r="DY67" s="512" t="n"/>
      <c r="DZ67" s="512" t="n"/>
      <c r="EA67" s="512" t="n"/>
      <c r="EB67" s="512" t="n"/>
      <c r="EC67" s="512" t="n"/>
      <c r="ED67" s="512" t="n"/>
      <c r="EE67" s="512" t="n"/>
      <c r="EF67" s="512" t="n"/>
      <c r="EG67" s="512" t="n"/>
      <c r="EH67" s="512" t="n"/>
      <c r="EI67" s="512" t="n"/>
      <c r="EJ67" s="512" t="n"/>
      <c r="EK67" s="512" t="n"/>
      <c r="EL67" s="512" t="n"/>
      <c r="EM67" s="512" t="n"/>
      <c r="EN67" s="512" t="n"/>
      <c r="EO67" s="512" t="n"/>
      <c r="EP67" s="512" t="n"/>
      <c r="EQ67" s="512" t="n"/>
      <c r="ER67" s="512" t="n"/>
      <c r="ES67" s="512" t="n"/>
      <c r="ET67" s="512" t="n"/>
      <c r="EU67" s="512" t="n"/>
      <c r="EV67" s="512" t="n"/>
      <c r="EW67" s="512" t="n"/>
      <c r="EX67" s="512" t="n"/>
      <c r="EY67" s="512" t="n"/>
      <c r="EZ67" s="512" t="n"/>
      <c r="FA67" s="512" t="n"/>
      <c r="FB67" s="512" t="n"/>
      <c r="FC67" s="512" t="n"/>
      <c r="FD67" s="512" t="n"/>
      <c r="FE67" s="512" t="n"/>
      <c r="FF67" s="512" t="n"/>
      <c r="FG67" s="512" t="n"/>
      <c r="FH67" s="512" t="n"/>
      <c r="FI67" s="512" t="n"/>
      <c r="FJ67" s="512" t="n"/>
      <c r="FK67" s="512" t="n"/>
      <c r="FL67" s="512" t="n"/>
      <c r="FM67" s="512" t="n"/>
      <c r="FN67" s="512" t="n"/>
      <c r="FO67" s="512" t="n"/>
      <c r="FP67" s="512" t="n"/>
      <c r="FQ67" s="512" t="n"/>
      <c r="FR67" s="512" t="n"/>
      <c r="FS67" s="512" t="n"/>
      <c r="FT67" s="512" t="n"/>
      <c r="FU67" s="512" t="n"/>
      <c r="FV67" s="512" t="n"/>
      <c r="FW67" s="512" t="n"/>
      <c r="FX67" s="512" t="n"/>
      <c r="FY67" s="512" t="n"/>
      <c r="FZ67" s="512" t="n"/>
      <c r="GA67" s="512" t="n"/>
      <c r="GB67" s="512" t="n"/>
      <c r="GC67" s="512" t="n"/>
      <c r="GD67" s="512" t="n"/>
      <c r="GE67" s="512" t="n"/>
      <c r="GF67" s="512" t="n"/>
      <c r="GG67" s="512" t="n"/>
      <c r="GH67" s="512" t="n"/>
      <c r="GI67" s="512" t="n"/>
      <c r="GJ67" s="512" t="n"/>
      <c r="GK67" s="512" t="n"/>
      <c r="GL67" s="512" t="n"/>
      <c r="GM67" s="512" t="n"/>
      <c r="GN67" s="512" t="n"/>
      <c r="GO67" s="512" t="n"/>
      <c r="GP67" s="512" t="n"/>
      <c r="GQ67" s="512" t="n"/>
      <c r="GR67" s="512" t="n"/>
      <c r="GS67" s="512" t="n"/>
      <c r="GT67" s="512" t="n"/>
      <c r="GU67" s="512" t="n"/>
      <c r="GV67" s="512" t="n"/>
      <c r="GW67" s="512" t="n"/>
      <c r="GX67" s="512" t="n"/>
      <c r="GY67" s="512" t="n"/>
      <c r="GZ67" s="512" t="n"/>
      <c r="HA67" s="512" t="n"/>
      <c r="HB67" s="512" t="n"/>
      <c r="HC67" s="512" t="n"/>
      <c r="HD67" s="512" t="n"/>
      <c r="HE67" s="512" t="n"/>
      <c r="HF67" s="512" t="n"/>
      <c r="HG67" s="512" t="n"/>
      <c r="HH67" s="512" t="n"/>
      <c r="HI67" s="512" t="n"/>
      <c r="HJ67" s="512" t="n"/>
      <c r="HK67" s="512" t="n"/>
      <c r="HL67" s="512" t="n"/>
      <c r="HM67" s="512" t="n"/>
      <c r="HN67" s="512" t="n"/>
      <c r="HO67" s="512" t="n"/>
      <c r="HP67" s="512" t="n"/>
      <c r="HQ67" s="512" t="n"/>
      <c r="HR67" s="512" t="n"/>
      <c r="HS67" s="512" t="n"/>
      <c r="HT67" s="512" t="n"/>
      <c r="HU67" s="512" t="n"/>
    </row>
    <row r="68" ht="16.2" customHeight="1">
      <c r="A68" s="101" t="inlineStr">
        <is>
          <t>DESPESAS OP+TERRENO+IMP+DISTR (-)</t>
        </is>
      </c>
      <c r="B68" s="136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  <c r="AB68" s="94" t="n"/>
      <c r="AC68" s="94" t="n"/>
      <c r="AD68" s="94" t="n"/>
      <c r="AE68" s="94" t="n"/>
      <c r="AF68" s="94" t="n"/>
      <c r="AG68" s="94" t="n"/>
      <c r="AH68" s="13" t="n"/>
      <c r="AI68" s="86" t="n"/>
      <c r="AJ68" s="13" t="n"/>
      <c r="AK68" s="94" t="n"/>
      <c r="AL68" s="94" t="n"/>
      <c r="AM68" s="94" t="n"/>
      <c r="AN68" s="94" t="n"/>
      <c r="AO68" s="94" t="n"/>
      <c r="AP68" s="94" t="n"/>
      <c r="AQ68" s="91" t="n"/>
      <c r="AR68" s="91" t="n"/>
      <c r="AS68" s="94" t="n"/>
      <c r="AT68" s="94" t="n"/>
      <c r="AU68" s="94" t="n"/>
      <c r="AV68" s="94" t="n"/>
      <c r="AW68" s="94" t="n"/>
      <c r="AX68" s="94" t="n"/>
      <c r="AY68" s="94" t="n"/>
      <c r="AZ68" s="94" t="n"/>
      <c r="BA68" s="94" t="n"/>
      <c r="BB68" s="94" t="n"/>
      <c r="BC68" s="94" t="n"/>
      <c r="BD68" s="94" t="n"/>
      <c r="BE68" s="94" t="n"/>
      <c r="BF68" s="94" t="n"/>
      <c r="BG68" s="94" t="n"/>
      <c r="BH68" s="94" t="n"/>
      <c r="BI68" s="94" t="n"/>
      <c r="BJ68" s="94" t="n"/>
      <c r="BK68" s="94" t="n"/>
      <c r="BL68" s="94" t="n"/>
      <c r="BM68" s="94" t="n"/>
      <c r="BN68" s="94" t="n"/>
      <c r="BO68" s="94" t="n"/>
      <c r="BP68" s="94" t="n"/>
      <c r="BQ68" s="94" t="n"/>
      <c r="BR68" s="94" t="n"/>
      <c r="BS68" s="94" t="n"/>
      <c r="BT68" s="94" t="n"/>
      <c r="BU68" s="94" t="n"/>
      <c r="BV68" s="94" t="n"/>
      <c r="BW68" s="94" t="n"/>
      <c r="BX68" s="94" t="n"/>
      <c r="BY68" s="94" t="n"/>
      <c r="BZ68" s="94" t="n"/>
      <c r="CA68" s="94" t="n"/>
      <c r="CB68" s="94" t="n"/>
      <c r="CC68" s="94" t="n"/>
      <c r="CD68" s="94" t="n"/>
      <c r="CE68" s="94" t="n"/>
      <c r="CF68" s="94" t="n"/>
      <c r="CG68" s="94" t="n"/>
      <c r="CH68" s="94" t="n"/>
      <c r="CI68" s="94" t="n"/>
      <c r="CJ68" s="94" t="n"/>
      <c r="CK68" s="94" t="n"/>
      <c r="CL68" s="94" t="n"/>
      <c r="CM68" s="94" t="n"/>
      <c r="CN68" s="94" t="n"/>
      <c r="CO68" s="94" t="n"/>
      <c r="CP68" s="94" t="n"/>
      <c r="CQ68" s="94" t="n"/>
      <c r="CR68" s="94" t="n"/>
      <c r="CS68" s="94" t="n"/>
      <c r="CT68" s="94" t="n"/>
      <c r="CU68" s="94" t="n"/>
      <c r="CV68" s="94" t="n"/>
      <c r="CW68" s="94" t="n"/>
      <c r="CX68" s="94" t="n"/>
      <c r="CY68" s="94" t="n"/>
      <c r="CZ68" s="94" t="n"/>
      <c r="DA68" s="94" t="n"/>
      <c r="DB68" s="94" t="n"/>
      <c r="DC68" s="94" t="n"/>
      <c r="DD68" s="94" t="n"/>
      <c r="DE68" s="94" t="n"/>
      <c r="DF68" s="94" t="n"/>
      <c r="DG68" s="94" t="n"/>
      <c r="DH68" s="94" t="n"/>
      <c r="DI68" s="94" t="n"/>
      <c r="DJ68" s="94" t="n"/>
      <c r="DK68" s="94" t="n"/>
      <c r="DL68" s="94" t="n"/>
      <c r="DM68" s="94" t="n"/>
      <c r="DN68" s="94" t="n"/>
      <c r="DO68" s="94" t="n"/>
      <c r="DP68" s="94" t="n"/>
      <c r="DQ68" s="94" t="n"/>
      <c r="DR68" s="94" t="n"/>
      <c r="DS68" s="94" t="n"/>
      <c r="DT68" s="94" t="n"/>
      <c r="DU68" s="94" t="n"/>
      <c r="DV68" s="94" t="n"/>
      <c r="DW68" s="94" t="n"/>
      <c r="DX68" s="94" t="n"/>
      <c r="DY68" s="94" t="n"/>
      <c r="DZ68" s="94" t="n"/>
      <c r="EA68" s="94" t="n"/>
      <c r="EB68" s="94" t="n"/>
      <c r="EC68" s="94" t="n"/>
      <c r="ED68" s="94" t="n"/>
      <c r="EE68" s="94" t="n"/>
      <c r="EF68" s="94" t="n"/>
      <c r="EG68" s="94" t="n"/>
      <c r="EH68" s="94" t="n"/>
      <c r="EI68" s="94" t="n"/>
      <c r="EJ68" s="94" t="n"/>
      <c r="EK68" s="94" t="n"/>
      <c r="EL68" s="94" t="n"/>
      <c r="EM68" s="94" t="n"/>
      <c r="EN68" s="94" t="n"/>
      <c r="EO68" s="94" t="n"/>
      <c r="EP68" s="94" t="n"/>
      <c r="EQ68" s="94" t="n"/>
      <c r="ER68" s="94" t="n"/>
      <c r="ES68" s="94" t="n"/>
      <c r="ET68" s="94" t="n"/>
      <c r="EU68" s="94" t="n"/>
      <c r="EV68" s="94" t="n"/>
      <c r="EW68" s="94" t="n"/>
      <c r="EX68" s="94" t="n"/>
      <c r="EY68" s="94" t="n"/>
      <c r="EZ68" s="94" t="n"/>
      <c r="FA68" s="94" t="n"/>
      <c r="FB68" s="94" t="n"/>
      <c r="FC68" s="94" t="n"/>
      <c r="FD68" s="94" t="n"/>
      <c r="FE68" s="94" t="n"/>
      <c r="FF68" s="94" t="n"/>
      <c r="FG68" s="94" t="n"/>
      <c r="FH68" s="94" t="n"/>
      <c r="FI68" s="94" t="n"/>
      <c r="FJ68" s="94" t="n"/>
      <c r="FK68" s="94" t="n"/>
      <c r="FL68" s="94" t="n"/>
      <c r="FM68" s="94" t="n"/>
      <c r="FN68" s="94" t="n"/>
      <c r="FO68" s="94" t="n"/>
      <c r="FP68" s="94" t="n"/>
      <c r="FQ68" s="94" t="n"/>
      <c r="FR68" s="94" t="n"/>
      <c r="FS68" s="94" t="n"/>
      <c r="FT68" s="94" t="n"/>
      <c r="FU68" s="94" t="n"/>
      <c r="FV68" s="94" t="n"/>
      <c r="FW68" s="94" t="n"/>
      <c r="FX68" s="94" t="n"/>
      <c r="FY68" s="94" t="n"/>
      <c r="FZ68" s="94" t="n"/>
      <c r="GA68" s="94" t="n"/>
      <c r="GB68" s="94" t="n"/>
      <c r="GC68" s="94" t="n"/>
      <c r="GD68" s="94" t="n"/>
      <c r="GE68" s="94" t="n"/>
      <c r="GF68" s="94" t="n"/>
      <c r="GG68" s="94" t="n"/>
      <c r="GH68" s="94" t="n"/>
      <c r="GI68" s="94" t="n"/>
      <c r="GJ68" s="94" t="n"/>
      <c r="GK68" s="94" t="n"/>
      <c r="GL68" s="94" t="n"/>
      <c r="GM68" s="94" t="n"/>
      <c r="GN68" s="94" t="n"/>
      <c r="GO68" s="94" t="n"/>
      <c r="GP68" s="94" t="n"/>
      <c r="GQ68" s="94" t="n"/>
      <c r="GR68" s="94" t="n"/>
      <c r="GS68" s="94" t="n"/>
      <c r="GT68" s="94" t="n"/>
      <c r="GU68" s="94" t="n"/>
      <c r="GV68" s="94" t="n"/>
      <c r="GW68" s="94" t="n"/>
      <c r="GX68" s="94" t="n"/>
      <c r="GY68" s="94" t="n"/>
      <c r="GZ68" s="94" t="n"/>
      <c r="HA68" s="94" t="n"/>
      <c r="HB68" s="94" t="n"/>
      <c r="HC68" s="94" t="n"/>
      <c r="HD68" s="94" t="n"/>
      <c r="HE68" s="94" t="n"/>
      <c r="HF68" s="94" t="n"/>
      <c r="HG68" s="94" t="n"/>
      <c r="HH68" s="94" t="n"/>
      <c r="HI68" s="94" t="n"/>
      <c r="HJ68" s="94" t="n"/>
      <c r="HK68" s="94" t="n"/>
      <c r="HL68" s="94" t="n"/>
      <c r="HM68" s="94" t="n"/>
      <c r="HN68" s="94" t="n"/>
      <c r="HO68" s="94" t="n"/>
      <c r="HP68" s="94" t="n"/>
      <c r="HQ68" s="94" t="n"/>
      <c r="HR68" s="94" t="n"/>
      <c r="HS68" s="94" t="n"/>
      <c r="HT68" s="94" t="n"/>
      <c r="HU68" s="94" t="n"/>
    </row>
    <row r="69" ht="16.2" customHeight="1" thickBot="1">
      <c r="A69" s="102" t="inlineStr">
        <is>
          <t>TOTAL ACUMULADO</t>
        </is>
      </c>
      <c r="B69" s="147" t="n"/>
      <c r="C69" s="35" t="n"/>
      <c r="D69" s="37" t="n"/>
      <c r="E69" s="35" t="n"/>
      <c r="F69" s="35" t="n"/>
      <c r="G69" s="35" t="n"/>
      <c r="H69" s="35" t="n"/>
      <c r="I69" s="36" t="n"/>
      <c r="J69" s="190" t="n"/>
      <c r="K69" s="36" t="n"/>
      <c r="L69" s="111" t="n"/>
      <c r="M69" s="226" t="n"/>
      <c r="N69" s="226" t="n"/>
      <c r="O69" s="226" t="n"/>
      <c r="P69" s="226" t="n"/>
      <c r="Q69" s="226" t="n"/>
      <c r="R69" s="226" t="n"/>
      <c r="S69" s="226" t="n"/>
      <c r="T69" s="226" t="n"/>
      <c r="U69" s="226" t="n"/>
      <c r="V69" s="226" t="n"/>
      <c r="W69" s="226" t="n"/>
      <c r="X69" s="226" t="n"/>
      <c r="Y69" s="226" t="n"/>
      <c r="Z69" s="226" t="n"/>
      <c r="AA69" s="226" t="n"/>
      <c r="AB69" s="226" t="n"/>
      <c r="AC69" s="226" t="n"/>
      <c r="AD69" s="226" t="n"/>
      <c r="AE69" s="226" t="n"/>
      <c r="AF69" s="226" t="n"/>
      <c r="AG69" s="226" t="n"/>
      <c r="AH69" s="201" t="n"/>
      <c r="AI69" s="247" t="n"/>
      <c r="AJ69" s="201" t="n"/>
      <c r="AK69" s="35" t="n"/>
      <c r="AL69" s="35" t="n"/>
      <c r="AM69" s="35" t="n"/>
      <c r="AN69" s="35" t="n"/>
      <c r="AO69" s="35" t="n"/>
      <c r="AP69" s="35" t="n"/>
      <c r="AQ69" s="36" t="n"/>
      <c r="AR69" s="36" t="n"/>
      <c r="AS69" s="35" t="n"/>
      <c r="AT69" s="35" t="n"/>
      <c r="AU69" s="35" t="n"/>
      <c r="AV69" s="35" t="n"/>
      <c r="AW69" s="35" t="n"/>
      <c r="AX69" s="35" t="n"/>
      <c r="AY69" s="35" t="n"/>
      <c r="AZ69" s="35" t="n"/>
      <c r="BA69" s="35" t="n"/>
      <c r="BB69" s="35" t="n"/>
      <c r="BC69" s="35" t="n"/>
      <c r="BD69" s="310" t="n"/>
      <c r="BE69" s="37" t="n"/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10" t="n"/>
      <c r="BQ69" s="37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10" t="n"/>
      <c r="CC69" s="37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10" t="n"/>
      <c r="CO69" s="37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  <c r="CZ69" s="310" t="n"/>
      <c r="DA69" s="37" t="n"/>
      <c r="DB69" s="35" t="n"/>
      <c r="DC69" s="35" t="n"/>
      <c r="DD69" s="35" t="n"/>
      <c r="DE69" s="35" t="n"/>
      <c r="DF69" s="35" t="n"/>
      <c r="DG69" s="35" t="n"/>
      <c r="DH69" s="35" t="n"/>
      <c r="DI69" s="35" t="n"/>
      <c r="DJ69" s="36" t="n"/>
      <c r="DK69" s="35" t="n"/>
      <c r="DL69" s="36" t="n"/>
      <c r="DM69" s="35" t="n"/>
      <c r="DN69" s="36" t="n"/>
      <c r="DO69" s="36" t="n"/>
      <c r="DP69" s="36" t="n"/>
      <c r="DQ69" s="36" t="n"/>
      <c r="DR69" s="36" t="n"/>
      <c r="DS69" s="36" t="n"/>
      <c r="DT69" s="36" t="n"/>
      <c r="DU69" s="36" t="n"/>
      <c r="DV69" s="36" t="n"/>
      <c r="DW69" s="36" t="n"/>
      <c r="DX69" s="36" t="n"/>
      <c r="DY69" s="36" t="n"/>
      <c r="DZ69" s="36" t="n"/>
      <c r="EA69" s="36" t="n"/>
      <c r="EB69" s="36" t="n"/>
      <c r="EC69" s="36" t="n"/>
      <c r="ED69" s="36" t="n"/>
      <c r="EE69" s="36" t="n"/>
      <c r="EF69" s="36" t="n"/>
      <c r="EG69" s="36" t="n"/>
      <c r="EH69" s="36" t="n"/>
      <c r="EI69" s="36" t="n"/>
      <c r="EJ69" s="36" t="n"/>
      <c r="EK69" s="36" t="n"/>
      <c r="EL69" s="36" t="n"/>
      <c r="EM69" s="36" t="n"/>
      <c r="EN69" s="36" t="n"/>
      <c r="EO69" s="36" t="n"/>
      <c r="EP69" s="36" t="n"/>
      <c r="EQ69" s="36" t="n"/>
      <c r="ER69" s="36" t="n"/>
      <c r="ES69" s="36" t="n"/>
      <c r="ET69" s="36" t="n"/>
      <c r="EU69" s="36" t="n"/>
      <c r="EV69" s="36" t="n"/>
      <c r="EW69" s="36" t="n"/>
      <c r="EX69" s="36" t="n"/>
      <c r="EY69" s="36" t="n"/>
      <c r="EZ69" s="36" t="n"/>
      <c r="FA69" s="36" t="n"/>
      <c r="FB69" s="36" t="n"/>
      <c r="FC69" s="36" t="n"/>
      <c r="FD69" s="36" t="n"/>
      <c r="FE69" s="36" t="n"/>
      <c r="FF69" s="36" t="n"/>
      <c r="FG69" s="36" t="n"/>
      <c r="FH69" s="36" t="n"/>
      <c r="FI69" s="36" t="n"/>
      <c r="FJ69" s="36" t="n"/>
      <c r="FK69" s="36" t="n"/>
      <c r="FL69" s="36" t="n"/>
      <c r="FM69" s="36" t="n"/>
      <c r="FN69" s="36" t="n"/>
      <c r="FO69" s="36" t="n"/>
      <c r="FP69" s="36" t="n"/>
      <c r="FQ69" s="36" t="n"/>
      <c r="FR69" s="36" t="n"/>
      <c r="FS69" s="36" t="n"/>
      <c r="FT69" s="36" t="n"/>
      <c r="FU69" s="36" t="n"/>
      <c r="FV69" s="36" t="n"/>
      <c r="FW69" s="36" t="n"/>
      <c r="FX69" s="36" t="n"/>
      <c r="FY69" s="36" t="n"/>
      <c r="FZ69" s="36" t="n"/>
      <c r="GA69" s="36" t="n"/>
      <c r="GB69" s="36" t="n"/>
      <c r="GC69" s="36" t="n"/>
      <c r="GD69" s="36" t="n"/>
      <c r="GE69" s="36" t="n"/>
      <c r="GF69" s="36" t="n"/>
      <c r="GG69" s="36" t="n"/>
      <c r="GH69" s="36" t="n"/>
      <c r="GI69" s="36" t="n"/>
      <c r="GJ69" s="36" t="n"/>
      <c r="GK69" s="36" t="n"/>
      <c r="GL69" s="36" t="n"/>
      <c r="GM69" s="36" t="n"/>
      <c r="GN69" s="36" t="n"/>
      <c r="GO69" s="36" t="n"/>
      <c r="GP69" s="36" t="n"/>
      <c r="GQ69" s="36" t="n"/>
      <c r="GR69" s="36" t="n"/>
      <c r="GS69" s="36" t="n"/>
      <c r="GT69" s="36" t="n"/>
      <c r="GU69" s="36" t="n"/>
      <c r="GV69" s="36" t="n"/>
      <c r="GW69" s="36" t="n"/>
      <c r="GX69" s="36" t="n"/>
      <c r="GY69" s="36" t="n"/>
      <c r="GZ69" s="36" t="n"/>
      <c r="HA69" s="36" t="n"/>
      <c r="HB69" s="36" t="n"/>
      <c r="HC69" s="36" t="n"/>
      <c r="HD69" s="36" t="n"/>
      <c r="HE69" s="36" t="n"/>
      <c r="HF69" s="36" t="n"/>
      <c r="HG69" s="36" t="n"/>
      <c r="HH69" s="36" t="n"/>
      <c r="HI69" s="36" t="n"/>
      <c r="HJ69" s="36" t="n"/>
      <c r="HK69" s="36" t="n"/>
      <c r="HL69" s="36" t="n"/>
      <c r="HM69" s="36" t="n"/>
      <c r="HN69" s="36" t="n"/>
      <c r="HO69" s="36" t="n"/>
      <c r="HP69" s="36" t="n"/>
      <c r="HQ69" s="36" t="n"/>
      <c r="HR69" s="36" t="n"/>
      <c r="HS69" s="36" t="n"/>
      <c r="HT69" s="36" t="n"/>
      <c r="HU69" s="36" t="n"/>
    </row>
    <row r="70" ht="6.6" customHeight="1" thickTop="1">
      <c r="A70" s="1" t="n"/>
      <c r="B70" s="128" t="n"/>
      <c r="C70" s="512" t="n"/>
      <c r="D70" s="512" t="n"/>
      <c r="E70" s="512" t="n"/>
      <c r="F70" s="512" t="n"/>
      <c r="G70" s="512" t="n"/>
      <c r="H70" s="512" t="n"/>
      <c r="I70" s="512" t="n"/>
      <c r="J70" s="513" t="n"/>
      <c r="K70" s="512" t="n"/>
      <c r="L70" s="512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514" t="n"/>
      <c r="AA70" s="514" t="n"/>
      <c r="AB70" s="514" t="n"/>
      <c r="AC70" s="514" t="n"/>
      <c r="AD70" s="514" t="n"/>
      <c r="AE70" s="514" t="n"/>
      <c r="AF70" s="514" t="n"/>
      <c r="AG70" s="514" t="n"/>
      <c r="AH70" s="512" t="n"/>
      <c r="AI70" s="533" t="n"/>
      <c r="AJ70" s="512" t="n"/>
      <c r="AK70" s="512" t="n"/>
      <c r="AL70" s="512" t="n"/>
      <c r="AM70" s="512" t="n"/>
      <c r="AN70" s="512" t="n"/>
      <c r="AO70" s="512" t="n"/>
      <c r="AP70" s="512" t="n"/>
      <c r="AQ70" s="512" t="n"/>
      <c r="AR70" s="512" t="n"/>
      <c r="AS70" s="512" t="n"/>
      <c r="AT70" s="512" t="n"/>
      <c r="AU70" s="512" t="n"/>
      <c r="AV70" s="512" t="n"/>
      <c r="AW70" s="512" t="n"/>
      <c r="AX70" s="512" t="n"/>
      <c r="AY70" s="512" t="n"/>
      <c r="AZ70" s="512" t="n"/>
      <c r="BA70" s="512" t="n"/>
      <c r="BB70" s="512" t="n"/>
      <c r="BC70" s="512" t="n"/>
      <c r="BD70" s="515" t="n"/>
      <c r="BE70" s="512" t="n"/>
      <c r="BF70" s="512" t="n"/>
      <c r="BG70" s="512" t="n"/>
      <c r="BH70" s="512" t="n"/>
      <c r="BI70" s="512" t="n"/>
      <c r="BJ70" s="512" t="n"/>
      <c r="BK70" s="512" t="n"/>
      <c r="BL70" s="512" t="n"/>
      <c r="BM70" s="512" t="n"/>
      <c r="BN70" s="512" t="n"/>
      <c r="BO70" s="512" t="n"/>
      <c r="BP70" s="515" t="n"/>
      <c r="BQ70" s="512" t="n"/>
      <c r="BR70" s="512" t="n"/>
      <c r="BS70" s="512" t="n"/>
      <c r="BT70" s="512" t="n"/>
      <c r="BU70" s="512" t="n"/>
      <c r="BV70" s="512" t="n"/>
      <c r="BW70" s="512" t="n"/>
      <c r="BX70" s="512" t="n"/>
      <c r="BY70" s="512" t="n"/>
      <c r="BZ70" s="512" t="n"/>
      <c r="CA70" s="512" t="n"/>
      <c r="CB70" s="515" t="n"/>
      <c r="CC70" s="512" t="n"/>
      <c r="CD70" s="512" t="n"/>
      <c r="CE70" s="512" t="n"/>
      <c r="CF70" s="512" t="n"/>
      <c r="CG70" s="512" t="n"/>
      <c r="CH70" s="512" t="n"/>
      <c r="CI70" s="512" t="n"/>
      <c r="CJ70" s="512" t="n"/>
      <c r="CK70" s="512" t="n"/>
      <c r="CL70" s="512" t="n"/>
      <c r="CM70" s="512" t="n"/>
      <c r="CN70" s="515" t="n"/>
      <c r="CO70" s="512" t="n"/>
      <c r="CP70" s="512" t="n"/>
      <c r="CQ70" s="512" t="n"/>
      <c r="CR70" s="512" t="n"/>
      <c r="CS70" s="512" t="n"/>
      <c r="CT70" s="512" t="n"/>
      <c r="CU70" s="512" t="n"/>
      <c r="CV70" s="512" t="n"/>
      <c r="CW70" s="512" t="n"/>
      <c r="CX70" s="512" t="n"/>
      <c r="CY70" s="512" t="n"/>
      <c r="CZ70" s="515" t="n"/>
      <c r="DA70" s="512" t="n"/>
      <c r="DB70" s="512" t="n"/>
      <c r="DC70" s="512" t="n"/>
      <c r="DD70" s="512" t="n"/>
      <c r="DE70" s="512" t="n"/>
      <c r="DF70" s="512" t="n"/>
      <c r="DG70" s="512" t="n"/>
      <c r="DH70" s="512" t="n"/>
      <c r="DI70" s="512" t="n"/>
      <c r="DJ70" s="512" t="n"/>
      <c r="DK70" s="512" t="n"/>
      <c r="DL70" s="512" t="n"/>
      <c r="DM70" s="512" t="n"/>
      <c r="DN70" s="512" t="n"/>
      <c r="DO70" s="512" t="n"/>
      <c r="DP70" s="512" t="n"/>
      <c r="DQ70" s="512" t="n"/>
      <c r="DR70" s="512" t="n"/>
      <c r="DS70" s="512" t="n"/>
      <c r="DT70" s="512" t="n"/>
      <c r="DU70" s="512" t="n"/>
      <c r="DV70" s="512" t="n"/>
      <c r="DW70" s="512" t="n"/>
      <c r="DX70" s="512" t="n"/>
      <c r="DY70" s="512" t="n"/>
      <c r="DZ70" s="512" t="n"/>
      <c r="EA70" s="512" t="n"/>
      <c r="EB70" s="512" t="n"/>
      <c r="EC70" s="512" t="n"/>
      <c r="ED70" s="512" t="n"/>
      <c r="EE70" s="512" t="n"/>
      <c r="EF70" s="512" t="n"/>
      <c r="EG70" s="512" t="n"/>
      <c r="EH70" s="512" t="n"/>
      <c r="EI70" s="512" t="n"/>
      <c r="EJ70" s="512" t="n"/>
      <c r="EK70" s="512" t="n"/>
      <c r="EL70" s="512" t="n"/>
      <c r="EM70" s="512" t="n"/>
      <c r="EN70" s="512" t="n"/>
      <c r="EO70" s="512" t="n"/>
      <c r="EP70" s="512" t="n"/>
      <c r="EQ70" s="512" t="n"/>
      <c r="ER70" s="512" t="n"/>
      <c r="ES70" s="512" t="n"/>
      <c r="ET70" s="512" t="n"/>
      <c r="EU70" s="512" t="n"/>
      <c r="EV70" s="512" t="n"/>
      <c r="EW70" s="512" t="n"/>
      <c r="EX70" s="512" t="n"/>
      <c r="EY70" s="512" t="n"/>
      <c r="EZ70" s="512" t="n"/>
      <c r="FA70" s="512" t="n"/>
      <c r="FB70" s="512" t="n"/>
      <c r="FC70" s="512" t="n"/>
      <c r="FD70" s="512" t="n"/>
      <c r="FE70" s="512" t="n"/>
      <c r="FF70" s="512" t="n"/>
      <c r="FG70" s="512" t="n"/>
      <c r="FH70" s="512" t="n"/>
      <c r="FI70" s="512" t="n"/>
      <c r="FJ70" s="512" t="n"/>
      <c r="FK70" s="512" t="n"/>
      <c r="FL70" s="512" t="n"/>
      <c r="FM70" s="512" t="n"/>
      <c r="FN70" s="512" t="n"/>
      <c r="FO70" s="512" t="n"/>
      <c r="FP70" s="512" t="n"/>
      <c r="FQ70" s="512" t="n"/>
      <c r="FR70" s="512" t="n"/>
      <c r="FS70" s="512" t="n"/>
      <c r="FT70" s="512" t="n"/>
      <c r="FU70" s="512" t="n"/>
      <c r="FV70" s="512" t="n"/>
      <c r="FW70" s="512" t="n"/>
      <c r="FX70" s="512" t="n"/>
      <c r="FY70" s="512" t="n"/>
      <c r="FZ70" s="512" t="n"/>
      <c r="GA70" s="512" t="n"/>
      <c r="GB70" s="512" t="n"/>
      <c r="GC70" s="512" t="n"/>
      <c r="GD70" s="512" t="n"/>
      <c r="GE70" s="512" t="n"/>
      <c r="GF70" s="512" t="n"/>
      <c r="GG70" s="512" t="n"/>
      <c r="GH70" s="512" t="n"/>
      <c r="GI70" s="512" t="n"/>
      <c r="GJ70" s="512" t="n"/>
      <c r="GK70" s="512" t="n"/>
      <c r="GL70" s="512" t="n"/>
      <c r="GM70" s="512" t="n"/>
      <c r="GN70" s="512" t="n"/>
      <c r="GO70" s="512" t="n"/>
      <c r="GP70" s="512" t="n"/>
      <c r="GQ70" s="512" t="n"/>
      <c r="GR70" s="512" t="n"/>
      <c r="GS70" s="512" t="n"/>
      <c r="GT70" s="512" t="n"/>
      <c r="GU70" s="512" t="n"/>
      <c r="GV70" s="512" t="n"/>
      <c r="GW70" s="512" t="n"/>
      <c r="GX70" s="512" t="n"/>
      <c r="GY70" s="512" t="n"/>
      <c r="GZ70" s="512" t="n"/>
      <c r="HA70" s="512" t="n"/>
      <c r="HB70" s="512" t="n"/>
      <c r="HC70" s="512" t="n"/>
      <c r="HD70" s="512" t="n"/>
      <c r="HE70" s="512" t="n"/>
      <c r="HF70" s="512" t="n"/>
      <c r="HG70" s="512" t="n"/>
      <c r="HH70" s="512" t="n"/>
      <c r="HI70" s="512" t="n"/>
      <c r="HJ70" s="512" t="n"/>
      <c r="HK70" s="512" t="n"/>
      <c r="HL70" s="512" t="n"/>
      <c r="HM70" s="512" t="n"/>
      <c r="HN70" s="512" t="n"/>
      <c r="HO70" s="512" t="n"/>
      <c r="HP70" s="512" t="n"/>
      <c r="HQ70" s="512" t="n"/>
      <c r="HR70" s="512" t="n"/>
      <c r="HS70" s="512" t="n"/>
      <c r="HT70" s="512" t="n"/>
      <c r="HU70" s="512" t="n"/>
    </row>
    <row r="71" ht="16.2" customHeight="1" thickBot="1">
      <c r="A71" s="124" t="inlineStr">
        <is>
          <t>SALDO DE CAIXA (MENSAL)</t>
        </is>
      </c>
      <c r="B71" s="534" t="n"/>
      <c r="C71" s="534" t="n"/>
      <c r="D71" s="534" t="n"/>
      <c r="E71" s="534" t="n"/>
      <c r="F71" s="534" t="n"/>
      <c r="G71" s="534" t="n"/>
      <c r="H71" s="534" t="n"/>
      <c r="I71" s="534" t="n"/>
      <c r="J71" s="534" t="n"/>
      <c r="K71" s="534" t="n"/>
      <c r="L71" s="534" t="n"/>
      <c r="M71" s="535" t="n"/>
      <c r="N71" s="535" t="n"/>
      <c r="O71" s="535" t="n"/>
      <c r="P71" s="535" t="n"/>
      <c r="Q71" s="535" t="n"/>
      <c r="R71" s="535" t="n"/>
      <c r="S71" s="535" t="n"/>
      <c r="T71" s="535" t="n"/>
      <c r="U71" s="535" t="n"/>
      <c r="V71" s="535" t="n"/>
      <c r="W71" s="535" t="n"/>
      <c r="X71" s="535" t="n"/>
      <c r="Y71" s="535" t="n"/>
      <c r="Z71" s="535" t="n"/>
      <c r="AA71" s="535" t="n"/>
      <c r="AB71" s="535" t="n"/>
      <c r="AC71" s="535" t="n"/>
      <c r="AD71" s="535" t="n"/>
      <c r="AE71" s="535" t="n"/>
      <c r="AF71" s="535" t="n"/>
      <c r="AG71" s="535" t="n"/>
      <c r="AH71" s="13" t="n"/>
      <c r="AI71" s="246" t="n"/>
      <c r="AJ71" s="13" t="n"/>
      <c r="AK71" s="534" t="n"/>
      <c r="AL71" s="534" t="n"/>
      <c r="AM71" s="534" t="n"/>
      <c r="AN71" s="534" t="n"/>
      <c r="AO71" s="534" t="n"/>
      <c r="AP71" s="534" t="n"/>
      <c r="AQ71" s="534" t="n"/>
      <c r="AR71" s="534" t="n"/>
      <c r="AS71" s="534" t="n"/>
      <c r="AT71" s="534" t="n"/>
      <c r="AU71" s="534" t="n"/>
      <c r="AV71" s="534" t="n"/>
      <c r="AW71" s="534" t="n"/>
      <c r="AX71" s="534" t="n"/>
      <c r="AY71" s="534" t="n"/>
      <c r="AZ71" s="534" t="n"/>
      <c r="BA71" s="534" t="n"/>
      <c r="BB71" s="534" t="n"/>
      <c r="BC71" s="534" t="n"/>
      <c r="BD71" s="536" t="n"/>
      <c r="BE71" s="534" t="n"/>
      <c r="BF71" s="534" t="n"/>
      <c r="BG71" s="534" t="n"/>
      <c r="BH71" s="534" t="n"/>
      <c r="BI71" s="534" t="n"/>
      <c r="BJ71" s="534" t="n"/>
      <c r="BK71" s="534" t="n"/>
      <c r="BL71" s="534" t="n"/>
      <c r="BM71" s="534" t="n"/>
      <c r="BN71" s="534" t="n"/>
      <c r="BO71" s="534" t="n"/>
      <c r="BP71" s="536" t="n"/>
      <c r="BQ71" s="534" t="n"/>
      <c r="BR71" s="534" t="n"/>
      <c r="BS71" s="534" t="n"/>
      <c r="BT71" s="534" t="n"/>
      <c r="BU71" s="534" t="n"/>
      <c r="BV71" s="534" t="n"/>
      <c r="BW71" s="534" t="n"/>
      <c r="BX71" s="534" t="n"/>
      <c r="BY71" s="534" t="n"/>
      <c r="BZ71" s="534" t="n"/>
      <c r="CA71" s="534" t="n"/>
      <c r="CB71" s="536" t="n"/>
      <c r="CC71" s="534" t="n"/>
      <c r="CD71" s="534" t="n"/>
      <c r="CE71" s="534" t="n"/>
      <c r="CF71" s="534" t="n"/>
      <c r="CG71" s="534" t="n"/>
      <c r="CH71" s="534" t="n"/>
      <c r="CI71" s="534" t="n"/>
      <c r="CJ71" s="534" t="n"/>
      <c r="CK71" s="534" t="n"/>
      <c r="CL71" s="534" t="n"/>
      <c r="CM71" s="534" t="n"/>
      <c r="CN71" s="536" t="n"/>
      <c r="CO71" s="534" t="n"/>
      <c r="CP71" s="534" t="n"/>
      <c r="CQ71" s="534" t="n"/>
      <c r="CR71" s="534" t="n"/>
      <c r="CS71" s="534" t="n"/>
      <c r="CT71" s="534" t="n"/>
      <c r="CU71" s="534" t="n"/>
      <c r="CV71" s="534" t="n"/>
      <c r="CW71" s="534" t="n"/>
      <c r="CX71" s="534" t="n"/>
      <c r="CY71" s="534" t="n"/>
      <c r="CZ71" s="536" t="n"/>
      <c r="DA71" s="534" t="n"/>
      <c r="DB71" s="534" t="n"/>
      <c r="DC71" s="534" t="n"/>
      <c r="DD71" s="534" t="n"/>
      <c r="DE71" s="534" t="n"/>
      <c r="DF71" s="534" t="n"/>
      <c r="DG71" s="534" t="n"/>
      <c r="DH71" s="534" t="n"/>
      <c r="DI71" s="534" t="n"/>
      <c r="DJ71" s="534" t="n"/>
      <c r="DK71" s="534" t="n"/>
      <c r="DL71" s="534" t="n"/>
      <c r="DM71" s="534" t="n"/>
      <c r="DN71" s="534" t="n"/>
      <c r="DO71" s="534" t="n"/>
      <c r="DP71" s="534" t="n"/>
      <c r="DQ71" s="534" t="n"/>
      <c r="DR71" s="534" t="n"/>
      <c r="DS71" s="534" t="n"/>
      <c r="DT71" s="534" t="n"/>
      <c r="DU71" s="534" t="n"/>
      <c r="DV71" s="534" t="n"/>
      <c r="DW71" s="534" t="n"/>
      <c r="DX71" s="534" t="n"/>
      <c r="DY71" s="534" t="n"/>
      <c r="DZ71" s="534" t="n"/>
      <c r="EA71" s="534" t="n"/>
      <c r="EB71" s="534" t="n"/>
      <c r="EC71" s="534" t="n"/>
      <c r="ED71" s="534" t="n"/>
      <c r="EE71" s="534" t="n"/>
      <c r="EF71" s="534" t="n"/>
      <c r="EG71" s="534" t="n"/>
      <c r="EH71" s="534" t="n"/>
      <c r="EI71" s="534" t="n"/>
      <c r="EJ71" s="534" t="n"/>
      <c r="EK71" s="534" t="n"/>
      <c r="EL71" s="534" t="n"/>
      <c r="EM71" s="534" t="n"/>
      <c r="EN71" s="534" t="n"/>
      <c r="EO71" s="534" t="n"/>
      <c r="EP71" s="534" t="n"/>
      <c r="EQ71" s="534" t="n"/>
      <c r="ER71" s="534" t="n"/>
      <c r="ES71" s="534" t="n"/>
      <c r="ET71" s="534" t="n"/>
      <c r="EU71" s="534" t="n"/>
      <c r="EV71" s="534" t="n"/>
      <c r="EW71" s="534" t="n"/>
      <c r="EX71" s="534" t="n"/>
      <c r="EY71" s="534" t="n"/>
      <c r="EZ71" s="534" t="n"/>
      <c r="FA71" s="534" t="n"/>
      <c r="FB71" s="534" t="n"/>
      <c r="FC71" s="534" t="n"/>
      <c r="FD71" s="534" t="n"/>
      <c r="FE71" s="534" t="n"/>
      <c r="FF71" s="534" t="n"/>
      <c r="FG71" s="534" t="n"/>
      <c r="FH71" s="534" t="n"/>
      <c r="FI71" s="534" t="n"/>
      <c r="FJ71" s="534" t="n"/>
      <c r="FK71" s="534" t="n"/>
      <c r="FL71" s="534" t="n"/>
      <c r="FM71" s="534" t="n"/>
      <c r="FN71" s="534" t="n"/>
      <c r="FO71" s="534" t="n"/>
      <c r="FP71" s="534" t="n"/>
      <c r="FQ71" s="534" t="n"/>
      <c r="FR71" s="534" t="n"/>
      <c r="FS71" s="534" t="n"/>
      <c r="FT71" s="534" t="n"/>
      <c r="FU71" s="534" t="n"/>
      <c r="FV71" s="534" t="n"/>
      <c r="FW71" s="534" t="n"/>
      <c r="FX71" s="534" t="n"/>
      <c r="FY71" s="534" t="n"/>
      <c r="FZ71" s="534" t="n"/>
      <c r="GA71" s="534" t="n"/>
      <c r="GB71" s="534" t="n"/>
      <c r="GC71" s="534" t="n"/>
      <c r="GD71" s="534" t="n"/>
      <c r="GE71" s="534" t="n"/>
      <c r="GF71" s="534" t="n"/>
      <c r="GG71" s="534" t="n"/>
      <c r="GH71" s="534" t="n"/>
      <c r="GI71" s="534" t="n"/>
      <c r="GJ71" s="534" t="n"/>
      <c r="GK71" s="534" t="n"/>
      <c r="GL71" s="534" t="n"/>
      <c r="GM71" s="534" t="n"/>
      <c r="GN71" s="534" t="n"/>
      <c r="GO71" s="534" t="n"/>
      <c r="GP71" s="534" t="n"/>
      <c r="GQ71" s="534" t="n"/>
      <c r="GR71" s="534" t="n"/>
      <c r="GS71" s="534" t="n"/>
      <c r="GT71" s="534" t="n"/>
      <c r="GU71" s="534" t="n"/>
      <c r="GV71" s="534" t="n"/>
      <c r="GW71" s="534" t="n"/>
      <c r="GX71" s="534" t="n"/>
      <c r="GY71" s="534" t="n"/>
      <c r="GZ71" s="534" t="n"/>
      <c r="HA71" s="534" t="n"/>
      <c r="HB71" s="534" t="n"/>
      <c r="HC71" s="534" t="n"/>
      <c r="HD71" s="534" t="n"/>
      <c r="HE71" s="534" t="n"/>
      <c r="HF71" s="534" t="n"/>
      <c r="HG71" s="534" t="n"/>
      <c r="HH71" s="534" t="n"/>
      <c r="HI71" s="534" t="n"/>
      <c r="HJ71" s="534" t="n"/>
      <c r="HK71" s="534" t="n"/>
      <c r="HL71" s="534" t="n"/>
      <c r="HM71" s="534" t="n"/>
      <c r="HN71" s="534" t="n"/>
      <c r="HO71" s="534" t="n"/>
      <c r="HP71" s="534" t="n"/>
      <c r="HQ71" s="534" t="n"/>
      <c r="HR71" s="534" t="n"/>
      <c r="HS71" s="534" t="n"/>
      <c r="HT71" s="534" t="n"/>
      <c r="HU71" s="534" t="n"/>
    </row>
    <row r="72" ht="16.2" customHeight="1" thickBot="1" thickTop="1">
      <c r="A72" s="125" t="inlineStr">
        <is>
          <t>SALDO ACUMULADO (REAL)</t>
        </is>
      </c>
      <c r="B72" s="149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3" t="n"/>
      <c r="R72" s="543" t="n"/>
      <c r="S72" s="543" t="n"/>
      <c r="T72" s="543" t="n"/>
      <c r="U72" s="543" t="n"/>
      <c r="V72" s="543" t="n"/>
      <c r="W72" s="543" t="n"/>
      <c r="X72" s="543" t="n"/>
      <c r="Y72" s="543" t="n"/>
      <c r="Z72" s="543" t="n"/>
      <c r="AA72" s="543" t="n"/>
      <c r="AB72" s="543" t="n"/>
      <c r="AC72" s="543" t="n"/>
      <c r="AD72" s="543" t="n"/>
      <c r="AE72" s="543" t="n"/>
      <c r="AF72" s="543" t="n"/>
      <c r="AG72" s="543" t="n"/>
      <c r="AH72" s="544" t="n"/>
      <c r="AI72" s="545" t="n"/>
      <c r="AJ72" s="544" t="n"/>
      <c r="AK72" s="546" t="n"/>
      <c r="AL72" s="546" t="n"/>
      <c r="AM72" s="546" t="n"/>
      <c r="AN72" s="546" t="n"/>
      <c r="AO72" s="546" t="n"/>
      <c r="AP72" s="546" t="n"/>
      <c r="AQ72" s="546" t="n"/>
      <c r="AR72" s="546" t="n"/>
      <c r="AS72" s="546" t="n"/>
      <c r="AT72" s="546" t="n"/>
      <c r="AU72" s="546" t="n"/>
      <c r="AV72" s="546" t="n"/>
      <c r="AW72" s="546" t="n"/>
      <c r="AX72" s="546" t="n"/>
      <c r="AY72" s="546" t="n"/>
      <c r="AZ72" s="546" t="n"/>
      <c r="BA72" s="546" t="n"/>
      <c r="BB72" s="546" t="n"/>
      <c r="BC72" s="546" t="n"/>
      <c r="BD72" s="546" t="n"/>
      <c r="BE72" s="546" t="n"/>
      <c r="BF72" s="546" t="n"/>
      <c r="BG72" s="546" t="n"/>
      <c r="BH72" s="546" t="n"/>
      <c r="BI72" s="546" t="n"/>
      <c r="BJ72" s="546" t="n"/>
      <c r="BK72" s="546" t="n"/>
      <c r="BL72" s="546" t="n"/>
      <c r="BM72" s="546" t="n"/>
      <c r="BN72" s="546" t="n"/>
      <c r="BO72" s="546" t="n"/>
      <c r="BP72" s="546" t="n"/>
      <c r="BQ72" s="546" t="n"/>
      <c r="BR72" s="546" t="n"/>
      <c r="BS72" s="546" t="n"/>
      <c r="BT72" s="546" t="n"/>
      <c r="BU72" s="546" t="n"/>
      <c r="BV72" s="546" t="n"/>
      <c r="BW72" s="546" t="n"/>
      <c r="BX72" s="546" t="n"/>
      <c r="BY72" s="546" t="n"/>
      <c r="BZ72" s="546" t="n"/>
      <c r="CA72" s="546" t="n"/>
      <c r="CB72" s="546" t="n"/>
      <c r="CC72" s="546" t="n"/>
      <c r="CD72" s="546" t="n"/>
      <c r="CE72" s="546" t="n"/>
      <c r="CF72" s="546" t="n"/>
      <c r="CG72" s="546" t="n"/>
      <c r="CH72" s="546" t="n"/>
      <c r="CI72" s="546" t="n"/>
      <c r="CJ72" s="546" t="n"/>
      <c r="CK72" s="546" t="n"/>
      <c r="CL72" s="546" t="n"/>
      <c r="CM72" s="546" t="n"/>
      <c r="CN72" s="546" t="n"/>
      <c r="CO72" s="546" t="n"/>
      <c r="CP72" s="546" t="n"/>
      <c r="CQ72" s="546" t="n"/>
      <c r="CR72" s="546" t="n"/>
      <c r="CS72" s="546" t="n"/>
      <c r="CT72" s="546" t="n"/>
      <c r="CU72" s="546" t="n"/>
      <c r="CV72" s="546" t="n"/>
      <c r="CW72" s="546" t="n"/>
      <c r="CX72" s="546" t="n"/>
      <c r="CY72" s="546" t="n"/>
      <c r="CZ72" s="546" t="n"/>
      <c r="DA72" s="546" t="n"/>
      <c r="DB72" s="546" t="n"/>
      <c r="DC72" s="546" t="n"/>
      <c r="DD72" s="546" t="n"/>
      <c r="DE72" s="546" t="n"/>
      <c r="DF72" s="546" t="n"/>
      <c r="DG72" s="546" t="n"/>
      <c r="DH72" s="546" t="n"/>
      <c r="DI72" s="546" t="n"/>
      <c r="DJ72" s="546" t="n"/>
      <c r="DK72" s="546" t="n"/>
      <c r="DL72" s="546" t="n"/>
      <c r="DM72" s="546" t="n"/>
      <c r="DN72" s="546" t="n"/>
      <c r="DO72" s="546" t="n"/>
      <c r="DP72" s="546" t="n"/>
      <c r="DQ72" s="546" t="n"/>
      <c r="DR72" s="546" t="n"/>
      <c r="DS72" s="546" t="n"/>
      <c r="DT72" s="546" t="n"/>
      <c r="DU72" s="546" t="n"/>
      <c r="DV72" s="546" t="n"/>
      <c r="DW72" s="546" t="n"/>
      <c r="DX72" s="546" t="n"/>
      <c r="DY72" s="546" t="n"/>
      <c r="DZ72" s="546" t="n"/>
      <c r="EA72" s="546" t="n"/>
      <c r="EB72" s="546" t="n"/>
      <c r="EC72" s="546" t="n"/>
      <c r="ED72" s="546" t="n"/>
      <c r="EE72" s="546" t="n"/>
      <c r="EF72" s="546" t="n"/>
      <c r="EG72" s="546" t="n"/>
      <c r="EH72" s="546" t="n"/>
      <c r="EI72" s="546" t="n"/>
      <c r="EJ72" s="546" t="n"/>
      <c r="EK72" s="546" t="n"/>
      <c r="EL72" s="546" t="n"/>
      <c r="EM72" s="546" t="n"/>
      <c r="EN72" s="546" t="n"/>
      <c r="EO72" s="546" t="n"/>
      <c r="EP72" s="546" t="n"/>
      <c r="EQ72" s="546" t="n"/>
      <c r="ER72" s="546" t="n"/>
      <c r="ES72" s="546" t="n"/>
      <c r="ET72" s="546" t="n"/>
      <c r="EU72" s="546" t="n"/>
      <c r="EV72" s="546" t="n"/>
      <c r="EW72" s="546" t="n"/>
      <c r="EX72" s="546" t="n"/>
      <c r="EY72" s="546" t="n"/>
      <c r="EZ72" s="546" t="n"/>
      <c r="FA72" s="546" t="n"/>
      <c r="FB72" s="546" t="n"/>
      <c r="FC72" s="546" t="n"/>
      <c r="FD72" s="546" t="n"/>
      <c r="FE72" s="546" t="n"/>
      <c r="FF72" s="546" t="n"/>
      <c r="FG72" s="546" t="n"/>
      <c r="FH72" s="546" t="n"/>
      <c r="FI72" s="546" t="n"/>
      <c r="FJ72" s="546" t="n"/>
      <c r="FK72" s="546" t="n"/>
      <c r="FL72" s="546" t="n"/>
      <c r="FM72" s="546" t="n"/>
      <c r="FN72" s="546" t="n"/>
      <c r="FO72" s="546" t="n"/>
      <c r="FP72" s="546" t="n"/>
      <c r="FQ72" s="546" t="n"/>
      <c r="FR72" s="546" t="n"/>
      <c r="FS72" s="546" t="n"/>
      <c r="FT72" s="546" t="n"/>
      <c r="FU72" s="546" t="n"/>
      <c r="FV72" s="546" t="n"/>
      <c r="FW72" s="546" t="n"/>
      <c r="FX72" s="546" t="n"/>
      <c r="FY72" s="546" t="n"/>
      <c r="FZ72" s="546" t="n"/>
      <c r="GA72" s="546" t="n"/>
      <c r="GB72" s="546" t="n"/>
      <c r="GC72" s="546" t="n"/>
      <c r="GD72" s="546" t="n"/>
      <c r="GE72" s="546" t="n"/>
      <c r="GF72" s="546" t="n"/>
      <c r="GG72" s="546" t="n"/>
      <c r="GH72" s="546" t="n"/>
      <c r="GI72" s="546" t="n"/>
      <c r="GJ72" s="546" t="n"/>
      <c r="GK72" s="546" t="n"/>
      <c r="GL72" s="546" t="n"/>
      <c r="GM72" s="546" t="n"/>
      <c r="GN72" s="546" t="n"/>
      <c r="GO72" s="546" t="n"/>
      <c r="GP72" s="546" t="n"/>
      <c r="GQ72" s="546" t="n"/>
      <c r="GR72" s="546" t="n"/>
      <c r="GS72" s="546" t="n"/>
      <c r="GT72" s="546" t="n"/>
      <c r="GU72" s="546" t="n"/>
      <c r="GV72" s="546" t="n"/>
      <c r="GW72" s="546" t="n"/>
      <c r="GX72" s="546" t="n"/>
      <c r="GY72" s="546" t="n"/>
      <c r="GZ72" s="546" t="n"/>
      <c r="HA72" s="546" t="n"/>
      <c r="HB72" s="546" t="n"/>
      <c r="HC72" s="546" t="n"/>
      <c r="HD72" s="546" t="n"/>
      <c r="HE72" s="546" t="n"/>
      <c r="HF72" s="546" t="n"/>
      <c r="HG72" s="546" t="n"/>
      <c r="HH72" s="546" t="n"/>
      <c r="HI72" s="546" t="n"/>
      <c r="HJ72" s="546" t="n"/>
      <c r="HK72" s="546" t="n"/>
      <c r="HL72" s="546" t="n"/>
      <c r="HM72" s="546" t="n"/>
      <c r="HN72" s="546" t="n"/>
      <c r="HO72" s="546" t="n"/>
      <c r="HP72" s="546" t="n"/>
      <c r="HQ72" s="546" t="n"/>
      <c r="HR72" s="546" t="n"/>
      <c r="HS72" s="546" t="n"/>
      <c r="HT72" s="546" t="n"/>
      <c r="HU72" s="546" t="n"/>
    </row>
    <row r="73" ht="16.2" customHeight="1" thickBot="1" thickTop="1">
      <c r="A73" s="1" t="n"/>
      <c r="B73" s="128" t="n"/>
      <c r="C73" s="549" t="n"/>
      <c r="D73" s="549" t="n"/>
      <c r="E73" s="550" t="n"/>
      <c r="F73" s="550" t="n"/>
      <c r="G73" s="550" t="n"/>
      <c r="H73" s="550" t="n"/>
      <c r="I73" s="550" t="n"/>
      <c r="J73" s="551" t="n"/>
      <c r="K73" s="549" t="n"/>
      <c r="L73" s="549" t="n"/>
      <c r="M73" s="552" t="n"/>
      <c r="N73" s="552" t="n"/>
      <c r="O73" s="552" t="n"/>
      <c r="P73" s="552" t="n"/>
      <c r="Q73" s="552" t="n"/>
      <c r="R73" s="552" t="n"/>
      <c r="S73" s="552" t="n"/>
      <c r="T73" s="552" t="n"/>
      <c r="U73" s="552" t="n"/>
      <c r="V73" s="552" t="n"/>
      <c r="W73" s="552" t="n"/>
      <c r="X73" s="552" t="n"/>
      <c r="Y73" s="552" t="n"/>
      <c r="Z73" s="549" t="n"/>
      <c r="AA73" s="549" t="n"/>
      <c r="AB73" s="549" t="n"/>
      <c r="AC73" s="549" t="n"/>
      <c r="AD73" s="549" t="n"/>
      <c r="AE73" s="549" t="n"/>
      <c r="AF73" s="549" t="n"/>
      <c r="AG73" s="549" t="n"/>
      <c r="AH73" s="549" t="n"/>
      <c r="AI73" s="553" t="n"/>
      <c r="AJ73" s="549" t="n"/>
      <c r="AK73" s="549" t="n"/>
      <c r="AL73" s="549" t="n"/>
      <c r="AM73" s="549" t="n"/>
      <c r="AN73" s="549" t="n"/>
      <c r="AO73" s="549" t="n"/>
      <c r="AP73" s="549" t="n"/>
      <c r="AQ73" s="549" t="n"/>
      <c r="AR73" s="549" t="n"/>
      <c r="AS73" s="549" t="n"/>
      <c r="AT73" s="549" t="n"/>
      <c r="AU73" s="549" t="n"/>
      <c r="AV73" s="549" t="n"/>
      <c r="AW73" s="549" t="n"/>
      <c r="AX73" s="549" t="n"/>
      <c r="AY73" s="549" t="n"/>
      <c r="AZ73" s="549" t="n"/>
      <c r="BA73" s="549" t="n"/>
      <c r="BB73" s="549" t="n"/>
      <c r="BC73" s="549" t="n"/>
      <c r="BD73" s="554" t="n"/>
      <c r="BE73" s="549" t="n"/>
      <c r="BF73" s="549" t="n"/>
      <c r="BG73" s="549" t="n"/>
      <c r="BH73" s="549" t="n"/>
      <c r="BI73" s="549" t="n"/>
      <c r="BJ73" s="549" t="n"/>
      <c r="BK73" s="549" t="n"/>
      <c r="BL73" s="549" t="n"/>
      <c r="BM73" s="549" t="n"/>
      <c r="BN73" s="549" t="n"/>
      <c r="BO73" s="549" t="n"/>
      <c r="BP73" s="555" t="n"/>
      <c r="BQ73" s="556" t="n"/>
      <c r="BR73" s="549" t="n"/>
      <c r="BS73" s="549" t="n"/>
      <c r="BT73" s="549" t="n"/>
      <c r="BU73" s="549" t="n"/>
      <c r="BV73" s="549" t="n"/>
      <c r="BW73" s="549" t="n"/>
      <c r="BX73" s="549" t="n"/>
      <c r="BY73" s="549" t="n"/>
      <c r="BZ73" s="549" t="n"/>
      <c r="CA73" s="549" t="n"/>
      <c r="CB73" s="555" t="n"/>
      <c r="CC73" s="556" t="n"/>
      <c r="CD73" s="549" t="n"/>
      <c r="CE73" s="549" t="n"/>
      <c r="CF73" s="549" t="n"/>
      <c r="CG73" s="549" t="n"/>
      <c r="CH73" s="549" t="n"/>
      <c r="CI73" s="549" t="n"/>
      <c r="CJ73" s="549" t="n"/>
      <c r="CK73" s="549" t="n"/>
      <c r="CL73" s="549" t="n"/>
      <c r="CM73" s="549" t="n"/>
      <c r="CN73" s="555" t="n"/>
      <c r="CO73" s="556" t="n"/>
      <c r="CP73" s="549" t="n"/>
      <c r="CQ73" s="549" t="n"/>
      <c r="CR73" s="549" t="n"/>
      <c r="CS73" s="549" t="n"/>
      <c r="CT73" s="549" t="n"/>
      <c r="CU73" s="549" t="n"/>
      <c r="CV73" s="549" t="n"/>
      <c r="CW73" s="549" t="n"/>
      <c r="CX73" s="549" t="n"/>
      <c r="CY73" s="549" t="n"/>
      <c r="CZ73" s="555" t="n"/>
      <c r="DA73" s="549" t="n"/>
      <c r="DB73" s="549" t="n"/>
      <c r="DC73" s="549" t="n"/>
      <c r="DD73" s="549" t="n"/>
      <c r="DE73" s="549" t="n"/>
      <c r="DF73" s="549" t="n"/>
      <c r="DG73" s="549" t="n"/>
      <c r="DH73" s="549" t="n"/>
      <c r="DI73" s="549" t="n"/>
      <c r="DJ73" s="549" t="n"/>
      <c r="DK73" s="549" t="n"/>
      <c r="DL73" s="549" t="n"/>
      <c r="DM73" s="549" t="n"/>
      <c r="DN73" s="549" t="n"/>
      <c r="DO73" s="549" t="n"/>
      <c r="DP73" s="549" t="n"/>
      <c r="DQ73" s="549" t="n"/>
      <c r="DR73" s="549" t="n"/>
      <c r="DS73" s="549" t="n"/>
      <c r="DT73" s="549" t="n"/>
      <c r="DU73" s="549" t="n"/>
      <c r="DV73" s="549" t="n"/>
      <c r="DW73" s="549" t="n"/>
      <c r="DX73" s="549" t="n"/>
      <c r="DY73" s="549" t="n"/>
      <c r="DZ73" s="549" t="n"/>
      <c r="EA73" s="549" t="n"/>
      <c r="EB73" s="549" t="n"/>
      <c r="EC73" s="549" t="n"/>
      <c r="ED73" s="549" t="n"/>
      <c r="EE73" s="549" t="n"/>
      <c r="EF73" s="549" t="n"/>
      <c r="EG73" s="549" t="n"/>
      <c r="EH73" s="549" t="n"/>
      <c r="EI73" s="549" t="n"/>
      <c r="EJ73" s="549" t="n"/>
      <c r="EK73" s="549" t="n"/>
      <c r="EL73" s="549" t="n"/>
      <c r="EM73" s="549" t="n"/>
      <c r="EN73" s="549" t="n"/>
      <c r="EO73" s="549" t="n"/>
      <c r="EP73" s="549" t="n"/>
      <c r="EQ73" s="549" t="n"/>
      <c r="ER73" s="549" t="n"/>
      <c r="ES73" s="549" t="n"/>
      <c r="ET73" s="549" t="n"/>
      <c r="EU73" s="549" t="n"/>
      <c r="EV73" s="549" t="n"/>
      <c r="EW73" s="549" t="n"/>
      <c r="EX73" s="549" t="n"/>
      <c r="EY73" s="549" t="n"/>
      <c r="EZ73" s="549" t="n"/>
      <c r="FA73" s="549" t="n"/>
      <c r="FB73" s="549" t="n"/>
      <c r="FC73" s="549" t="n"/>
      <c r="FD73" s="549" t="n"/>
      <c r="FE73" s="549" t="n"/>
      <c r="FF73" s="549" t="n"/>
      <c r="FG73" s="549" t="n"/>
      <c r="FH73" s="549" t="n"/>
      <c r="FI73" s="549" t="n"/>
      <c r="FJ73" s="549" t="n"/>
      <c r="FK73" s="549" t="n"/>
      <c r="FL73" s="549" t="n"/>
      <c r="FM73" s="549" t="n"/>
      <c r="FN73" s="549" t="n"/>
      <c r="FO73" s="549" t="n"/>
      <c r="FP73" s="549" t="n"/>
      <c r="FQ73" s="549" t="n"/>
      <c r="FR73" s="549" t="n"/>
      <c r="FS73" s="549" t="n"/>
      <c r="FT73" s="549" t="n"/>
      <c r="FU73" s="549" t="n"/>
      <c r="FV73" s="549" t="n"/>
      <c r="FW73" s="549" t="n"/>
      <c r="FX73" s="549" t="n"/>
      <c r="FY73" s="549" t="n"/>
      <c r="FZ73" s="549" t="n"/>
      <c r="GA73" s="549" t="n"/>
      <c r="GB73" s="549" t="n"/>
      <c r="GC73" s="549" t="n"/>
      <c r="GD73" s="549" t="n"/>
      <c r="GE73" s="549" t="n"/>
      <c r="GF73" s="549" t="n"/>
      <c r="GG73" s="549" t="n"/>
      <c r="GH73" s="549" t="n"/>
      <c r="GI73" s="549" t="n"/>
      <c r="GJ73" s="549" t="n"/>
      <c r="GK73" s="549" t="n"/>
      <c r="GL73" s="549" t="n"/>
      <c r="GM73" s="549" t="n"/>
      <c r="GN73" s="549" t="n"/>
      <c r="GO73" s="549" t="n"/>
      <c r="GP73" s="549" t="n"/>
      <c r="GQ73" s="549" t="n"/>
      <c r="GR73" s="549" t="n"/>
      <c r="GS73" s="549" t="n"/>
      <c r="GT73" s="549" t="n"/>
      <c r="GU73" s="549" t="n"/>
      <c r="GV73" s="549" t="n"/>
      <c r="GW73" s="549" t="n"/>
      <c r="GX73" s="549" t="n"/>
      <c r="GY73" s="549" t="n"/>
      <c r="GZ73" s="549" t="n"/>
      <c r="HA73" s="549" t="n"/>
      <c r="HB73" s="549" t="n"/>
      <c r="HC73" s="549" t="n"/>
      <c r="HD73" s="549" t="n"/>
      <c r="HE73" s="549" t="n"/>
      <c r="HF73" s="549" t="n"/>
      <c r="HG73" s="549" t="n"/>
      <c r="HH73" s="549" t="n"/>
      <c r="HI73" s="549" t="n"/>
      <c r="HJ73" s="549" t="n"/>
      <c r="HK73" s="549" t="n"/>
      <c r="HL73" s="549" t="n"/>
      <c r="HM73" s="549" t="n"/>
      <c r="HN73" s="549" t="n"/>
      <c r="HO73" s="549" t="n"/>
      <c r="HP73" s="549" t="n"/>
      <c r="HQ73" s="549" t="n"/>
      <c r="HR73" s="549" t="n"/>
      <c r="HS73" s="549" t="n"/>
      <c r="HT73" s="549" t="n"/>
      <c r="HU73" s="549" t="n"/>
    </row>
    <row r="74" ht="16.2" customHeight="1" thickBot="1" thickTop="1">
      <c r="A74" s="126" t="inlineStr">
        <is>
          <t>SALDO DE CAIXA (MENSAL) C/ PROJEÇÃO</t>
        </is>
      </c>
      <c r="B74" s="557" t="n"/>
      <c r="C74" s="557" t="n"/>
      <c r="D74" s="557" t="n"/>
      <c r="E74" s="557" t="n"/>
      <c r="F74" s="557" t="n"/>
      <c r="G74" s="557" t="n"/>
      <c r="H74" s="557" t="n"/>
      <c r="I74" s="557" t="n"/>
      <c r="J74" s="557" t="n"/>
      <c r="K74" s="557" t="n"/>
      <c r="L74" s="557" t="n"/>
      <c r="M74" s="557" t="n"/>
      <c r="N74" s="557" t="n"/>
      <c r="O74" s="557" t="n"/>
      <c r="P74" s="557" t="n"/>
      <c r="Q74" s="557" t="n"/>
      <c r="R74" s="557" t="n"/>
      <c r="S74" s="557" t="n"/>
      <c r="T74" s="557" t="n"/>
      <c r="U74" s="557" t="n"/>
      <c r="V74" s="557" t="n"/>
      <c r="W74" s="557" t="n"/>
      <c r="X74" s="557" t="n"/>
      <c r="Y74" s="557" t="n"/>
      <c r="Z74" s="557" t="n"/>
      <c r="AA74" s="557" t="n"/>
      <c r="AB74" s="557" t="n"/>
      <c r="AC74" s="557" t="n"/>
      <c r="AD74" s="557" t="n"/>
      <c r="AE74" s="557" t="n"/>
      <c r="AF74" s="557" t="n"/>
      <c r="AG74" s="557" t="n"/>
      <c r="AH74" s="13" t="n"/>
      <c r="AI74" s="558" t="n"/>
      <c r="AJ74" s="13" t="n"/>
      <c r="AK74" s="559" t="n"/>
      <c r="AL74" s="559" t="n"/>
      <c r="AM74" s="559" t="n"/>
      <c r="AN74" s="559" t="n"/>
      <c r="AO74" s="559" t="n"/>
      <c r="AP74" s="559" t="n"/>
      <c r="AQ74" s="560" t="n"/>
      <c r="AR74" s="560" t="n"/>
      <c r="AS74" s="560" t="n"/>
      <c r="AT74" s="560" t="n"/>
      <c r="AU74" s="560" t="n"/>
      <c r="AV74" s="560" t="n"/>
      <c r="AW74" s="560" t="n"/>
      <c r="AX74" s="560" t="n"/>
      <c r="AY74" s="560" t="n"/>
      <c r="AZ74" s="560" t="n"/>
      <c r="BA74" s="560" t="n"/>
      <c r="BB74" s="560" t="n"/>
      <c r="BC74" s="560" t="n"/>
      <c r="BD74" s="560" t="n"/>
      <c r="BE74" s="560" t="n"/>
      <c r="BF74" s="560" t="n"/>
      <c r="BG74" s="560" t="n"/>
      <c r="BH74" s="560" t="n"/>
      <c r="BI74" s="560" t="n"/>
      <c r="BJ74" s="560" t="n"/>
      <c r="BK74" s="560" t="n"/>
      <c r="BL74" s="560" t="n"/>
      <c r="BM74" s="560" t="n"/>
      <c r="BN74" s="560" t="n"/>
      <c r="BO74" s="560" t="n"/>
      <c r="BP74" s="560" t="n"/>
      <c r="BQ74" s="560" t="n"/>
      <c r="BR74" s="560" t="n"/>
      <c r="BS74" s="560" t="n"/>
      <c r="BT74" s="560" t="n"/>
      <c r="BU74" s="560" t="n"/>
      <c r="BV74" s="560" t="n"/>
      <c r="BW74" s="560" t="n"/>
      <c r="BX74" s="560" t="n"/>
      <c r="BY74" s="560" t="n"/>
      <c r="BZ74" s="560" t="n"/>
      <c r="CA74" s="560" t="n"/>
      <c r="CB74" s="560" t="n"/>
      <c r="CC74" s="560" t="n"/>
      <c r="CD74" s="560" t="n"/>
      <c r="CE74" s="560" t="n"/>
      <c r="CF74" s="560" t="n"/>
      <c r="CG74" s="560" t="n"/>
      <c r="CH74" s="560" t="n"/>
      <c r="CI74" s="560" t="n"/>
      <c r="CJ74" s="560" t="n"/>
      <c r="CK74" s="560" t="n"/>
      <c r="CL74" s="560" t="n"/>
      <c r="CM74" s="560" t="n"/>
      <c r="CN74" s="560" t="n"/>
      <c r="CO74" s="560" t="n"/>
      <c r="CP74" s="560" t="n"/>
      <c r="CQ74" s="560" t="n"/>
      <c r="CR74" s="560" t="n"/>
      <c r="CS74" s="560" t="n"/>
      <c r="CT74" s="560" t="n"/>
      <c r="CU74" s="560" t="n"/>
      <c r="CV74" s="560" t="n"/>
      <c r="CW74" s="560" t="n"/>
      <c r="CX74" s="560" t="n"/>
      <c r="CY74" s="560" t="n"/>
      <c r="CZ74" s="560" t="n"/>
      <c r="DA74" s="560" t="n"/>
      <c r="DB74" s="560" t="n"/>
      <c r="DC74" s="560" t="n"/>
      <c r="DD74" s="560" t="n"/>
      <c r="DE74" s="560" t="n"/>
      <c r="DF74" s="560" t="n"/>
      <c r="DG74" s="560" t="n"/>
      <c r="DH74" s="560" t="n"/>
      <c r="DI74" s="560" t="n"/>
      <c r="DJ74" s="560" t="n"/>
      <c r="DK74" s="560" t="n"/>
      <c r="DL74" s="560" t="n"/>
      <c r="DM74" s="560" t="n"/>
      <c r="DN74" s="560" t="n"/>
      <c r="DO74" s="560" t="n"/>
      <c r="DP74" s="560" t="n"/>
      <c r="DQ74" s="560" t="n"/>
      <c r="DR74" s="560" t="n"/>
      <c r="DS74" s="560" t="n"/>
      <c r="DT74" s="560" t="n"/>
      <c r="DU74" s="560" t="n"/>
      <c r="DV74" s="560" t="n"/>
      <c r="DW74" s="560" t="n"/>
      <c r="DX74" s="560" t="n"/>
      <c r="DY74" s="560" t="n"/>
      <c r="DZ74" s="560" t="n"/>
      <c r="EA74" s="560" t="n"/>
      <c r="EB74" s="560" t="n"/>
      <c r="EC74" s="560" t="n"/>
      <c r="ED74" s="560" t="n"/>
      <c r="EE74" s="560" t="n"/>
      <c r="EF74" s="560" t="n"/>
      <c r="EG74" s="560" t="n"/>
      <c r="EH74" s="560" t="n"/>
      <c r="EI74" s="560" t="n"/>
      <c r="EJ74" s="560" t="n"/>
      <c r="EK74" s="560" t="n"/>
      <c r="EL74" s="560" t="n"/>
      <c r="EM74" s="560" t="n"/>
      <c r="EN74" s="560" t="n"/>
      <c r="EO74" s="560" t="n"/>
      <c r="EP74" s="560" t="n"/>
      <c r="EQ74" s="560" t="n"/>
      <c r="ER74" s="560" t="n"/>
      <c r="ES74" s="560" t="n"/>
      <c r="ET74" s="560" t="n"/>
      <c r="EU74" s="560" t="n"/>
      <c r="EV74" s="560" t="n"/>
      <c r="EW74" s="560" t="n"/>
      <c r="EX74" s="560" t="n"/>
      <c r="EY74" s="560" t="n"/>
      <c r="EZ74" s="560" t="n"/>
      <c r="FA74" s="560" t="n"/>
      <c r="FB74" s="560" t="n"/>
      <c r="FC74" s="560" t="n"/>
      <c r="FD74" s="560" t="n"/>
      <c r="FE74" s="560" t="n"/>
      <c r="FF74" s="560" t="n"/>
      <c r="FG74" s="560" t="n"/>
      <c r="FH74" s="560" t="n"/>
      <c r="FI74" s="560" t="n"/>
      <c r="FJ74" s="560" t="n"/>
      <c r="FK74" s="560" t="n"/>
      <c r="FL74" s="560" t="n"/>
      <c r="FM74" s="560" t="n"/>
      <c r="FN74" s="560" t="n"/>
      <c r="FO74" s="560" t="n"/>
      <c r="FP74" s="560" t="n"/>
      <c r="FQ74" s="560" t="n"/>
      <c r="FR74" s="560" t="n"/>
      <c r="FS74" s="560" t="n"/>
      <c r="FT74" s="560" t="n"/>
      <c r="FU74" s="560" t="n"/>
      <c r="FV74" s="560" t="n"/>
      <c r="FW74" s="560" t="n"/>
      <c r="FX74" s="560" t="n"/>
      <c r="FY74" s="560" t="n"/>
      <c r="FZ74" s="560" t="n"/>
      <c r="GA74" s="560" t="n"/>
      <c r="GB74" s="560" t="n"/>
      <c r="GC74" s="560" t="n"/>
      <c r="GD74" s="560" t="n"/>
      <c r="GE74" s="560" t="n"/>
      <c r="GF74" s="560" t="n"/>
      <c r="GG74" s="560" t="n"/>
      <c r="GH74" s="560" t="n"/>
      <c r="GI74" s="560" t="n"/>
      <c r="GJ74" s="560" t="n"/>
      <c r="GK74" s="560" t="n"/>
      <c r="GL74" s="560" t="n"/>
      <c r="GM74" s="560" t="n"/>
      <c r="GN74" s="560" t="n"/>
      <c r="GO74" s="560" t="n"/>
      <c r="GP74" s="560" t="n"/>
      <c r="GQ74" s="560" t="n"/>
      <c r="GR74" s="560" t="n"/>
      <c r="GS74" s="560" t="n"/>
      <c r="GT74" s="560" t="n"/>
      <c r="GU74" s="560" t="n"/>
      <c r="GV74" s="560" t="n"/>
      <c r="GW74" s="560" t="n"/>
      <c r="GX74" s="560" t="n"/>
      <c r="GY74" s="560" t="n"/>
      <c r="GZ74" s="560" t="n"/>
      <c r="HA74" s="560" t="n"/>
      <c r="HB74" s="560" t="n"/>
      <c r="HC74" s="560" t="n"/>
      <c r="HD74" s="560" t="n"/>
      <c r="HE74" s="560" t="n"/>
      <c r="HF74" s="560" t="n"/>
      <c r="HG74" s="560" t="n"/>
      <c r="HH74" s="560" t="n"/>
      <c r="HI74" s="560" t="n"/>
      <c r="HJ74" s="560" t="n"/>
      <c r="HK74" s="560" t="n"/>
      <c r="HL74" s="560" t="n"/>
      <c r="HM74" s="560" t="n"/>
      <c r="HN74" s="560" t="n"/>
      <c r="HO74" s="560" t="n"/>
      <c r="HP74" s="560" t="n"/>
      <c r="HQ74" s="560" t="n"/>
      <c r="HR74" s="560" t="n"/>
      <c r="HS74" s="560" t="n"/>
      <c r="HT74" s="560" t="n"/>
      <c r="HU74" s="560" t="n"/>
    </row>
    <row r="75" ht="16.2" customHeight="1" thickBot="1" thickTop="1">
      <c r="A75" s="127" t="inlineStr">
        <is>
          <t>SALDO ACUMULADO C/ PROJEÇÕES</t>
        </is>
      </c>
      <c r="B75" s="151" t="n"/>
      <c r="C75" s="561" t="n"/>
      <c r="D75" s="561" t="n"/>
      <c r="E75" s="562" t="n"/>
      <c r="F75" s="562" t="n"/>
      <c r="G75" s="562" t="n"/>
      <c r="H75" s="562" t="n"/>
      <c r="I75" s="563" t="n"/>
      <c r="J75" s="564" t="n"/>
      <c r="K75" s="565" t="n"/>
      <c r="L75" s="565" t="n"/>
      <c r="M75" s="566" t="n"/>
      <c r="N75" s="566" t="n"/>
      <c r="O75" s="566" t="n"/>
      <c r="P75" s="566" t="n"/>
      <c r="Q75" s="566" t="n"/>
      <c r="R75" s="566" t="n"/>
      <c r="S75" s="566" t="n"/>
      <c r="T75" s="566" t="n"/>
      <c r="U75" s="566" t="n"/>
      <c r="V75" s="566" t="n"/>
      <c r="W75" s="566" t="n"/>
      <c r="X75" s="566" t="n"/>
      <c r="Y75" s="566" t="n"/>
      <c r="Z75" s="566" t="n"/>
      <c r="AA75" s="566" t="n"/>
      <c r="AB75" s="566" t="n"/>
      <c r="AC75" s="566" t="n"/>
      <c r="AD75" s="566" t="n"/>
      <c r="AE75" s="566" t="n"/>
      <c r="AF75" s="566" t="n"/>
      <c r="AG75" s="566" t="n"/>
      <c r="AH75" s="13" t="n"/>
      <c r="AI75" s="567" t="n"/>
      <c r="AJ75" s="13" t="n"/>
      <c r="AK75" s="565" t="n"/>
      <c r="AL75" s="565" t="n"/>
      <c r="AM75" s="565" t="n"/>
      <c r="AN75" s="565" t="n"/>
      <c r="AO75" s="565" t="n"/>
      <c r="AP75" s="565" t="n"/>
      <c r="AQ75" s="569" t="n"/>
      <c r="AR75" s="569" t="n"/>
      <c r="AS75" s="565" t="n"/>
      <c r="AT75" s="565" t="n"/>
      <c r="AU75" s="565" t="n"/>
      <c r="AV75" s="565" t="n"/>
      <c r="AW75" s="565" t="n"/>
      <c r="AX75" s="565" t="n"/>
      <c r="AY75" s="565" t="n"/>
      <c r="AZ75" s="565" t="n"/>
      <c r="BA75" s="565" t="n"/>
      <c r="BB75" s="565" t="n"/>
      <c r="BC75" s="565" t="n"/>
      <c r="BD75" s="565" t="n"/>
      <c r="BE75" s="565" t="n"/>
      <c r="BF75" s="565" t="n"/>
      <c r="BG75" s="565" t="n"/>
      <c r="BH75" s="565" t="n"/>
      <c r="BI75" s="565" t="n"/>
      <c r="BJ75" s="565" t="n"/>
      <c r="BK75" s="565" t="n"/>
      <c r="BL75" s="565" t="n"/>
      <c r="BM75" s="565" t="n"/>
      <c r="BN75" s="565" t="n"/>
      <c r="BO75" s="565" t="n"/>
      <c r="BP75" s="565" t="n"/>
      <c r="BQ75" s="565" t="n"/>
      <c r="BR75" s="565" t="n"/>
      <c r="BS75" s="565" t="n"/>
      <c r="BT75" s="565" t="n"/>
      <c r="BU75" s="565" t="n"/>
      <c r="BV75" s="565" t="n"/>
      <c r="BW75" s="565" t="n"/>
      <c r="BX75" s="565" t="n"/>
      <c r="BY75" s="565" t="n"/>
      <c r="BZ75" s="565" t="n"/>
      <c r="CA75" s="565" t="n"/>
      <c r="CB75" s="565" t="n"/>
      <c r="CC75" s="565" t="n"/>
      <c r="CD75" s="565" t="n"/>
      <c r="CE75" s="565" t="n"/>
      <c r="CF75" s="565" t="n"/>
      <c r="CG75" s="565" t="n"/>
      <c r="CH75" s="565" t="n"/>
      <c r="CI75" s="565" t="n"/>
      <c r="CJ75" s="565" t="n"/>
      <c r="CK75" s="565" t="n"/>
      <c r="CL75" s="565" t="n"/>
      <c r="CM75" s="565" t="n"/>
      <c r="CN75" s="565" t="n"/>
      <c r="CO75" s="565" t="n"/>
      <c r="CP75" s="565" t="n"/>
      <c r="CQ75" s="565" t="n"/>
      <c r="CR75" s="565" t="n"/>
      <c r="CS75" s="565" t="n"/>
      <c r="CT75" s="565" t="n"/>
      <c r="CU75" s="565" t="n"/>
      <c r="CV75" s="565" t="n"/>
      <c r="CW75" s="565" t="n"/>
      <c r="CX75" s="565" t="n"/>
      <c r="CY75" s="565" t="n"/>
      <c r="CZ75" s="565" t="n"/>
      <c r="DA75" s="565" t="n"/>
      <c r="DB75" s="565" t="n"/>
      <c r="DC75" s="565" t="n"/>
      <c r="DD75" s="565" t="n"/>
      <c r="DE75" s="565" t="n"/>
      <c r="DF75" s="565" t="n"/>
      <c r="DG75" s="565" t="n"/>
      <c r="DH75" s="565" t="n"/>
      <c r="DI75" s="565" t="n"/>
      <c r="DJ75" s="565" t="n"/>
      <c r="DK75" s="565" t="n"/>
      <c r="DL75" s="565" t="n"/>
      <c r="DM75" s="565" t="n"/>
      <c r="DN75" s="565" t="n"/>
      <c r="DO75" s="565" t="n"/>
      <c r="DP75" s="565" t="n"/>
      <c r="DQ75" s="565" t="n"/>
      <c r="DR75" s="565" t="n"/>
      <c r="DS75" s="565" t="n"/>
      <c r="DT75" s="565" t="n"/>
      <c r="DU75" s="565" t="n"/>
      <c r="DV75" s="565" t="n"/>
      <c r="DW75" s="565" t="n"/>
      <c r="DX75" s="565" t="n"/>
      <c r="DY75" s="565" t="n"/>
      <c r="DZ75" s="565" t="n"/>
      <c r="EA75" s="565" t="n"/>
      <c r="EB75" s="565" t="n"/>
      <c r="EC75" s="565" t="n"/>
      <c r="ED75" s="565" t="n"/>
      <c r="EE75" s="565" t="n"/>
      <c r="EF75" s="565" t="n"/>
      <c r="EG75" s="565" t="n"/>
      <c r="EH75" s="565" t="n"/>
      <c r="EI75" s="565" t="n"/>
      <c r="EJ75" s="565" t="n"/>
      <c r="EK75" s="565" t="n"/>
      <c r="EL75" s="565" t="n"/>
      <c r="EM75" s="565" t="n"/>
      <c r="EN75" s="565" t="n"/>
      <c r="EO75" s="565" t="n"/>
      <c r="EP75" s="565" t="n"/>
      <c r="EQ75" s="565" t="n"/>
      <c r="ER75" s="565" t="n"/>
      <c r="ES75" s="565" t="n"/>
      <c r="ET75" s="565" t="n"/>
      <c r="EU75" s="565" t="n"/>
      <c r="EV75" s="565" t="n"/>
      <c r="EW75" s="565" t="n"/>
      <c r="EX75" s="565" t="n"/>
      <c r="EY75" s="565" t="n"/>
      <c r="EZ75" s="565" t="n"/>
      <c r="FA75" s="565" t="n"/>
      <c r="FB75" s="565" t="n"/>
      <c r="FC75" s="565" t="n"/>
      <c r="FD75" s="565" t="n"/>
      <c r="FE75" s="565" t="n"/>
      <c r="FF75" s="565" t="n"/>
      <c r="FG75" s="565" t="n"/>
      <c r="FH75" s="565" t="n"/>
      <c r="FI75" s="565" t="n"/>
      <c r="FJ75" s="565" t="n"/>
      <c r="FK75" s="565" t="n"/>
      <c r="FL75" s="565" t="n"/>
      <c r="FM75" s="565" t="n"/>
      <c r="FN75" s="565" t="n"/>
      <c r="FO75" s="565" t="n"/>
      <c r="FP75" s="565" t="n"/>
      <c r="FQ75" s="565" t="n"/>
      <c r="FR75" s="565" t="n"/>
      <c r="FS75" s="565" t="n"/>
      <c r="FT75" s="565" t="n"/>
      <c r="FU75" s="565" t="n"/>
      <c r="FV75" s="565" t="n"/>
      <c r="FW75" s="565" t="n"/>
      <c r="FX75" s="565" t="n"/>
      <c r="FY75" s="565" t="n"/>
      <c r="FZ75" s="565" t="n"/>
      <c r="GA75" s="565" t="n"/>
      <c r="GB75" s="565" t="n"/>
      <c r="GC75" s="565" t="n"/>
      <c r="GD75" s="565" t="n"/>
      <c r="GE75" s="565" t="n"/>
      <c r="GF75" s="565" t="n"/>
      <c r="GG75" s="565" t="n"/>
      <c r="GH75" s="565" t="n"/>
      <c r="GI75" s="565" t="n"/>
      <c r="GJ75" s="565" t="n"/>
      <c r="GK75" s="565" t="n"/>
      <c r="GL75" s="565" t="n"/>
      <c r="GM75" s="565" t="n"/>
      <c r="GN75" s="565" t="n"/>
      <c r="GO75" s="565" t="n"/>
      <c r="GP75" s="565" t="n"/>
      <c r="GQ75" s="565" t="n"/>
      <c r="GR75" s="565" t="n"/>
      <c r="GS75" s="565" t="n"/>
      <c r="GT75" s="565" t="n"/>
      <c r="GU75" s="565" t="n"/>
      <c r="GV75" s="565" t="n"/>
      <c r="GW75" s="565" t="n"/>
      <c r="GX75" s="565" t="n"/>
      <c r="GY75" s="565" t="n"/>
      <c r="GZ75" s="565" t="n"/>
      <c r="HA75" s="565" t="n"/>
      <c r="HB75" s="565" t="n"/>
      <c r="HC75" s="565" t="n"/>
      <c r="HD75" s="565" t="n"/>
      <c r="HE75" s="565" t="n"/>
      <c r="HF75" s="565" t="n"/>
      <c r="HG75" s="565" t="n"/>
      <c r="HH75" s="565" t="n"/>
      <c r="HI75" s="565" t="n"/>
      <c r="HJ75" s="565" t="n"/>
      <c r="HK75" s="565" t="n"/>
      <c r="HL75" s="565" t="n"/>
      <c r="HM75" s="565" t="n"/>
      <c r="HN75" s="565" t="n"/>
      <c r="HO75" s="565" t="n"/>
      <c r="HP75" s="565" t="n"/>
      <c r="HQ75" s="565" t="n"/>
      <c r="HR75" s="565" t="n"/>
      <c r="HS75" s="565" t="n"/>
      <c r="HT75" s="565" t="n"/>
      <c r="HU75" s="565" t="n"/>
    </row>
    <row r="84" ht="10.8" customHeight="1" thickBot="1"/>
    <row r="85" ht="18" customHeight="1" thickBo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506" t="n"/>
      <c r="AJ85" s="1" t="n"/>
      <c r="AK85" s="503" t="n"/>
      <c r="AL85" s="1" t="n"/>
      <c r="AM85" s="1" t="n"/>
      <c r="AN85" s="1" t="n"/>
      <c r="AO85" s="1" t="n"/>
      <c r="AP85" s="1" t="n"/>
      <c r="AR85" s="503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E85" s="1" t="n"/>
      <c r="BF85" s="373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EC85" s="343" t="n"/>
    </row>
    <row r="86" ht="18" customHeight="1" thickBot="1">
      <c r="A86" s="447" t="inlineStr">
        <is>
          <t>Comparativo 5 vs 10</t>
        </is>
      </c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4" t="n"/>
      <c r="AC86" s="1" t="n"/>
      <c r="AD86" s="1" t="n"/>
      <c r="AE86" s="1" t="n"/>
      <c r="AF86" s="1" t="n"/>
      <c r="AG86" s="1" t="n"/>
      <c r="AH86" s="1" t="n"/>
      <c r="AI86" s="507" t="n"/>
      <c r="AJ86" s="1" t="n"/>
      <c r="AL86" s="1" t="n"/>
      <c r="AM86" s="1" t="n"/>
      <c r="AN86" s="1" t="n"/>
      <c r="AO86" s="1" t="n"/>
      <c r="AP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321" t="n"/>
      <c r="BE86" s="1" t="n"/>
      <c r="BF86" s="373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32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32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283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32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EC86" s="343" t="n"/>
    </row>
    <row r="87" ht="10.8" customHeight="1" thickBot="1">
      <c r="A87" s="2" t="n"/>
      <c r="B87" s="2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08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1" t="n"/>
      <c r="CN87" s="51" t="n"/>
      <c r="CO87" s="51" t="n"/>
      <c r="CP87" s="51" t="n"/>
      <c r="CQ87" s="51" t="n"/>
      <c r="CR87" s="51" t="n"/>
      <c r="CS87" s="51" t="n"/>
      <c r="CT87" s="51" t="n"/>
      <c r="CU87" s="51" t="n"/>
      <c r="CV87" s="51" t="n"/>
      <c r="CW87" s="51" t="n"/>
      <c r="CX87" s="51" t="n"/>
      <c r="CY87" s="51" t="n"/>
      <c r="CZ87" s="51" t="n"/>
      <c r="DA87" s="51" t="n"/>
      <c r="DB87" s="51" t="n"/>
      <c r="DC87" s="51" t="n"/>
      <c r="DD87" s="51" t="n"/>
      <c r="DE87" s="51" t="n"/>
      <c r="DF87" s="51" t="n"/>
      <c r="DG87" s="51" t="n"/>
      <c r="DH87" s="51" t="n"/>
      <c r="DI87" s="51" t="n"/>
      <c r="DJ87" s="51" t="n"/>
      <c r="DK87" s="51" t="n"/>
      <c r="DL87" s="51" t="n"/>
      <c r="DM87" s="51" t="n"/>
      <c r="DN87" s="51" t="n"/>
      <c r="DO87" s="51" t="n"/>
      <c r="DP87" s="51" t="n"/>
      <c r="DQ87" s="51" t="n"/>
      <c r="DR87" s="51" t="n"/>
      <c r="DS87" s="51" t="n"/>
      <c r="DT87" s="51" t="n"/>
      <c r="DU87" s="51" t="n"/>
      <c r="DV87" s="51" t="n"/>
      <c r="DW87" s="51" t="n"/>
      <c r="DX87" s="51" t="n"/>
      <c r="DY87" s="51" t="n"/>
      <c r="DZ87" s="51" t="n"/>
      <c r="EA87" s="51" t="n"/>
      <c r="EB87" s="51" t="n"/>
      <c r="EC87" s="344" t="n"/>
      <c r="ED87" s="51" t="n"/>
      <c r="EE87" s="51" t="n"/>
      <c r="EF87" s="51" t="n"/>
      <c r="EG87" s="51" t="n"/>
      <c r="EH87" s="51" t="n"/>
      <c r="EI87" s="51" t="n"/>
      <c r="EJ87" s="51" t="n"/>
      <c r="EK87" s="51" t="n"/>
      <c r="EL87" s="51" t="n"/>
      <c r="EM87" s="51" t="n"/>
      <c r="EN87" s="51" t="n"/>
      <c r="EO87" s="51" t="n"/>
      <c r="EP87" s="51" t="n"/>
      <c r="EQ87" s="51" t="n"/>
      <c r="ER87" s="51" t="n"/>
      <c r="ES87" s="51" t="n"/>
      <c r="ET87" s="51" t="n"/>
      <c r="EU87" s="51" t="n"/>
      <c r="EV87" s="51" t="n"/>
      <c r="EW87" s="51" t="n"/>
      <c r="EX87" s="51" t="n"/>
      <c r="EY87" s="51" t="n"/>
      <c r="EZ87" s="51" t="n"/>
      <c r="FA87" s="51" t="n"/>
      <c r="FB87" s="51" t="n"/>
      <c r="FC87" s="51" t="n"/>
      <c r="FD87" s="51" t="n"/>
      <c r="FE87" s="51" t="n"/>
      <c r="FF87" s="51" t="n"/>
      <c r="FG87" s="51" t="n"/>
      <c r="FH87" s="51" t="n"/>
      <c r="FI87" s="51" t="n"/>
      <c r="FJ87" s="51" t="n"/>
      <c r="FK87" s="51" t="n"/>
      <c r="FL87" s="51" t="n"/>
      <c r="FM87" s="51" t="n"/>
      <c r="FN87" s="51" t="n"/>
      <c r="FO87" s="51" t="n"/>
      <c r="FP87" s="51" t="n"/>
      <c r="FQ87" s="51" t="n"/>
      <c r="FR87" s="51" t="n"/>
      <c r="FS87" s="51" t="n"/>
      <c r="FT87" s="51" t="n"/>
      <c r="FU87" s="51" t="n"/>
      <c r="FV87" s="51" t="n"/>
      <c r="FW87" s="51" t="n"/>
      <c r="FX87" s="51" t="n"/>
      <c r="FY87" s="51" t="n"/>
      <c r="FZ87" s="51" t="n"/>
      <c r="GA87" s="51" t="n"/>
      <c r="GB87" s="51" t="n"/>
      <c r="GC87" s="51" t="n"/>
      <c r="GD87" s="51" t="n"/>
      <c r="GE87" s="51" t="n"/>
      <c r="GF87" s="51" t="n"/>
      <c r="GG87" s="51" t="n"/>
      <c r="GH87" s="51" t="n"/>
      <c r="GI87" s="51" t="n"/>
      <c r="GJ87" s="51" t="n"/>
      <c r="GK87" s="51" t="n"/>
      <c r="GL87" s="51" t="n"/>
      <c r="GM87" s="51" t="n"/>
      <c r="GN87" s="51" t="n"/>
      <c r="GO87" s="51" t="n"/>
      <c r="GP87" s="51" t="n"/>
      <c r="GQ87" s="51" t="n"/>
      <c r="GR87" s="51" t="n"/>
      <c r="GS87" s="51" t="n"/>
      <c r="GT87" s="51" t="n"/>
      <c r="GU87" s="51" t="n"/>
      <c r="GV87" s="51" t="n"/>
      <c r="GW87" s="51" t="n"/>
      <c r="GX87" s="51" t="n"/>
      <c r="GY87" s="51" t="n"/>
      <c r="GZ87" s="51" t="n"/>
      <c r="HA87" s="51" t="n"/>
      <c r="HB87" s="51" t="n"/>
      <c r="HC87" s="51" t="n"/>
      <c r="HD87" s="51" t="n"/>
      <c r="HE87" s="51" t="n"/>
      <c r="HF87" s="51" t="n"/>
      <c r="HG87" s="51" t="n"/>
      <c r="HH87" s="51" t="n"/>
      <c r="HI87" s="51" t="n"/>
      <c r="HJ87" s="51" t="n"/>
      <c r="HK87" s="51" t="n"/>
      <c r="HL87" s="51" t="n"/>
      <c r="HM87" s="51" t="n"/>
      <c r="HN87" s="51" t="n"/>
      <c r="HO87" s="51" t="n"/>
      <c r="HP87" s="51" t="n"/>
      <c r="HQ87" s="51" t="n"/>
      <c r="HR87" s="51" t="n"/>
      <c r="HS87" s="51" t="n"/>
      <c r="HT87" s="51" t="n"/>
      <c r="HU87" s="51" t="n"/>
    </row>
    <row r="88" ht="15" customHeight="1" thickBot="1">
      <c r="A88" s="3" t="inlineStr">
        <is>
          <t xml:space="preserve">Fluxo de Caixa </t>
        </is>
      </c>
      <c r="B88" s="509" t="n"/>
      <c r="C88" s="4" t="n"/>
      <c r="D88" s="107" t="n"/>
      <c r="E88" s="107" t="n"/>
      <c r="F88" s="107" t="n"/>
      <c r="G88" s="107" t="n"/>
      <c r="H88" s="107" t="n"/>
      <c r="I88" s="107" t="n"/>
      <c r="J88" s="253" t="n"/>
      <c r="K88" s="254" t="n"/>
      <c r="L88" s="258" t="n"/>
      <c r="M88" s="501" t="n"/>
      <c r="X88" s="502" t="n"/>
      <c r="Y88" s="502" t="n"/>
      <c r="Z88" s="502" t="n"/>
      <c r="AA88" s="502" t="n"/>
      <c r="AB88" s="502" t="n"/>
      <c r="AC88" s="502" t="n"/>
      <c r="AD88" s="502" t="n"/>
      <c r="AE88" s="502" t="n"/>
      <c r="AF88" s="502" t="n"/>
      <c r="AG88" s="502" t="n"/>
      <c r="AH88" s="51" t="n"/>
      <c r="AI88" s="230" t="n"/>
      <c r="AJ88" s="5" t="n"/>
      <c r="AK88" s="152" t="n"/>
      <c r="AL88" s="152" t="n"/>
      <c r="AM88" s="152" t="n"/>
      <c r="AN88" s="152" t="n"/>
      <c r="AO88" s="152" t="n"/>
      <c r="AP88" s="152" t="n"/>
      <c r="AQ88" s="152" t="n"/>
      <c r="AR88" s="152" t="n"/>
      <c r="AS88" s="152" t="n"/>
      <c r="AT88" s="152" t="n"/>
      <c r="AU88" s="152" t="n"/>
      <c r="AV88" s="152" t="n"/>
      <c r="AW88" s="152" t="n"/>
      <c r="AX88" s="152" t="n"/>
      <c r="AY88" s="152" t="n"/>
      <c r="AZ88" s="152" t="n"/>
      <c r="BA88" s="152" t="n"/>
      <c r="BB88" s="152" t="n"/>
      <c r="BC88" s="152" t="n"/>
      <c r="BD88" s="285" t="n"/>
      <c r="BE88" s="152" t="n"/>
      <c r="BF88" s="152" t="n"/>
      <c r="BG88" s="152" t="n"/>
      <c r="BH88" s="152" t="n"/>
      <c r="BI88" s="152" t="n"/>
      <c r="BJ88" s="152" t="n"/>
      <c r="BK88" s="152" t="n"/>
      <c r="BL88" s="152" t="n"/>
      <c r="BM88" s="152" t="n"/>
      <c r="BN88" s="152" t="n"/>
      <c r="BO88" s="152" t="n"/>
      <c r="BP88" s="285" t="n"/>
      <c r="BQ88" s="152" t="n"/>
      <c r="BR88" s="152" t="n"/>
      <c r="BS88" s="152" t="n"/>
      <c r="BT88" s="152" t="n"/>
      <c r="BU88" s="152" t="n"/>
      <c r="BV88" s="152" t="n"/>
      <c r="BW88" s="152" t="n"/>
      <c r="BX88" s="152" t="n"/>
      <c r="BY88" s="152" t="n"/>
      <c r="BZ88" s="152" t="n"/>
      <c r="CA88" s="152" t="n"/>
      <c r="CB88" s="285" t="n"/>
      <c r="CC88" s="152" t="n"/>
      <c r="CD88" s="152" t="n"/>
      <c r="CE88" s="152" t="n"/>
      <c r="CF88" s="152" t="n"/>
      <c r="CG88" s="152" t="n"/>
      <c r="CH88" s="152" t="n"/>
      <c r="CI88" s="152" t="n"/>
      <c r="CJ88" s="152" t="n"/>
      <c r="CK88" s="152" t="n"/>
      <c r="CL88" s="152" t="n"/>
      <c r="CM88" s="152" t="n"/>
      <c r="CN88" s="285" t="n"/>
      <c r="CO88" s="152" t="n"/>
      <c r="CP88" s="152" t="n"/>
      <c r="CQ88" s="152" t="n"/>
      <c r="CR88" s="152" t="n"/>
      <c r="CS88" s="152" t="n"/>
      <c r="CT88" s="152" t="n"/>
      <c r="CU88" s="152" t="n"/>
      <c r="CV88" s="152" t="n"/>
      <c r="CW88" s="152" t="n"/>
      <c r="CX88" s="152" t="n"/>
      <c r="CY88" s="152" t="n"/>
      <c r="CZ88" s="285" t="n"/>
      <c r="DA88" s="152" t="n"/>
      <c r="DB88" s="152" t="n"/>
      <c r="DC88" s="152" t="n"/>
      <c r="DD88" s="152" t="n"/>
      <c r="DE88" s="152" t="n"/>
      <c r="DF88" s="152" t="n"/>
      <c r="DG88" s="152" t="n"/>
      <c r="DH88" s="152" t="n"/>
      <c r="DI88" s="152" t="n"/>
      <c r="DJ88" s="152" t="n"/>
      <c r="DK88" s="152" t="n"/>
      <c r="DL88" s="152" t="n"/>
      <c r="DM88" s="152" t="n"/>
      <c r="DN88" s="152" t="n"/>
      <c r="DO88" s="152" t="n"/>
      <c r="DP88" s="152" t="n"/>
      <c r="DQ88" s="152" t="n"/>
      <c r="DR88" s="152" t="n"/>
      <c r="DS88" s="152" t="n"/>
      <c r="DT88" s="152" t="n"/>
      <c r="DU88" s="152" t="n"/>
      <c r="DV88" s="152" t="n"/>
      <c r="DW88" s="152" t="n"/>
      <c r="DX88" s="152" t="n"/>
      <c r="DY88" s="152" t="n"/>
      <c r="DZ88" s="152" t="n"/>
      <c r="EA88" s="152" t="n"/>
      <c r="EB88" s="152" t="n"/>
      <c r="EC88" s="152" t="n"/>
      <c r="ED88" s="152" t="n"/>
      <c r="EE88" s="152" t="n"/>
      <c r="EF88" s="152" t="n"/>
      <c r="EG88" s="152" t="n"/>
      <c r="EH88" s="152" t="n"/>
      <c r="EI88" s="152" t="n"/>
      <c r="EJ88" s="152" t="n"/>
      <c r="EK88" s="152" t="n"/>
      <c r="EL88" s="152" t="n"/>
      <c r="EM88" s="152" t="n"/>
      <c r="EN88" s="152" t="n"/>
      <c r="EO88" s="152" t="n"/>
      <c r="EP88" s="152" t="n"/>
      <c r="EQ88" s="152" t="n"/>
      <c r="ER88" s="152" t="n"/>
      <c r="ES88" s="152" t="n"/>
      <c r="ET88" s="152" t="n"/>
      <c r="EU88" s="152" t="n"/>
      <c r="EV88" s="152" t="n"/>
      <c r="EW88" s="152" t="n"/>
      <c r="EX88" s="152" t="n"/>
      <c r="EY88" s="152" t="n"/>
      <c r="EZ88" s="152" t="n"/>
      <c r="FA88" s="152" t="n"/>
      <c r="FB88" s="152" t="n"/>
      <c r="FC88" s="152" t="n"/>
      <c r="FD88" s="152" t="n"/>
      <c r="FE88" s="152" t="n"/>
      <c r="FF88" s="152" t="n"/>
      <c r="FG88" s="152" t="n"/>
      <c r="FH88" s="152" t="n"/>
      <c r="FI88" s="152" t="n"/>
      <c r="FJ88" s="152" t="n"/>
      <c r="FK88" s="152" t="n"/>
      <c r="FL88" s="152" t="n"/>
      <c r="FM88" s="152" t="n"/>
      <c r="FN88" s="152" t="n"/>
      <c r="FO88" s="152" t="n"/>
      <c r="FP88" s="152" t="n"/>
      <c r="FQ88" s="152" t="n"/>
      <c r="FR88" s="152" t="n"/>
      <c r="FS88" s="152" t="n"/>
      <c r="FT88" s="152" t="n"/>
      <c r="FU88" s="152" t="n"/>
      <c r="FV88" s="152" t="n"/>
      <c r="FW88" s="152" t="n"/>
      <c r="FX88" s="152" t="n"/>
      <c r="FY88" s="152" t="n"/>
      <c r="FZ88" s="152" t="n"/>
      <c r="GA88" s="152" t="n"/>
      <c r="GB88" s="152" t="n"/>
      <c r="GC88" s="152" t="n"/>
      <c r="GD88" s="152" t="n"/>
      <c r="GE88" s="152" t="n"/>
      <c r="GF88" s="152" t="n"/>
      <c r="GG88" s="152" t="n"/>
      <c r="GH88" s="152" t="n"/>
      <c r="GI88" s="152" t="n"/>
      <c r="GJ88" s="152" t="n"/>
      <c r="GK88" s="152" t="n"/>
      <c r="GL88" s="152" t="n"/>
      <c r="GM88" s="152" t="n"/>
      <c r="GN88" s="152" t="n"/>
      <c r="GO88" s="152" t="n"/>
      <c r="GP88" s="152" t="n"/>
      <c r="GQ88" s="152" t="n"/>
      <c r="GR88" s="152" t="n"/>
      <c r="GS88" s="152" t="n"/>
      <c r="GT88" s="152" t="n"/>
      <c r="GU88" s="152" t="n"/>
      <c r="GV88" s="152" t="n"/>
      <c r="GW88" s="152" t="n"/>
      <c r="GX88" s="152" t="n"/>
      <c r="GY88" s="152" t="n"/>
      <c r="GZ88" s="152" t="n"/>
      <c r="HA88" s="152" t="n"/>
      <c r="HB88" s="152" t="n"/>
      <c r="HC88" s="152" t="n"/>
      <c r="HD88" s="152" t="n"/>
      <c r="HE88" s="152" t="n"/>
      <c r="HF88" s="152" t="n"/>
      <c r="HG88" s="152" t="n"/>
      <c r="HH88" s="152" t="n"/>
      <c r="HI88" s="152" t="n"/>
      <c r="HJ88" s="152" t="n"/>
      <c r="HK88" s="152" t="n"/>
      <c r="HL88" s="152" t="n"/>
      <c r="HM88" s="152" t="n"/>
      <c r="HN88" s="152" t="n"/>
      <c r="HO88" s="152" t="n"/>
      <c r="HP88" s="152" t="n"/>
      <c r="HQ88" s="152" t="n"/>
      <c r="HR88" s="152" t="n"/>
      <c r="HS88" s="152" t="n"/>
      <c r="HT88" s="152" t="n"/>
      <c r="HU88" s="152" t="n"/>
    </row>
    <row r="89" ht="10.8" customHeight="1" thickTop="1">
      <c r="A89" s="1" t="n"/>
      <c r="B89" s="510" t="n"/>
      <c r="C89" s="6" t="n"/>
      <c r="D89" s="6" t="n"/>
      <c r="E89" s="6" t="n"/>
      <c r="F89" s="6" t="n"/>
      <c r="G89" s="6" t="n"/>
      <c r="H89" s="6" t="n"/>
      <c r="I89" s="6" t="n"/>
      <c r="J89" s="206" t="n"/>
      <c r="K89" s="6" t="n"/>
      <c r="L89" s="6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  <c r="AA89" s="207" t="n"/>
      <c r="AB89" s="207" t="n"/>
      <c r="AC89" s="207" t="n"/>
      <c r="AD89" s="207" t="n"/>
      <c r="AE89" s="207" t="n"/>
      <c r="AF89" s="207" t="n"/>
      <c r="AG89" s="207" t="n"/>
      <c r="AH89" s="199" t="n"/>
      <c r="AI89" s="231" t="n"/>
      <c r="AJ89" s="199" t="n"/>
      <c r="AK89" s="270" t="n"/>
      <c r="AL89" s="270" t="n"/>
      <c r="AM89" s="270" t="n"/>
      <c r="AN89" s="270" t="n"/>
      <c r="AO89" s="270" t="n"/>
      <c r="AP89" s="270" t="n"/>
      <c r="AQ89" s="270" t="n"/>
      <c r="AR89" s="270" t="n"/>
      <c r="AS89" s="270" t="n"/>
      <c r="AT89" s="270" t="n"/>
      <c r="AU89" s="270" t="n"/>
      <c r="AV89" s="270" t="n"/>
      <c r="AW89" s="270" t="n"/>
      <c r="AX89" s="270" t="n"/>
      <c r="AY89" s="270" t="n"/>
      <c r="AZ89" s="270" t="n"/>
      <c r="BA89" s="270" t="n"/>
      <c r="BB89" s="270" t="n"/>
      <c r="BC89" s="270" t="n"/>
      <c r="BD89" s="270" t="n"/>
      <c r="BE89" s="270" t="n"/>
      <c r="BF89" s="270" t="n"/>
      <c r="BG89" s="270" t="n"/>
      <c r="BH89" s="270" t="n"/>
      <c r="BI89" s="270" t="n"/>
      <c r="BJ89" s="270" t="n"/>
      <c r="BK89" s="270" t="n"/>
      <c r="BL89" s="270" t="n"/>
      <c r="BM89" s="270" t="n"/>
      <c r="BN89" s="270" t="n"/>
      <c r="BO89" s="270" t="n"/>
      <c r="BP89" s="270" t="n"/>
      <c r="BQ89" s="270" t="n"/>
      <c r="BR89" s="270" t="n"/>
      <c r="BS89" s="270" t="n"/>
      <c r="BT89" s="270" t="n"/>
      <c r="BU89" s="270" t="n"/>
      <c r="BV89" s="270" t="n"/>
      <c r="BW89" s="270" t="n"/>
      <c r="BX89" s="270" t="n"/>
      <c r="BY89" s="270" t="n"/>
      <c r="BZ89" s="270" t="n"/>
      <c r="CA89" s="270" t="n"/>
      <c r="CB89" s="270" t="n"/>
      <c r="CC89" s="270" t="n"/>
      <c r="CD89" s="270" t="n"/>
      <c r="CE89" s="270" t="n"/>
      <c r="CF89" s="270" t="n"/>
      <c r="CG89" s="270" t="n"/>
      <c r="CH89" s="270" t="n"/>
      <c r="CI89" s="270" t="n"/>
      <c r="CJ89" s="270" t="n"/>
      <c r="CK89" s="270" t="n"/>
      <c r="CL89" s="270" t="n"/>
      <c r="CM89" s="270" t="n"/>
      <c r="CN89" s="270" t="n"/>
      <c r="CO89" s="270" t="n"/>
      <c r="CP89" s="270" t="n"/>
      <c r="CQ89" s="270" t="n"/>
      <c r="CR89" s="270" t="n"/>
      <c r="CS89" s="270" t="n"/>
      <c r="CT89" s="270" t="n"/>
      <c r="CU89" s="270" t="n"/>
      <c r="CV89" s="270" t="n"/>
      <c r="CW89" s="270" t="n"/>
      <c r="CX89" s="270" t="n"/>
      <c r="CY89" s="270" t="n"/>
      <c r="CZ89" s="270" t="n"/>
      <c r="DA89" s="270" t="n"/>
      <c r="DB89" s="270" t="n"/>
      <c r="DC89" s="270" t="n"/>
      <c r="DD89" s="270" t="n"/>
      <c r="DE89" s="270" t="n"/>
      <c r="DF89" s="270" t="n"/>
      <c r="DG89" s="270" t="n"/>
      <c r="DH89" s="270" t="n"/>
      <c r="DI89" s="270" t="n"/>
      <c r="DJ89" s="270" t="n"/>
      <c r="DK89" s="270" t="n"/>
      <c r="DL89" s="270" t="n"/>
      <c r="DM89" s="270" t="n"/>
      <c r="DN89" s="270" t="n"/>
      <c r="DO89" s="270" t="n"/>
      <c r="DP89" s="270" t="n"/>
      <c r="DQ89" s="270" t="n"/>
      <c r="DR89" s="270" t="n"/>
      <c r="DS89" s="270" t="n"/>
      <c r="DT89" s="270" t="n"/>
      <c r="DU89" s="270" t="n"/>
      <c r="DV89" s="270" t="n"/>
      <c r="DW89" s="270" t="n"/>
      <c r="DX89" s="270" t="n"/>
      <c r="DY89" s="270" t="n"/>
      <c r="DZ89" s="270" t="n"/>
      <c r="EA89" s="270" t="n"/>
      <c r="EB89" s="270" t="n"/>
      <c r="EC89" s="270" t="n"/>
      <c r="ED89" s="270" t="n"/>
      <c r="EE89" s="270" t="n"/>
      <c r="EF89" s="270" t="n"/>
      <c r="EG89" s="270" t="n"/>
      <c r="EH89" s="270" t="n"/>
      <c r="EI89" s="270" t="n"/>
      <c r="EJ89" s="270" t="n"/>
      <c r="EK89" s="270" t="n"/>
      <c r="EL89" s="270" t="n"/>
      <c r="EM89" s="270" t="n"/>
      <c r="EN89" s="270" t="n"/>
      <c r="EO89" s="270" t="n"/>
      <c r="EP89" s="270" t="n"/>
      <c r="EQ89" s="270" t="n"/>
      <c r="ER89" s="270" t="n"/>
      <c r="ES89" s="270" t="n"/>
      <c r="ET89" s="270" t="n"/>
      <c r="EU89" s="270" t="n"/>
      <c r="EV89" s="270" t="n"/>
      <c r="EW89" s="270" t="n"/>
      <c r="EX89" s="270" t="n"/>
      <c r="EY89" s="270" t="n"/>
      <c r="EZ89" s="270" t="n"/>
      <c r="FA89" s="270" t="n"/>
      <c r="FB89" s="270" t="n"/>
      <c r="FC89" s="270" t="n"/>
      <c r="FD89" s="270" t="n"/>
      <c r="FE89" s="270" t="n"/>
      <c r="FF89" s="270" t="n"/>
      <c r="FG89" s="270" t="n"/>
      <c r="FH89" s="270" t="n"/>
      <c r="FI89" s="270" t="n"/>
      <c r="FJ89" s="270" t="n"/>
      <c r="FK89" s="270" t="n"/>
      <c r="FL89" s="270" t="n"/>
      <c r="FM89" s="270" t="n"/>
      <c r="FN89" s="270" t="n"/>
      <c r="FO89" s="270" t="n"/>
      <c r="FP89" s="270" t="n"/>
      <c r="FQ89" s="270" t="n"/>
      <c r="FR89" s="270" t="n"/>
      <c r="FS89" s="270" t="n"/>
      <c r="FT89" s="270" t="n"/>
      <c r="FU89" s="270" t="n"/>
      <c r="FV89" s="270" t="n"/>
      <c r="FW89" s="270" t="n"/>
      <c r="FX89" s="270" t="n"/>
      <c r="FY89" s="270" t="n"/>
      <c r="FZ89" s="270" t="n"/>
      <c r="GA89" s="270" t="n"/>
      <c r="GB89" s="270" t="n"/>
      <c r="GC89" s="270" t="n"/>
      <c r="GD89" s="270" t="n"/>
      <c r="GE89" s="270" t="n"/>
      <c r="GF89" s="270" t="n"/>
      <c r="GG89" s="270" t="n"/>
      <c r="GH89" s="270" t="n"/>
      <c r="GI89" s="270" t="n"/>
      <c r="GJ89" s="270" t="n"/>
      <c r="GK89" s="270" t="n"/>
      <c r="GL89" s="270" t="n"/>
      <c r="GM89" s="270" t="n"/>
      <c r="GN89" s="270" t="n"/>
      <c r="GO89" s="270" t="n"/>
      <c r="GP89" s="270" t="n"/>
      <c r="GQ89" s="270" t="n"/>
      <c r="GR89" s="270" t="n"/>
      <c r="GS89" s="270" t="n"/>
      <c r="GT89" s="270" t="n"/>
      <c r="GU89" s="270" t="n"/>
      <c r="GV89" s="270" t="n"/>
      <c r="GW89" s="270" t="n"/>
      <c r="GX89" s="270" t="n"/>
      <c r="GY89" s="270" t="n"/>
      <c r="GZ89" s="270" t="n"/>
      <c r="HA89" s="270" t="n"/>
      <c r="HB89" s="270" t="n"/>
      <c r="HC89" s="270" t="n"/>
      <c r="HD89" s="270" t="n"/>
      <c r="HE89" s="270" t="n"/>
      <c r="HF89" s="270" t="n"/>
      <c r="HG89" s="270" t="n"/>
      <c r="HH89" s="270" t="n"/>
      <c r="HI89" s="270" t="n"/>
      <c r="HJ89" s="270" t="n"/>
      <c r="HK89" s="270" t="n"/>
      <c r="HL89" s="270" t="n"/>
      <c r="HM89" s="270" t="n"/>
      <c r="HN89" s="270" t="n"/>
      <c r="HO89" s="270" t="n"/>
      <c r="HP89" s="270" t="n"/>
      <c r="HQ89" s="270" t="n"/>
      <c r="HR89" s="270" t="n"/>
      <c r="HS89" s="270" t="n"/>
      <c r="HT89" s="270" t="n"/>
      <c r="HU89" s="270" t="n"/>
    </row>
    <row r="90">
      <c r="A90" s="1" t="n"/>
      <c r="B90" s="128" t="n"/>
      <c r="C90" s="66" t="n"/>
      <c r="D90" s="66" t="n"/>
      <c r="E90" s="66" t="n"/>
      <c r="F90" s="66" t="n"/>
      <c r="G90" s="66" t="n"/>
      <c r="H90" s="66" t="n"/>
      <c r="I90" s="66" t="n"/>
      <c r="J90" s="153" t="n"/>
      <c r="K90" s="66" t="n"/>
      <c r="L90" s="66" t="n"/>
      <c r="M90" s="154" t="n"/>
      <c r="N90" s="154" t="n"/>
      <c r="O90" s="154" t="n"/>
      <c r="P90" s="154" t="n"/>
      <c r="Q90" s="154" t="n"/>
      <c r="R90" s="154" t="n"/>
      <c r="S90" s="154" t="n"/>
      <c r="T90" s="154" t="n"/>
      <c r="U90" s="154" t="n"/>
      <c r="V90" s="154" t="n"/>
      <c r="W90" s="154" t="n"/>
      <c r="X90" s="154" t="n"/>
      <c r="Y90" s="154" t="n"/>
      <c r="Z90" s="154" t="n"/>
      <c r="AA90" s="154" t="n"/>
      <c r="AB90" s="154" t="n"/>
      <c r="AC90" s="154" t="n"/>
      <c r="AD90" s="154" t="n"/>
      <c r="AE90" s="154" t="n"/>
      <c r="AF90" s="154" t="n"/>
      <c r="AG90" s="154" t="n"/>
      <c r="AH90" s="1" t="n"/>
      <c r="AI90" s="232" t="n"/>
      <c r="AJ90" s="1" t="n"/>
      <c r="AK90" s="66" t="n"/>
      <c r="AL90" s="66" t="n"/>
      <c r="AM90" s="66" t="n"/>
      <c r="AN90" s="66" t="n"/>
      <c r="AO90" s="66" t="n"/>
      <c r="AP90" s="90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286" t="n"/>
      <c r="BE90" s="66" t="n"/>
      <c r="BF90" s="66" t="n"/>
      <c r="BG90" s="66" t="n"/>
      <c r="BH90" s="66" t="n"/>
      <c r="BI90" s="66" t="n"/>
      <c r="BJ90" s="66" t="n"/>
      <c r="BK90" s="66" t="n"/>
      <c r="BL90" s="66" t="n"/>
      <c r="BM90" s="66" t="n"/>
      <c r="BN90" s="66" t="n"/>
      <c r="BO90" s="66" t="n"/>
      <c r="BP90" s="286" t="n"/>
      <c r="BQ90" s="66" t="n"/>
      <c r="BR90" s="66" t="n"/>
      <c r="BS90" s="66" t="n"/>
      <c r="BT90" s="66" t="n"/>
      <c r="BU90" s="66" t="n"/>
      <c r="BV90" s="66" t="n"/>
      <c r="BW90" s="66" t="n"/>
      <c r="BX90" s="66" t="n"/>
      <c r="BY90" s="66" t="n"/>
      <c r="BZ90" s="66" t="n"/>
      <c r="CA90" s="66" t="n"/>
      <c r="CB90" s="286" t="n"/>
      <c r="CC90" s="66" t="n"/>
      <c r="CD90" s="66" t="n"/>
      <c r="CE90" s="66" t="n"/>
      <c r="CF90" s="66" t="n"/>
      <c r="CG90" s="66" t="n"/>
      <c r="CH90" s="66" t="n"/>
      <c r="CI90" s="66" t="n"/>
      <c r="CJ90" s="66" t="n"/>
      <c r="CK90" s="66" t="n"/>
      <c r="CL90" s="66" t="n"/>
      <c r="CM90" s="66" t="n"/>
      <c r="CN90" s="286" t="n"/>
      <c r="CO90" s="66" t="n"/>
      <c r="CP90" s="66" t="n"/>
      <c r="CQ90" s="66" t="n"/>
      <c r="CR90" s="66" t="n"/>
      <c r="CS90" s="66" t="n"/>
      <c r="CT90" s="66" t="n"/>
      <c r="CU90" s="66" t="n"/>
      <c r="CV90" s="66" t="n"/>
      <c r="CW90" s="66" t="n"/>
      <c r="CX90" s="66" t="n"/>
      <c r="CY90" s="66" t="n"/>
      <c r="CZ90" s="286" t="n"/>
      <c r="DA90" s="66" t="n"/>
      <c r="DB90" s="66" t="n"/>
      <c r="DC90" s="66" t="n"/>
      <c r="DD90" s="66" t="n"/>
      <c r="DE90" s="66" t="n"/>
      <c r="DF90" s="66" t="n"/>
      <c r="DG90" s="66" t="n"/>
      <c r="DH90" s="66" t="n"/>
      <c r="DI90" s="66" t="n"/>
      <c r="DJ90" s="66" t="n"/>
      <c r="DK90" s="66" t="n"/>
      <c r="DL90" s="66" t="n"/>
      <c r="DM90" s="66" t="n"/>
      <c r="DN90" s="66" t="n"/>
      <c r="DO90" s="66" t="n"/>
      <c r="DP90" s="66" t="n"/>
      <c r="DQ90" s="66" t="n"/>
      <c r="DR90" s="66" t="n"/>
      <c r="DS90" s="66" t="n"/>
      <c r="DT90" s="66" t="n"/>
      <c r="DU90" s="66" t="n"/>
      <c r="DV90" s="66" t="n"/>
      <c r="DW90" s="66" t="n"/>
      <c r="DX90" s="66" t="n"/>
      <c r="DY90" s="66" t="n"/>
      <c r="DZ90" s="66" t="n"/>
      <c r="EA90" s="66" t="n"/>
      <c r="EB90" s="66" t="n"/>
      <c r="EC90" s="66" t="n"/>
      <c r="ED90" s="66" t="n"/>
      <c r="EE90" s="66" t="n"/>
      <c r="EF90" s="66" t="n"/>
      <c r="EG90" s="66" t="n"/>
      <c r="EH90" s="66" t="n"/>
      <c r="EI90" s="66" t="n"/>
      <c r="EJ90" s="66" t="n"/>
      <c r="EK90" s="66" t="n"/>
      <c r="EL90" s="66" t="n"/>
      <c r="EM90" s="66" t="n"/>
      <c r="EN90" s="66" t="n"/>
      <c r="EO90" s="66" t="n"/>
      <c r="EP90" s="66" t="n"/>
      <c r="EQ90" s="66" t="n"/>
      <c r="ER90" s="66" t="n"/>
      <c r="ES90" s="66" t="n"/>
      <c r="ET90" s="66" t="n"/>
      <c r="EU90" s="66" t="n"/>
      <c r="EV90" s="66" t="n"/>
      <c r="EW90" s="66" t="n"/>
      <c r="EX90" s="66" t="n"/>
      <c r="EY90" s="66" t="n"/>
      <c r="EZ90" s="66" t="n"/>
      <c r="FA90" s="66" t="n"/>
      <c r="FB90" s="66" t="n"/>
      <c r="FC90" s="66" t="n"/>
      <c r="FD90" s="66" t="n"/>
      <c r="FE90" s="66" t="n"/>
      <c r="FF90" s="66" t="n"/>
      <c r="FG90" s="66" t="n"/>
      <c r="FH90" s="66" t="n"/>
      <c r="FI90" s="66" t="n"/>
      <c r="FJ90" s="66" t="n"/>
      <c r="FK90" s="66" t="n"/>
      <c r="FL90" s="66" t="n"/>
      <c r="FM90" s="66" t="n"/>
      <c r="FN90" s="66" t="n"/>
      <c r="FO90" s="66" t="n"/>
      <c r="FP90" s="66" t="n"/>
      <c r="FQ90" s="66" t="n"/>
      <c r="FR90" s="66" t="n"/>
      <c r="FS90" s="66" t="n"/>
      <c r="FT90" s="66" t="n"/>
      <c r="FU90" s="66" t="n"/>
      <c r="FV90" s="66" t="n"/>
      <c r="FW90" s="66" t="n"/>
      <c r="FX90" s="66" t="n"/>
      <c r="FY90" s="66" t="n"/>
      <c r="FZ90" s="66" t="n"/>
      <c r="GA90" s="66" t="n"/>
      <c r="GB90" s="66" t="n"/>
      <c r="GC90" s="66" t="n"/>
      <c r="GD90" s="66" t="n"/>
      <c r="GE90" s="66" t="n"/>
      <c r="GF90" s="66" t="n"/>
      <c r="GG90" s="66" t="n"/>
      <c r="GH90" s="66" t="n"/>
      <c r="GI90" s="66" t="n"/>
      <c r="GJ90" s="66" t="n"/>
      <c r="GK90" s="66" t="n"/>
      <c r="GL90" s="66" t="n"/>
      <c r="GM90" s="66" t="n"/>
      <c r="GN90" s="66" t="n"/>
      <c r="GO90" s="66" t="n"/>
      <c r="GP90" s="66" t="n"/>
      <c r="GQ90" s="66" t="n"/>
      <c r="GR90" s="66" t="n"/>
      <c r="GS90" s="66" t="n"/>
      <c r="GT90" s="66" t="n"/>
      <c r="GU90" s="66" t="n"/>
      <c r="GV90" s="66" t="n"/>
      <c r="GW90" s="66" t="n"/>
      <c r="GX90" s="66" t="n"/>
      <c r="GY90" s="66" t="n"/>
      <c r="GZ90" s="66" t="n"/>
      <c r="HA90" s="66" t="n"/>
      <c r="HB90" s="66" t="n"/>
      <c r="HC90" s="66" t="n"/>
      <c r="HD90" s="66" t="n"/>
      <c r="HE90" s="66" t="n"/>
      <c r="HF90" s="66" t="n"/>
      <c r="HG90" s="66" t="n"/>
      <c r="HH90" s="66" t="n"/>
      <c r="HI90" s="66" t="n"/>
      <c r="HJ90" s="66" t="n"/>
      <c r="HK90" s="66" t="n"/>
      <c r="HL90" s="66" t="n"/>
      <c r="HM90" s="66" t="n"/>
      <c r="HN90" s="66" t="n"/>
      <c r="HO90" s="66" t="n"/>
      <c r="HP90" s="66" t="n"/>
      <c r="HQ90" s="66" t="n"/>
      <c r="HR90" s="66" t="n"/>
      <c r="HS90" s="66" t="n"/>
      <c r="HT90" s="66" t="n"/>
      <c r="HU90" s="66" t="n"/>
    </row>
    <row r="91" ht="16.2" customFormat="1" customHeight="1" s="259">
      <c r="A91" s="65" t="inlineStr">
        <is>
          <t>RECEITAS</t>
        </is>
      </c>
      <c r="B91" s="129" t="n"/>
      <c r="C91" s="70" t="n"/>
      <c r="D91" s="70" t="n"/>
      <c r="E91" s="70" t="n"/>
      <c r="F91" s="70" t="n"/>
      <c r="G91" s="70" t="n"/>
      <c r="H91" s="70" t="n"/>
      <c r="I91" s="70" t="n"/>
      <c r="J91" s="155" t="n"/>
      <c r="K91" s="70" t="n"/>
      <c r="L91" s="70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198" t="n"/>
      <c r="AI91" s="233" t="n"/>
      <c r="AJ91" s="198" t="n"/>
      <c r="AK91" s="70" t="n"/>
      <c r="AL91" s="70" t="n"/>
      <c r="AM91" s="70" t="n"/>
      <c r="AN91" s="70" t="n"/>
      <c r="AO91" s="70" t="n"/>
      <c r="AP91" s="70" t="n"/>
      <c r="AQ91" s="70" t="n"/>
      <c r="AR91" s="70" t="n"/>
      <c r="AS91" s="70" t="n"/>
      <c r="AT91" s="70" t="n"/>
      <c r="AU91" s="70" t="n"/>
      <c r="AV91" s="70" t="n"/>
      <c r="AW91" s="70" t="n"/>
      <c r="AX91" s="70" t="n"/>
      <c r="AY91" s="70" t="n"/>
      <c r="AZ91" s="70" t="n"/>
      <c r="BA91" s="70" t="n"/>
      <c r="BB91" s="70" t="n"/>
      <c r="BC91" s="70" t="n"/>
      <c r="BD91" s="287" t="n"/>
      <c r="BE91" s="70" t="n"/>
      <c r="BF91" s="70" t="n"/>
      <c r="BG91" s="70" t="n"/>
      <c r="BH91" s="70" t="n"/>
      <c r="BI91" s="70" t="n"/>
      <c r="BJ91" s="70" t="n"/>
      <c r="BK91" s="70" t="n"/>
      <c r="BL91" s="70" t="n"/>
      <c r="BM91" s="70" t="n"/>
      <c r="BN91" s="70" t="n"/>
      <c r="BO91" s="70" t="n"/>
      <c r="BP91" s="287" t="n"/>
      <c r="BQ91" s="70" t="n"/>
      <c r="BR91" s="70" t="n"/>
      <c r="BS91" s="70" t="n"/>
      <c r="BT91" s="70" t="n"/>
      <c r="BU91" s="70" t="n"/>
      <c r="BV91" s="70" t="n"/>
      <c r="BW91" s="70" t="n"/>
      <c r="BX91" s="70" t="n"/>
      <c r="BY91" s="70" t="n"/>
      <c r="BZ91" s="70" t="n"/>
      <c r="CA91" s="70" t="n"/>
      <c r="CB91" s="287" t="n"/>
      <c r="CC91" s="70" t="n"/>
      <c r="CD91" s="70" t="n"/>
      <c r="CE91" s="70" t="n"/>
      <c r="CF91" s="70" t="n"/>
      <c r="CG91" s="70" t="n"/>
      <c r="CH91" s="70" t="n"/>
      <c r="CI91" s="70" t="n"/>
      <c r="CJ91" s="70" t="n"/>
      <c r="CK91" s="70" t="n"/>
      <c r="CL91" s="70" t="n"/>
      <c r="CM91" s="70" t="n"/>
      <c r="CN91" s="287" t="n"/>
      <c r="CO91" s="70" t="n"/>
      <c r="CP91" s="70" t="n"/>
      <c r="CQ91" s="70" t="n"/>
      <c r="CR91" s="70" t="n"/>
      <c r="CS91" s="70" t="n"/>
      <c r="CT91" s="70" t="n"/>
      <c r="CU91" s="70" t="n"/>
      <c r="CV91" s="70" t="n"/>
      <c r="CW91" s="70" t="n"/>
      <c r="CX91" s="70" t="n"/>
      <c r="CY91" s="70" t="n"/>
      <c r="CZ91" s="287" t="n"/>
      <c r="DA91" s="70" t="n"/>
      <c r="DB91" s="70" t="n"/>
      <c r="DC91" s="70" t="n"/>
      <c r="DD91" s="70" t="n"/>
      <c r="DE91" s="70" t="n"/>
      <c r="DF91" s="70" t="n"/>
      <c r="DG91" s="70" t="n"/>
      <c r="DH91" s="70" t="n"/>
      <c r="DI91" s="70" t="n"/>
      <c r="DJ91" s="70" t="n"/>
      <c r="DK91" s="70" t="n"/>
      <c r="DL91" s="70" t="n"/>
      <c r="DM91" s="70" t="n"/>
      <c r="DN91" s="70" t="n"/>
      <c r="DO91" s="70" t="n"/>
      <c r="DP91" s="70" t="n"/>
      <c r="DQ91" s="70" t="n"/>
      <c r="DR91" s="70" t="n"/>
      <c r="DS91" s="70" t="n"/>
      <c r="DT91" s="70" t="n"/>
      <c r="DU91" s="70" t="n"/>
      <c r="DV91" s="70" t="n"/>
      <c r="DW91" s="70" t="n"/>
      <c r="DX91" s="70" t="n"/>
      <c r="DY91" s="70" t="n"/>
      <c r="DZ91" s="70" t="n"/>
      <c r="EA91" s="70" t="n"/>
      <c r="EB91" s="70" t="n"/>
      <c r="EC91" s="70" t="n"/>
      <c r="ED91" s="70" t="n"/>
      <c r="EE91" s="70" t="n"/>
      <c r="EF91" s="70" t="n"/>
      <c r="EG91" s="70" t="n"/>
      <c r="EH91" s="70" t="n"/>
      <c r="EI91" s="70" t="n"/>
      <c r="EJ91" s="70" t="n"/>
      <c r="EK91" s="70" t="n"/>
      <c r="EL91" s="70" t="n"/>
      <c r="EM91" s="70" t="n"/>
      <c r="EN91" s="70" t="n"/>
      <c r="EO91" s="70" t="n"/>
      <c r="EP91" s="70" t="n"/>
      <c r="EQ91" s="70" t="n"/>
      <c r="ER91" s="70" t="n"/>
      <c r="ES91" s="70" t="n"/>
      <c r="ET91" s="70" t="n"/>
      <c r="EU91" s="70" t="n"/>
      <c r="EV91" s="70" t="n"/>
      <c r="EW91" s="70" t="n"/>
      <c r="EX91" s="70" t="n"/>
      <c r="EY91" s="70" t="n"/>
      <c r="EZ91" s="70" t="n"/>
      <c r="FA91" s="70" t="n"/>
      <c r="FB91" s="70" t="n"/>
      <c r="FC91" s="70" t="n"/>
      <c r="FD91" s="70" t="n"/>
      <c r="FE91" s="70" t="n"/>
      <c r="FF91" s="70" t="n"/>
      <c r="FG91" s="70" t="n"/>
      <c r="FH91" s="70" t="n"/>
      <c r="FI91" s="70" t="n"/>
      <c r="FJ91" s="70" t="n"/>
      <c r="FK91" s="70" t="n"/>
      <c r="FL91" s="70" t="n"/>
      <c r="FM91" s="70" t="n"/>
      <c r="FN91" s="70" t="n"/>
      <c r="FO91" s="70" t="n"/>
      <c r="FP91" s="70" t="n"/>
      <c r="FQ91" s="70" t="n"/>
      <c r="FR91" s="70" t="n"/>
      <c r="FS91" s="70" t="n"/>
      <c r="FT91" s="70" t="n"/>
      <c r="FU91" s="70" t="n"/>
      <c r="FV91" s="70" t="n"/>
      <c r="FW91" s="70" t="n"/>
      <c r="FX91" s="70" t="n"/>
      <c r="FY91" s="70" t="n"/>
      <c r="FZ91" s="70" t="n"/>
      <c r="GA91" s="70" t="n"/>
      <c r="GB91" s="70" t="n"/>
      <c r="GC91" s="70" t="n"/>
      <c r="GD91" s="70" t="n"/>
      <c r="GE91" s="70" t="n"/>
      <c r="GF91" s="70" t="n"/>
      <c r="GG91" s="70" t="n"/>
      <c r="GH91" s="70" t="n"/>
      <c r="GI91" s="70" t="n"/>
      <c r="GJ91" s="70" t="n"/>
      <c r="GK91" s="70" t="n"/>
      <c r="GL91" s="70" t="n"/>
      <c r="GM91" s="70" t="n"/>
      <c r="GN91" s="70" t="n"/>
      <c r="GO91" s="70" t="n"/>
      <c r="GP91" s="70" t="n"/>
      <c r="GQ91" s="70" t="n"/>
      <c r="GR91" s="70" t="n"/>
      <c r="GS91" s="70" t="n"/>
      <c r="GT91" s="70" t="n"/>
      <c r="GU91" s="70" t="n"/>
      <c r="GV91" s="70" t="n"/>
      <c r="GW91" s="70" t="n"/>
      <c r="GX91" s="70" t="n"/>
      <c r="GY91" s="70" t="n"/>
      <c r="GZ91" s="70" t="n"/>
      <c r="HA91" s="70" t="n"/>
      <c r="HB91" s="70" t="n"/>
      <c r="HC91" s="70" t="n"/>
      <c r="HD91" s="70" t="n"/>
      <c r="HE91" s="70" t="n"/>
      <c r="HF91" s="70" t="n"/>
      <c r="HG91" s="70" t="n"/>
      <c r="HH91" s="70" t="n"/>
      <c r="HI91" s="70" t="n"/>
      <c r="HJ91" s="70" t="n"/>
      <c r="HK91" s="70" t="n"/>
      <c r="HL91" s="70" t="n"/>
      <c r="HM91" s="70" t="n"/>
      <c r="HN91" s="70" t="n"/>
      <c r="HO91" s="70" t="n"/>
      <c r="HP91" s="70" t="n"/>
      <c r="HQ91" s="70" t="n"/>
      <c r="HR91" s="70" t="n"/>
      <c r="HS91" s="70" t="n"/>
      <c r="HT91" s="70" t="n"/>
      <c r="HU91" s="70" t="n"/>
    </row>
    <row r="92" ht="16.2" customHeight="1">
      <c r="A92" s="54" t="inlineStr">
        <is>
          <t>ITBI</t>
        </is>
      </c>
      <c r="B92" s="130" t="n"/>
      <c r="C92" s="67" t="n"/>
      <c r="D92" s="69" t="n"/>
      <c r="E92" s="67" t="n"/>
      <c r="F92" s="67" t="n"/>
      <c r="G92" s="67" t="n"/>
      <c r="H92" s="67" t="n"/>
      <c r="I92" s="68" t="n"/>
      <c r="J92" s="209" t="n"/>
      <c r="K92" s="120" t="n"/>
      <c r="L92" s="511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  <c r="AA92" s="210" t="n"/>
      <c r="AB92" s="210" t="n"/>
      <c r="AC92" s="210" t="n"/>
      <c r="AD92" s="210" t="n"/>
      <c r="AE92" s="210" t="n"/>
      <c r="AF92" s="210" t="n"/>
      <c r="AG92" s="210" t="n"/>
      <c r="AH92" s="71" t="n"/>
      <c r="AI92" s="342" t="n"/>
      <c r="AJ92" s="71" t="n"/>
      <c r="AK92" s="330" t="n"/>
      <c r="AL92" s="330" t="n"/>
      <c r="AM92" s="330" t="n"/>
      <c r="AN92" s="330" t="n"/>
      <c r="AO92" s="330" t="n"/>
      <c r="AP92" s="330" t="n"/>
      <c r="AQ92" s="330" t="n"/>
      <c r="AR92" s="330" t="n"/>
      <c r="AS92" s="330" t="n"/>
      <c r="AT92" s="330" t="n"/>
      <c r="AU92" s="330" t="n"/>
      <c r="AV92" s="330" t="n"/>
      <c r="AW92" s="330" t="n"/>
      <c r="AX92" s="330" t="n"/>
      <c r="AY92" s="330" t="n"/>
      <c r="AZ92" s="330" t="n"/>
      <c r="BA92" s="330" t="n"/>
      <c r="BB92" s="330" t="n"/>
      <c r="BC92" s="330" t="n"/>
      <c r="BD92" s="330" t="n"/>
      <c r="BE92" s="330" t="n"/>
      <c r="BF92" s="330" t="n"/>
      <c r="BG92" s="330" t="n"/>
      <c r="BH92" s="330" t="n"/>
      <c r="BI92" s="330" t="n"/>
      <c r="BJ92" s="330" t="n"/>
      <c r="BK92" s="330" t="n"/>
      <c r="BL92" s="330" t="n"/>
      <c r="BM92" s="330" t="n"/>
      <c r="BN92" s="330" t="n"/>
      <c r="BO92" s="330" t="n"/>
      <c r="BP92" s="330" t="n"/>
      <c r="BQ92" s="330" t="n"/>
      <c r="BR92" s="330" t="n"/>
      <c r="BS92" s="330" t="n"/>
      <c r="BT92" s="330" t="n"/>
      <c r="BU92" s="330" t="n"/>
      <c r="BV92" s="330" t="n"/>
      <c r="BW92" s="330" t="n"/>
      <c r="BX92" s="330" t="n"/>
      <c r="BY92" s="330" t="n"/>
      <c r="BZ92" s="330" t="n"/>
      <c r="CA92" s="330" t="n"/>
      <c r="CB92" s="330" t="n"/>
      <c r="CC92" s="330" t="n"/>
      <c r="CD92" s="330" t="n"/>
      <c r="CE92" s="330" t="n"/>
      <c r="CF92" s="330" t="n"/>
      <c r="CG92" s="330" t="n"/>
      <c r="CH92" s="330" t="n"/>
      <c r="CI92" s="330" t="n"/>
      <c r="CJ92" s="330" t="n"/>
      <c r="CK92" s="330" t="n"/>
      <c r="CL92" s="330" t="n"/>
      <c r="CM92" s="330" t="n"/>
      <c r="CN92" s="330" t="n"/>
      <c r="CO92" s="330" t="n"/>
      <c r="CP92" s="330" t="n"/>
      <c r="CQ92" s="330" t="n"/>
      <c r="CR92" s="330" t="n"/>
      <c r="CS92" s="330" t="n"/>
      <c r="CT92" s="330" t="n"/>
      <c r="CU92" s="330" t="n"/>
      <c r="CV92" s="330" t="n"/>
      <c r="CW92" s="330" t="n"/>
      <c r="CX92" s="330" t="n"/>
      <c r="CY92" s="330" t="n"/>
      <c r="CZ92" s="330" t="n"/>
      <c r="DA92" s="330" t="n"/>
      <c r="DB92" s="330" t="n"/>
      <c r="DC92" s="330" t="n"/>
      <c r="DD92" s="330" t="n"/>
      <c r="DE92" s="330" t="n"/>
      <c r="DF92" s="330" t="n"/>
      <c r="DG92" s="330" t="n"/>
      <c r="DH92" s="330" t="n"/>
      <c r="DI92" s="330" t="n"/>
      <c r="DJ92" s="330" t="n"/>
      <c r="DK92" s="330" t="n"/>
      <c r="DL92" s="330" t="n"/>
      <c r="DM92" s="330" t="n"/>
      <c r="DN92" s="330" t="n"/>
      <c r="DO92" s="330" t="n"/>
      <c r="DP92" s="330" t="n"/>
      <c r="DQ92" s="330" t="n"/>
      <c r="DR92" s="330" t="n"/>
      <c r="DS92" s="330" t="n"/>
      <c r="DT92" s="330" t="n"/>
      <c r="DU92" s="330" t="n"/>
      <c r="DV92" s="330" t="n"/>
      <c r="DW92" s="330" t="n"/>
      <c r="DX92" s="330" t="n"/>
      <c r="DY92" s="330" t="n"/>
      <c r="DZ92" s="330" t="n"/>
      <c r="EA92" s="330" t="n"/>
      <c r="EB92" s="330" t="n"/>
      <c r="EC92" s="330" t="n"/>
      <c r="ED92" s="330" t="n"/>
      <c r="EE92" s="330" t="n"/>
      <c r="EF92" s="330" t="n"/>
      <c r="EG92" s="330" t="n"/>
      <c r="EH92" s="330" t="n"/>
      <c r="EI92" s="330" t="n"/>
      <c r="EJ92" s="330" t="n"/>
      <c r="EK92" s="330" t="n"/>
      <c r="EL92" s="330" t="n"/>
      <c r="EM92" s="330" t="n"/>
      <c r="EN92" s="330" t="n"/>
      <c r="EO92" s="330" t="n"/>
      <c r="EP92" s="330" t="n"/>
      <c r="EQ92" s="330" t="n"/>
      <c r="ER92" s="330" t="n"/>
      <c r="ES92" s="330" t="n"/>
      <c r="ET92" s="330" t="n"/>
      <c r="EU92" s="330" t="n"/>
      <c r="EV92" s="330" t="n"/>
      <c r="EW92" s="330" t="n"/>
      <c r="EX92" s="330" t="n"/>
      <c r="EY92" s="330" t="n"/>
      <c r="EZ92" s="330" t="n"/>
      <c r="FA92" s="330" t="n"/>
      <c r="FB92" s="330" t="n"/>
      <c r="FC92" s="330" t="n"/>
      <c r="FD92" s="330" t="n"/>
      <c r="FE92" s="330" t="n"/>
      <c r="FF92" s="330" t="n"/>
      <c r="FG92" s="330" t="n"/>
      <c r="FH92" s="330" t="n"/>
      <c r="FI92" s="330" t="n"/>
      <c r="FJ92" s="330" t="n"/>
      <c r="FK92" s="330" t="n"/>
      <c r="FL92" s="330" t="n"/>
      <c r="FM92" s="330" t="n"/>
      <c r="FN92" s="330" t="n"/>
      <c r="FO92" s="330" t="n"/>
      <c r="FP92" s="330" t="n"/>
      <c r="FQ92" s="330" t="n"/>
      <c r="FR92" s="330" t="n"/>
      <c r="FS92" s="330" t="n"/>
      <c r="FT92" s="330" t="n"/>
      <c r="FU92" s="330" t="n"/>
      <c r="FV92" s="330" t="n"/>
      <c r="FW92" s="330" t="n"/>
      <c r="FX92" s="330" t="n"/>
      <c r="FY92" s="330" t="n"/>
      <c r="FZ92" s="330" t="n"/>
      <c r="GA92" s="330" t="n"/>
      <c r="GB92" s="330" t="n"/>
      <c r="GC92" s="330" t="n"/>
      <c r="GD92" s="330" t="n"/>
      <c r="GE92" s="330" t="n"/>
      <c r="GF92" s="330" t="n"/>
      <c r="GG92" s="330" t="n"/>
      <c r="GH92" s="330" t="n"/>
      <c r="GI92" s="330" t="n"/>
      <c r="GJ92" s="330" t="n"/>
      <c r="GK92" s="330" t="n"/>
      <c r="GL92" s="330" t="n"/>
      <c r="GM92" s="330" t="n"/>
      <c r="GN92" s="330" t="n"/>
      <c r="GO92" s="330" t="n"/>
      <c r="GP92" s="330" t="n"/>
      <c r="GQ92" s="330" t="n"/>
      <c r="GR92" s="330" t="n"/>
      <c r="GS92" s="330" t="n"/>
      <c r="GT92" s="330" t="n"/>
      <c r="GU92" s="330" t="n"/>
      <c r="GV92" s="330" t="n"/>
      <c r="GW92" s="330" t="n"/>
      <c r="GX92" s="330" t="n"/>
      <c r="GY92" s="330" t="n"/>
      <c r="GZ92" s="330" t="n"/>
      <c r="HA92" s="330" t="n"/>
      <c r="HB92" s="330" t="n"/>
      <c r="HC92" s="330" t="n"/>
      <c r="HD92" s="330" t="n"/>
      <c r="HE92" s="330" t="n"/>
      <c r="HF92" s="330" t="n"/>
      <c r="HG92" s="330" t="n"/>
      <c r="HH92" s="330" t="n"/>
      <c r="HI92" s="330" t="n"/>
      <c r="HJ92" s="330" t="n"/>
      <c r="HK92" s="330" t="n"/>
      <c r="HL92" s="330" t="n"/>
      <c r="HM92" s="330" t="n"/>
      <c r="HN92" s="330" t="n"/>
      <c r="HO92" s="330" t="n"/>
      <c r="HP92" s="330" t="n"/>
      <c r="HQ92" s="330" t="n"/>
      <c r="HR92" s="330" t="n"/>
      <c r="HS92" s="330" t="n"/>
      <c r="HT92" s="330" t="n"/>
      <c r="HU92" s="330" t="n"/>
    </row>
    <row r="93" ht="16.2" customHeight="1">
      <c r="A93" s="329" t="inlineStr">
        <is>
          <t>Receitas Contratadas</t>
        </is>
      </c>
      <c r="B93" s="130" t="n"/>
      <c r="C93" s="85" t="n"/>
      <c r="D93" s="87" t="n"/>
      <c r="E93" s="85" t="n"/>
      <c r="F93" s="85" t="n"/>
      <c r="G93" s="85" t="n"/>
      <c r="H93" s="85" t="n"/>
      <c r="I93" s="86" t="n"/>
      <c r="J93" s="211" t="n"/>
      <c r="K93" s="117" t="n"/>
      <c r="L93" s="117" t="n"/>
      <c r="M93" s="212" t="n"/>
      <c r="N93" s="212" t="n"/>
      <c r="O93" s="212" t="n"/>
      <c r="P93" s="212" t="n"/>
      <c r="Q93" s="212" t="n"/>
      <c r="R93" s="212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  <c r="AE93" s="212" t="n"/>
      <c r="AF93" s="212" t="n"/>
      <c r="AG93" s="212" t="n"/>
      <c r="AH93" s="71" t="n"/>
      <c r="AI93" s="342" t="n"/>
      <c r="AJ93" s="71" t="n"/>
      <c r="AK93" s="69" t="n"/>
      <c r="AL93" s="330" t="n"/>
      <c r="AM93" s="330" t="n"/>
      <c r="AN93" s="330" t="n"/>
      <c r="AO93" s="330" t="n"/>
      <c r="AP93" s="330" t="n"/>
      <c r="AQ93" s="330" t="n"/>
      <c r="AR93" s="330" t="n"/>
      <c r="AS93" s="330" t="n"/>
      <c r="AT93" s="330" t="n"/>
      <c r="AU93" s="330" t="n"/>
      <c r="AV93" s="330" t="n"/>
      <c r="AW93" s="330" t="n"/>
      <c r="AX93" s="330" t="n"/>
      <c r="AY93" s="330" t="n"/>
      <c r="AZ93" s="330" t="n"/>
      <c r="BA93" s="330" t="n"/>
      <c r="BB93" s="330" t="n"/>
      <c r="BC93" s="330" t="n"/>
      <c r="BD93" s="330" t="n"/>
      <c r="BE93" s="330" t="n"/>
      <c r="BF93" s="330" t="n"/>
      <c r="BG93" s="330" t="n"/>
      <c r="BH93" s="330" t="n"/>
      <c r="BI93" s="330" t="n"/>
      <c r="BJ93" s="330" t="n"/>
      <c r="BK93" s="330" t="n"/>
      <c r="BL93" s="330" t="n"/>
      <c r="BM93" s="330" t="n"/>
      <c r="BN93" s="330" t="n"/>
      <c r="BO93" s="330" t="n"/>
      <c r="BP93" s="330" t="n"/>
      <c r="BQ93" s="330" t="n"/>
      <c r="BR93" s="330" t="n"/>
      <c r="BS93" s="330" t="n"/>
      <c r="BT93" s="330" t="n"/>
      <c r="BU93" s="330" t="n"/>
      <c r="BV93" s="330" t="n"/>
      <c r="BW93" s="330" t="n"/>
      <c r="BX93" s="330" t="n"/>
      <c r="BY93" s="330" t="n"/>
      <c r="BZ93" s="330" t="n"/>
      <c r="CA93" s="330" t="n"/>
      <c r="CB93" s="330" t="n"/>
      <c r="CC93" s="330" t="n"/>
      <c r="CD93" s="330" t="n"/>
      <c r="CE93" s="330" t="n"/>
      <c r="CF93" s="330" t="n"/>
      <c r="CG93" s="330" t="n"/>
      <c r="CH93" s="330" t="n"/>
      <c r="CI93" s="330" t="n"/>
      <c r="CJ93" s="330" t="n"/>
      <c r="CK93" s="330" t="n"/>
      <c r="CL93" s="330" t="n"/>
      <c r="CM93" s="330" t="n"/>
      <c r="CN93" s="330" t="n"/>
      <c r="CO93" s="330" t="n"/>
      <c r="CP93" s="330" t="n"/>
      <c r="CQ93" s="330" t="n"/>
      <c r="CR93" s="330" t="n"/>
      <c r="CS93" s="330" t="n"/>
      <c r="CT93" s="330" t="n"/>
      <c r="CU93" s="330" t="n"/>
      <c r="CV93" s="330" t="n"/>
      <c r="CW93" s="330" t="n"/>
      <c r="CX93" s="330" t="n"/>
      <c r="CY93" s="330" t="n"/>
      <c r="CZ93" s="330" t="n"/>
      <c r="DA93" s="330" t="n"/>
      <c r="DB93" s="330" t="n"/>
      <c r="DC93" s="330" t="n"/>
      <c r="DD93" s="330" t="n"/>
      <c r="DE93" s="330" t="n"/>
      <c r="DF93" s="330" t="n"/>
      <c r="DG93" s="330" t="n"/>
      <c r="DH93" s="330" t="n"/>
      <c r="DI93" s="330" t="n"/>
      <c r="DJ93" s="330" t="n"/>
      <c r="DK93" s="330" t="n"/>
      <c r="DL93" s="330" t="n"/>
      <c r="DM93" s="330" t="n"/>
      <c r="DN93" s="330" t="n"/>
      <c r="DO93" s="330" t="n"/>
      <c r="DP93" s="330" t="n"/>
      <c r="DQ93" s="330" t="n"/>
      <c r="DR93" s="330" t="n"/>
      <c r="DS93" s="330" t="n"/>
      <c r="DT93" s="330" t="n"/>
      <c r="DU93" s="330" t="n"/>
      <c r="DV93" s="330" t="n"/>
      <c r="DW93" s="330" t="n"/>
      <c r="DX93" s="330" t="n"/>
      <c r="DY93" s="330" t="n"/>
      <c r="DZ93" s="330" t="n"/>
      <c r="EA93" s="330" t="n"/>
      <c r="EB93" s="330" t="n"/>
      <c r="EC93" s="330" t="n"/>
      <c r="ED93" s="330" t="n"/>
      <c r="EE93" s="330" t="n"/>
      <c r="EF93" s="330" t="n"/>
      <c r="EG93" s="330" t="n"/>
      <c r="EH93" s="330" t="n"/>
      <c r="EI93" s="330" t="n"/>
      <c r="EJ93" s="330" t="n"/>
      <c r="EK93" s="330" t="n"/>
      <c r="EL93" s="330" t="n"/>
      <c r="EM93" s="330" t="n"/>
      <c r="EN93" s="330" t="n"/>
      <c r="EO93" s="330" t="n"/>
      <c r="EP93" s="330" t="n"/>
      <c r="EQ93" s="330" t="n"/>
      <c r="ER93" s="330" t="n"/>
      <c r="ES93" s="330" t="n"/>
      <c r="ET93" s="330" t="n"/>
      <c r="EU93" s="330" t="n"/>
      <c r="EV93" s="330" t="n"/>
      <c r="EW93" s="330" t="n"/>
      <c r="EX93" s="330" t="n"/>
      <c r="EY93" s="330" t="n"/>
      <c r="EZ93" s="330" t="n"/>
      <c r="FA93" s="330" t="n"/>
      <c r="FB93" s="330" t="n"/>
      <c r="FC93" s="330" t="n"/>
      <c r="FD93" s="330" t="n"/>
      <c r="FE93" s="330" t="n"/>
      <c r="FF93" s="330" t="n"/>
      <c r="FG93" s="330" t="n"/>
      <c r="FH93" s="330" t="n"/>
      <c r="FI93" s="330" t="n"/>
      <c r="FJ93" s="330" t="n"/>
      <c r="FK93" s="330" t="n"/>
      <c r="FL93" s="330" t="n"/>
      <c r="FM93" s="330" t="n"/>
      <c r="FN93" s="330" t="n"/>
      <c r="FO93" s="330" t="n"/>
      <c r="FP93" s="330" t="n"/>
      <c r="FQ93" s="330" t="n"/>
      <c r="FR93" s="330" t="n"/>
      <c r="FS93" s="330" t="n"/>
      <c r="FT93" s="330" t="n"/>
      <c r="FU93" s="330" t="n"/>
      <c r="FV93" s="330" t="n"/>
      <c r="FW93" s="330" t="n"/>
      <c r="FX93" s="330" t="n"/>
      <c r="FY93" s="330" t="n"/>
      <c r="FZ93" s="330" t="n"/>
      <c r="GA93" s="330" t="n"/>
      <c r="GB93" s="330" t="n"/>
      <c r="GC93" s="330" t="n"/>
      <c r="GD93" s="330" t="n"/>
      <c r="GE93" s="330" t="n"/>
      <c r="GF93" s="330" t="n"/>
      <c r="GG93" s="330" t="n"/>
      <c r="GH93" s="330" t="n"/>
      <c r="GI93" s="330" t="n"/>
      <c r="GJ93" s="330" t="n"/>
      <c r="GK93" s="330" t="n"/>
      <c r="GL93" s="330" t="n"/>
      <c r="GM93" s="330" t="n"/>
      <c r="GN93" s="330" t="n"/>
      <c r="GO93" s="330" t="n"/>
      <c r="GP93" s="330" t="n"/>
      <c r="GQ93" s="330" t="n"/>
      <c r="GR93" s="330" t="n"/>
      <c r="GS93" s="330" t="n"/>
      <c r="GT93" s="330" t="n"/>
      <c r="GU93" s="330" t="n"/>
      <c r="GV93" s="330" t="n"/>
      <c r="GW93" s="330" t="n"/>
      <c r="GX93" s="330" t="n"/>
      <c r="GY93" s="330" t="n"/>
      <c r="GZ93" s="330" t="n"/>
      <c r="HA93" s="330" t="n"/>
      <c r="HB93" s="330" t="n"/>
      <c r="HC93" s="330" t="n"/>
      <c r="HD93" s="330" t="n"/>
      <c r="HE93" s="330" t="n"/>
      <c r="HF93" s="330" t="n"/>
      <c r="HG93" s="330" t="n"/>
      <c r="HH93" s="330" t="n"/>
      <c r="HI93" s="330" t="n"/>
      <c r="HJ93" s="330" t="n"/>
      <c r="HK93" s="330" t="n"/>
      <c r="HL93" s="330" t="n"/>
      <c r="HM93" s="330" t="n"/>
      <c r="HN93" s="330" t="n"/>
      <c r="HO93" s="330" t="n"/>
      <c r="HP93" s="330" t="n"/>
      <c r="HQ93" s="330" t="n"/>
      <c r="HR93" s="330" t="n"/>
      <c r="HS93" s="330" t="n"/>
      <c r="HT93" s="330" t="n"/>
      <c r="HU93" s="330" t="n"/>
    </row>
    <row r="94" ht="7.2" customHeight="1">
      <c r="A94" s="1" t="n"/>
      <c r="B94" s="128" t="n"/>
      <c r="C94" s="1" t="n"/>
      <c r="D94" s="1" t="n"/>
      <c r="E94" s="1" t="n"/>
      <c r="F94" s="1" t="n"/>
      <c r="G94" s="1" t="n"/>
      <c r="H94" s="1" t="n"/>
      <c r="I94" s="1" t="n"/>
      <c r="J94" s="156" t="n"/>
      <c r="K94" s="1" t="n"/>
      <c r="L94" s="1" t="n"/>
      <c r="M94" s="157" t="n"/>
      <c r="N94" s="157" t="n"/>
      <c r="O94" s="157" t="n"/>
      <c r="P94" s="157" t="n"/>
      <c r="Q94" s="157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57" t="n"/>
      <c r="AC94" s="157" t="n"/>
      <c r="AD94" s="157" t="n"/>
      <c r="AE94" s="157" t="n"/>
      <c r="AF94" s="157" t="n"/>
      <c r="AG94" s="157" t="n"/>
      <c r="AH94" s="1" t="n"/>
      <c r="AI94" s="128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289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289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289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289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289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  <c r="EI94" s="1" t="n"/>
      <c r="EJ94" s="1" t="n"/>
      <c r="EK94" s="1" t="n"/>
      <c r="EL94" s="1" t="n"/>
      <c r="EM94" s="1" t="n"/>
      <c r="EN94" s="1" t="n"/>
      <c r="EO94" s="1" t="n"/>
      <c r="EP94" s="1" t="n"/>
      <c r="EQ94" s="1" t="n"/>
      <c r="ER94" s="1" t="n"/>
      <c r="ES94" s="1" t="n"/>
      <c r="ET94" s="1" t="n"/>
      <c r="EU94" s="1" t="n"/>
      <c r="EV94" s="1" t="n"/>
      <c r="EW94" s="1" t="n"/>
      <c r="EX94" s="1" t="n"/>
      <c r="EY94" s="1" t="n"/>
      <c r="EZ94" s="1" t="n"/>
      <c r="FA94" s="1" t="n"/>
      <c r="FB94" s="1" t="n"/>
      <c r="FC94" s="1" t="n"/>
      <c r="FD94" s="1" t="n"/>
      <c r="FE94" s="1" t="n"/>
      <c r="FF94" s="1" t="n"/>
      <c r="FG94" s="1" t="n"/>
      <c r="FH94" s="1" t="n"/>
      <c r="FI94" s="1" t="n"/>
      <c r="FJ94" s="1" t="n"/>
      <c r="FK94" s="1" t="n"/>
      <c r="FL94" s="1" t="n"/>
      <c r="FM94" s="1" t="n"/>
      <c r="FN94" s="1" t="n"/>
      <c r="FO94" s="1" t="n"/>
      <c r="FP94" s="1" t="n"/>
      <c r="FQ94" s="1" t="n"/>
      <c r="FR94" s="1" t="n"/>
      <c r="FS94" s="1" t="n"/>
      <c r="FT94" s="1" t="n"/>
      <c r="FU94" s="1" t="n"/>
      <c r="FV94" s="1" t="n"/>
      <c r="FW94" s="1" t="n"/>
      <c r="FX94" s="1" t="n"/>
      <c r="FY94" s="1" t="n"/>
      <c r="FZ94" s="1" t="n"/>
      <c r="GA94" s="1" t="n"/>
      <c r="GB94" s="1" t="n"/>
      <c r="GC94" s="1" t="n"/>
      <c r="GD94" s="1" t="n"/>
      <c r="GE94" s="1" t="n"/>
      <c r="GF94" s="1" t="n"/>
      <c r="GG94" s="1" t="n"/>
      <c r="GH94" s="1" t="n"/>
      <c r="GI94" s="1" t="n"/>
      <c r="GJ94" s="1" t="n"/>
      <c r="GK94" s="1" t="n"/>
      <c r="GL94" s="1" t="n"/>
      <c r="GM94" s="1" t="n"/>
      <c r="GN94" s="1" t="n"/>
      <c r="GO94" s="1" t="n"/>
      <c r="GP94" s="1" t="n"/>
      <c r="GQ94" s="1" t="n"/>
      <c r="GR94" s="1" t="n"/>
      <c r="GS94" s="1" t="n"/>
      <c r="GT94" s="1" t="n"/>
      <c r="GU94" s="1" t="n"/>
      <c r="GV94" s="1" t="n"/>
      <c r="GW94" s="1" t="n"/>
      <c r="GX94" s="1" t="n"/>
      <c r="GY94" s="1" t="n"/>
      <c r="GZ94" s="1" t="n"/>
      <c r="HA94" s="1" t="n"/>
      <c r="HB94" s="1" t="n"/>
      <c r="HC94" s="1" t="n"/>
      <c r="HD94" s="1" t="n"/>
      <c r="HE94" s="1" t="n"/>
      <c r="HF94" s="1" t="n"/>
      <c r="HG94" s="1" t="n"/>
      <c r="HH94" s="1" t="n"/>
      <c r="HI94" s="1" t="n"/>
      <c r="HJ94" s="1" t="n"/>
      <c r="HK94" s="1" t="n"/>
      <c r="HL94" s="1" t="n"/>
      <c r="HM94" s="1" t="n"/>
      <c r="HN94" s="1" t="n"/>
      <c r="HO94" s="1" t="n"/>
      <c r="HP94" s="1" t="n"/>
      <c r="HQ94" s="1" t="n"/>
      <c r="HR94" s="1" t="n"/>
      <c r="HS94" s="1" t="n"/>
      <c r="HT94" s="1" t="n"/>
      <c r="HU94" s="1" t="n"/>
    </row>
    <row r="95" ht="16.2" customFormat="1" customHeight="1" s="259">
      <c r="A95" s="65" t="inlineStr">
        <is>
          <t>PREVISÃO DE RECEITAS(ESTOQUE)</t>
        </is>
      </c>
      <c r="B95" s="129" t="n"/>
      <c r="C95" s="70" t="n"/>
      <c r="D95" s="70" t="n"/>
      <c r="E95" s="70" t="n"/>
      <c r="F95" s="70" t="n"/>
      <c r="G95" s="70" t="n"/>
      <c r="H95" s="70" t="n"/>
      <c r="I95" s="70" t="n"/>
      <c r="J95" s="155" t="n"/>
      <c r="K95" s="70" t="n"/>
      <c r="L95" s="70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198" t="n"/>
      <c r="AI95" s="233" t="n"/>
      <c r="AJ95" s="198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  <c r="BC95" s="70" t="n"/>
      <c r="BD95" s="287" t="n"/>
      <c r="BE95" s="70" t="n"/>
      <c r="BF95" s="70" t="n"/>
      <c r="BG95" s="70" t="n"/>
      <c r="BH95" s="70" t="n"/>
      <c r="BI95" s="70" t="n"/>
      <c r="BJ95" s="70" t="n"/>
      <c r="BK95" s="70" t="n"/>
      <c r="BL95" s="70" t="n"/>
      <c r="BM95" s="70" t="n"/>
      <c r="BN95" s="70" t="n"/>
      <c r="BO95" s="70" t="n"/>
      <c r="BP95" s="287" t="n"/>
      <c r="BQ95" s="70" t="n"/>
      <c r="BR95" s="70" t="n"/>
      <c r="BS95" s="70" t="n"/>
      <c r="BT95" s="70" t="n"/>
      <c r="BU95" s="70" t="n"/>
      <c r="BV95" s="70" t="n"/>
      <c r="BW95" s="70" t="n"/>
      <c r="BX95" s="70" t="n"/>
      <c r="BY95" s="70" t="n"/>
      <c r="BZ95" s="70" t="n"/>
      <c r="CA95" s="70" t="n"/>
      <c r="CB95" s="287" t="n"/>
      <c r="CC95" s="70" t="n"/>
      <c r="CD95" s="70" t="n"/>
      <c r="CE95" s="7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287" t="n"/>
      <c r="CO95" s="70" t="n"/>
      <c r="CP95" s="70" t="n"/>
      <c r="CQ95" s="70" t="n"/>
      <c r="CR95" s="70" t="n"/>
      <c r="CS95" s="70" t="n"/>
      <c r="CT95" s="70" t="n"/>
      <c r="CU95" s="70" t="n"/>
      <c r="CV95" s="70" t="n"/>
      <c r="CW95" s="70" t="n"/>
      <c r="CX95" s="70" t="n"/>
      <c r="CY95" s="70" t="n"/>
      <c r="CZ95" s="287" t="n"/>
      <c r="DA95" s="70" t="n"/>
      <c r="DB95" s="70" t="n"/>
      <c r="DC95" s="70" t="n"/>
      <c r="DD95" s="70" t="n"/>
      <c r="DE95" s="70" t="n"/>
      <c r="DF95" s="70" t="n"/>
      <c r="DG95" s="70" t="n"/>
      <c r="DH95" s="70" t="n"/>
      <c r="DI95" s="70" t="n"/>
      <c r="DJ95" s="70" t="n"/>
      <c r="DK95" s="70" t="n"/>
      <c r="DL95" s="70" t="n"/>
      <c r="DM95" s="70" t="n"/>
      <c r="DN95" s="70" t="n"/>
      <c r="DO95" s="70" t="n"/>
      <c r="DP95" s="70" t="n"/>
      <c r="DQ95" s="70" t="n"/>
      <c r="DR95" s="70" t="n"/>
      <c r="DS95" s="70" t="n"/>
      <c r="DT95" s="70" t="n"/>
      <c r="DU95" s="70" t="n"/>
      <c r="DV95" s="70" t="n"/>
      <c r="DW95" s="70" t="n"/>
      <c r="DX95" s="70" t="n"/>
      <c r="DY95" s="70" t="n"/>
      <c r="DZ95" s="70" t="n"/>
      <c r="EA95" s="70" t="n"/>
      <c r="EB95" s="70" t="n"/>
      <c r="EC95" s="70" t="n"/>
      <c r="ED95" s="70" t="n"/>
      <c r="EE95" s="70" t="n"/>
      <c r="EF95" s="70" t="n"/>
      <c r="EG95" s="70" t="n"/>
      <c r="EH95" s="70" t="n"/>
      <c r="EI95" s="70" t="n"/>
      <c r="EJ95" s="70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70" t="n"/>
      <c r="EU95" s="70" t="n"/>
      <c r="EV95" s="70" t="n"/>
      <c r="EW95" s="70" t="n"/>
      <c r="EX95" s="70" t="n"/>
      <c r="EY95" s="70" t="n"/>
      <c r="EZ95" s="70" t="n"/>
      <c r="FA95" s="70" t="n"/>
      <c r="FB95" s="70" t="n"/>
      <c r="FC95" s="70" t="n"/>
      <c r="FD95" s="70" t="n"/>
      <c r="FE95" s="70" t="n"/>
      <c r="FF95" s="70" t="n"/>
      <c r="FG95" s="70" t="n"/>
      <c r="FH95" s="70" t="n"/>
      <c r="FI95" s="70" t="n"/>
      <c r="FJ95" s="70" t="n"/>
      <c r="FK95" s="70" t="n"/>
      <c r="FL95" s="70" t="n"/>
      <c r="FM95" s="70" t="n"/>
      <c r="FN95" s="70" t="n"/>
      <c r="FO95" s="70" t="n"/>
      <c r="FP95" s="70" t="n"/>
      <c r="FQ95" s="70" t="n"/>
      <c r="FR95" s="70" t="n"/>
      <c r="FS95" s="70" t="n"/>
      <c r="FT95" s="70" t="n"/>
      <c r="FU95" s="70" t="n"/>
      <c r="FV95" s="70" t="n"/>
      <c r="FW95" s="70" t="n"/>
      <c r="FX95" s="70" t="n"/>
      <c r="FY95" s="70" t="n"/>
      <c r="FZ95" s="70" t="n"/>
      <c r="GA95" s="70" t="n"/>
      <c r="GB95" s="70" t="n"/>
      <c r="GC95" s="70" t="n"/>
      <c r="GD95" s="70" t="n"/>
      <c r="GE95" s="70" t="n"/>
      <c r="GF95" s="70" t="n"/>
      <c r="GG95" s="70" t="n"/>
      <c r="GH95" s="70" t="n"/>
      <c r="GI95" s="70" t="n"/>
      <c r="GJ95" s="70" t="n"/>
      <c r="GK95" s="70" t="n"/>
      <c r="GL95" s="70" t="n"/>
      <c r="GM95" s="70" t="n"/>
      <c r="GN95" s="70" t="n"/>
      <c r="GO95" s="70" t="n"/>
      <c r="GP95" s="70" t="n"/>
      <c r="GQ95" s="70" t="n"/>
      <c r="GR95" s="70" t="n"/>
      <c r="GS95" s="70" t="n"/>
      <c r="GT95" s="70" t="n"/>
      <c r="GU95" s="70" t="n"/>
      <c r="GV95" s="70" t="n"/>
      <c r="GW95" s="70" t="n"/>
      <c r="GX95" s="70" t="n"/>
      <c r="GY95" s="70" t="n"/>
      <c r="GZ95" s="70" t="n"/>
      <c r="HA95" s="70" t="n"/>
      <c r="HB95" s="70" t="n"/>
      <c r="HC95" s="70" t="n"/>
      <c r="HD95" s="70" t="n"/>
      <c r="HE95" s="70" t="n"/>
      <c r="HF95" s="70" t="n"/>
      <c r="HG95" s="70" t="n"/>
      <c r="HH95" s="70" t="n"/>
      <c r="HI95" s="70" t="n"/>
      <c r="HJ95" s="70" t="n"/>
      <c r="HK95" s="70" t="n"/>
      <c r="HL95" s="70" t="n"/>
      <c r="HM95" s="70" t="n"/>
      <c r="HN95" s="70" t="n"/>
      <c r="HO95" s="70" t="n"/>
      <c r="HP95" s="70" t="n"/>
      <c r="HQ95" s="70" t="n"/>
      <c r="HR95" s="70" t="n"/>
      <c r="HS95" s="70" t="n"/>
      <c r="HT95" s="70" t="n"/>
      <c r="HU95" s="70" t="n"/>
    </row>
    <row r="96" ht="16.2" customHeight="1" thickBot="1">
      <c r="A96" s="54" t="inlineStr">
        <is>
          <t>Vendas 05 Lotes a.m.</t>
        </is>
      </c>
      <c r="B96" s="130" t="n"/>
      <c r="C96" s="69" t="n"/>
      <c r="D96" s="69" t="n"/>
      <c r="E96" s="67" t="n"/>
      <c r="F96" s="67" t="n"/>
      <c r="G96" s="67" t="n"/>
      <c r="H96" s="67" t="n"/>
      <c r="I96" s="68" t="n"/>
      <c r="J96" s="213" t="n"/>
      <c r="K96" s="112" t="n"/>
      <c r="L96" s="112" t="n"/>
      <c r="M96" s="214" t="n"/>
      <c r="N96" s="214" t="n"/>
      <c r="O96" s="214" t="n"/>
      <c r="P96" s="214" t="n"/>
      <c r="Q96" s="214" t="n"/>
      <c r="R96" s="214" t="n"/>
      <c r="S96" s="214" t="n"/>
      <c r="T96" s="214" t="n"/>
      <c r="U96" s="214" t="n"/>
      <c r="V96" s="214" t="n"/>
      <c r="W96" s="214" t="n"/>
      <c r="X96" s="214" t="n"/>
      <c r="Y96" s="214" t="n"/>
      <c r="Z96" s="214" t="n"/>
      <c r="AA96" s="214" t="n"/>
      <c r="AB96" s="214" t="n"/>
      <c r="AC96" s="214" t="n"/>
      <c r="AD96" s="214" t="n"/>
      <c r="AE96" s="214" t="n"/>
      <c r="AF96" s="214" t="n"/>
      <c r="AG96" s="214" t="n"/>
      <c r="AH96" s="71" t="n"/>
      <c r="AI96" s="342" t="n"/>
      <c r="AJ96" s="71" t="n"/>
      <c r="AK96" s="68" t="n"/>
      <c r="AL96" s="68" t="n"/>
      <c r="AM96" s="68" t="n"/>
      <c r="AN96" s="68" t="n"/>
      <c r="AO96" s="68" t="n"/>
      <c r="AP96" s="68" t="n"/>
      <c r="AQ96" s="68" t="n"/>
      <c r="AR96" s="68" t="n"/>
      <c r="AS96" s="68" t="n"/>
      <c r="AT96" s="68" t="n"/>
      <c r="AU96" s="68" t="n"/>
      <c r="AV96" s="68" t="n"/>
      <c r="AW96" s="68" t="n"/>
      <c r="AX96" s="68" t="n"/>
      <c r="AY96" s="68" t="n"/>
      <c r="AZ96" s="68" t="n"/>
      <c r="BA96" s="68" t="n"/>
      <c r="BB96" s="68" t="n"/>
      <c r="BC96" s="68" t="n"/>
      <c r="BD96" s="68" t="n"/>
      <c r="BE96" s="68" t="n"/>
      <c r="BF96" s="68" t="n"/>
      <c r="BG96" s="68" t="n"/>
      <c r="BH96" s="68" t="n"/>
      <c r="BI96" s="68" t="n"/>
      <c r="BJ96" s="68" t="n"/>
      <c r="BK96" s="68" t="n"/>
      <c r="BL96" s="68" t="n"/>
      <c r="BM96" s="68" t="n"/>
      <c r="BN96" s="68" t="n"/>
      <c r="BO96" s="68" t="n"/>
      <c r="BP96" s="68" t="n"/>
      <c r="BQ96" s="68" t="n"/>
      <c r="BR96" s="68" t="n"/>
      <c r="BS96" s="68" t="n"/>
      <c r="BT96" s="68" t="n"/>
      <c r="BU96" s="68" t="n"/>
      <c r="BV96" s="68" t="n"/>
      <c r="BW96" s="68" t="n"/>
      <c r="BX96" s="68" t="n"/>
      <c r="BY96" s="68" t="n"/>
      <c r="BZ96" s="68" t="n"/>
      <c r="CA96" s="68" t="n"/>
      <c r="CB96" s="68" t="n"/>
      <c r="CC96" s="68" t="n"/>
      <c r="CD96" s="68" t="n"/>
      <c r="CE96" s="68" t="n"/>
      <c r="CF96" s="68" t="n"/>
      <c r="CG96" s="68" t="n"/>
      <c r="CH96" s="68" t="n"/>
      <c r="CI96" s="68" t="n"/>
      <c r="CJ96" s="68" t="n"/>
      <c r="CK96" s="68" t="n"/>
      <c r="CL96" s="68" t="n"/>
      <c r="CM96" s="68" t="n"/>
      <c r="CN96" s="68" t="n"/>
      <c r="CO96" s="68" t="n"/>
      <c r="CP96" s="68" t="n"/>
      <c r="CQ96" s="68" t="n"/>
      <c r="CR96" s="68" t="n"/>
      <c r="CS96" s="68" t="n"/>
      <c r="CT96" s="68" t="n"/>
      <c r="CU96" s="68" t="n"/>
      <c r="CV96" s="68" t="n"/>
      <c r="CW96" s="68" t="n"/>
      <c r="CX96" s="68" t="n"/>
      <c r="CY96" s="68" t="n"/>
      <c r="CZ96" s="68" t="n"/>
      <c r="DA96" s="68" t="n"/>
      <c r="DB96" s="68" t="n"/>
      <c r="DC96" s="68" t="n"/>
      <c r="DD96" s="68" t="n"/>
      <c r="DE96" s="68" t="n"/>
      <c r="DF96" s="68" t="n"/>
      <c r="DG96" s="68" t="n"/>
      <c r="DH96" s="68" t="n"/>
      <c r="DI96" s="68" t="n"/>
      <c r="DJ96" s="68" t="n"/>
      <c r="DK96" s="68" t="n"/>
      <c r="DL96" s="68" t="n"/>
      <c r="DM96" s="68" t="n"/>
      <c r="DN96" s="68" t="n"/>
      <c r="DO96" s="68" t="n"/>
      <c r="DP96" s="68" t="n"/>
      <c r="DQ96" s="68" t="n"/>
      <c r="DR96" s="68" t="n"/>
      <c r="DS96" s="68" t="n"/>
      <c r="DT96" s="68" t="n"/>
      <c r="DU96" s="68" t="n"/>
      <c r="DV96" s="68" t="n"/>
      <c r="DW96" s="68" t="n"/>
      <c r="DX96" s="68" t="n"/>
      <c r="DY96" s="68" t="n"/>
      <c r="DZ96" s="68" t="n"/>
      <c r="EA96" s="68" t="n"/>
      <c r="EB96" s="68" t="n"/>
      <c r="EC96" s="68" t="n"/>
      <c r="ED96" s="68" t="n"/>
      <c r="EE96" s="68" t="n"/>
      <c r="EF96" s="68" t="n"/>
      <c r="EG96" s="68" t="n"/>
      <c r="EH96" s="68" t="n"/>
      <c r="EI96" s="68" t="n"/>
      <c r="EJ96" s="68" t="n"/>
      <c r="EK96" s="68" t="n"/>
      <c r="EL96" s="68" t="n"/>
      <c r="EM96" s="68" t="n"/>
      <c r="EN96" s="68" t="n"/>
      <c r="EO96" s="68" t="n"/>
      <c r="EP96" s="68" t="n"/>
      <c r="EQ96" s="68" t="n"/>
      <c r="ER96" s="68" t="n"/>
      <c r="ES96" s="68" t="n"/>
      <c r="ET96" s="68" t="n"/>
      <c r="EU96" s="68" t="n"/>
      <c r="EV96" s="68" t="n"/>
      <c r="EW96" s="68" t="n"/>
      <c r="EX96" s="68" t="n"/>
      <c r="EY96" s="68" t="n"/>
      <c r="EZ96" s="68" t="n"/>
      <c r="FA96" s="68" t="n"/>
      <c r="FB96" s="68" t="n"/>
      <c r="FC96" s="68" t="n"/>
      <c r="FD96" s="68" t="n"/>
      <c r="FE96" s="68" t="n"/>
      <c r="FF96" s="68" t="n"/>
      <c r="FG96" s="68" t="n"/>
      <c r="FH96" s="68" t="n"/>
      <c r="FI96" s="68" t="n"/>
      <c r="FJ96" s="68" t="n"/>
      <c r="FK96" s="68" t="n"/>
      <c r="FL96" s="68" t="n"/>
      <c r="FM96" s="68" t="n"/>
      <c r="FN96" s="68" t="n"/>
      <c r="FO96" s="68" t="n"/>
      <c r="FP96" s="68" t="n"/>
      <c r="FQ96" s="68" t="n"/>
      <c r="FR96" s="68" t="n"/>
      <c r="FS96" s="68" t="n"/>
      <c r="FT96" s="68" t="n"/>
      <c r="FU96" s="68" t="n"/>
      <c r="FV96" s="68" t="n"/>
      <c r="FW96" s="68" t="n"/>
      <c r="FX96" s="68" t="n"/>
      <c r="FY96" s="68" t="n"/>
      <c r="FZ96" s="68" t="n"/>
      <c r="GA96" s="68" t="n"/>
      <c r="GB96" s="68" t="n"/>
      <c r="GC96" s="68" t="n"/>
      <c r="GD96" s="68" t="n"/>
      <c r="GE96" s="68" t="n"/>
      <c r="GF96" s="68" t="n"/>
      <c r="GG96" s="68" t="n"/>
      <c r="GH96" s="68" t="n"/>
      <c r="GI96" s="68" t="n"/>
      <c r="GJ96" s="68" t="n"/>
      <c r="GK96" s="68" t="n"/>
      <c r="GL96" s="68" t="n"/>
      <c r="GM96" s="68" t="n"/>
      <c r="GN96" s="68" t="n"/>
      <c r="GO96" s="68" t="n"/>
      <c r="GP96" s="68" t="n"/>
      <c r="GQ96" s="68" t="n"/>
      <c r="GR96" s="68" t="n"/>
      <c r="GS96" s="68" t="n"/>
      <c r="GT96" s="68" t="n"/>
      <c r="GU96" s="68" t="n"/>
      <c r="GV96" s="68" t="n"/>
      <c r="GW96" s="68" t="n"/>
      <c r="GX96" s="68" t="n"/>
      <c r="GY96" s="68" t="n"/>
      <c r="GZ96" s="68" t="n"/>
      <c r="HA96" s="68" t="n"/>
      <c r="HB96" s="68" t="n"/>
      <c r="HC96" s="68" t="n"/>
      <c r="HD96" s="68" t="n"/>
      <c r="HE96" s="68" t="n"/>
      <c r="HF96" s="68" t="n"/>
      <c r="HG96" s="68" t="n"/>
      <c r="HH96" s="68" t="n"/>
      <c r="HI96" s="68" t="n"/>
      <c r="HJ96" s="68" t="n"/>
      <c r="HK96" s="68" t="n"/>
      <c r="HL96" s="68" t="n"/>
      <c r="HM96" s="68" t="n"/>
      <c r="HN96" s="68" t="n"/>
      <c r="HO96" s="68" t="n"/>
      <c r="HP96" s="68" t="n"/>
      <c r="HQ96" s="68" t="n"/>
      <c r="HR96" s="68" t="n"/>
      <c r="HS96" s="68" t="n"/>
      <c r="HT96" s="68" t="n"/>
      <c r="HU96" s="67" t="n"/>
    </row>
    <row r="97" ht="7.2" customHeight="1" thickTop="1">
      <c r="A97" s="1" t="n"/>
      <c r="B97" s="128" t="n"/>
      <c r="C97" s="1" t="n"/>
      <c r="D97" s="1" t="n"/>
      <c r="E97" s="14" t="n"/>
      <c r="F97" s="14" t="n"/>
      <c r="G97" s="14" t="n"/>
      <c r="H97" s="14" t="n"/>
      <c r="I97" s="14" t="n"/>
      <c r="J97" s="156" t="n"/>
      <c r="K97" s="1" t="n"/>
      <c r="L97" s="1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7" t="n"/>
      <c r="AF97" s="157" t="n"/>
      <c r="AG97" s="157" t="n"/>
      <c r="AH97" s="1" t="n"/>
      <c r="AI97" s="128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289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289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289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289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289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  <c r="EI97" s="1" t="n"/>
      <c r="EJ97" s="1" t="n"/>
      <c r="EK97" s="1" t="n"/>
      <c r="EL97" s="1" t="n"/>
      <c r="EM97" s="1" t="n"/>
      <c r="EN97" s="1" t="n"/>
      <c r="EO97" s="1" t="n"/>
      <c r="EP97" s="1" t="n"/>
      <c r="EQ97" s="1" t="n"/>
      <c r="ER97" s="1" t="n"/>
      <c r="ES97" s="1" t="n"/>
      <c r="ET97" s="1" t="n"/>
      <c r="EU97" s="1" t="n"/>
      <c r="EV97" s="1" t="n"/>
      <c r="EW97" s="1" t="n"/>
      <c r="EX97" s="1" t="n"/>
      <c r="EY97" s="1" t="n"/>
      <c r="EZ97" s="1" t="n"/>
      <c r="FA97" s="1" t="n"/>
      <c r="FB97" s="1" t="n"/>
      <c r="FC97" s="1" t="n"/>
      <c r="FD97" s="1" t="n"/>
      <c r="FE97" s="1" t="n"/>
      <c r="FF97" s="1" t="n"/>
      <c r="FG97" s="1" t="n"/>
      <c r="FH97" s="1" t="n"/>
      <c r="FI97" s="1" t="n"/>
      <c r="FJ97" s="1" t="n"/>
      <c r="FK97" s="1" t="n"/>
      <c r="FL97" s="1" t="n"/>
      <c r="FM97" s="1" t="n"/>
      <c r="FN97" s="1" t="n"/>
      <c r="FO97" s="1" t="n"/>
      <c r="FP97" s="1" t="n"/>
      <c r="FQ97" s="1" t="n"/>
      <c r="FR97" s="1" t="n"/>
      <c r="FS97" s="1" t="n"/>
      <c r="FT97" s="1" t="n"/>
      <c r="FU97" s="1" t="n"/>
      <c r="FV97" s="1" t="n"/>
      <c r="FW97" s="1" t="n"/>
      <c r="FX97" s="1" t="n"/>
      <c r="FY97" s="1" t="n"/>
      <c r="FZ97" s="1" t="n"/>
      <c r="GA97" s="1" t="n"/>
      <c r="GB97" s="1" t="n"/>
      <c r="GC97" s="1" t="n"/>
      <c r="GD97" s="1" t="n"/>
      <c r="GE97" s="1" t="n"/>
      <c r="GF97" s="1" t="n"/>
      <c r="GG97" s="1" t="n"/>
      <c r="GH97" s="1" t="n"/>
      <c r="GI97" s="1" t="n"/>
      <c r="GJ97" s="1" t="n"/>
      <c r="GK97" s="1" t="n"/>
      <c r="GL97" s="1" t="n"/>
      <c r="GM97" s="1" t="n"/>
      <c r="GN97" s="1" t="n"/>
      <c r="GO97" s="1" t="n"/>
      <c r="GP97" s="1" t="n"/>
      <c r="GQ97" s="1" t="n"/>
      <c r="GR97" s="1" t="n"/>
      <c r="GS97" s="1" t="n"/>
      <c r="GT97" s="1" t="n"/>
      <c r="GU97" s="1" t="n"/>
      <c r="GV97" s="1" t="n"/>
      <c r="GW97" s="1" t="n"/>
      <c r="GX97" s="1" t="n"/>
      <c r="GY97" s="1" t="n"/>
      <c r="GZ97" s="1" t="n"/>
      <c r="HA97" s="1" t="n"/>
      <c r="HB97" s="1" t="n"/>
      <c r="HC97" s="1" t="n"/>
      <c r="HD97" s="1" t="n"/>
      <c r="HE97" s="1" t="n"/>
      <c r="HF97" s="1" t="n"/>
      <c r="HG97" s="1" t="n"/>
      <c r="HH97" s="1" t="n"/>
      <c r="HI97" s="1" t="n"/>
      <c r="HJ97" s="1" t="n"/>
      <c r="HK97" s="1" t="n"/>
      <c r="HL97" s="1" t="n"/>
      <c r="HM97" s="1" t="n"/>
      <c r="HN97" s="1" t="n"/>
      <c r="HO97" s="1" t="n"/>
      <c r="HP97" s="1" t="n"/>
      <c r="HQ97" s="1" t="n"/>
      <c r="HR97" s="1" t="n"/>
      <c r="HS97" s="1" t="n"/>
      <c r="HT97" s="1" t="n"/>
      <c r="HU97" s="1" t="n"/>
    </row>
    <row r="98" ht="16.2" customFormat="1" customHeight="1" s="259">
      <c r="A98" s="65" t="inlineStr">
        <is>
          <t>APORTE DE SÓCIOS</t>
        </is>
      </c>
      <c r="B98" s="129" t="n"/>
      <c r="C98" s="70" t="n"/>
      <c r="D98" s="70" t="n"/>
      <c r="E98" s="70" t="n"/>
      <c r="F98" s="70" t="n"/>
      <c r="G98" s="70" t="n"/>
      <c r="H98" s="70" t="n"/>
      <c r="I98" s="70" t="n"/>
      <c r="J98" s="155" t="n"/>
      <c r="K98" s="70" t="n"/>
      <c r="L98" s="70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198" t="n"/>
      <c r="AI98" s="233" t="n"/>
      <c r="AJ98" s="198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  <c r="BC98" s="70" t="n"/>
      <c r="BD98" s="287" t="n"/>
      <c r="BE98" s="70" t="n"/>
      <c r="BF98" s="70" t="n"/>
      <c r="BG98" s="70" t="n"/>
      <c r="BH98" s="70" t="n"/>
      <c r="BI98" s="70" t="n"/>
      <c r="BJ98" s="70" t="n"/>
      <c r="BK98" s="70" t="n"/>
      <c r="BL98" s="70" t="n"/>
      <c r="BM98" s="70" t="n"/>
      <c r="BN98" s="70" t="n"/>
      <c r="BO98" s="70" t="n"/>
      <c r="BP98" s="287" t="n"/>
      <c r="BQ98" s="70" t="n"/>
      <c r="BR98" s="70" t="n"/>
      <c r="BS98" s="70" t="n"/>
      <c r="BT98" s="70" t="n"/>
      <c r="BU98" s="70" t="n"/>
      <c r="BV98" s="70" t="n"/>
      <c r="BW98" s="70" t="n"/>
      <c r="BX98" s="70" t="n"/>
      <c r="BY98" s="70" t="n"/>
      <c r="BZ98" s="70" t="n"/>
      <c r="CA98" s="70" t="n"/>
      <c r="CB98" s="287" t="n"/>
      <c r="CC98" s="70" t="n"/>
      <c r="CD98" s="70" t="n"/>
      <c r="CE98" s="70" t="n"/>
      <c r="CF98" s="70" t="n"/>
      <c r="CG98" s="70" t="n"/>
      <c r="CH98" s="70" t="n"/>
      <c r="CI98" s="70" t="n"/>
      <c r="CJ98" s="70" t="n"/>
      <c r="CK98" s="70" t="n"/>
      <c r="CL98" s="70" t="n"/>
      <c r="CM98" s="70" t="n"/>
      <c r="CN98" s="287" t="n"/>
      <c r="CO98" s="70" t="n"/>
      <c r="CP98" s="70" t="n"/>
      <c r="CQ98" s="70" t="n"/>
      <c r="CR98" s="70" t="n"/>
      <c r="CS98" s="70" t="n"/>
      <c r="CT98" s="70" t="n"/>
      <c r="CU98" s="70" t="n"/>
      <c r="CV98" s="70" t="n"/>
      <c r="CW98" s="70" t="n"/>
      <c r="CX98" s="70" t="n"/>
      <c r="CY98" s="70" t="n"/>
      <c r="CZ98" s="287" t="n"/>
      <c r="DA98" s="70" t="n"/>
      <c r="DB98" s="70" t="n"/>
      <c r="DC98" s="70" t="n"/>
      <c r="DD98" s="70" t="n"/>
      <c r="DE98" s="70" t="n"/>
      <c r="DF98" s="70" t="n"/>
      <c r="DG98" s="70" t="n"/>
      <c r="DH98" s="70" t="n"/>
      <c r="DI98" s="70" t="n"/>
      <c r="DJ98" s="70" t="n"/>
      <c r="DK98" s="70" t="n"/>
      <c r="DL98" s="70" t="n"/>
      <c r="DM98" s="70" t="n"/>
      <c r="DN98" s="70" t="n"/>
      <c r="DO98" s="70" t="n"/>
      <c r="DP98" s="70" t="n"/>
      <c r="DQ98" s="70" t="n"/>
      <c r="DR98" s="70" t="n"/>
      <c r="DS98" s="70" t="n"/>
      <c r="DT98" s="70" t="n"/>
      <c r="DU98" s="70" t="n"/>
      <c r="DV98" s="70" t="n"/>
      <c r="DW98" s="70" t="n"/>
      <c r="DX98" s="70" t="n"/>
      <c r="DY98" s="70" t="n"/>
      <c r="DZ98" s="70" t="n"/>
      <c r="EA98" s="70" t="n"/>
      <c r="EB98" s="70" t="n"/>
      <c r="EC98" s="70" t="n"/>
      <c r="ED98" s="70" t="n"/>
      <c r="EE98" s="70" t="n"/>
      <c r="EF98" s="70" t="n"/>
      <c r="EG98" s="70" t="n"/>
      <c r="EH98" s="70" t="n"/>
      <c r="EI98" s="70" t="n"/>
      <c r="EJ98" s="70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70" t="n"/>
      <c r="EU98" s="70" t="n"/>
      <c r="EV98" s="70" t="n"/>
      <c r="EW98" s="70" t="n"/>
      <c r="EX98" s="70" t="n"/>
      <c r="EY98" s="70" t="n"/>
      <c r="EZ98" s="70" t="n"/>
      <c r="FA98" s="70" t="n"/>
      <c r="FB98" s="70" t="n"/>
      <c r="FC98" s="70" t="n"/>
      <c r="FD98" s="70" t="n"/>
      <c r="FE98" s="70" t="n"/>
      <c r="FF98" s="70" t="n"/>
      <c r="FG98" s="70" t="n"/>
      <c r="FH98" s="70" t="n"/>
      <c r="FI98" s="70" t="n"/>
      <c r="FJ98" s="70" t="n"/>
      <c r="FK98" s="70" t="n"/>
      <c r="FL98" s="70" t="n"/>
      <c r="FM98" s="70" t="n"/>
      <c r="FN98" s="70" t="n"/>
      <c r="FO98" s="70" t="n"/>
      <c r="FP98" s="70" t="n"/>
      <c r="FQ98" s="70" t="n"/>
      <c r="FR98" s="70" t="n"/>
      <c r="FS98" s="70" t="n"/>
      <c r="FT98" s="70" t="n"/>
      <c r="FU98" s="70" t="n"/>
      <c r="FV98" s="70" t="n"/>
      <c r="FW98" s="70" t="n"/>
      <c r="FX98" s="70" t="n"/>
      <c r="FY98" s="70" t="n"/>
      <c r="FZ98" s="70" t="n"/>
      <c r="GA98" s="70" t="n"/>
      <c r="GB98" s="70" t="n"/>
      <c r="GC98" s="70" t="n"/>
      <c r="GD98" s="70" t="n"/>
      <c r="GE98" s="70" t="n"/>
      <c r="GF98" s="70" t="n"/>
      <c r="GG98" s="70" t="n"/>
      <c r="GH98" s="70" t="n"/>
      <c r="GI98" s="70" t="n"/>
      <c r="GJ98" s="70" t="n"/>
      <c r="GK98" s="70" t="n"/>
      <c r="GL98" s="70" t="n"/>
      <c r="GM98" s="70" t="n"/>
      <c r="GN98" s="70" t="n"/>
      <c r="GO98" s="70" t="n"/>
      <c r="GP98" s="70" t="n"/>
      <c r="GQ98" s="70" t="n"/>
      <c r="GR98" s="70" t="n"/>
      <c r="GS98" s="70" t="n"/>
      <c r="GT98" s="70" t="n"/>
      <c r="GU98" s="70" t="n"/>
      <c r="GV98" s="70" t="n"/>
      <c r="GW98" s="70" t="n"/>
      <c r="GX98" s="70" t="n"/>
      <c r="GY98" s="70" t="n"/>
      <c r="GZ98" s="70" t="n"/>
      <c r="HA98" s="70" t="n"/>
      <c r="HB98" s="70" t="n"/>
      <c r="HC98" s="70" t="n"/>
      <c r="HD98" s="70" t="n"/>
      <c r="HE98" s="70" t="n"/>
      <c r="HF98" s="70" t="n"/>
      <c r="HG98" s="70" t="n"/>
      <c r="HH98" s="70" t="n"/>
      <c r="HI98" s="70" t="n"/>
      <c r="HJ98" s="70" t="n"/>
      <c r="HK98" s="70" t="n"/>
      <c r="HL98" s="70" t="n"/>
      <c r="HM98" s="70" t="n"/>
      <c r="HN98" s="70" t="n"/>
      <c r="HO98" s="70" t="n"/>
      <c r="HP98" s="70" t="n"/>
      <c r="HQ98" s="70" t="n"/>
      <c r="HR98" s="70" t="n"/>
      <c r="HS98" s="70" t="n"/>
      <c r="HT98" s="70" t="n"/>
      <c r="HU98" s="70" t="n"/>
    </row>
    <row r="99" ht="16.2" customHeight="1" thickBot="1">
      <c r="A99" s="54" t="inlineStr">
        <is>
          <t>Aportes</t>
        </is>
      </c>
      <c r="B99" s="130" t="n"/>
      <c r="C99" s="67" t="n"/>
      <c r="D99" s="69" t="n"/>
      <c r="E99" s="67" t="n"/>
      <c r="F99" s="67" t="n"/>
      <c r="G99" s="67" t="n"/>
      <c r="H99" s="67" t="n"/>
      <c r="I99" s="68" t="n"/>
      <c r="J99" s="189" t="n"/>
      <c r="K99" s="34" t="n"/>
      <c r="L99" s="34" t="n"/>
      <c r="M99" s="159" t="n"/>
      <c r="N99" s="159" t="n"/>
      <c r="O99" s="159" t="n"/>
      <c r="P99" s="159" t="n"/>
      <c r="Q99" s="159" t="n"/>
      <c r="R99" s="159" t="n"/>
      <c r="S99" s="159" t="n"/>
      <c r="T99" s="159" t="n"/>
      <c r="U99" s="159" t="n"/>
      <c r="V99" s="159" t="n"/>
      <c r="W99" s="159" t="n"/>
      <c r="X99" s="67" t="n"/>
      <c r="Y99" s="214" t="n"/>
      <c r="Z99" s="214" t="n"/>
      <c r="AA99" s="214" t="n"/>
      <c r="AB99" s="214" t="n"/>
      <c r="AC99" s="214" t="n"/>
      <c r="AD99" s="214" t="n"/>
      <c r="AE99" s="214" t="n"/>
      <c r="AF99" s="214" t="n"/>
      <c r="AG99" s="214" t="n"/>
      <c r="AH99" s="71" t="n"/>
      <c r="AI99" s="342" t="n"/>
      <c r="AJ99" s="71" t="n"/>
      <c r="AK99" s="68" t="n"/>
      <c r="AL99" s="442" t="n"/>
      <c r="AM99" s="68" t="n"/>
      <c r="AN99" s="371" t="n"/>
      <c r="AO99" s="371" t="n"/>
      <c r="AP99" s="371" t="n"/>
      <c r="AQ99" s="69" t="n"/>
      <c r="AR99" s="69" t="n"/>
      <c r="AS99" s="69" t="n"/>
      <c r="AT99" s="69" t="n"/>
      <c r="AU99" s="69" t="n"/>
      <c r="AV99" s="69" t="n"/>
      <c r="AW99" s="69" t="n"/>
      <c r="AX99" s="69" t="n"/>
      <c r="AY99" s="69" t="n"/>
      <c r="AZ99" s="69" t="n"/>
      <c r="BA99" s="69" t="n"/>
      <c r="BB99" s="69" t="n"/>
      <c r="BC99" s="69" t="n"/>
      <c r="BD99" s="69" t="n"/>
      <c r="BE99" s="69" t="n"/>
      <c r="BF99" s="67" t="n"/>
      <c r="BG99" s="67" t="n"/>
      <c r="BH99" s="67" t="n"/>
      <c r="BI99" s="67" t="n"/>
      <c r="BJ99" s="67" t="n"/>
      <c r="BK99" s="67" t="n"/>
      <c r="BL99" s="67" t="n"/>
      <c r="BM99" s="67" t="n"/>
      <c r="BN99" s="67" t="n"/>
      <c r="BO99" s="67" t="n"/>
      <c r="BP99" s="288" t="n"/>
      <c r="BQ99" s="69" t="n"/>
      <c r="BR99" s="67" t="n"/>
      <c r="BS99" s="67" t="n"/>
      <c r="BT99" s="67" t="n"/>
      <c r="BU99" s="67" t="n"/>
      <c r="BV99" s="67" t="n"/>
      <c r="BW99" s="67" t="n"/>
      <c r="BX99" s="67" t="n"/>
      <c r="BY99" s="67" t="n"/>
      <c r="BZ99" s="67" t="n"/>
      <c r="CA99" s="67" t="n"/>
      <c r="CB99" s="288" t="n"/>
      <c r="CC99" s="69" t="n"/>
      <c r="CD99" s="67" t="n"/>
      <c r="CE99" s="67" t="n"/>
      <c r="CF99" s="67" t="n"/>
      <c r="CG99" s="67" t="n"/>
      <c r="CH99" s="67" t="n"/>
      <c r="CI99" s="67" t="n"/>
      <c r="CJ99" s="67" t="n"/>
      <c r="CK99" s="67" t="n"/>
      <c r="CL99" s="67" t="n"/>
      <c r="CM99" s="67" t="n"/>
      <c r="CN99" s="288" t="n"/>
      <c r="CO99" s="69" t="n"/>
      <c r="CP99" s="67" t="n"/>
      <c r="CQ99" s="67" t="n"/>
      <c r="CR99" s="67" t="n"/>
      <c r="CS99" s="67" t="n"/>
      <c r="CT99" s="67" t="n"/>
      <c r="CU99" s="67" t="n"/>
      <c r="CV99" s="67" t="n"/>
      <c r="CW99" s="67" t="n"/>
      <c r="CX99" s="67" t="n"/>
      <c r="CY99" s="67" t="n"/>
      <c r="CZ99" s="288" t="n"/>
      <c r="DA99" s="69" t="n"/>
      <c r="DB99" s="67" t="n"/>
      <c r="DC99" s="67" t="n"/>
      <c r="DD99" s="67" t="n"/>
      <c r="DE99" s="67" t="n"/>
      <c r="DF99" s="67" t="n"/>
      <c r="DG99" s="67" t="n"/>
      <c r="DH99" s="67" t="n"/>
      <c r="DI99" s="67" t="n"/>
      <c r="DJ99" s="68" t="n"/>
      <c r="DK99" s="67" t="n"/>
      <c r="DL99" s="68" t="n"/>
      <c r="DM99" s="67" t="n"/>
      <c r="DN99" s="68" t="n"/>
      <c r="DO99" s="68" t="n"/>
      <c r="DP99" s="68" t="n"/>
      <c r="DQ99" s="68" t="n"/>
      <c r="DR99" s="68" t="n"/>
      <c r="DS99" s="68" t="n"/>
      <c r="DT99" s="68" t="n"/>
      <c r="DU99" s="68" t="n"/>
      <c r="DV99" s="68" t="n"/>
      <c r="DW99" s="68" t="n"/>
      <c r="DX99" s="68" t="n"/>
      <c r="DY99" s="68" t="n"/>
      <c r="DZ99" s="68" t="n"/>
      <c r="EA99" s="68" t="n"/>
      <c r="EB99" s="68" t="n"/>
      <c r="EC99" s="68" t="n"/>
      <c r="ED99" s="68" t="n"/>
      <c r="EE99" s="68" t="n"/>
      <c r="EF99" s="68" t="n"/>
      <c r="EG99" s="68" t="n"/>
      <c r="EH99" s="68" t="n"/>
      <c r="EI99" s="68" t="n"/>
      <c r="EJ99" s="68" t="n"/>
      <c r="EK99" s="68" t="n"/>
      <c r="EL99" s="68" t="n"/>
      <c r="EM99" s="68" t="n"/>
      <c r="EN99" s="68" t="n"/>
      <c r="EO99" s="68" t="n"/>
      <c r="EP99" s="68" t="n"/>
      <c r="EQ99" s="68" t="n"/>
      <c r="ER99" s="68" t="n"/>
      <c r="ES99" s="68" t="n"/>
      <c r="ET99" s="68" t="n"/>
      <c r="EU99" s="68" t="n"/>
      <c r="EV99" s="68" t="n"/>
      <c r="EW99" s="68" t="n"/>
      <c r="EX99" s="68" t="n"/>
      <c r="EY99" s="68" t="n"/>
      <c r="EZ99" s="68" t="n"/>
      <c r="FA99" s="68" t="n"/>
      <c r="FB99" s="68" t="n"/>
      <c r="FC99" s="68" t="n"/>
      <c r="FD99" s="68" t="n"/>
      <c r="FE99" s="68" t="n"/>
      <c r="FF99" s="68" t="n"/>
      <c r="FG99" s="68" t="n"/>
      <c r="FH99" s="68" t="n"/>
      <c r="FI99" s="68" t="n"/>
      <c r="FJ99" s="68" t="n"/>
      <c r="FK99" s="68" t="n"/>
      <c r="FL99" s="68" t="n"/>
      <c r="FM99" s="68" t="n"/>
      <c r="FN99" s="68" t="n"/>
      <c r="FO99" s="68" t="n"/>
      <c r="FP99" s="68" t="n"/>
      <c r="FQ99" s="68" t="n"/>
      <c r="FR99" s="68" t="n"/>
      <c r="FS99" s="68" t="n"/>
      <c r="FT99" s="68" t="n"/>
      <c r="FU99" s="68" t="n"/>
      <c r="FV99" s="68" t="n"/>
      <c r="FW99" s="68" t="n"/>
      <c r="FX99" s="68" t="n"/>
      <c r="FY99" s="68" t="n"/>
      <c r="FZ99" s="68" t="n"/>
      <c r="GA99" s="68" t="n"/>
      <c r="GB99" s="68" t="n"/>
      <c r="GC99" s="68" t="n"/>
      <c r="GD99" s="68" t="n"/>
      <c r="GE99" s="68" t="n"/>
      <c r="GF99" s="68" t="n"/>
      <c r="GG99" s="68" t="n"/>
      <c r="GH99" s="68" t="n"/>
      <c r="GI99" s="68" t="n"/>
      <c r="GJ99" s="68" t="n"/>
      <c r="GK99" s="68" t="n"/>
      <c r="GL99" s="68" t="n"/>
      <c r="GM99" s="68" t="n"/>
      <c r="GN99" s="68" t="n"/>
      <c r="GO99" s="68" t="n"/>
      <c r="GP99" s="68" t="n"/>
      <c r="GQ99" s="68" t="n"/>
      <c r="GR99" s="68" t="n"/>
      <c r="GS99" s="68" t="n"/>
      <c r="GT99" s="68" t="n"/>
      <c r="GU99" s="68" t="n"/>
      <c r="GV99" s="68" t="n"/>
      <c r="GW99" s="68" t="n"/>
      <c r="GX99" s="68" t="n"/>
      <c r="GY99" s="68" t="n"/>
      <c r="GZ99" s="68" t="n"/>
      <c r="HA99" s="68" t="n"/>
      <c r="HB99" s="68" t="n"/>
      <c r="HC99" s="68" t="n"/>
      <c r="HD99" s="68" t="n"/>
      <c r="HE99" s="68" t="n"/>
      <c r="HF99" s="68" t="n"/>
      <c r="HG99" s="68" t="n"/>
      <c r="HH99" s="68" t="n"/>
      <c r="HI99" s="68" t="n"/>
      <c r="HJ99" s="68" t="n"/>
      <c r="HK99" s="68" t="n"/>
      <c r="HL99" s="68" t="n"/>
      <c r="HM99" s="68" t="n"/>
      <c r="HN99" s="68" t="n"/>
      <c r="HO99" s="68" t="n"/>
      <c r="HP99" s="68" t="n"/>
      <c r="HQ99" s="68" t="n"/>
      <c r="HR99" s="68" t="n"/>
      <c r="HS99" s="68" t="n"/>
      <c r="HT99" s="68" t="n"/>
      <c r="HU99" s="68" t="n"/>
    </row>
    <row r="100" ht="7.2" customHeight="1" thickTop="1">
      <c r="A100" s="1" t="n"/>
      <c r="B100" s="128" t="n"/>
      <c r="C100" s="512" t="n"/>
      <c r="D100" s="512" t="n"/>
      <c r="E100" s="512" t="n"/>
      <c r="F100" s="512" t="n"/>
      <c r="G100" s="512" t="n"/>
      <c r="H100" s="512" t="n"/>
      <c r="I100" s="512" t="n"/>
      <c r="J100" s="513" t="n"/>
      <c r="K100" s="512" t="n"/>
      <c r="L100" s="512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514" t="n"/>
      <c r="AA100" s="514" t="n"/>
      <c r="AB100" s="514" t="n"/>
      <c r="AC100" s="514" t="n"/>
      <c r="AD100" s="514" t="n"/>
      <c r="AE100" s="514" t="n"/>
      <c r="AF100" s="514" t="n"/>
      <c r="AG100" s="514" t="n"/>
      <c r="AH100" s="53" t="n"/>
      <c r="AI100" s="235" t="n"/>
      <c r="AJ100" s="53" t="n"/>
      <c r="AK100" s="512" t="n"/>
      <c r="AL100" s="512" t="n"/>
      <c r="AM100" s="512" t="n"/>
      <c r="AN100" s="512" t="n"/>
      <c r="AO100" s="512" t="n"/>
      <c r="AP100" s="512" t="n"/>
      <c r="AQ100" s="512" t="n"/>
      <c r="AR100" s="512" t="n"/>
      <c r="AS100" s="512" t="n"/>
      <c r="AT100" s="512" t="n"/>
      <c r="AU100" s="512" t="n"/>
      <c r="AV100" s="512" t="n"/>
      <c r="AW100" s="512" t="n"/>
      <c r="AX100" s="512" t="n"/>
      <c r="AY100" s="512" t="n"/>
      <c r="AZ100" s="512" t="n"/>
      <c r="BA100" s="512" t="n"/>
      <c r="BB100" s="512" t="n"/>
      <c r="BC100" s="512" t="n"/>
      <c r="BD100" s="515" t="n"/>
      <c r="BE100" s="512" t="n"/>
      <c r="BF100" s="512" t="n"/>
      <c r="BG100" s="512" t="n"/>
      <c r="BH100" s="512" t="n"/>
      <c r="BI100" s="512" t="n"/>
      <c r="BJ100" s="512" t="n"/>
      <c r="BK100" s="512" t="n"/>
      <c r="BL100" s="512" t="n"/>
      <c r="BM100" s="512" t="n"/>
      <c r="BN100" s="512" t="n"/>
      <c r="BO100" s="512" t="n"/>
      <c r="BP100" s="515" t="n"/>
      <c r="BQ100" s="512" t="n"/>
      <c r="BR100" s="512" t="n"/>
      <c r="BS100" s="512" t="n"/>
      <c r="BT100" s="512" t="n"/>
      <c r="BU100" s="512" t="n"/>
      <c r="BV100" s="512" t="n"/>
      <c r="BW100" s="512" t="n"/>
      <c r="BX100" s="512" t="n"/>
      <c r="BY100" s="512" t="n"/>
      <c r="BZ100" s="512" t="n"/>
      <c r="CA100" s="512" t="n"/>
      <c r="CB100" s="515" t="n"/>
      <c r="CC100" s="512" t="n"/>
      <c r="CD100" s="512" t="n"/>
      <c r="CE100" s="512" t="n"/>
      <c r="CF100" s="512" t="n"/>
      <c r="CG100" s="512" t="n"/>
      <c r="CH100" s="512" t="n"/>
      <c r="CI100" s="512" t="n"/>
      <c r="CJ100" s="512" t="n"/>
      <c r="CK100" s="512" t="n"/>
      <c r="CL100" s="512" t="n"/>
      <c r="CM100" s="512" t="n"/>
      <c r="CN100" s="515" t="n"/>
      <c r="CO100" s="512" t="n"/>
      <c r="CP100" s="512" t="n"/>
      <c r="CQ100" s="512" t="n"/>
      <c r="CR100" s="512" t="n"/>
      <c r="CS100" s="512" t="n"/>
      <c r="CT100" s="512" t="n"/>
      <c r="CU100" s="512" t="n"/>
      <c r="CV100" s="512" t="n"/>
      <c r="CW100" s="512" t="n"/>
      <c r="CX100" s="512" t="n"/>
      <c r="CY100" s="512" t="n"/>
      <c r="CZ100" s="515" t="n"/>
      <c r="DA100" s="512" t="n"/>
      <c r="DB100" s="512" t="n"/>
      <c r="DC100" s="512" t="n"/>
      <c r="DD100" s="512" t="n"/>
      <c r="DE100" s="512" t="n"/>
      <c r="DF100" s="512" t="n"/>
      <c r="DG100" s="512" t="n"/>
      <c r="DH100" s="512" t="n"/>
      <c r="DI100" s="512" t="n"/>
      <c r="DJ100" s="512" t="n"/>
      <c r="DK100" s="512" t="n"/>
      <c r="DL100" s="512" t="n"/>
      <c r="DM100" s="512" t="n"/>
      <c r="DN100" s="512" t="n"/>
      <c r="DO100" s="512" t="n"/>
      <c r="DP100" s="512" t="n"/>
      <c r="DQ100" s="512" t="n"/>
      <c r="DR100" s="512" t="n"/>
      <c r="DS100" s="512" t="n"/>
      <c r="DT100" s="512" t="n"/>
      <c r="DU100" s="512" t="n"/>
      <c r="DV100" s="512" t="n"/>
      <c r="DW100" s="512" t="n"/>
      <c r="DX100" s="512" t="n"/>
      <c r="DY100" s="512" t="n"/>
      <c r="DZ100" s="512" t="n"/>
      <c r="EA100" s="512" t="n"/>
      <c r="EB100" s="512" t="n"/>
      <c r="EC100" s="512" t="n"/>
      <c r="ED100" s="512" t="n"/>
      <c r="EE100" s="512" t="n"/>
      <c r="EF100" s="512" t="n"/>
      <c r="EG100" s="512" t="n"/>
      <c r="EH100" s="512" t="n"/>
      <c r="EI100" s="512" t="n"/>
      <c r="EJ100" s="512" t="n"/>
      <c r="EK100" s="512" t="n"/>
      <c r="EL100" s="512" t="n"/>
      <c r="EM100" s="512" t="n"/>
      <c r="EN100" s="512" t="n"/>
      <c r="EO100" s="512" t="n"/>
      <c r="EP100" s="512" t="n"/>
      <c r="EQ100" s="512" t="n"/>
      <c r="ER100" s="512" t="n"/>
      <c r="ES100" s="512" t="n"/>
      <c r="ET100" s="512" t="n"/>
      <c r="EU100" s="512" t="n"/>
      <c r="EV100" s="512" t="n"/>
      <c r="EW100" s="512" t="n"/>
      <c r="EX100" s="512" t="n"/>
      <c r="EY100" s="512" t="n"/>
      <c r="EZ100" s="512" t="n"/>
      <c r="FA100" s="512" t="n"/>
      <c r="FB100" s="512" t="n"/>
      <c r="FC100" s="512" t="n"/>
      <c r="FD100" s="512" t="n"/>
      <c r="FE100" s="512" t="n"/>
      <c r="FF100" s="512" t="n"/>
      <c r="FG100" s="512" t="n"/>
      <c r="FH100" s="512" t="n"/>
      <c r="FI100" s="512" t="n"/>
      <c r="FJ100" s="512" t="n"/>
      <c r="FK100" s="512" t="n"/>
      <c r="FL100" s="512" t="n"/>
      <c r="FM100" s="512" t="n"/>
      <c r="FN100" s="512" t="n"/>
      <c r="FO100" s="512" t="n"/>
      <c r="FP100" s="512" t="n"/>
      <c r="FQ100" s="512" t="n"/>
      <c r="FR100" s="512" t="n"/>
      <c r="FS100" s="512" t="n"/>
      <c r="FT100" s="512" t="n"/>
      <c r="FU100" s="512" t="n"/>
      <c r="FV100" s="512" t="n"/>
      <c r="FW100" s="512" t="n"/>
      <c r="FX100" s="512" t="n"/>
      <c r="FY100" s="512" t="n"/>
      <c r="FZ100" s="512" t="n"/>
      <c r="GA100" s="512" t="n"/>
      <c r="GB100" s="512" t="n"/>
      <c r="GC100" s="512" t="n"/>
      <c r="GD100" s="512" t="n"/>
      <c r="GE100" s="512" t="n"/>
      <c r="GF100" s="512" t="n"/>
      <c r="GG100" s="512" t="n"/>
      <c r="GH100" s="512" t="n"/>
      <c r="GI100" s="512" t="n"/>
      <c r="GJ100" s="512" t="n"/>
      <c r="GK100" s="512" t="n"/>
      <c r="GL100" s="512" t="n"/>
      <c r="GM100" s="512" t="n"/>
      <c r="GN100" s="512" t="n"/>
      <c r="GO100" s="512" t="n"/>
      <c r="GP100" s="512" t="n"/>
      <c r="GQ100" s="512" t="n"/>
      <c r="GR100" s="512" t="n"/>
      <c r="GS100" s="512" t="n"/>
      <c r="GT100" s="512" t="n"/>
      <c r="GU100" s="512" t="n"/>
      <c r="GV100" s="512" t="n"/>
      <c r="GW100" s="512" t="n"/>
      <c r="GX100" s="512" t="n"/>
      <c r="GY100" s="512" t="n"/>
      <c r="GZ100" s="512" t="n"/>
      <c r="HA100" s="512" t="n"/>
      <c r="HB100" s="512" t="n"/>
      <c r="HC100" s="512" t="n"/>
      <c r="HD100" s="512" t="n"/>
      <c r="HE100" s="512" t="n"/>
      <c r="HF100" s="512" t="n"/>
      <c r="HG100" s="512" t="n"/>
      <c r="HH100" s="512" t="n"/>
      <c r="HI100" s="512" t="n"/>
      <c r="HJ100" s="512" t="n"/>
      <c r="HK100" s="512" t="n"/>
      <c r="HL100" s="512" t="n"/>
      <c r="HM100" s="512" t="n"/>
      <c r="HN100" s="512" t="n"/>
      <c r="HO100" s="512" t="n"/>
      <c r="HP100" s="512" t="n"/>
      <c r="HQ100" s="512" t="n"/>
      <c r="HR100" s="512" t="n"/>
      <c r="HS100" s="512" t="n"/>
      <c r="HT100" s="512" t="n"/>
      <c r="HU100" s="512" t="n"/>
    </row>
    <row r="101" ht="16.2" customFormat="1" customHeight="1" s="259">
      <c r="A101" s="65" t="inlineStr">
        <is>
          <t>RECEITA FINANCEIRA (+)</t>
        </is>
      </c>
      <c r="B101" s="129" t="n"/>
      <c r="C101" s="70" t="n"/>
      <c r="D101" s="70" t="n"/>
      <c r="E101" s="70" t="n"/>
      <c r="F101" s="70" t="n"/>
      <c r="G101" s="70" t="n"/>
      <c r="H101" s="70" t="n"/>
      <c r="I101" s="70" t="n"/>
      <c r="J101" s="155" t="n"/>
      <c r="K101" s="70" t="n"/>
      <c r="L101" s="70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198" t="n"/>
      <c r="AI101" s="233" t="n"/>
      <c r="AJ101" s="198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  <c r="BC101" s="70" t="n"/>
      <c r="BD101" s="287" t="n"/>
      <c r="BE101" s="70" t="n"/>
      <c r="BF101" s="70" t="n"/>
      <c r="BG101" s="70" t="n"/>
      <c r="BH101" s="70" t="n"/>
      <c r="BI101" s="70" t="n"/>
      <c r="BJ101" s="70" t="n"/>
      <c r="BK101" s="70" t="n"/>
      <c r="BL101" s="70" t="n"/>
      <c r="BM101" s="70" t="n"/>
      <c r="BN101" s="70" t="n"/>
      <c r="BO101" s="70" t="n"/>
      <c r="BP101" s="287" t="n"/>
      <c r="BQ101" s="70" t="n"/>
      <c r="BR101" s="70" t="n"/>
      <c r="BS101" s="70" t="n"/>
      <c r="BT101" s="70" t="n"/>
      <c r="BU101" s="70" t="n"/>
      <c r="BV101" s="70" t="n"/>
      <c r="BW101" s="70" t="n"/>
      <c r="BX101" s="70" t="n"/>
      <c r="BY101" s="70" t="n"/>
      <c r="BZ101" s="70" t="n"/>
      <c r="CA101" s="70" t="n"/>
      <c r="CB101" s="287" t="n"/>
      <c r="CC101" s="70" t="n"/>
      <c r="CD101" s="70" t="n"/>
      <c r="CE101" s="70" t="n"/>
      <c r="CF101" s="70" t="n"/>
      <c r="CG101" s="70" t="n"/>
      <c r="CH101" s="70" t="n"/>
      <c r="CI101" s="70" t="n"/>
      <c r="CJ101" s="70" t="n"/>
      <c r="CK101" s="70" t="n"/>
      <c r="CL101" s="70" t="n"/>
      <c r="CM101" s="70" t="n"/>
      <c r="CN101" s="287" t="n"/>
      <c r="CO101" s="70" t="n"/>
      <c r="CP101" s="70" t="n"/>
      <c r="CQ101" s="70" t="n"/>
      <c r="CR101" s="70" t="n"/>
      <c r="CS101" s="70" t="n"/>
      <c r="CT101" s="70" t="n"/>
      <c r="CU101" s="70" t="n"/>
      <c r="CV101" s="70" t="n"/>
      <c r="CW101" s="70" t="n"/>
      <c r="CX101" s="70" t="n"/>
      <c r="CY101" s="70" t="n"/>
      <c r="CZ101" s="287" t="n"/>
      <c r="DA101" s="70" t="n"/>
      <c r="DB101" s="70" t="n"/>
      <c r="DC101" s="70" t="n"/>
      <c r="DD101" s="70" t="n"/>
      <c r="DE101" s="70" t="n"/>
      <c r="DF101" s="70" t="n"/>
      <c r="DG101" s="70" t="n"/>
      <c r="DH101" s="70" t="n"/>
      <c r="DI101" s="70" t="n"/>
      <c r="DJ101" s="70" t="n"/>
      <c r="DK101" s="70" t="n"/>
      <c r="DL101" s="70" t="n"/>
      <c r="DM101" s="70" t="n"/>
      <c r="DN101" s="70" t="n"/>
      <c r="DO101" s="70" t="n"/>
      <c r="DP101" s="70" t="n"/>
      <c r="DQ101" s="70" t="n"/>
      <c r="DR101" s="70" t="n"/>
      <c r="DS101" s="70" t="n"/>
      <c r="DT101" s="70" t="n"/>
      <c r="DU101" s="70" t="n"/>
      <c r="DV101" s="70" t="n"/>
      <c r="DW101" s="70" t="n"/>
      <c r="DX101" s="70" t="n"/>
      <c r="DY101" s="70" t="n"/>
      <c r="DZ101" s="70" t="n"/>
      <c r="EA101" s="70" t="n"/>
      <c r="EB101" s="70" t="n"/>
      <c r="EC101" s="70" t="n"/>
      <c r="ED101" s="70" t="n"/>
      <c r="EE101" s="70" t="n"/>
      <c r="EF101" s="70" t="n"/>
      <c r="EG101" s="70" t="n"/>
      <c r="EH101" s="70" t="n"/>
      <c r="EI101" s="70" t="n"/>
      <c r="EJ101" s="70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70" t="n"/>
      <c r="EU101" s="70" t="n"/>
      <c r="EV101" s="70" t="n"/>
      <c r="EW101" s="70" t="n"/>
      <c r="EX101" s="70" t="n"/>
      <c r="EY101" s="70" t="n"/>
      <c r="EZ101" s="70" t="n"/>
      <c r="FA101" s="70" t="n"/>
      <c r="FB101" s="70" t="n"/>
      <c r="FC101" s="70" t="n"/>
      <c r="FD101" s="70" t="n"/>
      <c r="FE101" s="70" t="n"/>
      <c r="FF101" s="70" t="n"/>
      <c r="FG101" s="70" t="n"/>
      <c r="FH101" s="70" t="n"/>
      <c r="FI101" s="70" t="n"/>
      <c r="FJ101" s="70" t="n"/>
      <c r="FK101" s="70" t="n"/>
      <c r="FL101" s="70" t="n"/>
      <c r="FM101" s="70" t="n"/>
      <c r="FN101" s="70" t="n"/>
      <c r="FO101" s="70" t="n"/>
      <c r="FP101" s="70" t="n"/>
      <c r="FQ101" s="70" t="n"/>
      <c r="FR101" s="70" t="n"/>
      <c r="FS101" s="70" t="n"/>
      <c r="FT101" s="70" t="n"/>
      <c r="FU101" s="70" t="n"/>
      <c r="FV101" s="70" t="n"/>
      <c r="FW101" s="70" t="n"/>
      <c r="FX101" s="70" t="n"/>
      <c r="FY101" s="70" t="n"/>
      <c r="FZ101" s="70" t="n"/>
      <c r="GA101" s="70" t="n"/>
      <c r="GB101" s="70" t="n"/>
      <c r="GC101" s="70" t="n"/>
      <c r="GD101" s="70" t="n"/>
      <c r="GE101" s="70" t="n"/>
      <c r="GF101" s="70" t="n"/>
      <c r="GG101" s="70" t="n"/>
      <c r="GH101" s="70" t="n"/>
      <c r="GI101" s="70" t="n"/>
      <c r="GJ101" s="70" t="n"/>
      <c r="GK101" s="70" t="n"/>
      <c r="GL101" s="70" t="n"/>
      <c r="GM101" s="70" t="n"/>
      <c r="GN101" s="70" t="n"/>
      <c r="GO101" s="70" t="n"/>
      <c r="GP101" s="70" t="n"/>
      <c r="GQ101" s="70" t="n"/>
      <c r="GR101" s="70" t="n"/>
      <c r="GS101" s="70" t="n"/>
      <c r="GT101" s="70" t="n"/>
      <c r="GU101" s="70" t="n"/>
      <c r="GV101" s="70" t="n"/>
      <c r="GW101" s="70" t="n"/>
      <c r="GX101" s="70" t="n"/>
      <c r="GY101" s="70" t="n"/>
      <c r="GZ101" s="70" t="n"/>
      <c r="HA101" s="70" t="n"/>
      <c r="HB101" s="70" t="n"/>
      <c r="HC101" s="70" t="n"/>
      <c r="HD101" s="70" t="n"/>
      <c r="HE101" s="70" t="n"/>
      <c r="HF101" s="70" t="n"/>
      <c r="HG101" s="70" t="n"/>
      <c r="HH101" s="70" t="n"/>
      <c r="HI101" s="70" t="n"/>
      <c r="HJ101" s="70" t="n"/>
      <c r="HK101" s="70" t="n"/>
      <c r="HL101" s="70" t="n"/>
      <c r="HM101" s="70" t="n"/>
      <c r="HN101" s="70" t="n"/>
      <c r="HO101" s="70" t="n"/>
      <c r="HP101" s="70" t="n"/>
      <c r="HQ101" s="70" t="n"/>
      <c r="HR101" s="70" t="n"/>
      <c r="HS101" s="70" t="n"/>
      <c r="HT101" s="70" t="n"/>
      <c r="HU101" s="70" t="n"/>
    </row>
    <row r="102" ht="16.2" customHeight="1">
      <c r="A102" s="54" t="inlineStr">
        <is>
          <t>Rendimento Financeiro</t>
        </is>
      </c>
      <c r="B102" s="130" t="n"/>
      <c r="C102" s="67" t="n"/>
      <c r="D102" s="69" t="n"/>
      <c r="E102" s="67" t="n"/>
      <c r="F102" s="67" t="n"/>
      <c r="G102" s="67" t="n"/>
      <c r="H102" s="67" t="n"/>
      <c r="I102" s="68" t="n"/>
      <c r="J102" s="216" t="n"/>
      <c r="K102" s="116" t="n"/>
      <c r="L102" s="116" t="n"/>
      <c r="M102" s="217" t="n"/>
      <c r="N102" s="217" t="n"/>
      <c r="O102" s="21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  <c r="X102" s="217" t="n"/>
      <c r="Y102" s="217" t="n"/>
      <c r="Z102" s="217" t="n"/>
      <c r="AA102" s="217" t="n"/>
      <c r="AB102" s="217" t="n"/>
      <c r="AC102" s="217" t="n"/>
      <c r="AD102" s="217" t="n"/>
      <c r="AE102" s="217" t="n"/>
      <c r="AF102" s="217" t="n"/>
      <c r="AG102" s="217" t="n"/>
      <c r="AH102" s="71" t="n"/>
      <c r="AI102" s="342" t="n"/>
      <c r="AJ102" s="71" t="n"/>
      <c r="AK102" s="69" t="n"/>
      <c r="AL102" s="69" t="n"/>
      <c r="AM102" s="69" t="n"/>
      <c r="AN102" s="69" t="n"/>
      <c r="AO102" s="69" t="n"/>
      <c r="AP102" s="69" t="n"/>
      <c r="AQ102" s="69" t="n"/>
      <c r="AR102" s="69" t="n"/>
      <c r="AS102" s="69" t="n"/>
      <c r="AT102" s="69" t="n"/>
      <c r="AU102" s="69" t="n"/>
      <c r="AV102" s="69" t="n"/>
      <c r="AW102" s="69" t="n"/>
      <c r="AX102" s="69" t="n"/>
      <c r="AY102" s="69" t="n"/>
      <c r="AZ102" s="69" t="n"/>
      <c r="BA102" s="69" t="n"/>
      <c r="BB102" s="69" t="n"/>
      <c r="BC102" s="69" t="n"/>
      <c r="BD102" s="69" t="n"/>
      <c r="BE102" s="69" t="n"/>
      <c r="BF102" s="69" t="n"/>
      <c r="BG102" s="69" t="n"/>
      <c r="BH102" s="69" t="n"/>
      <c r="BI102" s="69" t="n"/>
      <c r="BJ102" s="69" t="n"/>
      <c r="BK102" s="69" t="n"/>
      <c r="BL102" s="69" t="n"/>
      <c r="BM102" s="69" t="n"/>
      <c r="BN102" s="69" t="n"/>
      <c r="BO102" s="69" t="n"/>
      <c r="BP102" s="69" t="n"/>
      <c r="BQ102" s="69" t="n"/>
      <c r="BR102" s="69" t="n"/>
      <c r="BS102" s="69" t="n"/>
      <c r="BT102" s="69" t="n"/>
      <c r="BU102" s="69" t="n"/>
      <c r="BV102" s="69" t="n"/>
      <c r="BW102" s="69" t="n"/>
      <c r="BX102" s="69" t="n"/>
      <c r="BY102" s="69" t="n"/>
      <c r="BZ102" s="69" t="n"/>
      <c r="CA102" s="69" t="n"/>
      <c r="CB102" s="69" t="n"/>
      <c r="CC102" s="69" t="n"/>
      <c r="CD102" s="69" t="n"/>
      <c r="CE102" s="69" t="n"/>
      <c r="CF102" s="69" t="n"/>
      <c r="CG102" s="69" t="n"/>
      <c r="CH102" s="69" t="n"/>
      <c r="CI102" s="69" t="n"/>
      <c r="CJ102" s="69" t="n"/>
      <c r="CK102" s="69" t="n"/>
      <c r="CL102" s="69" t="n"/>
      <c r="CM102" s="69" t="n"/>
      <c r="CN102" s="69" t="n"/>
      <c r="CO102" s="69" t="n"/>
      <c r="CP102" s="69" t="n"/>
      <c r="CQ102" s="69" t="n"/>
      <c r="CR102" s="69" t="n"/>
      <c r="CS102" s="69" t="n"/>
      <c r="CT102" s="69" t="n"/>
      <c r="CU102" s="69" t="n"/>
      <c r="CV102" s="69" t="n"/>
      <c r="CW102" s="69" t="n"/>
      <c r="CX102" s="69" t="n"/>
      <c r="CY102" s="69" t="n"/>
      <c r="CZ102" s="69" t="n"/>
      <c r="DA102" s="69" t="n"/>
      <c r="DB102" s="69" t="n"/>
      <c r="DC102" s="69" t="n"/>
      <c r="DD102" s="69" t="n"/>
      <c r="DE102" s="69" t="n"/>
      <c r="DF102" s="69" t="n"/>
      <c r="DG102" s="69" t="n"/>
      <c r="DH102" s="69" t="n"/>
      <c r="DI102" s="69" t="n"/>
      <c r="DJ102" s="69" t="n"/>
      <c r="DK102" s="69" t="n"/>
      <c r="DL102" s="69" t="n"/>
      <c r="DM102" s="69" t="n"/>
      <c r="DN102" s="69" t="n"/>
      <c r="DO102" s="69" t="n"/>
      <c r="DP102" s="69" t="n"/>
      <c r="DQ102" s="69" t="n"/>
      <c r="DR102" s="69" t="n"/>
      <c r="DS102" s="69" t="n"/>
      <c r="DT102" s="69" t="n"/>
      <c r="DU102" s="69" t="n"/>
      <c r="DV102" s="69" t="n"/>
      <c r="DW102" s="69" t="n"/>
      <c r="DX102" s="69" t="n"/>
      <c r="DY102" s="69" t="n"/>
      <c r="DZ102" s="69" t="n"/>
      <c r="EA102" s="69" t="n"/>
      <c r="EB102" s="69" t="n"/>
      <c r="EC102" s="69" t="n"/>
      <c r="ED102" s="69" t="n"/>
      <c r="EE102" s="69" t="n"/>
      <c r="EF102" s="69" t="n"/>
      <c r="EG102" s="69" t="n"/>
      <c r="EH102" s="69" t="n"/>
      <c r="EI102" s="69" t="n"/>
      <c r="EJ102" s="69" t="n"/>
      <c r="EK102" s="69" t="n"/>
      <c r="EL102" s="69" t="n"/>
      <c r="EM102" s="69" t="n"/>
      <c r="EN102" s="69" t="n"/>
      <c r="EO102" s="69" t="n"/>
      <c r="EP102" s="69" t="n"/>
      <c r="EQ102" s="69" t="n"/>
      <c r="ER102" s="69" t="n"/>
      <c r="ES102" s="69" t="n"/>
      <c r="ET102" s="69" t="n"/>
      <c r="EU102" s="69" t="n"/>
      <c r="EV102" s="69" t="n"/>
      <c r="EW102" s="69" t="n"/>
      <c r="EX102" s="69" t="n"/>
      <c r="EY102" s="69" t="n"/>
      <c r="EZ102" s="69" t="n"/>
      <c r="FA102" s="69" t="n"/>
      <c r="FB102" s="69" t="n"/>
      <c r="FC102" s="69" t="n"/>
      <c r="FD102" s="69" t="n"/>
      <c r="FE102" s="69" t="n"/>
      <c r="FF102" s="69" t="n"/>
      <c r="FG102" s="69" t="n"/>
      <c r="FH102" s="69" t="n"/>
      <c r="FI102" s="69" t="n"/>
      <c r="FJ102" s="69" t="n"/>
      <c r="FK102" s="69" t="n"/>
      <c r="FL102" s="69" t="n"/>
      <c r="FM102" s="69" t="n"/>
      <c r="FN102" s="69" t="n"/>
      <c r="FO102" s="69" t="n"/>
      <c r="FP102" s="69" t="n"/>
      <c r="FQ102" s="69" t="n"/>
      <c r="FR102" s="69" t="n"/>
      <c r="FS102" s="69" t="n"/>
      <c r="FT102" s="69" t="n"/>
      <c r="FU102" s="69" t="n"/>
      <c r="FV102" s="69" t="n"/>
      <c r="FW102" s="69" t="n"/>
      <c r="FX102" s="69" t="n"/>
      <c r="FY102" s="69" t="n"/>
      <c r="FZ102" s="69" t="n"/>
      <c r="GA102" s="69" t="n"/>
      <c r="GB102" s="69" t="n"/>
      <c r="GC102" s="69" t="n"/>
      <c r="GD102" s="69" t="n"/>
      <c r="GE102" s="69" t="n"/>
      <c r="GF102" s="69" t="n"/>
      <c r="GG102" s="69" t="n"/>
      <c r="GH102" s="69" t="n"/>
      <c r="GI102" s="69" t="n"/>
      <c r="GJ102" s="69" t="n"/>
      <c r="GK102" s="69" t="n"/>
      <c r="GL102" s="69" t="n"/>
      <c r="GM102" s="69" t="n"/>
      <c r="GN102" s="69" t="n"/>
      <c r="GO102" s="69" t="n"/>
      <c r="GP102" s="69" t="n"/>
      <c r="GQ102" s="69" t="n"/>
      <c r="GR102" s="69" t="n"/>
      <c r="GS102" s="69" t="n"/>
      <c r="GT102" s="69" t="n"/>
      <c r="GU102" s="69" t="n"/>
      <c r="GV102" s="69" t="n"/>
      <c r="GW102" s="69" t="n"/>
      <c r="GX102" s="69" t="n"/>
      <c r="GY102" s="69" t="n"/>
      <c r="GZ102" s="69" t="n"/>
      <c r="HA102" s="69" t="n"/>
      <c r="HB102" s="69" t="n"/>
      <c r="HC102" s="69" t="n"/>
      <c r="HD102" s="69" t="n"/>
      <c r="HE102" s="69" t="n"/>
      <c r="HF102" s="69" t="n"/>
      <c r="HG102" s="69" t="n"/>
      <c r="HH102" s="69" t="n"/>
      <c r="HI102" s="69" t="n"/>
      <c r="HJ102" s="69" t="n"/>
      <c r="HK102" s="69" t="n"/>
      <c r="HL102" s="69" t="n"/>
      <c r="HM102" s="69" t="n"/>
      <c r="HN102" s="69" t="n"/>
      <c r="HO102" s="69" t="n"/>
      <c r="HP102" s="69" t="n"/>
      <c r="HQ102" s="69" t="n"/>
      <c r="HR102" s="69" t="n"/>
      <c r="HS102" s="69" t="n"/>
      <c r="HT102" s="69" t="n"/>
      <c r="HU102" s="69" t="n"/>
    </row>
    <row r="103" ht="7.2" customHeight="1">
      <c r="A103" s="1" t="n"/>
      <c r="B103" s="128" t="n"/>
      <c r="C103" s="1" t="n"/>
      <c r="D103" s="1" t="n"/>
      <c r="E103" s="1" t="n"/>
      <c r="F103" s="1" t="n"/>
      <c r="G103" s="1" t="n"/>
      <c r="H103" s="1" t="n"/>
      <c r="I103" s="1" t="n"/>
      <c r="J103" s="156" t="n"/>
      <c r="K103" s="1" t="n"/>
      <c r="L103" s="1" t="n"/>
      <c r="M103" s="157" t="n"/>
      <c r="N103" s="157" t="n"/>
      <c r="O103" s="157" t="n"/>
      <c r="P103" s="157" t="n"/>
      <c r="Q103" s="157" t="n"/>
      <c r="R103" s="157" t="n"/>
      <c r="S103" s="157" t="n"/>
      <c r="T103" s="157" t="n"/>
      <c r="U103" s="157" t="n"/>
      <c r="V103" s="157" t="n"/>
      <c r="W103" s="157" t="n"/>
      <c r="X103" s="157" t="n"/>
      <c r="Y103" s="157" t="n"/>
      <c r="Z103" s="157" t="n"/>
      <c r="AA103" s="157" t="n"/>
      <c r="AB103" s="157" t="n"/>
      <c r="AC103" s="157" t="n"/>
      <c r="AD103" s="157" t="n"/>
      <c r="AE103" s="157" t="n"/>
      <c r="AF103" s="157" t="n"/>
      <c r="AG103" s="157" t="n"/>
      <c r="AH103" s="93" t="n"/>
      <c r="AI103" s="236" t="n"/>
      <c r="AJ103" s="93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289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289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289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289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289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  <c r="EI103" s="1" t="n"/>
      <c r="EJ103" s="1" t="n"/>
      <c r="EK103" s="1" t="n"/>
      <c r="EL103" s="1" t="n"/>
      <c r="EM103" s="1" t="n"/>
      <c r="EN103" s="1" t="n"/>
      <c r="EO103" s="1" t="n"/>
      <c r="EP103" s="1" t="n"/>
      <c r="EQ103" s="1" t="n"/>
      <c r="ER103" s="1" t="n"/>
      <c r="ES103" s="1" t="n"/>
      <c r="ET103" s="1" t="n"/>
      <c r="EU103" s="1" t="n"/>
      <c r="EV103" s="1" t="n"/>
      <c r="EW103" s="1" t="n"/>
      <c r="EX103" s="1" t="n"/>
      <c r="EY103" s="1" t="n"/>
      <c r="EZ103" s="1" t="n"/>
      <c r="FA103" s="1" t="n"/>
      <c r="FB103" s="1" t="n"/>
      <c r="FC103" s="1" t="n"/>
      <c r="FD103" s="1" t="n"/>
      <c r="FE103" s="1" t="n"/>
      <c r="FF103" s="1" t="n"/>
      <c r="FG103" s="1" t="n"/>
      <c r="FH103" s="1" t="n"/>
      <c r="FI103" s="1" t="n"/>
      <c r="FJ103" s="1" t="n"/>
      <c r="FK103" s="1" t="n"/>
      <c r="FL103" s="1" t="n"/>
      <c r="FM103" s="1" t="n"/>
      <c r="FN103" s="1" t="n"/>
      <c r="FO103" s="1" t="n"/>
      <c r="FP103" s="1" t="n"/>
      <c r="FQ103" s="1" t="n"/>
      <c r="FR103" s="1" t="n"/>
      <c r="FS103" s="1" t="n"/>
      <c r="FT103" s="1" t="n"/>
      <c r="FU103" s="1" t="n"/>
      <c r="FV103" s="1" t="n"/>
      <c r="FW103" s="1" t="n"/>
      <c r="FX103" s="1" t="n"/>
      <c r="FY103" s="1" t="n"/>
      <c r="FZ103" s="1" t="n"/>
      <c r="GA103" s="1" t="n"/>
      <c r="GB103" s="1" t="n"/>
      <c r="GC103" s="1" t="n"/>
      <c r="GD103" s="1" t="n"/>
      <c r="GE103" s="1" t="n"/>
      <c r="GF103" s="1" t="n"/>
      <c r="GG103" s="1" t="n"/>
      <c r="GH103" s="1" t="n"/>
      <c r="GI103" s="1" t="n"/>
      <c r="GJ103" s="1" t="n"/>
      <c r="GK103" s="1" t="n"/>
      <c r="GL103" s="1" t="n"/>
      <c r="GM103" s="1" t="n"/>
      <c r="GN103" s="1" t="n"/>
      <c r="GO103" s="1" t="n"/>
      <c r="GP103" s="1" t="n"/>
      <c r="GQ103" s="1" t="n"/>
      <c r="GR103" s="1" t="n"/>
      <c r="GS103" s="1" t="n"/>
      <c r="GT103" s="1" t="n"/>
      <c r="GU103" s="1" t="n"/>
      <c r="GV103" s="1" t="n"/>
      <c r="GW103" s="1" t="n"/>
      <c r="GX103" s="1" t="n"/>
      <c r="GY103" s="1" t="n"/>
      <c r="GZ103" s="1" t="n"/>
      <c r="HA103" s="1" t="n"/>
      <c r="HB103" s="1" t="n"/>
      <c r="HC103" s="1" t="n"/>
      <c r="HD103" s="1" t="n"/>
      <c r="HE103" s="1" t="n"/>
      <c r="HF103" s="1" t="n"/>
      <c r="HG103" s="1" t="n"/>
      <c r="HH103" s="1" t="n"/>
      <c r="HI103" s="1" t="n"/>
      <c r="HJ103" s="1" t="n"/>
      <c r="HK103" s="1" t="n"/>
      <c r="HL103" s="1" t="n"/>
      <c r="HM103" s="1" t="n"/>
      <c r="HN103" s="1" t="n"/>
      <c r="HO103" s="1" t="n"/>
      <c r="HP103" s="1" t="n"/>
      <c r="HQ103" s="1" t="n"/>
      <c r="HR103" s="1" t="n"/>
      <c r="HS103" s="1" t="n"/>
      <c r="HT103" s="1" t="n"/>
      <c r="HU103" s="1" t="n"/>
    </row>
    <row r="104" ht="16.2" customFormat="1" customHeight="1" s="259">
      <c r="A104" s="96" t="inlineStr">
        <is>
          <t>TOTAL RECEITAS REAL (+)</t>
        </is>
      </c>
      <c r="B104" s="131" t="n"/>
      <c r="C104" s="72" t="n"/>
      <c r="D104" s="72" t="n"/>
      <c r="E104" s="72" t="n"/>
      <c r="F104" s="72" t="n"/>
      <c r="G104" s="72" t="n"/>
      <c r="H104" s="72" t="n"/>
      <c r="I104" s="72" t="n"/>
      <c r="J104" s="160" t="n"/>
      <c r="K104" s="72" t="n"/>
      <c r="L104" s="72" t="n"/>
      <c r="M104" s="161" t="n"/>
      <c r="N104" s="161" t="n"/>
      <c r="O104" s="161" t="n"/>
      <c r="P104" s="161" t="n"/>
      <c r="Q104" s="161" t="n"/>
      <c r="R104" s="161" t="n"/>
      <c r="S104" s="161" t="n"/>
      <c r="T104" s="161" t="n"/>
      <c r="U104" s="161" t="n"/>
      <c r="V104" s="161" t="n"/>
      <c r="W104" s="161" t="n"/>
      <c r="X104" s="161" t="n"/>
      <c r="Y104" s="161" t="n"/>
      <c r="Z104" s="161" t="n"/>
      <c r="AA104" s="161" t="n"/>
      <c r="AB104" s="161" t="n"/>
      <c r="AC104" s="161" t="n"/>
      <c r="AD104" s="161" t="n"/>
      <c r="AE104" s="161" t="n"/>
      <c r="AF104" s="161" t="n"/>
      <c r="AG104" s="161" t="n"/>
      <c r="AH104" s="71" t="n"/>
      <c r="AI104" s="131" t="n"/>
      <c r="AJ104" s="71" t="n"/>
      <c r="AK104" s="72" t="n"/>
      <c r="AL104" s="72" t="n"/>
      <c r="AM104" s="72" t="n"/>
      <c r="AN104" s="72" t="n"/>
      <c r="AO104" s="72" t="n"/>
      <c r="AP104" s="72" t="n"/>
      <c r="AQ104" s="72" t="n"/>
      <c r="AR104" s="72" t="n"/>
      <c r="AS104" s="72" t="n"/>
      <c r="AT104" s="72" t="n"/>
      <c r="AU104" s="72" t="n"/>
      <c r="AV104" s="72" t="n"/>
      <c r="AW104" s="72" t="n"/>
      <c r="AX104" s="72" t="n"/>
      <c r="AY104" s="72" t="n"/>
      <c r="AZ104" s="72" t="n"/>
      <c r="BA104" s="72" t="n"/>
      <c r="BB104" s="72" t="n"/>
      <c r="BC104" s="72" t="n"/>
      <c r="BD104" s="291" t="n"/>
      <c r="BE104" s="98" t="n"/>
      <c r="BF104" s="72" t="n"/>
      <c r="BG104" s="72" t="n"/>
      <c r="BH104" s="72" t="n"/>
      <c r="BI104" s="72" t="n"/>
      <c r="BJ104" s="72" t="n"/>
      <c r="BK104" s="72" t="n"/>
      <c r="BL104" s="72" t="n"/>
      <c r="BM104" s="72" t="n"/>
      <c r="BN104" s="72" t="n"/>
      <c r="BO104" s="72" t="n"/>
      <c r="BP104" s="291" t="n"/>
      <c r="BQ104" s="98" t="n"/>
      <c r="BR104" s="72" t="n"/>
      <c r="BS104" s="72" t="n"/>
      <c r="BT104" s="72" t="n"/>
      <c r="BU104" s="72" t="n"/>
      <c r="BV104" s="72" t="n"/>
      <c r="BW104" s="72" t="n"/>
      <c r="BX104" s="72" t="n"/>
      <c r="BY104" s="72" t="n"/>
      <c r="BZ104" s="72" t="n"/>
      <c r="CA104" s="72" t="n"/>
      <c r="CB104" s="291" t="n"/>
      <c r="CC104" s="98" t="n"/>
      <c r="CD104" s="72" t="n"/>
      <c r="CE104" s="72" t="n"/>
      <c r="CF104" s="72" t="n"/>
      <c r="CG104" s="72" t="n"/>
      <c r="CH104" s="72" t="n"/>
      <c r="CI104" s="72" t="n"/>
      <c r="CJ104" s="72" t="n"/>
      <c r="CK104" s="72" t="n"/>
      <c r="CL104" s="72" t="n"/>
      <c r="CM104" s="72" t="n"/>
      <c r="CN104" s="291" t="n"/>
      <c r="CO104" s="98" t="n"/>
      <c r="CP104" s="72" t="n"/>
      <c r="CQ104" s="72" t="n"/>
      <c r="CR104" s="72" t="n"/>
      <c r="CS104" s="72" t="n"/>
      <c r="CT104" s="72" t="n"/>
      <c r="CU104" s="72" t="n"/>
      <c r="CV104" s="72" t="n"/>
      <c r="CW104" s="72" t="n"/>
      <c r="CX104" s="72" t="n"/>
      <c r="CY104" s="72" t="n"/>
      <c r="CZ104" s="291" t="n"/>
      <c r="DA104" s="98" t="n"/>
      <c r="DB104" s="72" t="n"/>
      <c r="DC104" s="72" t="n"/>
      <c r="DD104" s="72" t="n"/>
      <c r="DE104" s="72" t="n"/>
      <c r="DF104" s="72" t="n"/>
      <c r="DG104" s="72" t="n"/>
      <c r="DH104" s="72" t="n"/>
      <c r="DI104" s="72" t="n"/>
      <c r="DJ104" s="72" t="n"/>
      <c r="DK104" s="72" t="n"/>
      <c r="DL104" s="72" t="n"/>
      <c r="DM104" s="72" t="n"/>
      <c r="DN104" s="72" t="n"/>
      <c r="DO104" s="72" t="n"/>
      <c r="DP104" s="72" t="n"/>
      <c r="DQ104" s="72" t="n"/>
      <c r="DR104" s="72" t="n"/>
      <c r="DS104" s="72" t="n"/>
      <c r="DT104" s="72" t="n"/>
      <c r="DU104" s="72" t="n"/>
      <c r="DV104" s="72" t="n"/>
      <c r="DW104" s="72" t="n"/>
      <c r="DX104" s="72" t="n"/>
      <c r="DY104" s="72" t="n"/>
      <c r="DZ104" s="72" t="n"/>
      <c r="EA104" s="72" t="n"/>
      <c r="EB104" s="72" t="n"/>
      <c r="EC104" s="72" t="n"/>
      <c r="ED104" s="72" t="n"/>
      <c r="EE104" s="72" t="n"/>
      <c r="EF104" s="72" t="n"/>
      <c r="EG104" s="72" t="n"/>
      <c r="EH104" s="72" t="n"/>
      <c r="EI104" s="72" t="n"/>
      <c r="EJ104" s="72" t="n"/>
      <c r="EK104" s="72" t="n"/>
      <c r="EL104" s="72" t="n"/>
      <c r="EM104" s="72" t="n"/>
      <c r="EN104" s="72" t="n"/>
      <c r="EO104" s="72" t="n"/>
      <c r="EP104" s="72" t="n"/>
      <c r="EQ104" s="72" t="n"/>
      <c r="ER104" s="72" t="n"/>
      <c r="ES104" s="72" t="n"/>
      <c r="ET104" s="72" t="n"/>
      <c r="EU104" s="72" t="n"/>
      <c r="EV104" s="72" t="n"/>
      <c r="EW104" s="72" t="n"/>
      <c r="EX104" s="72" t="n"/>
      <c r="EY104" s="72" t="n"/>
      <c r="EZ104" s="72" t="n"/>
      <c r="FA104" s="72" t="n"/>
      <c r="FB104" s="72" t="n"/>
      <c r="FC104" s="72" t="n"/>
      <c r="FD104" s="72" t="n"/>
      <c r="FE104" s="72" t="n"/>
      <c r="FF104" s="72" t="n"/>
      <c r="FG104" s="72" t="n"/>
      <c r="FH104" s="72" t="n"/>
      <c r="FI104" s="72" t="n"/>
      <c r="FJ104" s="72" t="n"/>
      <c r="FK104" s="72" t="n"/>
      <c r="FL104" s="72" t="n"/>
      <c r="FM104" s="72" t="n"/>
      <c r="FN104" s="72" t="n"/>
      <c r="FO104" s="72" t="n"/>
      <c r="FP104" s="72" t="n"/>
      <c r="FQ104" s="72" t="n"/>
      <c r="FR104" s="72" t="n"/>
      <c r="FS104" s="72" t="n"/>
      <c r="FT104" s="72" t="n"/>
      <c r="FU104" s="72" t="n"/>
      <c r="FV104" s="72" t="n"/>
      <c r="FW104" s="72" t="n"/>
      <c r="FX104" s="72" t="n"/>
      <c r="FY104" s="72" t="n"/>
      <c r="FZ104" s="72" t="n"/>
      <c r="GA104" s="72" t="n"/>
      <c r="GB104" s="72" t="n"/>
      <c r="GC104" s="72" t="n"/>
      <c r="GD104" s="72" t="n"/>
      <c r="GE104" s="72" t="n"/>
      <c r="GF104" s="72" t="n"/>
      <c r="GG104" s="72" t="n"/>
      <c r="GH104" s="72" t="n"/>
      <c r="GI104" s="72" t="n"/>
      <c r="GJ104" s="72" t="n"/>
      <c r="GK104" s="72" t="n"/>
      <c r="GL104" s="72" t="n"/>
      <c r="GM104" s="72" t="n"/>
      <c r="GN104" s="72" t="n"/>
      <c r="GO104" s="72" t="n"/>
      <c r="GP104" s="72" t="n"/>
      <c r="GQ104" s="72" t="n"/>
      <c r="GR104" s="72" t="n"/>
      <c r="GS104" s="72" t="n"/>
      <c r="GT104" s="72" t="n"/>
      <c r="GU104" s="72" t="n"/>
      <c r="GV104" s="72" t="n"/>
      <c r="GW104" s="72" t="n"/>
      <c r="GX104" s="72" t="n"/>
      <c r="GY104" s="72" t="n"/>
      <c r="GZ104" s="72" t="n"/>
      <c r="HA104" s="72" t="n"/>
      <c r="HB104" s="72" t="n"/>
      <c r="HC104" s="72" t="n"/>
      <c r="HD104" s="72" t="n"/>
      <c r="HE104" s="72" t="n"/>
      <c r="HF104" s="72" t="n"/>
      <c r="HG104" s="72" t="n"/>
      <c r="HH104" s="72" t="n"/>
      <c r="HI104" s="72" t="n"/>
      <c r="HJ104" s="72" t="n"/>
      <c r="HK104" s="72" t="n"/>
      <c r="HL104" s="72" t="n"/>
      <c r="HM104" s="72" t="n"/>
      <c r="HN104" s="72" t="n"/>
      <c r="HO104" s="72" t="n"/>
      <c r="HP104" s="72" t="n"/>
      <c r="HQ104" s="72" t="n"/>
      <c r="HR104" s="72" t="n"/>
      <c r="HS104" s="72" t="n"/>
      <c r="HT104" s="72" t="n"/>
      <c r="HU104" s="72" t="n"/>
    </row>
    <row r="105" ht="16.2" customHeight="1">
      <c r="A105" s="97" t="inlineStr">
        <is>
          <t>TOTAL DE RECEITAS + PREVISÃO VENDAS</t>
        </is>
      </c>
      <c r="B105" s="132" t="n"/>
      <c r="C105" s="18" t="n"/>
      <c r="D105" s="18" t="n"/>
      <c r="E105" s="18" t="n"/>
      <c r="F105" s="18" t="n"/>
      <c r="G105" s="18" t="n"/>
      <c r="H105" s="18" t="n"/>
      <c r="I105" s="18" t="n"/>
      <c r="J105" s="162" t="n"/>
      <c r="K105" s="18" t="n"/>
      <c r="L105" s="18" t="n"/>
      <c r="M105" s="163" t="n"/>
      <c r="N105" s="163" t="n"/>
      <c r="O105" s="163" t="n"/>
      <c r="P105" s="163" t="n"/>
      <c r="Q105" s="163" t="n"/>
      <c r="R105" s="163" t="n"/>
      <c r="S105" s="163" t="n"/>
      <c r="T105" s="163" t="n"/>
      <c r="U105" s="163" t="n"/>
      <c r="V105" s="163" t="n"/>
      <c r="W105" s="163" t="n"/>
      <c r="X105" s="163" t="n"/>
      <c r="Y105" s="163" t="n"/>
      <c r="Z105" s="163" t="n"/>
      <c r="AA105" s="163" t="n"/>
      <c r="AB105" s="163" t="n"/>
      <c r="AC105" s="163" t="n"/>
      <c r="AD105" s="163" t="n"/>
      <c r="AE105" s="163" t="n"/>
      <c r="AF105" s="163" t="n"/>
      <c r="AG105" s="163" t="n"/>
      <c r="AH105" s="17" t="n"/>
      <c r="AI105" s="237" t="n"/>
      <c r="AJ105" s="17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292" t="n"/>
      <c r="BE105" s="99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292" t="n"/>
      <c r="BQ105" s="99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292" t="n"/>
      <c r="CC105" s="99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292" t="n"/>
      <c r="CO105" s="99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292" t="n"/>
      <c r="DA105" s="99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  <c r="DY105" s="18" t="n"/>
      <c r="DZ105" s="18" t="n"/>
      <c r="EA105" s="18" t="n"/>
      <c r="EB105" s="18" t="n"/>
      <c r="EC105" s="18" t="n"/>
      <c r="ED105" s="18" t="n"/>
      <c r="EE105" s="18" t="n"/>
      <c r="EF105" s="18" t="n"/>
      <c r="EG105" s="18" t="n"/>
      <c r="EH105" s="18" t="n"/>
      <c r="EI105" s="18" t="n"/>
      <c r="EJ105" s="18" t="n"/>
      <c r="EK105" s="18" t="n"/>
      <c r="EL105" s="18" t="n"/>
      <c r="EM105" s="18" t="n"/>
      <c r="EN105" s="18" t="n"/>
      <c r="EO105" s="18" t="n"/>
      <c r="EP105" s="18" t="n"/>
      <c r="EQ105" s="18" t="n"/>
      <c r="ER105" s="18" t="n"/>
      <c r="ES105" s="18" t="n"/>
      <c r="ET105" s="18" t="n"/>
      <c r="EU105" s="18" t="n"/>
      <c r="EV105" s="18" t="n"/>
      <c r="EW105" s="18" t="n"/>
      <c r="EX105" s="18" t="n"/>
      <c r="EY105" s="18" t="n"/>
      <c r="EZ105" s="18" t="n"/>
      <c r="FA105" s="18" t="n"/>
      <c r="FB105" s="18" t="n"/>
      <c r="FC105" s="18" t="n"/>
      <c r="FD105" s="18" t="n"/>
      <c r="FE105" s="18" t="n"/>
      <c r="FF105" s="18" t="n"/>
      <c r="FG105" s="18" t="n"/>
      <c r="FH105" s="18" t="n"/>
      <c r="FI105" s="18" t="n"/>
      <c r="FJ105" s="18" t="n"/>
      <c r="FK105" s="18" t="n"/>
      <c r="FL105" s="18" t="n"/>
      <c r="FM105" s="18" t="n"/>
      <c r="FN105" s="18" t="n"/>
      <c r="FO105" s="18" t="n"/>
      <c r="FP105" s="18" t="n"/>
      <c r="FQ105" s="18" t="n"/>
      <c r="FR105" s="18" t="n"/>
      <c r="FS105" s="18" t="n"/>
      <c r="FT105" s="18" t="n"/>
      <c r="FU105" s="18" t="n"/>
      <c r="FV105" s="18" t="n"/>
      <c r="FW105" s="18" t="n"/>
      <c r="FX105" s="18" t="n"/>
      <c r="FY105" s="18" t="n"/>
      <c r="FZ105" s="18" t="n"/>
      <c r="GA105" s="18" t="n"/>
      <c r="GB105" s="18" t="n"/>
      <c r="GC105" s="18" t="n"/>
      <c r="GD105" s="18" t="n"/>
      <c r="GE105" s="18" t="n"/>
      <c r="GF105" s="18" t="n"/>
      <c r="GG105" s="18" t="n"/>
      <c r="GH105" s="18" t="n"/>
      <c r="GI105" s="18" t="n"/>
      <c r="GJ105" s="18" t="n"/>
      <c r="GK105" s="18" t="n"/>
      <c r="GL105" s="18" t="n"/>
      <c r="GM105" s="18" t="n"/>
      <c r="GN105" s="18" t="n"/>
      <c r="GO105" s="18" t="n"/>
      <c r="GP105" s="18" t="n"/>
      <c r="GQ105" s="18" t="n"/>
      <c r="GR105" s="18" t="n"/>
      <c r="GS105" s="18" t="n"/>
      <c r="GT105" s="18" t="n"/>
      <c r="GU105" s="18" t="n"/>
      <c r="GV105" s="18" t="n"/>
      <c r="GW105" s="18" t="n"/>
      <c r="GX105" s="18" t="n"/>
      <c r="GY105" s="18" t="n"/>
      <c r="GZ105" s="18" t="n"/>
      <c r="HA105" s="18" t="n"/>
      <c r="HB105" s="18" t="n"/>
      <c r="HC105" s="18" t="n"/>
      <c r="HD105" s="18" t="n"/>
      <c r="HE105" s="18" t="n"/>
      <c r="HF105" s="18" t="n"/>
      <c r="HG105" s="18" t="n"/>
      <c r="HH105" s="18" t="n"/>
      <c r="HI105" s="18" t="n"/>
      <c r="HJ105" s="18" t="n"/>
      <c r="HK105" s="18" t="n"/>
      <c r="HL105" s="18" t="n"/>
      <c r="HM105" s="18" t="n"/>
      <c r="HN105" s="18" t="n"/>
      <c r="HO105" s="18" t="n"/>
      <c r="HP105" s="18" t="n"/>
      <c r="HQ105" s="18" t="n"/>
      <c r="HR105" s="18" t="n"/>
      <c r="HS105" s="18" t="n"/>
      <c r="HT105" s="18" t="n"/>
      <c r="HU105" s="18" t="n"/>
    </row>
    <row r="106" ht="6.75" customHeight="1" thickBot="1">
      <c r="A106" s="52" t="n"/>
      <c r="B106" s="133" t="n"/>
      <c r="C106" s="17" t="n"/>
      <c r="D106" s="17" t="n"/>
      <c r="E106" s="17" t="n"/>
      <c r="F106" s="17" t="n"/>
      <c r="G106" s="17" t="n"/>
      <c r="H106" s="17" t="n"/>
      <c r="I106" s="17" t="n"/>
      <c r="J106" s="164" t="n"/>
      <c r="K106" s="17" t="n"/>
      <c r="L106" s="17" t="n"/>
      <c r="M106" s="165" t="n"/>
      <c r="N106" s="165" t="n"/>
      <c r="O106" s="165" t="n"/>
      <c r="P106" s="165" t="n"/>
      <c r="Q106" s="165" t="n"/>
      <c r="R106" s="165" t="n"/>
      <c r="S106" s="165" t="n"/>
      <c r="T106" s="165" t="n"/>
      <c r="U106" s="165" t="n"/>
      <c r="V106" s="165" t="n"/>
      <c r="W106" s="165" t="n"/>
      <c r="X106" s="165" t="n"/>
      <c r="Y106" s="165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238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293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293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293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293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293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  <c r="EP106" s="17" t="n"/>
      <c r="EQ106" s="17" t="n"/>
      <c r="ER106" s="17" t="n"/>
      <c r="ES106" s="17" t="n"/>
      <c r="ET106" s="17" t="n"/>
      <c r="EU106" s="17" t="n"/>
      <c r="EV106" s="17" t="n"/>
      <c r="EW106" s="17" t="n"/>
      <c r="EX106" s="17" t="n"/>
      <c r="EY106" s="17" t="n"/>
      <c r="EZ106" s="17" t="n"/>
      <c r="FA106" s="17" t="n"/>
      <c r="FB106" s="17" t="n"/>
      <c r="FC106" s="17" t="n"/>
      <c r="FD106" s="17" t="n"/>
      <c r="FE106" s="17" t="n"/>
      <c r="FF106" s="17" t="n"/>
      <c r="FG106" s="17" t="n"/>
      <c r="FH106" s="17" t="n"/>
      <c r="FI106" s="17" t="n"/>
      <c r="FJ106" s="17" t="n"/>
      <c r="FK106" s="17" t="n"/>
      <c r="FL106" s="17" t="n"/>
      <c r="FM106" s="17" t="n"/>
      <c r="FN106" s="17" t="n"/>
      <c r="FO106" s="17" t="n"/>
      <c r="FP106" s="17" t="n"/>
      <c r="FQ106" s="17" t="n"/>
      <c r="FR106" s="17" t="n"/>
      <c r="FS106" s="17" t="n"/>
      <c r="FT106" s="17" t="n"/>
      <c r="FU106" s="17" t="n"/>
      <c r="FV106" s="17" t="n"/>
      <c r="FW106" s="17" t="n"/>
      <c r="FX106" s="17" t="n"/>
      <c r="FY106" s="17" t="n"/>
      <c r="FZ106" s="17" t="n"/>
      <c r="GA106" s="17" t="n"/>
      <c r="GB106" s="17" t="n"/>
      <c r="GC106" s="17" t="n"/>
      <c r="GD106" s="17" t="n"/>
      <c r="GE106" s="17" t="n"/>
      <c r="GF106" s="17" t="n"/>
      <c r="GG106" s="17" t="n"/>
      <c r="GH106" s="17" t="n"/>
      <c r="GI106" s="17" t="n"/>
      <c r="GJ106" s="17" t="n"/>
      <c r="GK106" s="17" t="n"/>
      <c r="GL106" s="17" t="n"/>
      <c r="GM106" s="17" t="n"/>
      <c r="GN106" s="17" t="n"/>
      <c r="GO106" s="17" t="n"/>
      <c r="GP106" s="17" t="n"/>
      <c r="GQ106" s="17" t="n"/>
      <c r="GR106" s="17" t="n"/>
      <c r="GS106" s="17" t="n"/>
      <c r="GT106" s="17" t="n"/>
      <c r="GU106" s="17" t="n"/>
      <c r="GV106" s="17" t="n"/>
      <c r="GW106" s="17" t="n"/>
      <c r="GX106" s="17" t="n"/>
      <c r="GY106" s="17" t="n"/>
      <c r="GZ106" s="17" t="n"/>
      <c r="HA106" s="17" t="n"/>
      <c r="HB106" s="17" t="n"/>
      <c r="HC106" s="17" t="n"/>
      <c r="HD106" s="17" t="n"/>
      <c r="HE106" s="17" t="n"/>
      <c r="HF106" s="17" t="n"/>
      <c r="HG106" s="17" t="n"/>
      <c r="HH106" s="17" t="n"/>
      <c r="HI106" s="17" t="n"/>
      <c r="HJ106" s="17" t="n"/>
      <c r="HK106" s="17" t="n"/>
      <c r="HL106" s="17" t="n"/>
      <c r="HM106" s="17" t="n"/>
      <c r="HN106" s="17" t="n"/>
      <c r="HO106" s="17" t="n"/>
      <c r="HP106" s="17" t="n"/>
      <c r="HQ106" s="17" t="n"/>
      <c r="HR106" s="17" t="n"/>
      <c r="HS106" s="17" t="n"/>
      <c r="HT106" s="17" t="n"/>
      <c r="HU106" s="17" t="n"/>
    </row>
    <row r="107" ht="16.5" customHeight="1">
      <c r="A107" s="63" t="inlineStr">
        <is>
          <t>DESPESAS OPERACIONAIS</t>
        </is>
      </c>
      <c r="B107" s="134" t="n"/>
      <c r="C107" s="64" t="n"/>
      <c r="D107" s="64" t="n"/>
      <c r="E107" s="64" t="n"/>
      <c r="F107" s="64" t="n"/>
      <c r="G107" s="64" t="n"/>
      <c r="H107" s="64" t="n"/>
      <c r="I107" s="64" t="n"/>
      <c r="J107" s="166" t="n"/>
      <c r="K107" s="64" t="n"/>
      <c r="L107" s="64" t="n"/>
      <c r="M107" s="167" t="n"/>
      <c r="N107" s="167" t="n"/>
      <c r="O107" s="167" t="n"/>
      <c r="P107" s="167" t="n"/>
      <c r="Q107" s="167" t="n"/>
      <c r="R107" s="167" t="n"/>
      <c r="S107" s="167" t="n"/>
      <c r="T107" s="167" t="n"/>
      <c r="U107" s="167" t="n"/>
      <c r="V107" s="167" t="n"/>
      <c r="W107" s="167" t="n"/>
      <c r="X107" s="167" t="n"/>
      <c r="Y107" s="167" t="n"/>
      <c r="Z107" s="167" t="n"/>
      <c r="AA107" s="167" t="n"/>
      <c r="AB107" s="167" t="n"/>
      <c r="AC107" s="167" t="n"/>
      <c r="AD107" s="167" t="n"/>
      <c r="AE107" s="167" t="n"/>
      <c r="AF107" s="167" t="n"/>
      <c r="AG107" s="167" t="n"/>
      <c r="AH107" s="17" t="n"/>
      <c r="AI107" s="331" t="n"/>
      <c r="AJ107" s="17" t="n"/>
      <c r="AK107" s="64" t="n"/>
      <c r="AL107" s="64" t="n"/>
      <c r="AM107" s="64" t="n"/>
      <c r="AN107" s="64" t="n"/>
      <c r="AO107" s="64" t="n"/>
      <c r="AP107" s="64" t="n"/>
      <c r="AQ107" s="64" t="n"/>
      <c r="AR107" s="64" t="n"/>
      <c r="AS107" s="64" t="n"/>
      <c r="AT107" s="64" t="n"/>
      <c r="AU107" s="64" t="n"/>
      <c r="AV107" s="64" t="n"/>
      <c r="AW107" s="64" t="n"/>
      <c r="AX107" s="64" t="n"/>
      <c r="AY107" s="64" t="n"/>
      <c r="AZ107" s="64" t="n"/>
      <c r="BA107" s="64" t="n"/>
      <c r="BB107" s="64" t="n"/>
      <c r="BC107" s="64" t="n"/>
      <c r="BD107" s="294" t="n"/>
      <c r="BE107" s="64" t="n"/>
      <c r="BF107" s="64" t="n"/>
      <c r="BG107" s="64" t="n"/>
      <c r="BH107" s="64" t="n"/>
      <c r="BI107" s="64" t="n"/>
      <c r="BJ107" s="64" t="n"/>
      <c r="BK107" s="64" t="n"/>
      <c r="BL107" s="64" t="n"/>
      <c r="BM107" s="64" t="n"/>
      <c r="BN107" s="64" t="n"/>
      <c r="BO107" s="64" t="n"/>
      <c r="BP107" s="294" t="n"/>
      <c r="BQ107" s="64" t="n"/>
      <c r="BR107" s="64" t="n"/>
      <c r="BS107" s="64" t="n"/>
      <c r="BT107" s="64" t="n"/>
      <c r="BU107" s="64" t="n"/>
      <c r="BV107" s="64" t="n"/>
      <c r="BW107" s="64" t="n"/>
      <c r="BX107" s="64" t="n"/>
      <c r="BY107" s="64" t="n"/>
      <c r="BZ107" s="64" t="n"/>
      <c r="CA107" s="64" t="n"/>
      <c r="CB107" s="294" t="n"/>
      <c r="CC107" s="64" t="n"/>
      <c r="CD107" s="64" t="n"/>
      <c r="CE107" s="64" t="n"/>
      <c r="CF107" s="64" t="n"/>
      <c r="CG107" s="64" t="n"/>
      <c r="CH107" s="64" t="n"/>
      <c r="CI107" s="64" t="n"/>
      <c r="CJ107" s="64" t="n"/>
      <c r="CK107" s="64" t="n"/>
      <c r="CL107" s="64" t="n"/>
      <c r="CM107" s="64" t="n"/>
      <c r="CN107" s="294" t="n"/>
      <c r="CO107" s="64" t="n"/>
      <c r="CP107" s="64" t="n"/>
      <c r="CQ107" s="64" t="n"/>
      <c r="CR107" s="64" t="n"/>
      <c r="CS107" s="64" t="n"/>
      <c r="CT107" s="64" t="n"/>
      <c r="CU107" s="64" t="n"/>
      <c r="CV107" s="64" t="n"/>
      <c r="CW107" s="64" t="n"/>
      <c r="CX107" s="64" t="n"/>
      <c r="CY107" s="64" t="n"/>
      <c r="CZ107" s="294" t="n"/>
      <c r="DA107" s="64" t="n"/>
      <c r="DB107" s="64" t="n"/>
      <c r="DC107" s="64" t="n"/>
      <c r="DD107" s="64" t="n"/>
      <c r="DE107" s="64" t="n"/>
      <c r="DF107" s="64" t="n"/>
      <c r="DG107" s="64" t="n"/>
      <c r="DH107" s="64" t="n"/>
      <c r="DI107" s="64" t="n"/>
      <c r="DJ107" s="64" t="n"/>
      <c r="DK107" s="64" t="n"/>
      <c r="DL107" s="64" t="n"/>
      <c r="DM107" s="64" t="n"/>
      <c r="DN107" s="64" t="n"/>
      <c r="DO107" s="64" t="n"/>
      <c r="DP107" s="64" t="n"/>
      <c r="DQ107" s="64" t="n"/>
      <c r="DR107" s="64" t="n"/>
      <c r="DS107" s="64" t="n"/>
      <c r="DT107" s="64" t="n"/>
      <c r="DU107" s="64" t="n"/>
      <c r="DV107" s="64" t="n"/>
      <c r="DW107" s="64" t="n"/>
      <c r="DX107" s="64" t="n"/>
      <c r="DY107" s="64" t="n"/>
      <c r="DZ107" s="64" t="n"/>
      <c r="EA107" s="64" t="n"/>
      <c r="EB107" s="64" t="n"/>
      <c r="EC107" s="64" t="n"/>
      <c r="ED107" s="64" t="n"/>
      <c r="EE107" s="64" t="n"/>
      <c r="EF107" s="64" t="n"/>
      <c r="EG107" s="64" t="n"/>
      <c r="EH107" s="64" t="n"/>
      <c r="EI107" s="64" t="n"/>
      <c r="EJ107" s="64" t="n"/>
      <c r="EK107" s="64" t="n"/>
      <c r="EL107" s="64" t="n"/>
      <c r="EM107" s="64" t="n"/>
      <c r="EN107" s="64" t="n"/>
      <c r="EO107" s="64" t="n"/>
      <c r="EP107" s="64" t="n"/>
      <c r="EQ107" s="64" t="n"/>
      <c r="ER107" s="64" t="n"/>
      <c r="ES107" s="64" t="n"/>
      <c r="ET107" s="64" t="n"/>
      <c r="EU107" s="64" t="n"/>
      <c r="EV107" s="64" t="n"/>
      <c r="EW107" s="64" t="n"/>
      <c r="EX107" s="64" t="n"/>
      <c r="EY107" s="64" t="n"/>
      <c r="EZ107" s="64" t="n"/>
      <c r="FA107" s="64" t="n"/>
      <c r="FB107" s="64" t="n"/>
      <c r="FC107" s="64" t="n"/>
      <c r="FD107" s="64" t="n"/>
      <c r="FE107" s="64" t="n"/>
      <c r="FF107" s="64" t="n"/>
      <c r="FG107" s="64" t="n"/>
      <c r="FH107" s="64" t="n"/>
      <c r="FI107" s="64" t="n"/>
      <c r="FJ107" s="64" t="n"/>
      <c r="FK107" s="64" t="n"/>
      <c r="FL107" s="64" t="n"/>
      <c r="FM107" s="64" t="n"/>
      <c r="FN107" s="64" t="n"/>
      <c r="FO107" s="64" t="n"/>
      <c r="FP107" s="64" t="n"/>
      <c r="FQ107" s="64" t="n"/>
      <c r="FR107" s="64" t="n"/>
      <c r="FS107" s="64" t="n"/>
      <c r="FT107" s="64" t="n"/>
      <c r="FU107" s="64" t="n"/>
      <c r="FV107" s="64" t="n"/>
      <c r="FW107" s="64" t="n"/>
      <c r="FX107" s="64" t="n"/>
      <c r="FY107" s="64" t="n"/>
      <c r="FZ107" s="64" t="n"/>
      <c r="GA107" s="64" t="n"/>
      <c r="GB107" s="64" t="n"/>
      <c r="GC107" s="64" t="n"/>
      <c r="GD107" s="64" t="n"/>
      <c r="GE107" s="64" t="n"/>
      <c r="GF107" s="64" t="n"/>
      <c r="GG107" s="64" t="n"/>
      <c r="GH107" s="64" t="n"/>
      <c r="GI107" s="64" t="n"/>
      <c r="GJ107" s="64" t="n"/>
      <c r="GK107" s="64" t="n"/>
      <c r="GL107" s="64" t="n"/>
      <c r="GM107" s="64" t="n"/>
      <c r="GN107" s="64" t="n"/>
      <c r="GO107" s="64" t="n"/>
      <c r="GP107" s="64" t="n"/>
      <c r="GQ107" s="64" t="n"/>
      <c r="GR107" s="64" t="n"/>
      <c r="GS107" s="64" t="n"/>
      <c r="GT107" s="64" t="n"/>
      <c r="GU107" s="64" t="n"/>
      <c r="GV107" s="64" t="n"/>
      <c r="GW107" s="64" t="n"/>
      <c r="GX107" s="64" t="n"/>
      <c r="GY107" s="64" t="n"/>
      <c r="GZ107" s="64" t="n"/>
      <c r="HA107" s="64" t="n"/>
      <c r="HB107" s="64" t="n"/>
      <c r="HC107" s="64" t="n"/>
      <c r="HD107" s="64" t="n"/>
      <c r="HE107" s="64" t="n"/>
      <c r="HF107" s="64" t="n"/>
      <c r="HG107" s="64" t="n"/>
      <c r="HH107" s="64" t="n"/>
      <c r="HI107" s="64" t="n"/>
      <c r="HJ107" s="64" t="n"/>
      <c r="HK107" s="64" t="n"/>
      <c r="HL107" s="64" t="n"/>
      <c r="HM107" s="64" t="n"/>
      <c r="HN107" s="64" t="n"/>
      <c r="HO107" s="64" t="n"/>
      <c r="HP107" s="64" t="n"/>
      <c r="HQ107" s="64" t="n"/>
      <c r="HR107" s="64" t="n"/>
      <c r="HS107" s="64" t="n"/>
      <c r="HT107" s="64" t="n"/>
      <c r="HU107" s="64" t="n"/>
    </row>
    <row r="108" ht="16.2" customFormat="1" customHeight="1" s="259">
      <c r="A108" s="62" t="inlineStr">
        <is>
          <t>DESPESAS COMERCIAIS(-)</t>
        </is>
      </c>
      <c r="B108" s="135" t="n"/>
      <c r="C108" s="60" t="n"/>
      <c r="D108" s="60" t="n"/>
      <c r="E108" s="61" t="n"/>
      <c r="F108" s="61" t="n"/>
      <c r="G108" s="61" t="n"/>
      <c r="H108" s="61" t="n"/>
      <c r="I108" s="61" t="n"/>
      <c r="J108" s="168" t="n"/>
      <c r="K108" s="61" t="n"/>
      <c r="L108" s="61" t="n"/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  <c r="Z108" s="169" t="n"/>
      <c r="AA108" s="169" t="n"/>
      <c r="AB108" s="169" t="n"/>
      <c r="AC108" s="169" t="n"/>
      <c r="AD108" s="169" t="n"/>
      <c r="AE108" s="169" t="n"/>
      <c r="AF108" s="169" t="n"/>
      <c r="AG108" s="169" t="n"/>
      <c r="AH108" s="202" t="n"/>
      <c r="AI108" s="239" t="n"/>
      <c r="AJ108" s="202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295" t="n"/>
      <c r="BE108" s="61" t="n"/>
      <c r="BF108" s="61" t="n"/>
      <c r="BG108" s="61" t="n"/>
      <c r="BH108" s="61" t="n"/>
      <c r="BI108" s="61" t="n"/>
      <c r="BJ108" s="61" t="n"/>
      <c r="BK108" s="61" t="n"/>
      <c r="BL108" s="61" t="n"/>
      <c r="BM108" s="61" t="n"/>
      <c r="BN108" s="61" t="n"/>
      <c r="BO108" s="61" t="n"/>
      <c r="BP108" s="295" t="n"/>
      <c r="BQ108" s="61" t="n"/>
      <c r="BR108" s="61" t="n"/>
      <c r="BS108" s="61" t="n"/>
      <c r="BT108" s="61" t="n"/>
      <c r="BU108" s="61" t="n"/>
      <c r="BV108" s="61" t="n"/>
      <c r="BW108" s="61" t="n"/>
      <c r="BX108" s="61" t="n"/>
      <c r="BY108" s="61" t="n"/>
      <c r="BZ108" s="61" t="n"/>
      <c r="CA108" s="61" t="n"/>
      <c r="CB108" s="295" t="n"/>
      <c r="CC108" s="61" t="n"/>
      <c r="CD108" s="61" t="n"/>
      <c r="CE108" s="61" t="n"/>
      <c r="CF108" s="61" t="n"/>
      <c r="CG108" s="61" t="n"/>
      <c r="CH108" s="61" t="n"/>
      <c r="CI108" s="61" t="n"/>
      <c r="CJ108" s="61" t="n"/>
      <c r="CK108" s="61" t="n"/>
      <c r="CL108" s="61" t="n"/>
      <c r="CM108" s="61" t="n"/>
      <c r="CN108" s="295" t="n"/>
      <c r="CO108" s="61" t="n"/>
      <c r="CP108" s="61" t="n"/>
      <c r="CQ108" s="61" t="n"/>
      <c r="CR108" s="61" t="n"/>
      <c r="CS108" s="61" t="n"/>
      <c r="CT108" s="61" t="n"/>
      <c r="CU108" s="61" t="n"/>
      <c r="CV108" s="61" t="n"/>
      <c r="CW108" s="61" t="n"/>
      <c r="CX108" s="61" t="n"/>
      <c r="CY108" s="61" t="n"/>
      <c r="CZ108" s="295" t="n"/>
      <c r="DA108" s="61" t="n"/>
      <c r="DB108" s="61" t="n"/>
      <c r="DC108" s="61" t="n"/>
      <c r="DD108" s="61" t="n"/>
      <c r="DE108" s="61" t="n"/>
      <c r="DF108" s="61" t="n"/>
      <c r="DG108" s="61" t="n"/>
      <c r="DH108" s="61" t="n"/>
      <c r="DI108" s="61" t="n"/>
      <c r="DJ108" s="61" t="n"/>
      <c r="DK108" s="61" t="n"/>
      <c r="DL108" s="61" t="n"/>
      <c r="DM108" s="61" t="n"/>
      <c r="DN108" s="61" t="n"/>
      <c r="DO108" s="61" t="n"/>
      <c r="DP108" s="61" t="n"/>
      <c r="DQ108" s="61" t="n"/>
      <c r="DR108" s="61" t="n"/>
      <c r="DS108" s="61" t="n"/>
      <c r="DT108" s="61" t="n"/>
      <c r="DU108" s="61" t="n"/>
      <c r="DV108" s="61" t="n"/>
      <c r="DW108" s="61" t="n"/>
      <c r="DX108" s="61" t="n"/>
      <c r="DY108" s="61" t="n"/>
      <c r="DZ108" s="61" t="n"/>
      <c r="EA108" s="61" t="n"/>
      <c r="EB108" s="61" t="n"/>
      <c r="EC108" s="61" t="n"/>
      <c r="ED108" s="61" t="n"/>
      <c r="EE108" s="61" t="n"/>
      <c r="EF108" s="61" t="n"/>
      <c r="EG108" s="61" t="n"/>
      <c r="EH108" s="61" t="n"/>
      <c r="EI108" s="61" t="n"/>
      <c r="EJ108" s="61" t="n"/>
      <c r="EK108" s="61" t="n"/>
      <c r="EL108" s="61" t="n"/>
      <c r="EM108" s="61" t="n"/>
      <c r="EN108" s="61" t="n"/>
      <c r="EO108" s="61" t="n"/>
      <c r="EP108" s="61" t="n"/>
      <c r="EQ108" s="61" t="n"/>
      <c r="ER108" s="61" t="n"/>
      <c r="ES108" s="61" t="n"/>
      <c r="ET108" s="61" t="n"/>
      <c r="EU108" s="61" t="n"/>
      <c r="EV108" s="61" t="n"/>
      <c r="EW108" s="61" t="n"/>
      <c r="EX108" s="61" t="n"/>
      <c r="EY108" s="61" t="n"/>
      <c r="EZ108" s="61" t="n"/>
      <c r="FA108" s="61" t="n"/>
      <c r="FB108" s="61" t="n"/>
      <c r="FC108" s="61" t="n"/>
      <c r="FD108" s="61" t="n"/>
      <c r="FE108" s="61" t="n"/>
      <c r="FF108" s="61" t="n"/>
      <c r="FG108" s="61" t="n"/>
      <c r="FH108" s="61" t="n"/>
      <c r="FI108" s="61" t="n"/>
      <c r="FJ108" s="61" t="n"/>
      <c r="FK108" s="61" t="n"/>
      <c r="FL108" s="61" t="n"/>
      <c r="FM108" s="61" t="n"/>
      <c r="FN108" s="61" t="n"/>
      <c r="FO108" s="61" t="n"/>
      <c r="FP108" s="61" t="n"/>
      <c r="FQ108" s="61" t="n"/>
      <c r="FR108" s="61" t="n"/>
      <c r="FS108" s="61" t="n"/>
      <c r="FT108" s="61" t="n"/>
      <c r="FU108" s="61" t="n"/>
      <c r="FV108" s="61" t="n"/>
      <c r="FW108" s="61" t="n"/>
      <c r="FX108" s="61" t="n"/>
      <c r="FY108" s="61" t="n"/>
      <c r="FZ108" s="61" t="n"/>
      <c r="GA108" s="61" t="n"/>
      <c r="GB108" s="61" t="n"/>
      <c r="GC108" s="61" t="n"/>
      <c r="GD108" s="61" t="n"/>
      <c r="GE108" s="61" t="n"/>
      <c r="GF108" s="61" t="n"/>
      <c r="GG108" s="61" t="n"/>
      <c r="GH108" s="61" t="n"/>
      <c r="GI108" s="61" t="n"/>
      <c r="GJ108" s="61" t="n"/>
      <c r="GK108" s="61" t="n"/>
      <c r="GL108" s="61" t="n"/>
      <c r="GM108" s="61" t="n"/>
      <c r="GN108" s="61" t="n"/>
      <c r="GO108" s="61" t="n"/>
      <c r="GP108" s="61" t="n"/>
      <c r="GQ108" s="61" t="n"/>
      <c r="GR108" s="61" t="n"/>
      <c r="GS108" s="61" t="n"/>
      <c r="GT108" s="61" t="n"/>
      <c r="GU108" s="61" t="n"/>
      <c r="GV108" s="61" t="n"/>
      <c r="GW108" s="61" t="n"/>
      <c r="GX108" s="61" t="n"/>
      <c r="GY108" s="61" t="n"/>
      <c r="GZ108" s="61" t="n"/>
      <c r="HA108" s="61" t="n"/>
      <c r="HB108" s="61" t="n"/>
      <c r="HC108" s="61" t="n"/>
      <c r="HD108" s="61" t="n"/>
      <c r="HE108" s="61" t="n"/>
      <c r="HF108" s="61" t="n"/>
      <c r="HG108" s="61" t="n"/>
      <c r="HH108" s="61" t="n"/>
      <c r="HI108" s="61" t="n"/>
      <c r="HJ108" s="61" t="n"/>
      <c r="HK108" s="61" t="n"/>
      <c r="HL108" s="61" t="n"/>
      <c r="HM108" s="61" t="n"/>
      <c r="HN108" s="61" t="n"/>
      <c r="HO108" s="61" t="n"/>
      <c r="HP108" s="61" t="n"/>
      <c r="HQ108" s="61" t="n"/>
      <c r="HR108" s="61" t="n"/>
      <c r="HS108" s="61" t="n"/>
      <c r="HT108" s="61" t="n"/>
      <c r="HU108" s="61" t="n"/>
    </row>
    <row r="109" ht="16.2" customHeight="1">
      <c r="A109" s="7" t="inlineStr">
        <is>
          <t>Comissões S/ Venda (Equipe Interna)</t>
        </is>
      </c>
      <c r="B109" s="136" t="n"/>
      <c r="C109" s="85" t="n"/>
      <c r="D109" s="87" t="n"/>
      <c r="E109" s="85" t="n"/>
      <c r="F109" s="85" t="n"/>
      <c r="G109" s="85" t="n"/>
      <c r="H109" s="85" t="n"/>
      <c r="I109" s="86" t="n"/>
      <c r="J109" s="218" t="n"/>
      <c r="K109" s="114" t="n"/>
      <c r="L109" s="122" t="n"/>
      <c r="M109" s="219" t="n"/>
      <c r="N109" s="219" t="n"/>
      <c r="O109" s="219" t="n"/>
      <c r="P109" s="219" t="n"/>
      <c r="Q109" s="219" t="n"/>
      <c r="R109" s="219" t="n"/>
      <c r="S109" s="219" t="n"/>
      <c r="T109" s="219" t="n"/>
      <c r="U109" s="219" t="n"/>
      <c r="V109" s="219" t="n"/>
      <c r="W109" s="219" t="n"/>
      <c r="X109" s="219" t="n"/>
      <c r="Y109" s="219" t="n"/>
      <c r="Z109" s="219" t="n"/>
      <c r="AA109" s="219" t="n"/>
      <c r="AB109" s="219" t="n"/>
      <c r="AC109" s="219" t="n"/>
      <c r="AD109" s="219" t="n"/>
      <c r="AE109" s="219" t="n"/>
      <c r="AF109" s="219" t="n"/>
      <c r="AG109" s="219" t="n"/>
      <c r="AH109" s="53" t="n"/>
      <c r="AI109" s="345" t="n"/>
      <c r="AJ109" s="53" t="n"/>
      <c r="AK109" s="87" t="n"/>
      <c r="AL109" s="87" t="n"/>
      <c r="AM109" s="87" t="n"/>
      <c r="AN109" s="87" t="n"/>
      <c r="AO109" s="87" t="n"/>
      <c r="AP109" s="87" t="n"/>
      <c r="AQ109" s="87" t="n"/>
      <c r="AR109" s="87" t="n"/>
      <c r="AS109" s="87" t="n"/>
      <c r="AT109" s="87" t="n"/>
      <c r="AU109" s="87" t="n"/>
      <c r="AV109" s="87" t="n"/>
      <c r="AW109" s="87" t="n"/>
      <c r="AX109" s="87" t="n"/>
      <c r="AY109" s="87" t="n"/>
      <c r="AZ109" s="87" t="n"/>
      <c r="BA109" s="87" t="n"/>
      <c r="BB109" s="87" t="n"/>
      <c r="BC109" s="87" t="n"/>
      <c r="BD109" s="87" t="n"/>
      <c r="BE109" s="87" t="n"/>
      <c r="BF109" s="87" t="n"/>
      <c r="BG109" s="87" t="n"/>
      <c r="BH109" s="87" t="n"/>
      <c r="BI109" s="87" t="n"/>
      <c r="BJ109" s="87" t="n"/>
      <c r="BK109" s="87" t="n"/>
      <c r="BL109" s="87" t="n"/>
      <c r="BM109" s="87" t="n"/>
      <c r="BN109" s="87" t="n"/>
      <c r="BO109" s="87" t="n"/>
      <c r="BP109" s="87" t="n"/>
      <c r="BQ109" s="87" t="n"/>
      <c r="BR109" s="87" t="n"/>
      <c r="BS109" s="87" t="n"/>
      <c r="BT109" s="87" t="n"/>
      <c r="BU109" s="87" t="n"/>
      <c r="BV109" s="87" t="n"/>
      <c r="BW109" s="87" t="n"/>
      <c r="BX109" s="87" t="n"/>
      <c r="BY109" s="87" t="n"/>
      <c r="BZ109" s="87" t="n"/>
      <c r="CA109" s="87" t="n"/>
      <c r="CB109" s="87" t="n"/>
      <c r="CC109" s="87" t="n"/>
      <c r="CD109" s="87" t="n"/>
      <c r="CE109" s="87" t="n"/>
      <c r="CF109" s="87" t="n"/>
      <c r="CG109" s="87" t="n"/>
      <c r="CH109" s="87" t="n"/>
      <c r="CI109" s="87" t="n"/>
      <c r="CJ109" s="87" t="n"/>
      <c r="CK109" s="87" t="n"/>
      <c r="CL109" s="87" t="n"/>
      <c r="CM109" s="87" t="n"/>
      <c r="CN109" s="87" t="n"/>
      <c r="CO109" s="87" t="n"/>
      <c r="CP109" s="87" t="n"/>
      <c r="CQ109" s="87" t="n"/>
      <c r="CR109" s="87" t="n"/>
      <c r="CS109" s="87" t="n"/>
      <c r="CT109" s="87" t="n"/>
      <c r="CU109" s="87" t="n"/>
      <c r="CV109" s="87" t="n"/>
      <c r="CW109" s="87" t="n"/>
      <c r="CX109" s="87" t="n"/>
      <c r="CY109" s="87" t="n"/>
      <c r="CZ109" s="87" t="n"/>
      <c r="DA109" s="87" t="n"/>
      <c r="DB109" s="87" t="n"/>
      <c r="DC109" s="87" t="n"/>
      <c r="DD109" s="87" t="n"/>
      <c r="DE109" s="87" t="n"/>
      <c r="DF109" s="87" t="n"/>
      <c r="DG109" s="87" t="n"/>
      <c r="DH109" s="87" t="n"/>
      <c r="DI109" s="87" t="n"/>
      <c r="DJ109" s="87" t="n"/>
      <c r="DK109" s="87" t="n"/>
      <c r="DL109" s="87" t="n"/>
      <c r="DM109" s="87" t="n"/>
      <c r="DN109" s="87" t="n"/>
      <c r="DO109" s="87" t="n"/>
      <c r="DP109" s="87" t="n"/>
      <c r="DQ109" s="87" t="n"/>
      <c r="DR109" s="87" t="n"/>
      <c r="DS109" s="86" t="n"/>
      <c r="DT109" s="86" t="n"/>
      <c r="DU109" s="86" t="n"/>
      <c r="DV109" s="86" t="n"/>
      <c r="DW109" s="86" t="n"/>
      <c r="DX109" s="86" t="n"/>
      <c r="DY109" s="86" t="n"/>
      <c r="DZ109" s="86" t="n"/>
      <c r="EA109" s="86" t="n"/>
      <c r="EB109" s="86" t="n"/>
      <c r="EC109" s="86" t="n"/>
      <c r="ED109" s="86" t="n"/>
      <c r="EE109" s="86" t="n"/>
      <c r="EF109" s="86" t="n"/>
      <c r="EG109" s="86" t="n"/>
      <c r="EH109" s="86" t="n"/>
      <c r="EI109" s="86" t="n"/>
      <c r="EJ109" s="86" t="n"/>
      <c r="EK109" s="86" t="n"/>
      <c r="EL109" s="86" t="n"/>
      <c r="EM109" s="86" t="n"/>
      <c r="EN109" s="86" t="n"/>
      <c r="EO109" s="86" t="n"/>
      <c r="EP109" s="86" t="n"/>
      <c r="EQ109" s="86" t="n"/>
      <c r="ER109" s="86" t="n"/>
      <c r="ES109" s="86" t="n"/>
      <c r="ET109" s="86" t="n"/>
      <c r="EU109" s="86" t="n"/>
      <c r="EV109" s="86" t="n"/>
      <c r="EW109" s="86" t="n"/>
      <c r="EX109" s="86" t="n"/>
      <c r="EY109" s="86" t="n"/>
      <c r="EZ109" s="86" t="n"/>
      <c r="FA109" s="86" t="n"/>
      <c r="FB109" s="86" t="n"/>
      <c r="FC109" s="86" t="n"/>
      <c r="FD109" s="86" t="n"/>
      <c r="FE109" s="86" t="n"/>
      <c r="FF109" s="86" t="n"/>
      <c r="FG109" s="86" t="n"/>
      <c r="FH109" s="86" t="n"/>
      <c r="FI109" s="86" t="n"/>
      <c r="FJ109" s="86" t="n"/>
      <c r="FK109" s="86" t="n"/>
      <c r="FL109" s="86" t="n"/>
      <c r="FM109" s="86" t="n"/>
      <c r="FN109" s="86" t="n"/>
      <c r="FO109" s="86" t="n"/>
      <c r="FP109" s="86" t="n"/>
      <c r="FQ109" s="86" t="n"/>
      <c r="FR109" s="86" t="n"/>
      <c r="FS109" s="86" t="n"/>
      <c r="FT109" s="86" t="n"/>
      <c r="FU109" s="86" t="n"/>
      <c r="FV109" s="86" t="n"/>
      <c r="FW109" s="86" t="n"/>
      <c r="FX109" s="86" t="n"/>
      <c r="FY109" s="86" t="n"/>
      <c r="FZ109" s="86" t="n"/>
      <c r="GA109" s="86" t="n"/>
      <c r="GB109" s="86" t="n"/>
      <c r="GC109" s="86" t="n"/>
      <c r="GD109" s="86" t="n"/>
      <c r="GE109" s="86" t="n"/>
      <c r="GF109" s="86" t="n"/>
      <c r="GG109" s="86" t="n"/>
      <c r="GH109" s="86" t="n"/>
      <c r="GI109" s="86" t="n"/>
      <c r="GJ109" s="86" t="n"/>
      <c r="GK109" s="86" t="n"/>
      <c r="GL109" s="86" t="n"/>
      <c r="GM109" s="86" t="n"/>
      <c r="GN109" s="86" t="n"/>
      <c r="GO109" s="86" t="n"/>
      <c r="GP109" s="86" t="n"/>
      <c r="GQ109" s="86" t="n"/>
      <c r="GR109" s="86" t="n"/>
      <c r="GS109" s="86" t="n"/>
      <c r="GT109" s="86" t="n"/>
      <c r="GU109" s="86" t="n"/>
      <c r="GV109" s="86" t="n"/>
      <c r="GW109" s="86" t="n"/>
      <c r="GX109" s="86" t="n"/>
      <c r="GY109" s="86" t="n"/>
      <c r="GZ109" s="86" t="n"/>
      <c r="HA109" s="86" t="n"/>
      <c r="HB109" s="86" t="n"/>
      <c r="HC109" s="86" t="n"/>
      <c r="HD109" s="86" t="n"/>
      <c r="HE109" s="86" t="n"/>
      <c r="HF109" s="86" t="n"/>
      <c r="HG109" s="86" t="n"/>
      <c r="HH109" s="86" t="n"/>
      <c r="HI109" s="86" t="n"/>
      <c r="HJ109" s="86" t="n"/>
      <c r="HK109" s="86" t="n"/>
      <c r="HL109" s="86" t="n"/>
      <c r="HM109" s="86" t="n"/>
      <c r="HN109" s="86" t="n"/>
      <c r="HO109" s="86" t="n"/>
      <c r="HP109" s="86" t="n"/>
      <c r="HQ109" s="86" t="n"/>
      <c r="HR109" s="86" t="n"/>
      <c r="HS109" s="86" t="n"/>
      <c r="HT109" s="86" t="n"/>
      <c r="HU109" s="86" t="n"/>
    </row>
    <row r="110" ht="16.2" customHeight="1">
      <c r="A110" s="7" t="inlineStr">
        <is>
          <t>Stand de Venda - Manutenção</t>
        </is>
      </c>
      <c r="B110" s="136" t="n"/>
      <c r="C110" s="85" t="n"/>
      <c r="D110" s="87" t="n"/>
      <c r="E110" s="85" t="n"/>
      <c r="F110" s="85" t="n"/>
      <c r="G110" s="85" t="n"/>
      <c r="H110" s="85" t="n"/>
      <c r="I110" s="86" t="n"/>
      <c r="J110" s="218" t="n"/>
      <c r="K110" s="114" t="n"/>
      <c r="L110" s="122" t="n"/>
      <c r="M110" s="219" t="n"/>
      <c r="N110" s="219" t="n"/>
      <c r="O110" s="219" t="n"/>
      <c r="P110" s="219" t="n"/>
      <c r="Q110" s="219" t="n"/>
      <c r="R110" s="219" t="n"/>
      <c r="S110" s="219" t="n"/>
      <c r="T110" s="219" t="n"/>
      <c r="U110" s="219" t="n"/>
      <c r="V110" s="219" t="n"/>
      <c r="W110" s="219" t="n"/>
      <c r="X110" s="219" t="n"/>
      <c r="Y110" s="219" t="n"/>
      <c r="Z110" s="219" t="n"/>
      <c r="AA110" s="219" t="n"/>
      <c r="AB110" s="219" t="n"/>
      <c r="AC110" s="219" t="n"/>
      <c r="AD110" s="219" t="n"/>
      <c r="AE110" s="219" t="n"/>
      <c r="AF110" s="219" t="n"/>
      <c r="AG110" s="219" t="n"/>
      <c r="AH110" s="53" t="n"/>
      <c r="AI110" s="345" t="n"/>
      <c r="AJ110" s="53" t="n"/>
      <c r="AK110" s="87" t="n"/>
      <c r="AL110" s="87" t="n"/>
      <c r="AM110" s="87" t="n"/>
      <c r="AN110" s="87" t="n"/>
      <c r="AO110" s="87" t="n"/>
      <c r="AP110" s="87" t="n"/>
      <c r="AQ110" s="87" t="n"/>
      <c r="AR110" s="87" t="n"/>
      <c r="AS110" s="87" t="n"/>
      <c r="AT110" s="87" t="n"/>
      <c r="AU110" s="87" t="n"/>
      <c r="AV110" s="87" t="n"/>
      <c r="AW110" s="87" t="n"/>
      <c r="AX110" s="87" t="n"/>
      <c r="AY110" s="87" t="n"/>
      <c r="AZ110" s="87" t="n"/>
      <c r="BA110" s="87" t="n"/>
      <c r="BB110" s="87" t="n"/>
      <c r="BC110" s="87" t="n"/>
      <c r="BD110" s="87" t="n"/>
      <c r="BE110" s="87" t="n"/>
      <c r="BF110" s="87" t="n"/>
      <c r="BG110" s="87" t="n"/>
      <c r="BH110" s="87" t="n"/>
      <c r="BI110" s="87" t="n"/>
      <c r="BJ110" s="87" t="n"/>
      <c r="BK110" s="87" t="n"/>
      <c r="BL110" s="87" t="n"/>
      <c r="BM110" s="87" t="n"/>
      <c r="BN110" s="87" t="n"/>
      <c r="BO110" s="87" t="n"/>
      <c r="BP110" s="87" t="n"/>
      <c r="BQ110" s="87" t="n"/>
      <c r="BR110" s="87" t="n"/>
      <c r="BS110" s="87" t="n"/>
      <c r="BT110" s="87" t="n"/>
      <c r="BU110" s="87" t="n"/>
      <c r="BV110" s="87" t="n"/>
      <c r="BW110" s="87" t="n"/>
      <c r="BX110" s="87" t="n"/>
      <c r="BY110" s="87" t="n"/>
      <c r="BZ110" s="87" t="n"/>
      <c r="CA110" s="87" t="n"/>
      <c r="CB110" s="87" t="n"/>
      <c r="CC110" s="87" t="n"/>
      <c r="CD110" s="87" t="n"/>
      <c r="CE110" s="87" t="n"/>
      <c r="CF110" s="87" t="n"/>
      <c r="CG110" s="87" t="n"/>
      <c r="CH110" s="87" t="n"/>
      <c r="CI110" s="87" t="n"/>
      <c r="CJ110" s="87" t="n"/>
      <c r="CK110" s="87" t="n"/>
      <c r="CL110" s="87" t="n"/>
      <c r="CM110" s="87" t="n"/>
      <c r="CN110" s="87" t="n"/>
      <c r="CO110" s="87" t="n"/>
      <c r="CP110" s="87" t="n"/>
      <c r="CQ110" s="87" t="n"/>
      <c r="CR110" s="87" t="n"/>
      <c r="CS110" s="87" t="n"/>
      <c r="CT110" s="87" t="n"/>
      <c r="CU110" s="87" t="n"/>
      <c r="CV110" s="87" t="n"/>
      <c r="CW110" s="87" t="n"/>
      <c r="CX110" s="87" t="n"/>
      <c r="CY110" s="87" t="n"/>
      <c r="CZ110" s="87" t="n"/>
      <c r="DA110" s="87" t="n"/>
      <c r="DB110" s="87" t="n"/>
      <c r="DC110" s="87" t="n"/>
      <c r="DD110" s="87" t="n"/>
      <c r="DE110" s="87" t="n"/>
      <c r="DF110" s="87" t="n"/>
      <c r="DG110" s="87" t="n"/>
      <c r="DH110" s="87" t="n"/>
      <c r="DI110" s="87" t="n"/>
      <c r="DJ110" s="87" t="n"/>
      <c r="DK110" s="87" t="n"/>
      <c r="DL110" s="87" t="n"/>
      <c r="DM110" s="87" t="n"/>
      <c r="DN110" s="87" t="n"/>
      <c r="DO110" s="87" t="n"/>
      <c r="DP110" s="87" t="n"/>
      <c r="DQ110" s="87" t="n"/>
      <c r="DR110" s="87" t="n"/>
      <c r="DS110" s="87" t="n"/>
      <c r="DT110" s="87" t="n"/>
      <c r="DU110" s="87" t="n"/>
      <c r="DV110" s="87" t="n"/>
      <c r="DW110" s="87" t="n"/>
      <c r="DX110" s="87" t="n"/>
      <c r="DY110" s="87" t="n"/>
      <c r="DZ110" s="87" t="n"/>
      <c r="EA110" s="87" t="n"/>
      <c r="EB110" s="87" t="n"/>
      <c r="EC110" s="87" t="n"/>
      <c r="ED110" s="87" t="n"/>
      <c r="EE110" s="87" t="n"/>
      <c r="EF110" s="87" t="n"/>
      <c r="EG110" s="87" t="n"/>
      <c r="EH110" s="87" t="n"/>
      <c r="EI110" s="87" t="n"/>
      <c r="EJ110" s="87" t="n"/>
      <c r="EK110" s="87" t="n"/>
      <c r="EL110" s="87" t="n"/>
      <c r="EM110" s="87" t="n"/>
      <c r="EN110" s="87" t="n"/>
      <c r="EO110" s="87" t="n"/>
      <c r="EP110" s="87" t="n"/>
      <c r="EQ110" s="87" t="n"/>
      <c r="ER110" s="87" t="n"/>
      <c r="ES110" s="87" t="n"/>
      <c r="ET110" s="87" t="n"/>
      <c r="EU110" s="87" t="n"/>
      <c r="EV110" s="87" t="n"/>
      <c r="EW110" s="87" t="n"/>
      <c r="EX110" s="87" t="n"/>
      <c r="EY110" s="87" t="n"/>
      <c r="EZ110" s="87" t="n"/>
      <c r="FA110" s="87" t="n"/>
      <c r="FB110" s="87" t="n"/>
      <c r="FC110" s="87" t="n"/>
      <c r="FD110" s="87" t="n"/>
      <c r="FE110" s="87" t="n"/>
      <c r="FF110" s="87" t="n"/>
      <c r="FG110" s="87" t="n"/>
      <c r="FH110" s="87" t="n"/>
      <c r="FI110" s="87" t="n"/>
      <c r="FJ110" s="87" t="n"/>
      <c r="FK110" s="87" t="n"/>
      <c r="FL110" s="87" t="n"/>
      <c r="FM110" s="87" t="n"/>
      <c r="FN110" s="87" t="n"/>
      <c r="FO110" s="87" t="n"/>
      <c r="FP110" s="87" t="n"/>
      <c r="FQ110" s="87" t="n"/>
      <c r="FR110" s="87" t="n"/>
      <c r="FS110" s="87" t="n"/>
      <c r="FT110" s="87" t="n"/>
      <c r="FU110" s="87" t="n"/>
      <c r="FV110" s="87" t="n"/>
      <c r="FW110" s="87" t="n"/>
      <c r="FX110" s="87" t="n"/>
      <c r="FY110" s="87" t="n"/>
      <c r="FZ110" s="87" t="n"/>
      <c r="GA110" s="87" t="n"/>
      <c r="GB110" s="87" t="n"/>
      <c r="GC110" s="87" t="n"/>
      <c r="GD110" s="87" t="n"/>
      <c r="GE110" s="87" t="n"/>
      <c r="GF110" s="87" t="n"/>
      <c r="GG110" s="87" t="n"/>
      <c r="GH110" s="87" t="n"/>
      <c r="GI110" s="87" t="n"/>
      <c r="GJ110" s="87" t="n"/>
      <c r="GK110" s="87" t="n"/>
      <c r="GL110" s="87" t="n"/>
      <c r="GM110" s="87" t="n"/>
      <c r="GN110" s="87" t="n"/>
      <c r="GO110" s="87" t="n"/>
      <c r="GP110" s="87" t="n"/>
      <c r="GQ110" s="87" t="n"/>
      <c r="GR110" s="87" t="n"/>
      <c r="GS110" s="87" t="n"/>
      <c r="GT110" s="87" t="n"/>
      <c r="GU110" s="87" t="n"/>
      <c r="GV110" s="87" t="n"/>
      <c r="GW110" s="87" t="n"/>
      <c r="GX110" s="87" t="n"/>
      <c r="GY110" s="87" t="n"/>
      <c r="GZ110" s="87" t="n"/>
      <c r="HA110" s="87" t="n"/>
      <c r="HB110" s="87" t="n"/>
      <c r="HC110" s="87" t="n"/>
      <c r="HD110" s="87" t="n"/>
      <c r="HE110" s="87" t="n"/>
      <c r="HF110" s="87" t="n"/>
      <c r="HG110" s="87" t="n"/>
      <c r="HH110" s="87" t="n"/>
      <c r="HI110" s="87" t="n"/>
      <c r="HJ110" s="87" t="n"/>
      <c r="HK110" s="87" t="n"/>
      <c r="HL110" s="87" t="n"/>
      <c r="HM110" s="87" t="n"/>
      <c r="HN110" s="87" t="n"/>
      <c r="HO110" s="87" t="n"/>
      <c r="HP110" s="87" t="n"/>
      <c r="HQ110" s="87" t="n"/>
      <c r="HR110" s="87" t="n"/>
      <c r="HS110" s="87" t="n"/>
      <c r="HT110" s="87" t="n"/>
      <c r="HU110" s="87" t="n"/>
    </row>
    <row r="111" ht="16.2" customHeight="1">
      <c r="A111" s="7" t="inlineStr">
        <is>
          <t>Marketing</t>
        </is>
      </c>
      <c r="B111" s="136" t="n"/>
      <c r="C111" s="85" t="n"/>
      <c r="D111" s="87" t="n"/>
      <c r="E111" s="85" t="n"/>
      <c r="F111" s="85" t="n"/>
      <c r="G111" s="85" t="n"/>
      <c r="H111" s="85" t="n"/>
      <c r="I111" s="86" t="n"/>
      <c r="J111" s="218" t="n"/>
      <c r="K111" s="114" t="n"/>
      <c r="L111" s="122" t="n"/>
      <c r="M111" s="219" t="n"/>
      <c r="N111" s="219" t="n"/>
      <c r="O111" s="219" t="n"/>
      <c r="P111" s="219" t="n"/>
      <c r="Q111" s="219" t="n"/>
      <c r="R111" s="219" t="n"/>
      <c r="S111" s="219" t="n"/>
      <c r="T111" s="219" t="n"/>
      <c r="U111" s="219" t="n"/>
      <c r="V111" s="219" t="n"/>
      <c r="W111" s="219" t="n"/>
      <c r="X111" s="219" t="n"/>
      <c r="Y111" s="219" t="n"/>
      <c r="Z111" s="219" t="n"/>
      <c r="AA111" s="219" t="n"/>
      <c r="AB111" s="219" t="n"/>
      <c r="AC111" s="219" t="n"/>
      <c r="AD111" s="219" t="n"/>
      <c r="AE111" s="219" t="n"/>
      <c r="AF111" s="219" t="n"/>
      <c r="AG111" s="219" t="n"/>
      <c r="AH111" s="53" t="n"/>
      <c r="AI111" s="345" t="n"/>
      <c r="AJ111" s="53" t="n"/>
      <c r="AK111" s="87" t="n"/>
      <c r="AL111" s="87" t="n"/>
      <c r="AM111" s="87" t="n"/>
      <c r="AN111" s="87" t="n"/>
      <c r="AO111" s="87" t="n"/>
      <c r="AP111" s="87" t="n"/>
      <c r="AQ111" s="87" t="n"/>
      <c r="AR111" s="87" t="n"/>
      <c r="AS111" s="87" t="n"/>
      <c r="AT111" s="87" t="n"/>
      <c r="AU111" s="87" t="n"/>
      <c r="AV111" s="87" t="n"/>
      <c r="AW111" s="87" t="n"/>
      <c r="AX111" s="87" t="n"/>
      <c r="AY111" s="87" t="n"/>
      <c r="AZ111" s="87" t="n"/>
      <c r="BA111" s="87" t="n"/>
      <c r="BB111" s="87" t="n"/>
      <c r="BC111" s="87" t="n"/>
      <c r="BD111" s="87" t="n"/>
      <c r="BE111" s="87" t="n"/>
      <c r="BF111" s="87" t="n"/>
      <c r="BG111" s="87" t="n"/>
      <c r="BH111" s="87" t="n"/>
      <c r="BI111" s="87" t="n"/>
      <c r="BJ111" s="87" t="n"/>
      <c r="BK111" s="87" t="n"/>
      <c r="BL111" s="87" t="n"/>
      <c r="BM111" s="87" t="n"/>
      <c r="BN111" s="87" t="n"/>
      <c r="BO111" s="87" t="n"/>
      <c r="BP111" s="87" t="n"/>
      <c r="BQ111" s="87" t="n"/>
      <c r="BR111" s="87" t="n"/>
      <c r="BS111" s="87" t="n"/>
      <c r="BT111" s="87" t="n"/>
      <c r="BU111" s="87" t="n"/>
      <c r="BV111" s="87" t="n"/>
      <c r="BW111" s="87" t="n"/>
      <c r="BX111" s="87" t="n"/>
      <c r="BY111" s="87" t="n"/>
      <c r="BZ111" s="87" t="n"/>
      <c r="CA111" s="87" t="n"/>
      <c r="CB111" s="87" t="n"/>
      <c r="CC111" s="87" t="n"/>
      <c r="CD111" s="87" t="n"/>
      <c r="CE111" s="87" t="n"/>
      <c r="CF111" s="87" t="n"/>
      <c r="CG111" s="87" t="n"/>
      <c r="CH111" s="87" t="n"/>
      <c r="CI111" s="87" t="n"/>
      <c r="CJ111" s="87" t="n"/>
      <c r="CK111" s="87" t="n"/>
      <c r="CL111" s="87" t="n"/>
      <c r="CM111" s="87" t="n"/>
      <c r="CN111" s="87" t="n"/>
      <c r="CO111" s="87" t="n"/>
      <c r="CP111" s="87" t="n"/>
      <c r="CQ111" s="87" t="n"/>
      <c r="CR111" s="87" t="n"/>
      <c r="CS111" s="87" t="n"/>
      <c r="CT111" s="87" t="n"/>
      <c r="CU111" s="87" t="n"/>
      <c r="CV111" s="87" t="n"/>
      <c r="CW111" s="87" t="n"/>
      <c r="CX111" s="87" t="n"/>
      <c r="CY111" s="87" t="n"/>
      <c r="CZ111" s="87" t="n"/>
      <c r="DA111" s="87" t="n"/>
      <c r="DB111" s="87" t="n"/>
      <c r="DC111" s="87" t="n"/>
      <c r="DD111" s="87" t="n"/>
      <c r="DE111" s="87" t="n"/>
      <c r="DF111" s="87" t="n"/>
      <c r="DG111" s="87" t="n"/>
      <c r="DH111" s="87" t="n"/>
      <c r="DI111" s="87" t="n"/>
      <c r="DJ111" s="87" t="n"/>
      <c r="DK111" s="87" t="n"/>
      <c r="DL111" s="87" t="n"/>
      <c r="DM111" s="87" t="n"/>
      <c r="DN111" s="87" t="n"/>
      <c r="DO111" s="87" t="n"/>
      <c r="DP111" s="87" t="n"/>
      <c r="DQ111" s="87" t="n"/>
      <c r="DR111" s="87" t="n"/>
      <c r="DS111" s="87" t="n"/>
      <c r="DT111" s="87" t="n"/>
      <c r="DU111" s="87" t="n"/>
      <c r="DV111" s="87" t="n"/>
      <c r="DW111" s="87" t="n"/>
      <c r="DX111" s="87" t="n"/>
      <c r="DY111" s="87" t="n"/>
      <c r="DZ111" s="87" t="n"/>
      <c r="EA111" s="87" t="n"/>
      <c r="EB111" s="87" t="n"/>
      <c r="EC111" s="87" t="n"/>
      <c r="ED111" s="87" t="n"/>
      <c r="EE111" s="87" t="n"/>
      <c r="EF111" s="87" t="n"/>
      <c r="EG111" s="87" t="n"/>
      <c r="EH111" s="87" t="n"/>
      <c r="EI111" s="87" t="n"/>
      <c r="EJ111" s="87" t="n"/>
      <c r="EK111" s="87" t="n"/>
      <c r="EL111" s="87" t="n"/>
      <c r="EM111" s="87" t="n"/>
      <c r="EN111" s="87" t="n"/>
      <c r="EO111" s="87" t="n"/>
      <c r="EP111" s="87" t="n"/>
      <c r="EQ111" s="87" t="n"/>
      <c r="ER111" s="87" t="n"/>
      <c r="ES111" s="87" t="n"/>
      <c r="ET111" s="87" t="n"/>
      <c r="EU111" s="87" t="n"/>
      <c r="EV111" s="87" t="n"/>
      <c r="EW111" s="87" t="n"/>
      <c r="EX111" s="87" t="n"/>
      <c r="EY111" s="87" t="n"/>
      <c r="EZ111" s="87" t="n"/>
      <c r="FA111" s="87" t="n"/>
      <c r="FB111" s="87" t="n"/>
      <c r="FC111" s="87" t="n"/>
      <c r="FD111" s="87" t="n"/>
      <c r="FE111" s="87" t="n"/>
      <c r="FF111" s="87" t="n"/>
      <c r="FG111" s="87" t="n"/>
      <c r="FH111" s="87" t="n"/>
      <c r="FI111" s="87" t="n"/>
      <c r="FJ111" s="87" t="n"/>
      <c r="FK111" s="87" t="n"/>
      <c r="FL111" s="87" t="n"/>
      <c r="FM111" s="87" t="n"/>
      <c r="FN111" s="87" t="n"/>
      <c r="FO111" s="87" t="n"/>
      <c r="FP111" s="87" t="n"/>
      <c r="FQ111" s="87" t="n"/>
      <c r="FR111" s="87" t="n"/>
      <c r="FS111" s="87" t="n"/>
      <c r="FT111" s="87" t="n"/>
      <c r="FU111" s="87" t="n"/>
      <c r="FV111" s="87" t="n"/>
      <c r="FW111" s="87" t="n"/>
      <c r="FX111" s="87" t="n"/>
      <c r="FY111" s="87" t="n"/>
      <c r="FZ111" s="87" t="n"/>
      <c r="GA111" s="87" t="n"/>
      <c r="GB111" s="87" t="n"/>
      <c r="GC111" s="87" t="n"/>
      <c r="GD111" s="87" t="n"/>
      <c r="GE111" s="87" t="n"/>
      <c r="GF111" s="87" t="n"/>
      <c r="GG111" s="87" t="n"/>
      <c r="GH111" s="87" t="n"/>
      <c r="GI111" s="87" t="n"/>
      <c r="GJ111" s="87" t="n"/>
      <c r="GK111" s="87" t="n"/>
      <c r="GL111" s="87" t="n"/>
      <c r="GM111" s="87" t="n"/>
      <c r="GN111" s="87" t="n"/>
      <c r="GO111" s="87" t="n"/>
      <c r="GP111" s="87" t="n"/>
      <c r="GQ111" s="87" t="n"/>
      <c r="GR111" s="87" t="n"/>
      <c r="GS111" s="87" t="n"/>
      <c r="GT111" s="87" t="n"/>
      <c r="GU111" s="87" t="n"/>
      <c r="GV111" s="87" t="n"/>
      <c r="GW111" s="87" t="n"/>
      <c r="GX111" s="87" t="n"/>
      <c r="GY111" s="87" t="n"/>
      <c r="GZ111" s="87" t="n"/>
      <c r="HA111" s="87" t="n"/>
      <c r="HB111" s="87" t="n"/>
      <c r="HC111" s="87" t="n"/>
      <c r="HD111" s="87" t="n"/>
      <c r="HE111" s="87" t="n"/>
      <c r="HF111" s="87" t="n"/>
      <c r="HG111" s="87" t="n"/>
      <c r="HH111" s="87" t="n"/>
      <c r="HI111" s="87" t="n"/>
      <c r="HJ111" s="87" t="n"/>
      <c r="HK111" s="87" t="n"/>
      <c r="HL111" s="87" t="n"/>
      <c r="HM111" s="87" t="n"/>
      <c r="HN111" s="87" t="n"/>
      <c r="HO111" s="87" t="n"/>
      <c r="HP111" s="87" t="n"/>
      <c r="HQ111" s="87" t="n"/>
      <c r="HR111" s="87" t="n"/>
      <c r="HS111" s="87" t="n"/>
      <c r="HT111" s="87" t="n"/>
      <c r="HU111" s="87" t="n"/>
    </row>
    <row r="112" ht="16.2" customHeight="1">
      <c r="A112" s="7" t="n"/>
      <c r="B112" s="136" t="n"/>
      <c r="C112" s="85" t="n"/>
      <c r="D112" s="87" t="n"/>
      <c r="E112" s="85" t="n"/>
      <c r="F112" s="85" t="n"/>
      <c r="G112" s="85" t="n"/>
      <c r="H112" s="85" t="n"/>
      <c r="I112" s="86" t="n"/>
      <c r="J112" s="218" t="n"/>
      <c r="K112" s="114" t="n"/>
      <c r="L112" s="122" t="n"/>
      <c r="M112" s="219" t="n"/>
      <c r="N112" s="219" t="n"/>
      <c r="O112" s="219" t="n"/>
      <c r="P112" s="219" t="n"/>
      <c r="Q112" s="219" t="n"/>
      <c r="R112" s="219" t="n"/>
      <c r="S112" s="219" t="n"/>
      <c r="T112" s="219" t="n"/>
      <c r="U112" s="219" t="n"/>
      <c r="V112" s="219" t="n"/>
      <c r="W112" s="219" t="n"/>
      <c r="X112" s="219" t="n"/>
      <c r="Y112" s="219" t="n"/>
      <c r="Z112" s="219" t="n"/>
      <c r="AA112" s="219" t="n"/>
      <c r="AB112" s="219" t="n"/>
      <c r="AC112" s="219" t="n"/>
      <c r="AD112" s="219" t="n"/>
      <c r="AE112" s="219" t="n"/>
      <c r="AF112" s="219" t="n"/>
      <c r="AG112" s="219" t="n"/>
      <c r="AH112" s="53" t="n"/>
      <c r="AI112" s="345" t="n"/>
      <c r="AJ112" s="53" t="n"/>
      <c r="AK112" s="85" t="n"/>
      <c r="AL112" s="85" t="n"/>
      <c r="AM112" s="85" t="n"/>
      <c r="AN112" s="85" t="n"/>
      <c r="AO112" s="85" t="n"/>
      <c r="AP112" s="85" t="n"/>
      <c r="AQ112" s="86" t="n"/>
      <c r="AR112" s="86" t="n"/>
      <c r="AS112" s="85" t="n"/>
      <c r="AT112" s="85" t="n"/>
      <c r="AU112" s="85" t="n"/>
      <c r="AV112" s="85" t="n"/>
      <c r="AW112" s="85" t="n"/>
      <c r="AX112" s="85" t="n"/>
      <c r="AY112" s="85" t="n"/>
      <c r="AZ112" s="85" t="n"/>
      <c r="BA112" s="85" t="n"/>
      <c r="BB112" s="85" t="n"/>
      <c r="BC112" s="85" t="n"/>
      <c r="BD112" s="296" t="n"/>
      <c r="BE112" s="87" t="n"/>
      <c r="BF112" s="85" t="n"/>
      <c r="BG112" s="85" t="n"/>
      <c r="BH112" s="85" t="n"/>
      <c r="BI112" s="85" t="n"/>
      <c r="BJ112" s="85" t="n"/>
      <c r="BK112" s="85" t="n"/>
      <c r="BL112" s="85" t="n"/>
      <c r="BM112" s="85" t="n"/>
      <c r="BN112" s="85" t="n"/>
      <c r="BO112" s="85" t="n"/>
      <c r="BP112" s="296" t="n"/>
      <c r="BQ112" s="87" t="n"/>
      <c r="BR112" s="85" t="n"/>
      <c r="BS112" s="85" t="n"/>
      <c r="BT112" s="85" t="n"/>
      <c r="BU112" s="85" t="n"/>
      <c r="BV112" s="85" t="n"/>
      <c r="BW112" s="85" t="n"/>
      <c r="BX112" s="85" t="n"/>
      <c r="BY112" s="85" t="n"/>
      <c r="BZ112" s="85" t="n"/>
      <c r="CA112" s="85" t="n"/>
      <c r="CB112" s="296" t="n"/>
      <c r="CC112" s="87" t="n"/>
      <c r="CD112" s="85" t="n"/>
      <c r="CE112" s="85" t="n"/>
      <c r="CF112" s="85" t="n"/>
      <c r="CG112" s="85" t="n"/>
      <c r="CH112" s="85" t="n"/>
      <c r="CI112" s="85" t="n"/>
      <c r="CJ112" s="85" t="n"/>
      <c r="CK112" s="85" t="n"/>
      <c r="CL112" s="85" t="n"/>
      <c r="CM112" s="85" t="n"/>
      <c r="CN112" s="296" t="n"/>
      <c r="CO112" s="87" t="n"/>
      <c r="CP112" s="85" t="n"/>
      <c r="CQ112" s="85" t="n"/>
      <c r="CR112" s="85" t="n"/>
      <c r="CS112" s="85" t="n"/>
      <c r="CT112" s="85" t="n"/>
      <c r="CU112" s="85" t="n"/>
      <c r="CV112" s="85" t="n"/>
      <c r="CW112" s="85" t="n"/>
      <c r="CX112" s="85" t="n"/>
      <c r="CY112" s="85" t="n"/>
      <c r="CZ112" s="296" t="n"/>
      <c r="DA112" s="87" t="n"/>
      <c r="DB112" s="85" t="n"/>
      <c r="DC112" s="85" t="n"/>
      <c r="DD112" s="85" t="n"/>
      <c r="DE112" s="85" t="n"/>
      <c r="DF112" s="85" t="n"/>
      <c r="DG112" s="85" t="n"/>
      <c r="DH112" s="85" t="n"/>
      <c r="DI112" s="85" t="n"/>
      <c r="DJ112" s="86" t="n"/>
      <c r="DK112" s="85" t="n"/>
      <c r="DL112" s="86" t="n"/>
      <c r="DM112" s="86" t="n"/>
      <c r="DN112" s="86" t="n"/>
      <c r="DO112" s="86" t="n"/>
      <c r="DP112" s="86" t="n"/>
      <c r="DQ112" s="86" t="n"/>
      <c r="DR112" s="86" t="n"/>
      <c r="DS112" s="86" t="n"/>
      <c r="DT112" s="86" t="n"/>
      <c r="DU112" s="86" t="n"/>
      <c r="DV112" s="86" t="n"/>
      <c r="DW112" s="86" t="n"/>
      <c r="DX112" s="86" t="n"/>
      <c r="DY112" s="86" t="n"/>
      <c r="DZ112" s="86" t="n"/>
      <c r="EA112" s="86" t="n"/>
      <c r="EB112" s="86" t="n"/>
      <c r="EC112" s="86" t="n"/>
      <c r="ED112" s="86" t="n"/>
      <c r="EE112" s="86" t="n"/>
      <c r="EF112" s="86" t="n"/>
      <c r="EG112" s="86" t="n"/>
      <c r="EH112" s="86" t="n"/>
      <c r="EI112" s="86" t="n"/>
      <c r="EJ112" s="86" t="n"/>
      <c r="EK112" s="86" t="n"/>
      <c r="EL112" s="86" t="n"/>
      <c r="EM112" s="86" t="n"/>
      <c r="EN112" s="86" t="n"/>
      <c r="EO112" s="86" t="n"/>
      <c r="EP112" s="86" t="n"/>
      <c r="EQ112" s="86" t="n"/>
      <c r="ER112" s="86" t="n"/>
      <c r="ES112" s="86" t="n"/>
      <c r="ET112" s="86" t="n"/>
      <c r="EU112" s="86" t="n"/>
      <c r="EV112" s="86" t="n"/>
      <c r="EW112" s="86" t="n"/>
      <c r="EX112" s="86" t="n"/>
      <c r="EY112" s="86" t="n"/>
      <c r="EZ112" s="86" t="n"/>
      <c r="FA112" s="86" t="n"/>
      <c r="FB112" s="86" t="n"/>
      <c r="FC112" s="86" t="n"/>
      <c r="FD112" s="86" t="n"/>
      <c r="FE112" s="86" t="n"/>
      <c r="FF112" s="86" t="n"/>
      <c r="FG112" s="86" t="n"/>
      <c r="FH112" s="86" t="n"/>
      <c r="FI112" s="86" t="n"/>
      <c r="FJ112" s="86" t="n"/>
      <c r="FK112" s="86" t="n"/>
      <c r="FL112" s="86" t="n"/>
      <c r="FM112" s="86" t="n"/>
      <c r="FN112" s="86" t="n"/>
      <c r="FO112" s="86" t="n"/>
      <c r="FP112" s="86" t="n"/>
      <c r="FQ112" s="86" t="n"/>
      <c r="FR112" s="86" t="n"/>
      <c r="FS112" s="86" t="n"/>
      <c r="FT112" s="86" t="n"/>
      <c r="FU112" s="86" t="n"/>
      <c r="FV112" s="86" t="n"/>
      <c r="FW112" s="86" t="n"/>
      <c r="FX112" s="86" t="n"/>
      <c r="FY112" s="86" t="n"/>
      <c r="FZ112" s="86" t="n"/>
      <c r="GA112" s="86" t="n"/>
      <c r="GB112" s="86" t="n"/>
      <c r="GC112" s="86" t="n"/>
      <c r="GD112" s="86" t="n"/>
      <c r="GE112" s="86" t="n"/>
      <c r="GF112" s="86" t="n"/>
      <c r="GG112" s="86" t="n"/>
      <c r="GH112" s="86" t="n"/>
      <c r="GI112" s="86" t="n"/>
      <c r="GJ112" s="86" t="n"/>
      <c r="GK112" s="86" t="n"/>
      <c r="GL112" s="86" t="n"/>
      <c r="GM112" s="86" t="n"/>
      <c r="GN112" s="86" t="n"/>
      <c r="GO112" s="86" t="n"/>
      <c r="GP112" s="86" t="n"/>
      <c r="GQ112" s="86" t="n"/>
      <c r="GR112" s="86" t="n"/>
      <c r="GS112" s="86" t="n"/>
      <c r="GT112" s="86" t="n"/>
      <c r="GU112" s="86" t="n"/>
      <c r="GV112" s="86" t="n"/>
      <c r="GW112" s="86" t="n"/>
      <c r="GX112" s="86" t="n"/>
      <c r="GY112" s="86" t="n"/>
      <c r="GZ112" s="86" t="n"/>
      <c r="HA112" s="86" t="n"/>
      <c r="HB112" s="86" t="n"/>
      <c r="HC112" s="86" t="n"/>
      <c r="HD112" s="86" t="n"/>
      <c r="HE112" s="86" t="n"/>
      <c r="HF112" s="86" t="n"/>
      <c r="HG112" s="86" t="n"/>
      <c r="HH112" s="86" t="n"/>
      <c r="HI112" s="86" t="n"/>
      <c r="HJ112" s="86" t="n"/>
      <c r="HK112" s="86" t="n"/>
      <c r="HL112" s="86" t="n"/>
      <c r="HM112" s="86" t="n"/>
      <c r="HN112" s="86" t="n"/>
      <c r="HO112" s="86" t="n"/>
      <c r="HP112" s="86" t="n"/>
      <c r="HQ112" s="86" t="n"/>
      <c r="HR112" s="86" t="n"/>
      <c r="HS112" s="86" t="n"/>
      <c r="HT112" s="86" t="n"/>
      <c r="HU112" s="86" t="n"/>
    </row>
    <row r="113" ht="16.2" customHeight="1" thickBot="1">
      <c r="A113" s="77" t="inlineStr">
        <is>
          <t>Subtotal</t>
        </is>
      </c>
      <c r="B113" s="137" t="n"/>
      <c r="C113" s="516" t="n"/>
      <c r="D113" s="516" t="n"/>
      <c r="E113" s="516" t="n"/>
      <c r="F113" s="516" t="n"/>
      <c r="G113" s="516" t="n"/>
      <c r="H113" s="516" t="n"/>
      <c r="I113" s="517" t="n"/>
      <c r="J113" s="518" t="n"/>
      <c r="K113" s="516" t="n"/>
      <c r="L113" s="516" t="n"/>
      <c r="M113" s="519" t="n"/>
      <c r="N113" s="519" t="n"/>
      <c r="O113" s="519" t="n"/>
      <c r="P113" s="519" t="n"/>
      <c r="Q113" s="519" t="n"/>
      <c r="R113" s="519" t="n"/>
      <c r="S113" s="519" t="n"/>
      <c r="T113" s="519" t="n"/>
      <c r="U113" s="519" t="n"/>
      <c r="V113" s="519" t="n"/>
      <c r="W113" s="519" t="n"/>
      <c r="X113" s="519" t="n"/>
      <c r="Y113" s="519" t="n"/>
      <c r="Z113" s="519" t="n"/>
      <c r="AA113" s="519" t="n"/>
      <c r="AB113" s="519" t="n"/>
      <c r="AC113" s="519" t="n"/>
      <c r="AD113" s="519" t="n"/>
      <c r="AE113" s="519" t="n"/>
      <c r="AF113" s="519" t="n"/>
      <c r="AG113" s="519" t="n"/>
      <c r="AH113" s="13" t="n"/>
      <c r="AI113" s="332" t="n"/>
      <c r="AJ113" s="13" t="n"/>
      <c r="AK113" s="516" t="n"/>
      <c r="AL113" s="516" t="n"/>
      <c r="AM113" s="516" t="n"/>
      <c r="AN113" s="516" t="n"/>
      <c r="AO113" s="516" t="n"/>
      <c r="AP113" s="516" t="n"/>
      <c r="AQ113" s="517" t="n"/>
      <c r="AR113" s="517" t="n"/>
      <c r="AS113" s="516" t="n"/>
      <c r="AT113" s="516" t="n"/>
      <c r="AU113" s="516" t="n"/>
      <c r="AV113" s="516" t="n"/>
      <c r="AW113" s="516" t="n"/>
      <c r="AX113" s="516" t="n"/>
      <c r="AY113" s="516" t="n"/>
      <c r="AZ113" s="516" t="n"/>
      <c r="BA113" s="516" t="n"/>
      <c r="BB113" s="516" t="n"/>
      <c r="BC113" s="516" t="n"/>
      <c r="BD113" s="521" t="n"/>
      <c r="BE113" s="520" t="n"/>
      <c r="BF113" s="516" t="n"/>
      <c r="BG113" s="516" t="n"/>
      <c r="BH113" s="516" t="n"/>
      <c r="BI113" s="516" t="n"/>
      <c r="BJ113" s="516" t="n"/>
      <c r="BK113" s="516" t="n"/>
      <c r="BL113" s="516" t="n"/>
      <c r="BM113" s="516" t="n"/>
      <c r="BN113" s="516" t="n"/>
      <c r="BO113" s="516" t="n"/>
      <c r="BP113" s="521" t="n"/>
      <c r="BQ113" s="520" t="n"/>
      <c r="BR113" s="516" t="n"/>
      <c r="BS113" s="516" t="n"/>
      <c r="BT113" s="516" t="n"/>
      <c r="BU113" s="516" t="n"/>
      <c r="BV113" s="516" t="n"/>
      <c r="BW113" s="516" t="n"/>
      <c r="BX113" s="516" t="n"/>
      <c r="BY113" s="516" t="n"/>
      <c r="BZ113" s="516" t="n"/>
      <c r="CA113" s="516" t="n"/>
      <c r="CB113" s="521" t="n"/>
      <c r="CC113" s="520" t="n"/>
      <c r="CD113" s="516" t="n"/>
      <c r="CE113" s="516" t="n"/>
      <c r="CF113" s="516" t="n"/>
      <c r="CG113" s="516" t="n"/>
      <c r="CH113" s="516" t="n"/>
      <c r="CI113" s="516" t="n"/>
      <c r="CJ113" s="516" t="n"/>
      <c r="CK113" s="516" t="n"/>
      <c r="CL113" s="516" t="n"/>
      <c r="CM113" s="516" t="n"/>
      <c r="CN113" s="521" t="n"/>
      <c r="CO113" s="520" t="n"/>
      <c r="CP113" s="516" t="n"/>
      <c r="CQ113" s="516" t="n"/>
      <c r="CR113" s="516" t="n"/>
      <c r="CS113" s="516" t="n"/>
      <c r="CT113" s="516" t="n"/>
      <c r="CU113" s="516" t="n"/>
      <c r="CV113" s="516" t="n"/>
      <c r="CW113" s="516" t="n"/>
      <c r="CX113" s="516" t="n"/>
      <c r="CY113" s="516" t="n"/>
      <c r="CZ113" s="521" t="n"/>
      <c r="DA113" s="520" t="n"/>
      <c r="DB113" s="516" t="n"/>
      <c r="DC113" s="516" t="n"/>
      <c r="DD113" s="516" t="n"/>
      <c r="DE113" s="516" t="n"/>
      <c r="DF113" s="516" t="n"/>
      <c r="DG113" s="516" t="n"/>
      <c r="DH113" s="516" t="n"/>
      <c r="DI113" s="516" t="n"/>
      <c r="DJ113" s="517" t="n"/>
      <c r="DK113" s="517" t="n"/>
      <c r="DL113" s="517" t="n"/>
      <c r="DM113" s="517" t="n"/>
      <c r="DN113" s="517" t="n"/>
      <c r="DO113" s="517" t="n"/>
      <c r="DP113" s="517" t="n"/>
      <c r="DQ113" s="517" t="n"/>
      <c r="DR113" s="517" t="n"/>
      <c r="DS113" s="517" t="n"/>
      <c r="DT113" s="517" t="n"/>
      <c r="DU113" s="517" t="n"/>
      <c r="DV113" s="517" t="n"/>
      <c r="DW113" s="517" t="n"/>
      <c r="DX113" s="517" t="n"/>
      <c r="DY113" s="517" t="n"/>
      <c r="DZ113" s="517" t="n"/>
      <c r="EA113" s="517" t="n"/>
      <c r="EB113" s="517" t="n"/>
      <c r="EC113" s="517" t="n"/>
      <c r="ED113" s="517" t="n"/>
      <c r="EE113" s="517" t="n"/>
      <c r="EF113" s="517" t="n"/>
      <c r="EG113" s="517" t="n"/>
      <c r="EH113" s="517" t="n"/>
      <c r="EI113" s="517" t="n"/>
      <c r="EJ113" s="517" t="n"/>
      <c r="EK113" s="517" t="n"/>
      <c r="EL113" s="517" t="n"/>
      <c r="EM113" s="517" t="n"/>
      <c r="EN113" s="517" t="n"/>
      <c r="EO113" s="517" t="n"/>
      <c r="EP113" s="517" t="n"/>
      <c r="EQ113" s="517" t="n"/>
      <c r="ER113" s="517" t="n"/>
      <c r="ES113" s="517" t="n"/>
      <c r="ET113" s="517" t="n"/>
      <c r="EU113" s="517" t="n"/>
      <c r="EV113" s="517" t="n"/>
      <c r="EW113" s="517" t="n"/>
      <c r="EX113" s="517" t="n"/>
      <c r="EY113" s="517" t="n"/>
      <c r="EZ113" s="517" t="n"/>
      <c r="FA113" s="517" t="n"/>
      <c r="FB113" s="517" t="n"/>
      <c r="FC113" s="517" t="n"/>
      <c r="FD113" s="517" t="n"/>
      <c r="FE113" s="517" t="n"/>
      <c r="FF113" s="517" t="n"/>
      <c r="FG113" s="517" t="n"/>
      <c r="FH113" s="517" t="n"/>
      <c r="FI113" s="517" t="n"/>
      <c r="FJ113" s="517" t="n"/>
      <c r="FK113" s="517" t="n"/>
      <c r="FL113" s="517" t="n"/>
      <c r="FM113" s="517" t="n"/>
      <c r="FN113" s="517" t="n"/>
      <c r="FO113" s="517" t="n"/>
      <c r="FP113" s="517" t="n"/>
      <c r="FQ113" s="517" t="n"/>
      <c r="FR113" s="517" t="n"/>
      <c r="FS113" s="517" t="n"/>
      <c r="FT113" s="517" t="n"/>
      <c r="FU113" s="517" t="n"/>
      <c r="FV113" s="517" t="n"/>
      <c r="FW113" s="517" t="n"/>
      <c r="FX113" s="517" t="n"/>
      <c r="FY113" s="517" t="n"/>
      <c r="FZ113" s="517" t="n"/>
      <c r="GA113" s="517" t="n"/>
      <c r="GB113" s="517" t="n"/>
      <c r="GC113" s="517" t="n"/>
      <c r="GD113" s="517" t="n"/>
      <c r="GE113" s="517" t="n"/>
      <c r="GF113" s="517" t="n"/>
      <c r="GG113" s="517" t="n"/>
      <c r="GH113" s="517" t="n"/>
      <c r="GI113" s="517" t="n"/>
      <c r="GJ113" s="517" t="n"/>
      <c r="GK113" s="517" t="n"/>
      <c r="GL113" s="517" t="n"/>
      <c r="GM113" s="517" t="n"/>
      <c r="GN113" s="517" t="n"/>
      <c r="GO113" s="517" t="n"/>
      <c r="GP113" s="517" t="n"/>
      <c r="GQ113" s="517" t="n"/>
      <c r="GR113" s="517" t="n"/>
      <c r="GS113" s="517" t="n"/>
      <c r="GT113" s="517" t="n"/>
      <c r="GU113" s="517" t="n"/>
      <c r="GV113" s="517" t="n"/>
      <c r="GW113" s="517" t="n"/>
      <c r="GX113" s="517" t="n"/>
      <c r="GY113" s="517" t="n"/>
      <c r="GZ113" s="517" t="n"/>
      <c r="HA113" s="517" t="n"/>
      <c r="HB113" s="517" t="n"/>
      <c r="HC113" s="517" t="n"/>
      <c r="HD113" s="517" t="n"/>
      <c r="HE113" s="517" t="n"/>
      <c r="HF113" s="517" t="n"/>
      <c r="HG113" s="517" t="n"/>
      <c r="HH113" s="517" t="n"/>
      <c r="HI113" s="517" t="n"/>
      <c r="HJ113" s="517" t="n"/>
      <c r="HK113" s="517" t="n"/>
      <c r="HL113" s="517" t="n"/>
      <c r="HM113" s="517" t="n"/>
      <c r="HN113" s="517" t="n"/>
      <c r="HO113" s="517" t="n"/>
      <c r="HP113" s="517" t="n"/>
      <c r="HQ113" s="517" t="n"/>
      <c r="HR113" s="517" t="n"/>
      <c r="HS113" s="517" t="n"/>
      <c r="HT113" s="517" t="n"/>
      <c r="HU113" s="517" t="n"/>
    </row>
    <row r="114" ht="6.75" customHeight="1" thickBot="1">
      <c r="A114" s="88" t="n"/>
      <c r="B114" s="138" t="n"/>
      <c r="C114" s="522" t="n"/>
      <c r="D114" s="522" t="n"/>
      <c r="E114" s="522" t="n"/>
      <c r="F114" s="522" t="n"/>
      <c r="G114" s="522" t="n"/>
      <c r="H114" s="522" t="n"/>
      <c r="I114" s="522" t="n"/>
      <c r="J114" s="523" t="n"/>
      <c r="K114" s="522" t="n"/>
      <c r="L114" s="522" t="n"/>
      <c r="M114" s="524" t="n"/>
      <c r="N114" s="524" t="n"/>
      <c r="O114" s="524" t="n"/>
      <c r="P114" s="524" t="n"/>
      <c r="Q114" s="524" t="n"/>
      <c r="R114" s="524" t="n"/>
      <c r="S114" s="524" t="n"/>
      <c r="T114" s="524" t="n"/>
      <c r="U114" s="524" t="n"/>
      <c r="V114" s="524" t="n"/>
      <c r="W114" s="524" t="n"/>
      <c r="X114" s="524" t="n"/>
      <c r="Y114" s="524" t="n"/>
      <c r="Z114" s="524" t="n"/>
      <c r="AA114" s="524" t="n"/>
      <c r="AB114" s="524" t="n"/>
      <c r="AC114" s="524" t="n"/>
      <c r="AD114" s="524" t="n"/>
      <c r="AE114" s="524" t="n"/>
      <c r="AF114" s="524" t="n"/>
      <c r="AG114" s="524" t="n"/>
      <c r="AH114" s="13" t="n"/>
      <c r="AI114" s="240" t="n"/>
      <c r="AJ114" s="13" t="n"/>
      <c r="AK114" s="522" t="n"/>
      <c r="AL114" s="522" t="n"/>
      <c r="AM114" s="522" t="n"/>
      <c r="AN114" s="522" t="n"/>
      <c r="AO114" s="522" t="n"/>
      <c r="AP114" s="522" t="n"/>
      <c r="AQ114" s="522" t="n"/>
      <c r="AR114" s="522" t="n"/>
      <c r="AS114" s="522" t="n"/>
      <c r="AT114" s="522" t="n"/>
      <c r="AU114" s="522" t="n"/>
      <c r="AV114" s="522" t="n"/>
      <c r="AW114" s="522" t="n"/>
      <c r="AX114" s="522" t="n"/>
      <c r="AY114" s="522" t="n"/>
      <c r="AZ114" s="522" t="n"/>
      <c r="BA114" s="522" t="n"/>
      <c r="BB114" s="522" t="n"/>
      <c r="BC114" s="522" t="n"/>
      <c r="BD114" s="525" t="n"/>
      <c r="BE114" s="522" t="n"/>
      <c r="BF114" s="522" t="n"/>
      <c r="BG114" s="522" t="n"/>
      <c r="BH114" s="522" t="n"/>
      <c r="BI114" s="522" t="n"/>
      <c r="BJ114" s="522" t="n"/>
      <c r="BK114" s="522" t="n"/>
      <c r="BL114" s="522" t="n"/>
      <c r="BM114" s="522" t="n"/>
      <c r="BN114" s="522" t="n"/>
      <c r="BO114" s="522" t="n"/>
      <c r="BP114" s="525" t="n"/>
      <c r="BQ114" s="522" t="n"/>
      <c r="BR114" s="522" t="n"/>
      <c r="BS114" s="522" t="n"/>
      <c r="BT114" s="522" t="n"/>
      <c r="BU114" s="522" t="n"/>
      <c r="BV114" s="522" t="n"/>
      <c r="BW114" s="522" t="n"/>
      <c r="BX114" s="522" t="n"/>
      <c r="BY114" s="522" t="n"/>
      <c r="BZ114" s="522" t="n"/>
      <c r="CA114" s="522" t="n"/>
      <c r="CB114" s="525" t="n"/>
      <c r="CC114" s="522" t="n"/>
      <c r="CD114" s="522" t="n"/>
      <c r="CE114" s="522" t="n"/>
      <c r="CF114" s="522" t="n"/>
      <c r="CG114" s="522" t="n"/>
      <c r="CH114" s="522" t="n"/>
      <c r="CI114" s="522" t="n"/>
      <c r="CJ114" s="522" t="n"/>
      <c r="CK114" s="522" t="n"/>
      <c r="CL114" s="522" t="n"/>
      <c r="CM114" s="522" t="n"/>
      <c r="CN114" s="525" t="n"/>
      <c r="CO114" s="522" t="n"/>
      <c r="CP114" s="522" t="n"/>
      <c r="CQ114" s="522" t="n"/>
      <c r="CR114" s="522" t="n"/>
      <c r="CS114" s="522" t="n"/>
      <c r="CT114" s="522" t="n"/>
      <c r="CU114" s="522" t="n"/>
      <c r="CV114" s="522" t="n"/>
      <c r="CW114" s="522" t="n"/>
      <c r="CX114" s="522" t="n"/>
      <c r="CY114" s="522" t="n"/>
      <c r="CZ114" s="525" t="n"/>
      <c r="DA114" s="522" t="n"/>
      <c r="DB114" s="522" t="n"/>
      <c r="DC114" s="522" t="n"/>
      <c r="DD114" s="522" t="n"/>
      <c r="DE114" s="522" t="n"/>
      <c r="DF114" s="522" t="n"/>
      <c r="DG114" s="522" t="n"/>
      <c r="DH114" s="522" t="n"/>
      <c r="DI114" s="522" t="n"/>
      <c r="DJ114" s="522" t="n"/>
      <c r="DK114" s="522" t="n"/>
      <c r="DL114" s="522" t="n"/>
      <c r="DM114" s="522" t="n"/>
      <c r="DN114" s="522" t="n"/>
      <c r="DO114" s="522" t="n"/>
      <c r="DP114" s="522" t="n"/>
      <c r="DQ114" s="522" t="n"/>
      <c r="DR114" s="522" t="n"/>
      <c r="DS114" s="522" t="n"/>
      <c r="DT114" s="522" t="n"/>
      <c r="DU114" s="522" t="n"/>
      <c r="DV114" s="522" t="n"/>
      <c r="DW114" s="522" t="n"/>
      <c r="DX114" s="522" t="n"/>
      <c r="DY114" s="522" t="n"/>
      <c r="DZ114" s="522" t="n"/>
      <c r="EA114" s="522" t="n"/>
      <c r="EB114" s="522" t="n"/>
      <c r="EC114" s="522" t="n"/>
      <c r="ED114" s="522" t="n"/>
      <c r="EE114" s="522" t="n"/>
      <c r="EF114" s="522" t="n"/>
      <c r="EG114" s="522" t="n"/>
      <c r="EH114" s="522" t="n"/>
      <c r="EI114" s="522" t="n"/>
      <c r="EJ114" s="522" t="n"/>
      <c r="EK114" s="522" t="n"/>
      <c r="EL114" s="522" t="n"/>
      <c r="EM114" s="522" t="n"/>
      <c r="EN114" s="522" t="n"/>
      <c r="EO114" s="522" t="n"/>
      <c r="EP114" s="522" t="n"/>
      <c r="EQ114" s="522" t="n"/>
      <c r="ER114" s="522" t="n"/>
      <c r="ES114" s="522" t="n"/>
      <c r="ET114" s="522" t="n"/>
      <c r="EU114" s="522" t="n"/>
      <c r="EV114" s="522" t="n"/>
      <c r="EW114" s="522" t="n"/>
      <c r="EX114" s="522" t="n"/>
      <c r="EY114" s="522" t="n"/>
      <c r="EZ114" s="522" t="n"/>
      <c r="FA114" s="522" t="n"/>
      <c r="FB114" s="522" t="n"/>
      <c r="FC114" s="522" t="n"/>
      <c r="FD114" s="522" t="n"/>
      <c r="FE114" s="522" t="n"/>
      <c r="FF114" s="522" t="n"/>
      <c r="FG114" s="522" t="n"/>
      <c r="FH114" s="522" t="n"/>
      <c r="FI114" s="522" t="n"/>
      <c r="FJ114" s="522" t="n"/>
      <c r="FK114" s="522" t="n"/>
      <c r="FL114" s="522" t="n"/>
      <c r="FM114" s="522" t="n"/>
      <c r="FN114" s="522" t="n"/>
      <c r="FO114" s="522" t="n"/>
      <c r="FP114" s="522" t="n"/>
      <c r="FQ114" s="522" t="n"/>
      <c r="FR114" s="522" t="n"/>
      <c r="FS114" s="522" t="n"/>
      <c r="FT114" s="522" t="n"/>
      <c r="FU114" s="522" t="n"/>
      <c r="FV114" s="522" t="n"/>
      <c r="FW114" s="522" t="n"/>
      <c r="FX114" s="522" t="n"/>
      <c r="FY114" s="522" t="n"/>
      <c r="FZ114" s="522" t="n"/>
      <c r="GA114" s="522" t="n"/>
      <c r="GB114" s="522" t="n"/>
      <c r="GC114" s="522" t="n"/>
      <c r="GD114" s="522" t="n"/>
      <c r="GE114" s="522" t="n"/>
      <c r="GF114" s="522" t="n"/>
      <c r="GG114" s="522" t="n"/>
      <c r="GH114" s="522" t="n"/>
      <c r="GI114" s="522" t="n"/>
      <c r="GJ114" s="522" t="n"/>
      <c r="GK114" s="522" t="n"/>
      <c r="GL114" s="522" t="n"/>
      <c r="GM114" s="522" t="n"/>
      <c r="GN114" s="522" t="n"/>
      <c r="GO114" s="522" t="n"/>
      <c r="GP114" s="522" t="n"/>
      <c r="GQ114" s="522" t="n"/>
      <c r="GR114" s="522" t="n"/>
      <c r="GS114" s="522" t="n"/>
      <c r="GT114" s="522" t="n"/>
      <c r="GU114" s="522" t="n"/>
      <c r="GV114" s="522" t="n"/>
      <c r="GW114" s="522" t="n"/>
      <c r="GX114" s="522" t="n"/>
      <c r="GY114" s="522" t="n"/>
      <c r="GZ114" s="522" t="n"/>
      <c r="HA114" s="522" t="n"/>
      <c r="HB114" s="522" t="n"/>
      <c r="HC114" s="522" t="n"/>
      <c r="HD114" s="522" t="n"/>
      <c r="HE114" s="522" t="n"/>
      <c r="HF114" s="522" t="n"/>
      <c r="HG114" s="522" t="n"/>
      <c r="HH114" s="522" t="n"/>
      <c r="HI114" s="522" t="n"/>
      <c r="HJ114" s="522" t="n"/>
      <c r="HK114" s="522" t="n"/>
      <c r="HL114" s="522" t="n"/>
      <c r="HM114" s="522" t="n"/>
      <c r="HN114" s="522" t="n"/>
      <c r="HO114" s="522" t="n"/>
      <c r="HP114" s="522" t="n"/>
      <c r="HQ114" s="522" t="n"/>
      <c r="HR114" s="522" t="n"/>
      <c r="HS114" s="522" t="n"/>
      <c r="HT114" s="522" t="n"/>
      <c r="HU114" s="522" t="n"/>
    </row>
    <row r="115" ht="16.2" customHeight="1">
      <c r="A115" s="19" t="inlineStr">
        <is>
          <t>ITBI + IPTU ESTOQUE(-)</t>
        </is>
      </c>
      <c r="B115" s="139" t="n"/>
      <c r="C115" s="20" t="n"/>
      <c r="D115" s="22" t="n"/>
      <c r="E115" s="20" t="n"/>
      <c r="F115" s="20" t="n"/>
      <c r="G115" s="20" t="n"/>
      <c r="H115" s="20" t="n"/>
      <c r="I115" s="21" t="n"/>
      <c r="J115" s="175" t="n"/>
      <c r="K115" s="21" t="n"/>
      <c r="L115" s="108" t="n"/>
      <c r="M115" s="220" t="n"/>
      <c r="N115" s="220" t="n"/>
      <c r="O115" s="220" t="n"/>
      <c r="P115" s="220" t="n"/>
      <c r="Q115" s="220" t="n"/>
      <c r="R115" s="220" t="n"/>
      <c r="S115" s="220" t="n"/>
      <c r="T115" s="220" t="n"/>
      <c r="U115" s="220" t="n"/>
      <c r="V115" s="220" t="n"/>
      <c r="W115" s="220" t="n"/>
      <c r="X115" s="220" t="n"/>
      <c r="Y115" s="220" t="n"/>
      <c r="Z115" s="220" t="n"/>
      <c r="AA115" s="220" t="n"/>
      <c r="AB115" s="220" t="n"/>
      <c r="AC115" s="220" t="n"/>
      <c r="AD115" s="220" t="n"/>
      <c r="AE115" s="220" t="n"/>
      <c r="AF115" s="220" t="n"/>
      <c r="AG115" s="220" t="n"/>
      <c r="AH115" s="200" t="n"/>
      <c r="AI115" s="334" t="n"/>
      <c r="AJ115" s="200" t="n"/>
      <c r="AK115" s="20" t="n"/>
      <c r="AL115" s="20" t="n"/>
      <c r="AM115" s="20" t="n"/>
      <c r="AN115" s="20" t="n"/>
      <c r="AO115" s="20" t="n"/>
      <c r="AP115" s="20" t="n"/>
      <c r="AQ115" s="21" t="n"/>
      <c r="AR115" s="21" t="n"/>
      <c r="AS115" s="20" t="n"/>
      <c r="AT115" s="20" t="n"/>
      <c r="AU115" s="20" t="n"/>
      <c r="AV115" s="20" t="n"/>
      <c r="AW115" s="20" t="n"/>
      <c r="AX115" s="20" t="n"/>
      <c r="AY115" s="20" t="n"/>
      <c r="AZ115" s="20" t="n"/>
      <c r="BA115" s="20" t="n"/>
      <c r="BB115" s="20" t="n"/>
      <c r="BC115" s="20" t="n"/>
      <c r="BD115" s="299" t="n"/>
      <c r="BE115" s="22" t="n"/>
      <c r="BF115" s="20" t="n"/>
      <c r="BG115" s="20" t="n"/>
      <c r="BH115" s="20" t="n"/>
      <c r="BI115" s="20" t="n"/>
      <c r="BJ115" s="20" t="n"/>
      <c r="BK115" s="20" t="n"/>
      <c r="BL115" s="20" t="n"/>
      <c r="BM115" s="20" t="n"/>
      <c r="BN115" s="20" t="n"/>
      <c r="BO115" s="20" t="n"/>
      <c r="BP115" s="299" t="n"/>
      <c r="BQ115" s="22" t="n"/>
      <c r="BR115" s="20" t="n"/>
      <c r="BS115" s="20" t="n"/>
      <c r="BT115" s="20" t="n"/>
      <c r="BU115" s="20" t="n"/>
      <c r="BV115" s="20" t="n"/>
      <c r="BW115" s="20" t="n"/>
      <c r="BX115" s="20" t="n"/>
      <c r="BY115" s="20" t="n"/>
      <c r="BZ115" s="20" t="n"/>
      <c r="CA115" s="20" t="n"/>
      <c r="CB115" s="299" t="n"/>
      <c r="CC115" s="22" t="n"/>
      <c r="CD115" s="20" t="n"/>
      <c r="CE115" s="20" t="n"/>
      <c r="CF115" s="20" t="n"/>
      <c r="CG115" s="20" t="n"/>
      <c r="CH115" s="20" t="n"/>
      <c r="CI115" s="20" t="n"/>
      <c r="CJ115" s="20" t="n"/>
      <c r="CK115" s="20" t="n"/>
      <c r="CL115" s="20" t="n"/>
      <c r="CM115" s="20" t="n"/>
      <c r="CN115" s="299" t="n"/>
      <c r="CO115" s="22" t="n"/>
      <c r="CP115" s="20" t="n"/>
      <c r="CQ115" s="20" t="n"/>
      <c r="CR115" s="20" t="n"/>
      <c r="CS115" s="20" t="n"/>
      <c r="CT115" s="20" t="n"/>
      <c r="CU115" s="20" t="n"/>
      <c r="CV115" s="20" t="n"/>
      <c r="CW115" s="20" t="n"/>
      <c r="CX115" s="20" t="n"/>
      <c r="CY115" s="20" t="n"/>
      <c r="CZ115" s="320" t="n"/>
      <c r="DA115" s="22" t="n"/>
      <c r="DB115" s="20" t="n"/>
      <c r="DC115" s="20" t="n"/>
      <c r="DD115" s="20" t="n"/>
      <c r="DE115" s="20" t="n"/>
      <c r="DF115" s="20" t="n"/>
      <c r="DG115" s="20" t="n"/>
      <c r="DH115" s="20" t="n"/>
      <c r="DI115" s="20" t="n"/>
      <c r="DJ115" s="21" t="n"/>
      <c r="DK115" s="20" t="n"/>
      <c r="DL115" s="21" t="n"/>
      <c r="DM115" s="20" t="n"/>
      <c r="DN115" s="21" t="n"/>
      <c r="DO115" s="21" t="n"/>
      <c r="DP115" s="21" t="n"/>
      <c r="DQ115" s="21" t="n"/>
      <c r="DR115" s="21" t="n"/>
      <c r="DS115" s="21" t="n"/>
      <c r="DT115" s="21" t="n"/>
      <c r="DU115" s="21" t="n"/>
      <c r="DV115" s="21" t="n"/>
      <c r="DW115" s="21" t="n"/>
      <c r="DX115" s="21" t="n"/>
      <c r="DY115" s="21" t="n"/>
      <c r="DZ115" s="21" t="n"/>
      <c r="EA115" s="21" t="n"/>
      <c r="EB115" s="21" t="n"/>
      <c r="EC115" s="21" t="n"/>
      <c r="ED115" s="21" t="n"/>
      <c r="EE115" s="21" t="n"/>
      <c r="EF115" s="21" t="n"/>
      <c r="EG115" s="21" t="n"/>
      <c r="EH115" s="21" t="n"/>
      <c r="EI115" s="21" t="n"/>
      <c r="EJ115" s="21" t="n"/>
      <c r="EK115" s="21" t="n"/>
      <c r="EL115" s="21" t="n"/>
      <c r="EM115" s="21" t="n"/>
      <c r="EN115" s="21" t="n"/>
      <c r="EO115" s="21" t="n"/>
      <c r="EP115" s="21" t="n"/>
      <c r="EQ115" s="21" t="n"/>
      <c r="ER115" s="21" t="n"/>
      <c r="ES115" s="21" t="n"/>
      <c r="ET115" s="21" t="n"/>
      <c r="EU115" s="21" t="n"/>
      <c r="EV115" s="21" t="n"/>
      <c r="EW115" s="21" t="n"/>
      <c r="EX115" s="21" t="n"/>
      <c r="EY115" s="21" t="n"/>
      <c r="EZ115" s="21" t="n"/>
      <c r="FA115" s="21" t="n"/>
      <c r="FB115" s="21" t="n"/>
      <c r="FC115" s="21" t="n"/>
      <c r="FD115" s="21" t="n"/>
      <c r="FE115" s="21" t="n"/>
      <c r="FF115" s="21" t="n"/>
      <c r="FG115" s="21" t="n"/>
      <c r="FH115" s="21" t="n"/>
      <c r="FI115" s="21" t="n"/>
      <c r="FJ115" s="21" t="n"/>
      <c r="FK115" s="21" t="n"/>
      <c r="FL115" s="21" t="n"/>
      <c r="FM115" s="21" t="n"/>
      <c r="FN115" s="21" t="n"/>
      <c r="FO115" s="21" t="n"/>
      <c r="FP115" s="21" t="n"/>
      <c r="FQ115" s="21" t="n"/>
      <c r="FR115" s="21" t="n"/>
      <c r="FS115" s="21" t="n"/>
      <c r="FT115" s="21" t="n"/>
      <c r="FU115" s="21" t="n"/>
      <c r="FV115" s="21" t="n"/>
      <c r="FW115" s="21" t="n"/>
      <c r="FX115" s="21" t="n"/>
      <c r="FY115" s="21" t="n"/>
      <c r="FZ115" s="21" t="n"/>
      <c r="GA115" s="21" t="n"/>
      <c r="GB115" s="21" t="n"/>
      <c r="GC115" s="21" t="n"/>
      <c r="GD115" s="21" t="n"/>
      <c r="GE115" s="21" t="n"/>
      <c r="GF115" s="21" t="n"/>
      <c r="GG115" s="21" t="n"/>
      <c r="GH115" s="21" t="n"/>
      <c r="GI115" s="21" t="n"/>
      <c r="GJ115" s="21" t="n"/>
      <c r="GK115" s="21" t="n"/>
      <c r="GL115" s="21" t="n"/>
      <c r="GM115" s="21" t="n"/>
      <c r="GN115" s="21" t="n"/>
      <c r="GO115" s="21" t="n"/>
      <c r="GP115" s="21" t="n"/>
      <c r="GQ115" s="21" t="n"/>
      <c r="GR115" s="21" t="n"/>
      <c r="GS115" s="21" t="n"/>
      <c r="GT115" s="21" t="n"/>
      <c r="GU115" s="21" t="n"/>
      <c r="GV115" s="21" t="n"/>
      <c r="GW115" s="21" t="n"/>
      <c r="GX115" s="21" t="n"/>
      <c r="GY115" s="21" t="n"/>
      <c r="GZ115" s="21" t="n"/>
      <c r="HA115" s="21" t="n"/>
      <c r="HB115" s="21" t="n"/>
      <c r="HC115" s="21" t="n"/>
      <c r="HD115" s="21" t="n"/>
      <c r="HE115" s="21" t="n"/>
      <c r="HF115" s="21" t="n"/>
      <c r="HG115" s="21" t="n"/>
      <c r="HH115" s="21" t="n"/>
      <c r="HI115" s="21" t="n"/>
      <c r="HJ115" s="21" t="n"/>
      <c r="HK115" s="21" t="n"/>
      <c r="HL115" s="21" t="n"/>
      <c r="HM115" s="21" t="n"/>
      <c r="HN115" s="21" t="n"/>
      <c r="HO115" s="21" t="n"/>
      <c r="HP115" s="21" t="n"/>
      <c r="HQ115" s="21" t="n"/>
      <c r="HR115" s="21" t="n"/>
      <c r="HS115" s="21" t="n"/>
      <c r="HT115" s="21" t="n"/>
      <c r="HU115" s="21" t="n"/>
    </row>
    <row r="116" ht="15.75" customHeight="1">
      <c r="A116" s="7" t="inlineStr">
        <is>
          <t>ITBI</t>
        </is>
      </c>
      <c r="B116" s="136" t="n"/>
      <c r="C116" s="85" t="n"/>
      <c r="D116" s="87" t="n"/>
      <c r="E116" s="85" t="n"/>
      <c r="F116" s="85" t="n"/>
      <c r="G116" s="85" t="n"/>
      <c r="H116" s="85" t="n"/>
      <c r="I116" s="86" t="n"/>
      <c r="J116" s="218" t="n"/>
      <c r="K116" s="113" t="n"/>
      <c r="L116" s="122" t="n"/>
      <c r="M116" s="219" t="n"/>
      <c r="N116" s="219" t="n"/>
      <c r="O116" s="219" t="n"/>
      <c r="P116" s="219" t="n"/>
      <c r="Q116" s="219" t="n"/>
      <c r="R116" s="219" t="n"/>
      <c r="S116" s="219" t="n"/>
      <c r="T116" s="219" t="n"/>
      <c r="U116" s="219" t="n"/>
      <c r="V116" s="219" t="n"/>
      <c r="W116" s="210" t="n"/>
      <c r="X116" s="219" t="n"/>
      <c r="Y116" s="219" t="n"/>
      <c r="Z116" s="219" t="n"/>
      <c r="AA116" s="219" t="n"/>
      <c r="AB116" s="219" t="n"/>
      <c r="AC116" s="219" t="n"/>
      <c r="AD116" s="219" t="n"/>
      <c r="AE116" s="219" t="n"/>
      <c r="AF116" s="219" t="n"/>
      <c r="AG116" s="219" t="n"/>
      <c r="AH116" s="13" t="n"/>
      <c r="AI116" s="345" t="n"/>
      <c r="AJ116" s="13" t="n"/>
      <c r="AK116" s="87" t="n"/>
      <c r="AL116" s="87" t="n"/>
      <c r="AM116" s="87" t="n"/>
      <c r="AN116" s="87" t="n"/>
      <c r="AO116" s="87" t="n"/>
      <c r="AP116" s="87" t="n"/>
      <c r="AQ116" s="87" t="n"/>
      <c r="AR116" s="87" t="n"/>
      <c r="AS116" s="87" t="n"/>
      <c r="AT116" s="87" t="n"/>
      <c r="AU116" s="87" t="n"/>
      <c r="AV116" s="87" t="n"/>
      <c r="AW116" s="87" t="n"/>
      <c r="AX116" s="87" t="n"/>
      <c r="AY116" s="87" t="n"/>
      <c r="AZ116" s="87" t="n"/>
      <c r="BA116" s="87" t="n"/>
      <c r="BB116" s="87" t="n"/>
      <c r="BC116" s="87" t="n"/>
      <c r="BD116" s="87" t="n"/>
      <c r="BE116" s="87" t="n"/>
      <c r="BF116" s="87" t="n"/>
      <c r="BG116" s="87" t="n"/>
      <c r="BH116" s="87" t="n"/>
      <c r="BI116" s="87" t="n"/>
      <c r="BJ116" s="87" t="n"/>
      <c r="BK116" s="87" t="n"/>
      <c r="BL116" s="87" t="n"/>
      <c r="BM116" s="87" t="n"/>
      <c r="BN116" s="87" t="n"/>
      <c r="BO116" s="87" t="n"/>
      <c r="BP116" s="87" t="n"/>
      <c r="BQ116" s="87" t="n"/>
      <c r="BR116" s="87" t="n"/>
      <c r="BS116" s="87" t="n"/>
      <c r="BT116" s="87" t="n"/>
      <c r="BU116" s="87" t="n"/>
      <c r="BV116" s="87" t="n"/>
      <c r="BW116" s="87" t="n"/>
      <c r="BX116" s="87" t="n"/>
      <c r="BY116" s="87" t="n"/>
      <c r="BZ116" s="87" t="n"/>
      <c r="CA116" s="87" t="n"/>
      <c r="CB116" s="87" t="n"/>
      <c r="CC116" s="87" t="n"/>
      <c r="CD116" s="87" t="n"/>
      <c r="CE116" s="87" t="n"/>
      <c r="CF116" s="87" t="n"/>
      <c r="CG116" s="87" t="n"/>
      <c r="CH116" s="87" t="n"/>
      <c r="CI116" s="87" t="n"/>
      <c r="CJ116" s="87" t="n"/>
      <c r="CK116" s="87" t="n"/>
      <c r="CL116" s="87" t="n"/>
      <c r="CM116" s="87" t="n"/>
      <c r="CN116" s="87" t="n"/>
      <c r="CO116" s="87" t="n"/>
      <c r="CP116" s="87" t="n"/>
      <c r="CQ116" s="87" t="n"/>
      <c r="CR116" s="87" t="n"/>
      <c r="CS116" s="87" t="n"/>
      <c r="CT116" s="87" t="n"/>
      <c r="CU116" s="87" t="n"/>
      <c r="CV116" s="87" t="n"/>
      <c r="CW116" s="87" t="n"/>
      <c r="CX116" s="87" t="n"/>
      <c r="CY116" s="87" t="n"/>
      <c r="CZ116" s="87" t="n"/>
      <c r="DA116" s="87" t="n"/>
      <c r="DB116" s="87" t="n"/>
      <c r="DC116" s="87" t="n"/>
      <c r="DD116" s="87" t="n"/>
      <c r="DE116" s="87" t="n"/>
      <c r="DF116" s="87" t="n"/>
      <c r="DG116" s="87" t="n"/>
      <c r="DH116" s="87" t="n"/>
      <c r="DI116" s="87" t="n"/>
      <c r="DJ116" s="87" t="n"/>
      <c r="DK116" s="87" t="n"/>
      <c r="DL116" s="87" t="n"/>
      <c r="DM116" s="87" t="n"/>
      <c r="DN116" s="87" t="n"/>
      <c r="DO116" s="87" t="n"/>
      <c r="DP116" s="87" t="n"/>
      <c r="DQ116" s="87" t="n"/>
      <c r="DR116" s="87" t="n"/>
      <c r="DS116" s="87" t="n"/>
      <c r="DT116" s="87" t="n"/>
      <c r="DU116" s="87" t="n"/>
      <c r="DV116" s="87" t="n"/>
      <c r="DW116" s="87" t="n"/>
      <c r="DX116" s="87" t="n"/>
      <c r="DY116" s="87" t="n"/>
      <c r="DZ116" s="87" t="n"/>
      <c r="EA116" s="87" t="n"/>
      <c r="EB116" s="87" t="n"/>
      <c r="EC116" s="87" t="n"/>
      <c r="ED116" s="87" t="n"/>
      <c r="EE116" s="87" t="n"/>
      <c r="EF116" s="87" t="n"/>
      <c r="EG116" s="87" t="n"/>
      <c r="EH116" s="87" t="n"/>
      <c r="EI116" s="87" t="n"/>
      <c r="EJ116" s="87" t="n"/>
      <c r="EK116" s="87" t="n"/>
      <c r="EL116" s="87" t="n"/>
      <c r="EM116" s="87" t="n"/>
      <c r="EN116" s="87" t="n"/>
      <c r="EO116" s="87" t="n"/>
      <c r="EP116" s="87" t="n"/>
      <c r="EQ116" s="87" t="n"/>
      <c r="ER116" s="87" t="n"/>
      <c r="ES116" s="87" t="n"/>
      <c r="ET116" s="87" t="n"/>
      <c r="EU116" s="87" t="n"/>
      <c r="EV116" s="87" t="n"/>
      <c r="EW116" s="87" t="n"/>
      <c r="EX116" s="87" t="n"/>
      <c r="EY116" s="87" t="n"/>
      <c r="EZ116" s="87" t="n"/>
      <c r="FA116" s="87" t="n"/>
      <c r="FB116" s="87" t="n"/>
      <c r="FC116" s="87" t="n"/>
      <c r="FD116" s="87" t="n"/>
      <c r="FE116" s="87" t="n"/>
      <c r="FF116" s="87" t="n"/>
      <c r="FG116" s="87" t="n"/>
      <c r="FH116" s="87" t="n"/>
      <c r="FI116" s="87" t="n"/>
      <c r="FJ116" s="87" t="n"/>
      <c r="FK116" s="87" t="n"/>
      <c r="FL116" s="87" t="n"/>
      <c r="FM116" s="87" t="n"/>
      <c r="FN116" s="87" t="n"/>
      <c r="FO116" s="87" t="n"/>
      <c r="FP116" s="87" t="n"/>
      <c r="FQ116" s="87" t="n"/>
      <c r="FR116" s="87" t="n"/>
      <c r="FS116" s="87" t="n"/>
      <c r="FT116" s="87" t="n"/>
      <c r="FU116" s="87" t="n"/>
      <c r="FV116" s="87" t="n"/>
      <c r="FW116" s="87" t="n"/>
      <c r="FX116" s="87" t="n"/>
      <c r="FY116" s="87" t="n"/>
      <c r="FZ116" s="87" t="n"/>
      <c r="GA116" s="87" t="n"/>
      <c r="GB116" s="87" t="n"/>
      <c r="GC116" s="87" t="n"/>
      <c r="GD116" s="87" t="n"/>
      <c r="GE116" s="87" t="n"/>
      <c r="GF116" s="87" t="n"/>
      <c r="GG116" s="87" t="n"/>
      <c r="GH116" s="87" t="n"/>
      <c r="GI116" s="87" t="n"/>
      <c r="GJ116" s="87" t="n"/>
      <c r="GK116" s="87" t="n"/>
      <c r="GL116" s="87" t="n"/>
      <c r="GM116" s="87" t="n"/>
      <c r="GN116" s="87" t="n"/>
      <c r="GO116" s="87" t="n"/>
      <c r="GP116" s="87" t="n"/>
      <c r="GQ116" s="87" t="n"/>
      <c r="GR116" s="87" t="n"/>
      <c r="GS116" s="87" t="n"/>
      <c r="GT116" s="87" t="n"/>
      <c r="GU116" s="87" t="n"/>
      <c r="GV116" s="87" t="n"/>
      <c r="GW116" s="87" t="n"/>
      <c r="GX116" s="87" t="n"/>
      <c r="GY116" s="87" t="n"/>
      <c r="GZ116" s="87" t="n"/>
      <c r="HA116" s="87" t="n"/>
      <c r="HB116" s="87" t="n"/>
      <c r="HC116" s="87" t="n"/>
      <c r="HD116" s="87" t="n"/>
      <c r="HE116" s="87" t="n"/>
      <c r="HF116" s="87" t="n"/>
      <c r="HG116" s="87" t="n"/>
      <c r="HH116" s="87" t="n"/>
      <c r="HI116" s="87" t="n"/>
      <c r="HJ116" s="87" t="n"/>
      <c r="HK116" s="87" t="n"/>
      <c r="HL116" s="87" t="n"/>
      <c r="HM116" s="87" t="n"/>
      <c r="HN116" s="87" t="n"/>
      <c r="HO116" s="87" t="n"/>
      <c r="HP116" s="87" t="n"/>
      <c r="HQ116" s="87" t="n"/>
      <c r="HR116" s="87" t="n"/>
      <c r="HS116" s="87" t="n"/>
      <c r="HT116" s="87" t="n"/>
      <c r="HU116" s="87" t="n"/>
    </row>
    <row r="117" ht="15.75" customHeight="1">
      <c r="A117" s="7" t="inlineStr">
        <is>
          <t>IPTU Estoque</t>
        </is>
      </c>
      <c r="B117" s="136" t="n"/>
      <c r="C117" s="24" t="n"/>
      <c r="D117" s="26" t="n"/>
      <c r="E117" s="256" t="n"/>
      <c r="F117" s="256" t="n"/>
      <c r="G117" s="256" t="n"/>
      <c r="H117" s="256" t="n"/>
      <c r="I117" s="257" t="n"/>
      <c r="J117" s="176" t="n"/>
      <c r="K117" s="25" t="n"/>
      <c r="L117" s="34" t="n"/>
      <c r="M117" s="159" t="n"/>
      <c r="N117" s="219" t="n"/>
      <c r="O117" s="219" t="n"/>
      <c r="P117" s="219" t="n"/>
      <c r="Q117" s="219" t="n"/>
      <c r="R117" s="219" t="n"/>
      <c r="S117" s="219" t="n"/>
      <c r="T117" s="219" t="n"/>
      <c r="U117" s="219" t="n"/>
      <c r="V117" s="219" t="n"/>
      <c r="W117" s="219" t="n"/>
      <c r="X117" s="219" t="n"/>
      <c r="Y117" s="219" t="n"/>
      <c r="Z117" s="219" t="n"/>
      <c r="AA117" s="219" t="n"/>
      <c r="AB117" s="219" t="n"/>
      <c r="AC117" s="219" t="n"/>
      <c r="AD117" s="219" t="n"/>
      <c r="AE117" s="219" t="n"/>
      <c r="AF117" s="219" t="n"/>
      <c r="AG117" s="219" t="n"/>
      <c r="AH117" s="13" t="n"/>
      <c r="AI117" s="345" t="n"/>
      <c r="AJ117" s="13" t="n"/>
      <c r="AK117" s="87" t="n"/>
      <c r="AL117" s="87" t="n"/>
      <c r="AM117" s="87" t="n"/>
      <c r="AN117" s="87" t="n"/>
      <c r="AO117" s="87" t="n"/>
      <c r="AP117" s="87" t="n"/>
      <c r="AQ117" s="87" t="n"/>
      <c r="AR117" s="87" t="n"/>
      <c r="AS117" s="87" t="n"/>
      <c r="AT117" s="87" t="n"/>
      <c r="AU117" s="87" t="n"/>
      <c r="AV117" s="87" t="n"/>
      <c r="AW117" s="87" t="n"/>
      <c r="AX117" s="87" t="n"/>
      <c r="AY117" s="87" t="n"/>
      <c r="AZ117" s="87" t="n"/>
      <c r="BA117" s="87" t="n"/>
      <c r="BB117" s="87" t="n"/>
      <c r="BC117" s="87" t="n"/>
      <c r="BD117" s="87" t="n"/>
      <c r="BE117" s="87" t="n"/>
      <c r="BF117" s="87" t="n"/>
      <c r="BG117" s="87" t="n"/>
      <c r="BH117" s="87" t="n"/>
      <c r="BI117" s="87" t="n"/>
      <c r="BJ117" s="87" t="n"/>
      <c r="BK117" s="87" t="n"/>
      <c r="BL117" s="87" t="n"/>
      <c r="BM117" s="87" t="n"/>
      <c r="BN117" s="87" t="n"/>
      <c r="BO117" s="87" t="n"/>
      <c r="BP117" s="87" t="n"/>
      <c r="BQ117" s="87" t="n"/>
      <c r="BR117" s="87" t="n"/>
      <c r="BS117" s="87" t="n"/>
      <c r="BT117" s="87" t="n"/>
      <c r="BU117" s="87" t="n"/>
      <c r="BV117" s="87" t="n"/>
      <c r="BW117" s="87" t="n"/>
      <c r="BX117" s="87" t="n"/>
      <c r="BY117" s="87" t="n"/>
      <c r="BZ117" s="87" t="n"/>
      <c r="CA117" s="87" t="n"/>
      <c r="CB117" s="87" t="n"/>
      <c r="CC117" s="87" t="n"/>
      <c r="CD117" s="87" t="n"/>
      <c r="CE117" s="87" t="n"/>
      <c r="CF117" s="87" t="n"/>
      <c r="CG117" s="87" t="n"/>
      <c r="CH117" s="87" t="n"/>
      <c r="CI117" s="87" t="n"/>
      <c r="CJ117" s="87" t="n"/>
      <c r="CK117" s="87" t="n"/>
      <c r="CL117" s="87" t="n"/>
      <c r="CM117" s="87" t="n"/>
      <c r="CN117" s="87" t="n"/>
      <c r="CO117" s="87" t="n"/>
      <c r="CP117" s="87" t="n"/>
      <c r="CQ117" s="87" t="n"/>
      <c r="CR117" s="87" t="n"/>
      <c r="CS117" s="87" t="n"/>
      <c r="CT117" s="87" t="n"/>
      <c r="CU117" s="87" t="n"/>
      <c r="CV117" s="87" t="n"/>
      <c r="CW117" s="87" t="n"/>
      <c r="CX117" s="87" t="n"/>
      <c r="CY117" s="87" t="n"/>
      <c r="CZ117" s="87" t="n"/>
      <c r="DA117" s="87" t="n"/>
      <c r="DB117" s="87" t="n"/>
      <c r="DC117" s="87" t="n"/>
      <c r="DD117" s="87" t="n"/>
      <c r="DE117" s="87" t="n"/>
      <c r="DF117" s="87" t="n"/>
      <c r="DG117" s="87" t="n"/>
      <c r="DH117" s="87" t="n"/>
      <c r="DI117" s="87" t="n"/>
      <c r="DJ117" s="87" t="n"/>
      <c r="DK117" s="87" t="n"/>
      <c r="DL117" s="87" t="n"/>
      <c r="DM117" s="87" t="n"/>
      <c r="DN117" s="87" t="n"/>
      <c r="DO117" s="87" t="n"/>
      <c r="DP117" s="87" t="n"/>
      <c r="DQ117" s="87" t="n"/>
      <c r="DR117" s="87" t="n"/>
      <c r="DS117" s="87" t="n"/>
      <c r="DT117" s="87" t="n"/>
      <c r="DU117" s="87" t="n"/>
      <c r="DV117" s="87" t="n"/>
      <c r="DW117" s="87" t="n"/>
      <c r="DX117" s="87" t="n"/>
      <c r="DY117" s="87" t="n"/>
      <c r="DZ117" s="87" t="n"/>
      <c r="EA117" s="87" t="n"/>
      <c r="EB117" s="87" t="n"/>
      <c r="EC117" s="87" t="n"/>
      <c r="ED117" s="87" t="n"/>
      <c r="EE117" s="87" t="n"/>
      <c r="EF117" s="87" t="n"/>
      <c r="EG117" s="87" t="n"/>
      <c r="EH117" s="87" t="n"/>
      <c r="EI117" s="87" t="n"/>
      <c r="EJ117" s="87" t="n"/>
      <c r="EK117" s="87" t="n"/>
      <c r="EL117" s="87" t="n"/>
      <c r="EM117" s="87" t="n"/>
      <c r="EN117" s="87" t="n"/>
      <c r="EO117" s="26" t="n"/>
      <c r="EP117" s="26" t="n"/>
      <c r="EQ117" s="26" t="n"/>
      <c r="ER117" s="26" t="n"/>
      <c r="ES117" s="26" t="n"/>
      <c r="ET117" s="26" t="n"/>
      <c r="EU117" s="26" t="n"/>
      <c r="EV117" s="26" t="n"/>
      <c r="EW117" s="26" t="n"/>
      <c r="EX117" s="26" t="n"/>
      <c r="EY117" s="26" t="n"/>
      <c r="EZ117" s="26" t="n"/>
      <c r="FA117" s="26" t="n"/>
      <c r="FB117" s="26" t="n"/>
      <c r="FC117" s="26" t="n"/>
      <c r="FD117" s="26" t="n"/>
      <c r="FE117" s="26" t="n"/>
      <c r="FF117" s="26" t="n"/>
      <c r="FG117" s="26" t="n"/>
      <c r="FH117" s="26" t="n"/>
      <c r="FI117" s="26" t="n"/>
      <c r="FJ117" s="26" t="n"/>
      <c r="FK117" s="26" t="n"/>
      <c r="FL117" s="26" t="n"/>
      <c r="FM117" s="26" t="n"/>
      <c r="FN117" s="26" t="n"/>
      <c r="FO117" s="26" t="n"/>
      <c r="FP117" s="26" t="n"/>
      <c r="FQ117" s="26" t="n"/>
      <c r="FR117" s="26" t="n"/>
      <c r="FS117" s="26" t="n"/>
      <c r="FT117" s="26" t="n"/>
      <c r="FU117" s="26" t="n"/>
      <c r="FV117" s="26" t="n"/>
      <c r="FW117" s="26" t="n"/>
      <c r="FX117" s="26" t="n"/>
      <c r="FY117" s="26" t="n"/>
      <c r="FZ117" s="26" t="n"/>
      <c r="GA117" s="26" t="n"/>
      <c r="GB117" s="26" t="n"/>
      <c r="GC117" s="26" t="n"/>
      <c r="GD117" s="26" t="n"/>
      <c r="GE117" s="26" t="n"/>
      <c r="GF117" s="26" t="n"/>
      <c r="GG117" s="26" t="n"/>
      <c r="GH117" s="26" t="n"/>
      <c r="GI117" s="26" t="n"/>
      <c r="GJ117" s="26" t="n"/>
      <c r="GK117" s="26" t="n"/>
      <c r="GL117" s="26" t="n"/>
      <c r="GM117" s="26" t="n"/>
      <c r="GN117" s="26" t="n"/>
      <c r="GO117" s="26" t="n"/>
      <c r="GP117" s="26" t="n"/>
      <c r="GQ117" s="26" t="n"/>
      <c r="GR117" s="26" t="n"/>
      <c r="GS117" s="26" t="n"/>
      <c r="GT117" s="26" t="n"/>
      <c r="GU117" s="26" t="n"/>
      <c r="GV117" s="26" t="n"/>
      <c r="GW117" s="26" t="n"/>
      <c r="GX117" s="26" t="n"/>
      <c r="GY117" s="26" t="n"/>
      <c r="GZ117" s="26" t="n"/>
      <c r="HA117" s="26" t="n"/>
      <c r="HB117" s="26" t="n"/>
      <c r="HC117" s="26" t="n"/>
      <c r="HD117" s="26" t="n"/>
      <c r="HE117" s="26" t="n"/>
      <c r="HF117" s="26" t="n"/>
      <c r="HG117" s="26" t="n"/>
      <c r="HH117" s="26" t="n"/>
      <c r="HI117" s="26" t="n"/>
      <c r="HJ117" s="26" t="n"/>
      <c r="HK117" s="26" t="n"/>
      <c r="HL117" s="26" t="n"/>
      <c r="HM117" s="26" t="n"/>
      <c r="HN117" s="26" t="n"/>
      <c r="HO117" s="26" t="n"/>
      <c r="HP117" s="26" t="n"/>
      <c r="HQ117" s="26" t="n"/>
      <c r="HR117" s="26" t="n"/>
      <c r="HS117" s="26" t="n"/>
      <c r="HT117" s="26" t="n"/>
      <c r="HU117" s="26" t="n"/>
    </row>
    <row r="118" ht="15.75" customHeight="1">
      <c r="A118" s="7" t="inlineStr">
        <is>
          <t>Condominio Estoque</t>
        </is>
      </c>
      <c r="B118" s="136" t="n"/>
      <c r="C118" s="25" t="n"/>
      <c r="D118" s="53" t="n"/>
      <c r="E118" s="256" t="n"/>
      <c r="F118" s="256" t="n"/>
      <c r="G118" s="256" t="n"/>
      <c r="H118" s="256" t="n"/>
      <c r="I118" s="257" t="n"/>
      <c r="J118" s="176" t="n"/>
      <c r="K118" s="25" t="n"/>
      <c r="L118" s="34" t="n"/>
      <c r="M118" s="159" t="n"/>
      <c r="N118" s="219" t="n"/>
      <c r="O118" s="219" t="n"/>
      <c r="P118" s="219" t="n"/>
      <c r="Q118" s="219" t="n"/>
      <c r="R118" s="219" t="n"/>
      <c r="S118" s="219" t="n"/>
      <c r="T118" s="219" t="n"/>
      <c r="U118" s="219" t="n"/>
      <c r="V118" s="219" t="n"/>
      <c r="W118" s="219" t="n"/>
      <c r="X118" s="219" t="n"/>
      <c r="Y118" s="219" t="n"/>
      <c r="Z118" s="219" t="n"/>
      <c r="AA118" s="219" t="n"/>
      <c r="AB118" s="219" t="n"/>
      <c r="AC118" s="219" t="n"/>
      <c r="AD118" s="219" t="n"/>
      <c r="AE118" s="219" t="n"/>
      <c r="AF118" s="219" t="n"/>
      <c r="AG118" s="219" t="n"/>
      <c r="AH118" s="13" t="n"/>
      <c r="AI118" s="345" t="n"/>
      <c r="AJ118" s="13" t="n"/>
      <c r="AK118" s="87" t="n"/>
      <c r="AL118" s="87" t="n"/>
      <c r="AM118" s="87" t="n"/>
      <c r="AN118" s="87" t="n"/>
      <c r="AO118" s="87" t="n"/>
      <c r="AP118" s="87" t="n"/>
      <c r="AQ118" s="87" t="n"/>
      <c r="AR118" s="87" t="n"/>
      <c r="AS118" s="87" t="n"/>
      <c r="AT118" s="87" t="n"/>
      <c r="AU118" s="87" t="n"/>
      <c r="AV118" s="87" t="n"/>
      <c r="AW118" s="87" t="n"/>
      <c r="AX118" s="87" t="n"/>
      <c r="AY118" s="87" t="n"/>
      <c r="AZ118" s="87" t="n"/>
      <c r="BA118" s="87" t="n"/>
      <c r="BB118" s="87" t="n"/>
      <c r="BC118" s="87" t="n"/>
      <c r="BD118" s="87" t="n"/>
      <c r="BE118" s="87" t="n"/>
      <c r="BF118" s="87" t="n"/>
      <c r="BG118" s="87" t="n"/>
      <c r="BH118" s="87" t="n"/>
      <c r="BI118" s="87" t="n"/>
      <c r="BJ118" s="87" t="n"/>
      <c r="BK118" s="87" t="n"/>
      <c r="BL118" s="87" t="n"/>
      <c r="BM118" s="87" t="n"/>
      <c r="BN118" s="87" t="n"/>
      <c r="BO118" s="87" t="n"/>
      <c r="BP118" s="87" t="n"/>
      <c r="BQ118" s="87" t="n"/>
      <c r="BR118" s="87" t="n"/>
      <c r="BS118" s="87" t="n"/>
      <c r="BT118" s="87" t="n"/>
      <c r="BU118" s="87" t="n"/>
      <c r="BV118" s="87" t="n"/>
      <c r="BW118" s="87" t="n"/>
      <c r="BX118" s="87" t="n"/>
      <c r="BY118" s="87" t="n"/>
      <c r="BZ118" s="87" t="n"/>
      <c r="CA118" s="87" t="n"/>
      <c r="CB118" s="87" t="n"/>
      <c r="CC118" s="87" t="n"/>
      <c r="CD118" s="87" t="n"/>
      <c r="CE118" s="87" t="n"/>
      <c r="CF118" s="87" t="n"/>
      <c r="CG118" s="87" t="n"/>
      <c r="CH118" s="87" t="n"/>
      <c r="CI118" s="87" t="n"/>
      <c r="CJ118" s="87" t="n"/>
      <c r="CK118" s="87" t="n"/>
      <c r="CL118" s="87" t="n"/>
      <c r="CM118" s="87" t="n"/>
      <c r="CN118" s="87" t="n"/>
      <c r="CO118" s="87" t="n"/>
      <c r="CP118" s="87" t="n"/>
      <c r="CQ118" s="87" t="n"/>
      <c r="CR118" s="87" t="n"/>
      <c r="CS118" s="87" t="n"/>
      <c r="CT118" s="87" t="n"/>
      <c r="CU118" s="87" t="n"/>
      <c r="CV118" s="87" t="n"/>
      <c r="CW118" s="87" t="n"/>
      <c r="CX118" s="87" t="n"/>
      <c r="CY118" s="87" t="n"/>
      <c r="CZ118" s="87" t="n"/>
      <c r="DA118" s="87" t="n"/>
      <c r="DB118" s="87" t="n"/>
      <c r="DC118" s="87" t="n"/>
      <c r="DD118" s="87" t="n"/>
      <c r="DE118" s="87" t="n"/>
      <c r="DF118" s="87" t="n"/>
      <c r="DG118" s="87" t="n"/>
      <c r="DH118" s="87" t="n"/>
      <c r="DI118" s="87" t="n"/>
      <c r="DJ118" s="87" t="n"/>
      <c r="DK118" s="87" t="n"/>
      <c r="DL118" s="87" t="n"/>
      <c r="DM118" s="87" t="n"/>
      <c r="DN118" s="87" t="n"/>
      <c r="DO118" s="87" t="n"/>
      <c r="DP118" s="87" t="n"/>
      <c r="DQ118" s="87" t="n"/>
      <c r="DR118" s="87" t="n"/>
      <c r="DS118" s="87" t="n"/>
      <c r="DT118" s="87" t="n"/>
      <c r="DU118" s="87" t="n"/>
      <c r="DV118" s="87" t="n"/>
      <c r="DW118" s="87" t="n"/>
      <c r="DX118" s="87" t="n"/>
      <c r="DY118" s="87" t="n"/>
      <c r="DZ118" s="87" t="n"/>
      <c r="EA118" s="87" t="n"/>
      <c r="EB118" s="87" t="n"/>
      <c r="EC118" s="87" t="n"/>
      <c r="ED118" s="87" t="n"/>
      <c r="EE118" s="87" t="n"/>
      <c r="EF118" s="87" t="n"/>
      <c r="EG118" s="87" t="n"/>
      <c r="EH118" s="87" t="n"/>
      <c r="EI118" s="87" t="n"/>
      <c r="EJ118" s="87" t="n"/>
      <c r="EK118" s="87" t="n"/>
      <c r="EL118" s="87" t="n"/>
      <c r="EM118" s="87" t="n"/>
      <c r="EN118" s="87" t="n"/>
      <c r="EO118" s="87" t="n"/>
      <c r="EP118" s="87" t="n"/>
      <c r="EQ118" s="87" t="n"/>
      <c r="ER118" s="87" t="n"/>
      <c r="ES118" s="87" t="n"/>
      <c r="ET118" s="87" t="n"/>
      <c r="EU118" s="87" t="n"/>
      <c r="EV118" s="87" t="n"/>
      <c r="EW118" s="87" t="n"/>
      <c r="EX118" s="87" t="n"/>
      <c r="EY118" s="87" t="n"/>
      <c r="EZ118" s="87" t="n"/>
      <c r="FA118" s="87" t="n"/>
      <c r="FB118" s="87" t="n"/>
      <c r="FC118" s="87" t="n"/>
      <c r="FD118" s="87" t="n"/>
      <c r="FE118" s="87" t="n"/>
      <c r="FF118" s="87" t="n"/>
      <c r="FG118" s="87" t="n"/>
      <c r="FH118" s="87" t="n"/>
      <c r="FI118" s="87" t="n"/>
      <c r="FJ118" s="87" t="n"/>
      <c r="FK118" s="87" t="n"/>
      <c r="FL118" s="87" t="n"/>
      <c r="FM118" s="87" t="n"/>
      <c r="FN118" s="87" t="n"/>
      <c r="FO118" s="87" t="n"/>
      <c r="FP118" s="87" t="n"/>
      <c r="FQ118" s="87" t="n"/>
      <c r="FR118" s="87" t="n"/>
      <c r="FS118" s="87" t="n"/>
      <c r="FT118" s="87" t="n"/>
      <c r="FU118" s="87" t="n"/>
      <c r="FV118" s="87" t="n"/>
      <c r="FW118" s="87" t="n"/>
      <c r="FX118" s="87" t="n"/>
      <c r="FY118" s="87" t="n"/>
      <c r="FZ118" s="87" t="n"/>
      <c r="GA118" s="87" t="n"/>
      <c r="GB118" s="87" t="n"/>
      <c r="GC118" s="87" t="n"/>
      <c r="GD118" s="87" t="n"/>
      <c r="GE118" s="87" t="n"/>
      <c r="GF118" s="87" t="n"/>
      <c r="GG118" s="87" t="n"/>
      <c r="GH118" s="87" t="n"/>
      <c r="GI118" s="87" t="n"/>
      <c r="GJ118" s="87" t="n"/>
      <c r="GK118" s="87" t="n"/>
      <c r="GL118" s="87" t="n"/>
      <c r="GM118" s="87" t="n"/>
      <c r="GN118" s="87" t="n"/>
      <c r="GO118" s="87" t="n"/>
      <c r="GP118" s="87" t="n"/>
      <c r="GQ118" s="87" t="n"/>
      <c r="GR118" s="87" t="n"/>
      <c r="GS118" s="87" t="n"/>
      <c r="GT118" s="87" t="n"/>
      <c r="GU118" s="87" t="n"/>
      <c r="GV118" s="87" t="n"/>
      <c r="GW118" s="87" t="n"/>
      <c r="GX118" s="87" t="n"/>
      <c r="GY118" s="87" t="n"/>
      <c r="GZ118" s="87" t="n"/>
      <c r="HA118" s="87" t="n"/>
      <c r="HB118" s="87" t="n"/>
      <c r="HC118" s="87" t="n"/>
      <c r="HD118" s="87" t="n"/>
      <c r="HE118" s="87" t="n"/>
      <c r="HF118" s="87" t="n"/>
      <c r="HG118" s="87" t="n"/>
      <c r="HH118" s="87" t="n"/>
      <c r="HI118" s="87" t="n"/>
      <c r="HJ118" s="87" t="n"/>
      <c r="HK118" s="87" t="n"/>
      <c r="HL118" s="87" t="n"/>
      <c r="HM118" s="87" t="n"/>
      <c r="HN118" s="87" t="n"/>
      <c r="HO118" s="87" t="n"/>
      <c r="HP118" s="87" t="n"/>
      <c r="HQ118" s="87" t="n"/>
      <c r="HR118" s="87" t="n"/>
      <c r="HS118" s="87" t="n"/>
      <c r="HT118" s="87" t="n"/>
      <c r="HU118" s="87" t="n"/>
    </row>
    <row r="119" ht="15.75" customHeight="1" thickBot="1">
      <c r="A119" s="89" t="inlineStr">
        <is>
          <t>Subtotal</t>
        </is>
      </c>
      <c r="B119" s="137" t="n"/>
      <c r="C119" s="260" t="n"/>
      <c r="D119" s="260" t="n"/>
      <c r="E119" s="261" t="n"/>
      <c r="F119" s="261" t="n"/>
      <c r="G119" s="261" t="n"/>
      <c r="H119" s="261" t="n"/>
      <c r="I119" s="260" t="n"/>
      <c r="J119" s="262" t="n"/>
      <c r="K119" s="260" t="n"/>
      <c r="L119" s="263" t="n"/>
      <c r="M119" s="264" t="n"/>
      <c r="N119" s="264" t="n"/>
      <c r="O119" s="264" t="n"/>
      <c r="P119" s="264" t="n"/>
      <c r="Q119" s="264" t="n"/>
      <c r="R119" s="264" t="n"/>
      <c r="S119" s="264" t="n"/>
      <c r="T119" s="264" t="n"/>
      <c r="U119" s="264" t="n"/>
      <c r="V119" s="264" t="n"/>
      <c r="W119" s="264" t="n"/>
      <c r="X119" s="264" t="n"/>
      <c r="Y119" s="264" t="n"/>
      <c r="Z119" s="264" t="n"/>
      <c r="AA119" s="264" t="n"/>
      <c r="AB119" s="264" t="n"/>
      <c r="AC119" s="264" t="n"/>
      <c r="AD119" s="264" t="n"/>
      <c r="AE119" s="264" t="n"/>
      <c r="AF119" s="264" t="n"/>
      <c r="AG119" s="264" t="n"/>
      <c r="AH119" s="13" t="n"/>
      <c r="AI119" s="335" t="n"/>
      <c r="AJ119" s="13" t="n"/>
      <c r="AK119" s="271" t="n"/>
      <c r="AL119" s="271" t="n"/>
      <c r="AM119" s="271" t="n"/>
      <c r="AN119" s="271" t="n"/>
      <c r="AO119" s="271" t="n"/>
      <c r="AP119" s="271" t="n"/>
      <c r="AQ119" s="271" t="n"/>
      <c r="AR119" s="271" t="n"/>
      <c r="AS119" s="271" t="n"/>
      <c r="AT119" s="271" t="n"/>
      <c r="AU119" s="271" t="n"/>
      <c r="AV119" s="271" t="n"/>
      <c r="AW119" s="271" t="n"/>
      <c r="AX119" s="271" t="n"/>
      <c r="AY119" s="271" t="n"/>
      <c r="AZ119" s="271" t="n"/>
      <c r="BA119" s="271" t="n"/>
      <c r="BB119" s="271" t="n"/>
      <c r="BC119" s="271" t="n"/>
      <c r="BD119" s="271" t="n"/>
      <c r="BE119" s="271" t="n"/>
      <c r="BF119" s="271" t="n"/>
      <c r="BG119" s="271" t="n"/>
      <c r="BH119" s="271" t="n"/>
      <c r="BI119" s="271" t="n"/>
      <c r="BJ119" s="271" t="n"/>
      <c r="BK119" s="271" t="n"/>
      <c r="BL119" s="271" t="n"/>
      <c r="BM119" s="271" t="n"/>
      <c r="BN119" s="271" t="n"/>
      <c r="BO119" s="271" t="n"/>
      <c r="BP119" s="271" t="n"/>
      <c r="BQ119" s="271" t="n"/>
      <c r="BR119" s="271" t="n"/>
      <c r="BS119" s="271" t="n"/>
      <c r="BT119" s="271" t="n"/>
      <c r="BU119" s="271" t="n"/>
      <c r="BV119" s="271" t="n"/>
      <c r="BW119" s="271" t="n"/>
      <c r="BX119" s="271" t="n"/>
      <c r="BY119" s="271" t="n"/>
      <c r="BZ119" s="271" t="n"/>
      <c r="CA119" s="271" t="n"/>
      <c r="CB119" s="271" t="n"/>
      <c r="CC119" s="271" t="n"/>
      <c r="CD119" s="271" t="n"/>
      <c r="CE119" s="271" t="n"/>
      <c r="CF119" s="271" t="n"/>
      <c r="CG119" s="271" t="n"/>
      <c r="CH119" s="271" t="n"/>
      <c r="CI119" s="271" t="n"/>
      <c r="CJ119" s="271" t="n"/>
      <c r="CK119" s="271" t="n"/>
      <c r="CL119" s="271" t="n"/>
      <c r="CM119" s="271" t="n"/>
      <c r="CN119" s="271" t="n"/>
      <c r="CO119" s="271" t="n"/>
      <c r="CP119" s="271" t="n"/>
      <c r="CQ119" s="271" t="n"/>
      <c r="CR119" s="271" t="n"/>
      <c r="CS119" s="271" t="n"/>
      <c r="CT119" s="271" t="n"/>
      <c r="CU119" s="271" t="n"/>
      <c r="CV119" s="271" t="n"/>
      <c r="CW119" s="271" t="n"/>
      <c r="CX119" s="271" t="n"/>
      <c r="CY119" s="271" t="n"/>
      <c r="CZ119" s="271" t="n"/>
      <c r="DA119" s="271" t="n"/>
      <c r="DB119" s="271" t="n"/>
      <c r="DC119" s="271" t="n"/>
      <c r="DD119" s="271" t="n"/>
      <c r="DE119" s="271" t="n"/>
      <c r="DF119" s="271" t="n"/>
      <c r="DG119" s="271" t="n"/>
      <c r="DH119" s="271" t="n"/>
      <c r="DI119" s="271" t="n"/>
      <c r="DJ119" s="271" t="n"/>
      <c r="DK119" s="271" t="n"/>
      <c r="DL119" s="271" t="n"/>
      <c r="DM119" s="271" t="n"/>
      <c r="DN119" s="271" t="n"/>
      <c r="DO119" s="271" t="n"/>
      <c r="DP119" s="271" t="n"/>
      <c r="DQ119" s="271" t="n"/>
      <c r="DR119" s="271" t="n"/>
      <c r="DS119" s="271" t="n"/>
      <c r="DT119" s="271" t="n"/>
      <c r="DU119" s="271" t="n"/>
      <c r="DV119" s="271" t="n"/>
      <c r="DW119" s="271" t="n"/>
      <c r="DX119" s="271" t="n"/>
      <c r="DY119" s="271" t="n"/>
      <c r="DZ119" s="271" t="n"/>
      <c r="EA119" s="271" t="n"/>
      <c r="EB119" s="271" t="n"/>
      <c r="EC119" s="271" t="n"/>
      <c r="ED119" s="271" t="n"/>
      <c r="EE119" s="271" t="n"/>
      <c r="EF119" s="271" t="n"/>
      <c r="EG119" s="271" t="n"/>
      <c r="EH119" s="271" t="n"/>
      <c r="EI119" s="271" t="n"/>
      <c r="EJ119" s="271" t="n"/>
      <c r="EK119" s="271" t="n"/>
      <c r="EL119" s="271" t="n"/>
      <c r="EM119" s="271" t="n"/>
      <c r="EN119" s="271" t="n"/>
      <c r="EO119" s="271" t="n"/>
      <c r="EP119" s="271" t="n"/>
      <c r="EQ119" s="271" t="n"/>
      <c r="ER119" s="271" t="n"/>
      <c r="ES119" s="271" t="n"/>
      <c r="ET119" s="271" t="n"/>
      <c r="EU119" s="271" t="n"/>
      <c r="EV119" s="271" t="n"/>
      <c r="EW119" s="271" t="n"/>
      <c r="EX119" s="271" t="n"/>
      <c r="EY119" s="271" t="n"/>
      <c r="EZ119" s="271" t="n"/>
      <c r="FA119" s="271" t="n"/>
      <c r="FB119" s="271" t="n"/>
      <c r="FC119" s="271" t="n"/>
      <c r="FD119" s="271" t="n"/>
      <c r="FE119" s="271" t="n"/>
      <c r="FF119" s="271" t="n"/>
      <c r="FG119" s="271" t="n"/>
      <c r="FH119" s="271" t="n"/>
      <c r="FI119" s="271" t="n"/>
      <c r="FJ119" s="271" t="n"/>
      <c r="FK119" s="271" t="n"/>
      <c r="FL119" s="271" t="n"/>
      <c r="FM119" s="271" t="n"/>
      <c r="FN119" s="271" t="n"/>
      <c r="FO119" s="271" t="n"/>
      <c r="FP119" s="271" t="n"/>
      <c r="FQ119" s="271" t="n"/>
      <c r="FR119" s="271" t="n"/>
      <c r="FS119" s="271" t="n"/>
      <c r="FT119" s="271" t="n"/>
      <c r="FU119" s="271" t="n"/>
      <c r="FV119" s="271" t="n"/>
      <c r="FW119" s="271" t="n"/>
      <c r="FX119" s="271" t="n"/>
      <c r="FY119" s="271" t="n"/>
      <c r="FZ119" s="271" t="n"/>
      <c r="GA119" s="271" t="n"/>
      <c r="GB119" s="271" t="n"/>
      <c r="GC119" s="271" t="n"/>
      <c r="GD119" s="271" t="n"/>
      <c r="GE119" s="271" t="n"/>
      <c r="GF119" s="271" t="n"/>
      <c r="GG119" s="271" t="n"/>
      <c r="GH119" s="271" t="n"/>
      <c r="GI119" s="271" t="n"/>
      <c r="GJ119" s="271" t="n"/>
      <c r="GK119" s="271" t="n"/>
      <c r="GL119" s="271" t="n"/>
      <c r="GM119" s="271" t="n"/>
      <c r="GN119" s="271" t="n"/>
      <c r="GO119" s="271" t="n"/>
      <c r="GP119" s="271" t="n"/>
      <c r="GQ119" s="271" t="n"/>
      <c r="GR119" s="271" t="n"/>
      <c r="GS119" s="271" t="n"/>
      <c r="GT119" s="271" t="n"/>
      <c r="GU119" s="271" t="n"/>
      <c r="GV119" s="271" t="n"/>
      <c r="GW119" s="271" t="n"/>
      <c r="GX119" s="271" t="n"/>
      <c r="GY119" s="271" t="n"/>
      <c r="GZ119" s="271" t="n"/>
      <c r="HA119" s="271" t="n"/>
      <c r="HB119" s="271" t="n"/>
      <c r="HC119" s="271" t="n"/>
      <c r="HD119" s="271" t="n"/>
      <c r="HE119" s="271" t="n"/>
      <c r="HF119" s="271" t="n"/>
      <c r="HG119" s="271" t="n"/>
      <c r="HH119" s="271" t="n"/>
      <c r="HI119" s="271" t="n"/>
      <c r="HJ119" s="271" t="n"/>
      <c r="HK119" s="271" t="n"/>
      <c r="HL119" s="271" t="n"/>
      <c r="HM119" s="271" t="n"/>
      <c r="HN119" s="271" t="n"/>
      <c r="HO119" s="271" t="n"/>
      <c r="HP119" s="271" t="n"/>
      <c r="HQ119" s="271" t="n"/>
      <c r="HR119" s="271" t="n"/>
      <c r="HS119" s="271" t="n"/>
      <c r="HT119" s="271" t="n"/>
      <c r="HU119" s="271" t="n"/>
    </row>
    <row r="120" ht="6" customHeight="1">
      <c r="A120" s="90" t="n"/>
      <c r="B120" s="141" t="n"/>
      <c r="C120" s="91" t="n"/>
      <c r="D120" s="91" t="n"/>
      <c r="E120" s="91" t="n"/>
      <c r="F120" s="91" t="n"/>
      <c r="G120" s="91" t="n"/>
      <c r="H120" s="91" t="n"/>
      <c r="I120" s="91" t="n"/>
      <c r="J120" s="177" t="n"/>
      <c r="K120" s="91" t="n"/>
      <c r="L120" s="91" t="n"/>
      <c r="M120" s="178" t="n"/>
      <c r="N120" s="178" t="n"/>
      <c r="O120" s="178" t="n"/>
      <c r="P120" s="178" t="n"/>
      <c r="Q120" s="178" t="n"/>
      <c r="R120" s="178" t="n"/>
      <c r="S120" s="178" t="n"/>
      <c r="T120" s="178" t="n"/>
      <c r="U120" s="178" t="n"/>
      <c r="V120" s="178" t="n"/>
      <c r="W120" s="178" t="n"/>
      <c r="X120" s="178" t="n"/>
      <c r="Y120" s="178" t="n"/>
      <c r="Z120" s="178" t="n"/>
      <c r="AA120" s="178" t="n"/>
      <c r="AB120" s="178" t="n"/>
      <c r="AC120" s="178" t="n"/>
      <c r="AD120" s="178" t="n"/>
      <c r="AE120" s="178" t="n"/>
      <c r="AF120" s="178" t="n"/>
      <c r="AG120" s="178" t="n"/>
      <c r="AH120" s="13" t="n"/>
      <c r="AI120" s="333" t="n"/>
      <c r="AJ120" s="13" t="n"/>
      <c r="AK120" s="91" t="n"/>
      <c r="AL120" s="91" t="n"/>
      <c r="AM120" s="91" t="n"/>
      <c r="AN120" s="91" t="n"/>
      <c r="AO120" s="91" t="n"/>
      <c r="AP120" s="91" t="n"/>
      <c r="AQ120" s="91" t="n"/>
      <c r="AR120" s="91" t="n"/>
      <c r="AS120" s="91" t="n"/>
      <c r="AT120" s="91" t="n"/>
      <c r="AU120" s="91" t="n"/>
      <c r="AV120" s="91" t="n"/>
      <c r="AW120" s="91" t="n"/>
      <c r="AX120" s="91" t="n"/>
      <c r="AY120" s="91" t="n"/>
      <c r="AZ120" s="91" t="n"/>
      <c r="BA120" s="91" t="n"/>
      <c r="BB120" s="91" t="n"/>
      <c r="BC120" s="91" t="n"/>
      <c r="BD120" s="302" t="n"/>
      <c r="BE120" s="91" t="n"/>
      <c r="BF120" s="91" t="n"/>
      <c r="BG120" s="91" t="n"/>
      <c r="BH120" s="91" t="n"/>
      <c r="BI120" s="91" t="n"/>
      <c r="BJ120" s="91" t="n"/>
      <c r="BK120" s="91" t="n"/>
      <c r="BL120" s="91" t="n"/>
      <c r="BM120" s="91" t="n"/>
      <c r="BN120" s="91" t="n"/>
      <c r="BO120" s="91" t="n"/>
      <c r="BP120" s="302" t="n"/>
      <c r="BQ120" s="91" t="n"/>
      <c r="BR120" s="91" t="n"/>
      <c r="BS120" s="91" t="n"/>
      <c r="BT120" s="91" t="n"/>
      <c r="BU120" s="91" t="n"/>
      <c r="BV120" s="91" t="n"/>
      <c r="BW120" s="91" t="n"/>
      <c r="BX120" s="91" t="n"/>
      <c r="BY120" s="91" t="n"/>
      <c r="BZ120" s="91" t="n"/>
      <c r="CA120" s="91" t="n"/>
      <c r="CB120" s="302" t="n"/>
      <c r="CC120" s="91" t="n"/>
      <c r="CD120" s="91" t="n"/>
      <c r="CE120" s="91" t="n"/>
      <c r="CF120" s="91" t="n"/>
      <c r="CG120" s="91" t="n"/>
      <c r="CH120" s="91" t="n"/>
      <c r="CI120" s="91" t="n"/>
      <c r="CJ120" s="91" t="n"/>
      <c r="CK120" s="91" t="n"/>
      <c r="CL120" s="91" t="n"/>
      <c r="CM120" s="91" t="n"/>
      <c r="CN120" s="302" t="n"/>
      <c r="CO120" s="91" t="n"/>
      <c r="CP120" s="91" t="n"/>
      <c r="CQ120" s="91" t="n"/>
      <c r="CR120" s="91" t="n"/>
      <c r="CS120" s="91" t="n"/>
      <c r="CT120" s="91" t="n"/>
      <c r="CU120" s="91" t="n"/>
      <c r="CV120" s="91" t="n"/>
      <c r="CW120" s="91" t="n"/>
      <c r="CX120" s="91" t="n"/>
      <c r="CY120" s="91" t="n"/>
      <c r="CZ120" s="302" t="n"/>
      <c r="DA120" s="91" t="n"/>
      <c r="DB120" s="91" t="n"/>
      <c r="DC120" s="91" t="n"/>
      <c r="DD120" s="91" t="n"/>
      <c r="DE120" s="91" t="n"/>
      <c r="DF120" s="91" t="n"/>
      <c r="DG120" s="91" t="n"/>
      <c r="DH120" s="91" t="n"/>
      <c r="DI120" s="91" t="n"/>
      <c r="DJ120" s="91" t="n"/>
      <c r="DK120" s="91" t="n"/>
      <c r="DL120" s="91" t="n"/>
      <c r="DM120" s="91" t="n"/>
      <c r="DN120" s="91" t="n"/>
      <c r="DO120" s="91" t="n"/>
      <c r="DP120" s="91" t="n"/>
      <c r="DQ120" s="91" t="n"/>
      <c r="DR120" s="91" t="n"/>
      <c r="DS120" s="91" t="n"/>
      <c r="DT120" s="91" t="n"/>
      <c r="DU120" s="91" t="n"/>
      <c r="DV120" s="91" t="n"/>
      <c r="DW120" s="91" t="n"/>
      <c r="DX120" s="91" t="n"/>
      <c r="DY120" s="91" t="n"/>
      <c r="DZ120" s="91" t="n"/>
      <c r="EA120" s="91" t="n"/>
      <c r="EB120" s="91" t="n"/>
      <c r="EC120" s="91" t="n"/>
      <c r="ED120" s="91" t="n"/>
      <c r="EE120" s="91" t="n"/>
      <c r="EF120" s="91" t="n"/>
      <c r="EG120" s="91" t="n"/>
      <c r="EH120" s="91" t="n"/>
      <c r="EI120" s="91" t="n"/>
      <c r="EJ120" s="91" t="n"/>
      <c r="EK120" s="91" t="n"/>
      <c r="EL120" s="91" t="n"/>
      <c r="EM120" s="91" t="n"/>
      <c r="EN120" s="91" t="n"/>
      <c r="EO120" s="91" t="n"/>
      <c r="EP120" s="91" t="n"/>
      <c r="EQ120" s="91" t="n"/>
      <c r="ER120" s="91" t="n"/>
      <c r="ES120" s="91" t="n"/>
      <c r="ET120" s="91" t="n"/>
      <c r="EU120" s="91" t="n"/>
      <c r="EV120" s="91" t="n"/>
      <c r="EW120" s="91" t="n"/>
      <c r="EX120" s="91" t="n"/>
      <c r="EY120" s="91" t="n"/>
      <c r="EZ120" s="91" t="n"/>
      <c r="FA120" s="91" t="n"/>
      <c r="FB120" s="91" t="n"/>
      <c r="FC120" s="91" t="n"/>
      <c r="FD120" s="91" t="n"/>
      <c r="FE120" s="91" t="n"/>
      <c r="FF120" s="91" t="n"/>
      <c r="FG120" s="91" t="n"/>
      <c r="FH120" s="91" t="n"/>
      <c r="FI120" s="91" t="n"/>
      <c r="FJ120" s="91" t="n"/>
      <c r="FK120" s="91" t="n"/>
      <c r="FL120" s="91" t="n"/>
      <c r="FM120" s="91" t="n"/>
      <c r="FN120" s="91" t="n"/>
      <c r="FO120" s="91" t="n"/>
      <c r="FP120" s="91" t="n"/>
      <c r="FQ120" s="91" t="n"/>
      <c r="FR120" s="91" t="n"/>
      <c r="FS120" s="91" t="n"/>
      <c r="FT120" s="91" t="n"/>
      <c r="FU120" s="91" t="n"/>
      <c r="FV120" s="91" t="n"/>
      <c r="FW120" s="91" t="n"/>
      <c r="FX120" s="91" t="n"/>
      <c r="FY120" s="91" t="n"/>
      <c r="FZ120" s="91" t="n"/>
      <c r="GA120" s="91" t="n"/>
      <c r="GB120" s="91" t="n"/>
      <c r="GC120" s="91" t="n"/>
      <c r="GD120" s="91" t="n"/>
      <c r="GE120" s="91" t="n"/>
      <c r="GF120" s="91" t="n"/>
      <c r="GG120" s="91" t="n"/>
      <c r="GH120" s="91" t="n"/>
      <c r="GI120" s="91" t="n"/>
      <c r="GJ120" s="91" t="n"/>
      <c r="GK120" s="91" t="n"/>
      <c r="GL120" s="91" t="n"/>
      <c r="GM120" s="91" t="n"/>
      <c r="GN120" s="91" t="n"/>
      <c r="GO120" s="91" t="n"/>
      <c r="GP120" s="91" t="n"/>
      <c r="GQ120" s="91" t="n"/>
      <c r="GR120" s="91" t="n"/>
      <c r="GS120" s="91" t="n"/>
      <c r="GT120" s="91" t="n"/>
      <c r="GU120" s="91" t="n"/>
      <c r="GV120" s="91" t="n"/>
      <c r="GW120" s="91" t="n"/>
      <c r="GX120" s="91" t="n"/>
      <c r="GY120" s="91" t="n"/>
      <c r="GZ120" s="91" t="n"/>
      <c r="HA120" s="91" t="n"/>
      <c r="HB120" s="91" t="n"/>
      <c r="HC120" s="91" t="n"/>
      <c r="HD120" s="91" t="n"/>
      <c r="HE120" s="91" t="n"/>
      <c r="HF120" s="91" t="n"/>
      <c r="HG120" s="91" t="n"/>
      <c r="HH120" s="91" t="n"/>
      <c r="HI120" s="91" t="n"/>
      <c r="HJ120" s="91" t="n"/>
      <c r="HK120" s="91" t="n"/>
      <c r="HL120" s="91" t="n"/>
      <c r="HM120" s="91" t="n"/>
      <c r="HN120" s="91" t="n"/>
      <c r="HO120" s="91" t="n"/>
      <c r="HP120" s="91" t="n"/>
      <c r="HQ120" s="91" t="n"/>
      <c r="HR120" s="91" t="n"/>
      <c r="HS120" s="91" t="n"/>
      <c r="HT120" s="91" t="n"/>
      <c r="HU120" s="91" t="n"/>
    </row>
    <row r="121" ht="16.2" customHeight="1">
      <c r="A121" s="81" t="inlineStr">
        <is>
          <t>DESPESAS DE OBRA (-) | Projeto (-)</t>
        </is>
      </c>
      <c r="B121" s="142" t="n"/>
      <c r="C121" s="82" t="n"/>
      <c r="D121" s="84" t="n"/>
      <c r="E121" s="82" t="n"/>
      <c r="F121" s="82" t="n"/>
      <c r="G121" s="82" t="n"/>
      <c r="H121" s="82" t="n"/>
      <c r="I121" s="83" t="n"/>
      <c r="J121" s="179" t="n"/>
      <c r="K121" s="109" t="n"/>
      <c r="L121" s="108" t="n"/>
      <c r="M121" s="220" t="n"/>
      <c r="N121" s="220" t="n"/>
      <c r="O121" s="220" t="n"/>
      <c r="P121" s="220" t="n"/>
      <c r="Q121" s="220" t="n"/>
      <c r="R121" s="220" t="n"/>
      <c r="S121" s="220" t="n"/>
      <c r="T121" s="220" t="n"/>
      <c r="U121" s="220" t="n"/>
      <c r="V121" s="220" t="n"/>
      <c r="W121" s="220" t="n"/>
      <c r="X121" s="220" t="n"/>
      <c r="Y121" s="220" t="n"/>
      <c r="Z121" s="220" t="n"/>
      <c r="AA121" s="220" t="n"/>
      <c r="AB121" s="220" t="n"/>
      <c r="AC121" s="220" t="n"/>
      <c r="AD121" s="220" t="n"/>
      <c r="AE121" s="220" t="n"/>
      <c r="AF121" s="220" t="n"/>
      <c r="AG121" s="220" t="n"/>
      <c r="AH121" s="200" t="n"/>
      <c r="AI121" s="241" t="n"/>
      <c r="AJ121" s="200" t="n"/>
      <c r="AK121" s="92" t="n"/>
      <c r="AL121" s="92" t="n"/>
      <c r="AM121" s="92" t="n"/>
      <c r="AN121" s="92" t="n"/>
      <c r="AO121" s="92" t="n"/>
      <c r="AP121" s="92" t="n"/>
      <c r="AQ121" s="109" t="n"/>
      <c r="AR121" s="109" t="n"/>
      <c r="AS121" s="92" t="n"/>
      <c r="AT121" s="92" t="n"/>
      <c r="AU121" s="92" t="n"/>
      <c r="AV121" s="92" t="n"/>
      <c r="AW121" s="92" t="n"/>
      <c r="AX121" s="92" t="n"/>
      <c r="AY121" s="92" t="n"/>
      <c r="AZ121" s="92" t="n"/>
      <c r="BA121" s="92" t="n"/>
      <c r="BB121" s="92" t="n"/>
      <c r="BC121" s="92" t="n"/>
      <c r="BD121" s="303" t="n"/>
      <c r="BE121" s="272" t="n"/>
      <c r="BF121" s="92" t="n"/>
      <c r="BG121" s="92" t="n"/>
      <c r="BH121" s="92" t="n"/>
      <c r="BI121" s="92" t="n"/>
      <c r="BJ121" s="92" t="n"/>
      <c r="BK121" s="92" t="n"/>
      <c r="BL121" s="92" t="n"/>
      <c r="BM121" s="92" t="n"/>
      <c r="BN121" s="92" t="n"/>
      <c r="BO121" s="92" t="n"/>
      <c r="BP121" s="303" t="n"/>
      <c r="BQ121" s="272" t="n"/>
      <c r="BR121" s="92" t="n"/>
      <c r="BS121" s="92" t="n"/>
      <c r="BT121" s="92" t="n"/>
      <c r="BU121" s="92" t="n"/>
      <c r="BV121" s="92" t="n"/>
      <c r="BW121" s="92" t="n"/>
      <c r="BX121" s="92" t="n"/>
      <c r="BY121" s="92" t="n"/>
      <c r="BZ121" s="92" t="n"/>
      <c r="CA121" s="92" t="n"/>
      <c r="CB121" s="303" t="n"/>
      <c r="CC121" s="272" t="n"/>
      <c r="CD121" s="92" t="n"/>
      <c r="CE121" s="92" t="n"/>
      <c r="CF121" s="92" t="n"/>
      <c r="CG121" s="92" t="n"/>
      <c r="CH121" s="92" t="n"/>
      <c r="CI121" s="92" t="n"/>
      <c r="CJ121" s="92" t="n"/>
      <c r="CK121" s="92" t="n"/>
      <c r="CL121" s="92" t="n"/>
      <c r="CM121" s="92" t="n"/>
      <c r="CN121" s="303" t="n"/>
      <c r="CO121" s="272" t="n"/>
      <c r="CP121" s="92" t="n"/>
      <c r="CQ121" s="92" t="n"/>
      <c r="CR121" s="92" t="n"/>
      <c r="CS121" s="92" t="n"/>
      <c r="CT121" s="92" t="n"/>
      <c r="CU121" s="92" t="n"/>
      <c r="CV121" s="92" t="n"/>
      <c r="CW121" s="92" t="n"/>
      <c r="CX121" s="92" t="n"/>
      <c r="CY121" s="92" t="n"/>
      <c r="CZ121" s="303" t="n"/>
      <c r="DA121" s="272" t="n"/>
      <c r="DB121" s="92" t="n"/>
      <c r="DC121" s="92" t="n"/>
      <c r="DD121" s="92" t="n"/>
      <c r="DE121" s="92" t="n"/>
      <c r="DF121" s="92" t="n"/>
      <c r="DG121" s="92" t="n"/>
      <c r="DH121" s="92" t="n"/>
      <c r="DI121" s="92" t="n"/>
      <c r="DJ121" s="109" t="n"/>
      <c r="DK121" s="92" t="n"/>
      <c r="DL121" s="109" t="n"/>
      <c r="DM121" s="92" t="n"/>
      <c r="DN121" s="109" t="n"/>
      <c r="DO121" s="109" t="n"/>
      <c r="DP121" s="109" t="n"/>
      <c r="DQ121" s="109" t="n"/>
      <c r="DR121" s="109" t="n"/>
      <c r="DS121" s="109" t="n"/>
      <c r="DT121" s="109" t="n"/>
      <c r="DU121" s="109" t="n"/>
      <c r="DV121" s="109" t="n"/>
      <c r="DW121" s="109" t="n"/>
      <c r="DX121" s="109" t="n"/>
      <c r="DY121" s="109" t="n"/>
      <c r="DZ121" s="109" t="n"/>
      <c r="EA121" s="109" t="n"/>
      <c r="EB121" s="109" t="n"/>
      <c r="EC121" s="109" t="n"/>
      <c r="ED121" s="109" t="n"/>
      <c r="EE121" s="109" t="n"/>
      <c r="EF121" s="109" t="n"/>
      <c r="EG121" s="109" t="n"/>
      <c r="EH121" s="109" t="n"/>
      <c r="EI121" s="109" t="n"/>
      <c r="EJ121" s="109" t="n"/>
      <c r="EK121" s="109" t="n"/>
      <c r="EL121" s="109" t="n"/>
      <c r="EM121" s="109" t="n"/>
      <c r="EN121" s="109" t="n"/>
      <c r="EO121" s="109" t="n"/>
      <c r="EP121" s="109" t="n"/>
      <c r="EQ121" s="109" t="n"/>
      <c r="ER121" s="109" t="n"/>
      <c r="ES121" s="109" t="n"/>
      <c r="ET121" s="109" t="n"/>
      <c r="EU121" s="109" t="n"/>
      <c r="EV121" s="109" t="n"/>
      <c r="EW121" s="109" t="n"/>
      <c r="EX121" s="109" t="n"/>
      <c r="EY121" s="109" t="n"/>
      <c r="EZ121" s="109" t="n"/>
      <c r="FA121" s="109" t="n"/>
      <c r="FB121" s="109" t="n"/>
      <c r="FC121" s="109" t="n"/>
      <c r="FD121" s="109" t="n"/>
      <c r="FE121" s="109" t="n"/>
      <c r="FF121" s="109" t="n"/>
      <c r="FG121" s="109" t="n"/>
      <c r="FH121" s="109" t="n"/>
      <c r="FI121" s="109" t="n"/>
      <c r="FJ121" s="109" t="n"/>
      <c r="FK121" s="109" t="n"/>
      <c r="FL121" s="109" t="n"/>
      <c r="FM121" s="109" t="n"/>
      <c r="FN121" s="109" t="n"/>
      <c r="FO121" s="109" t="n"/>
      <c r="FP121" s="109" t="n"/>
      <c r="FQ121" s="109" t="n"/>
      <c r="FR121" s="109" t="n"/>
      <c r="FS121" s="109" t="n"/>
      <c r="FT121" s="109" t="n"/>
      <c r="FU121" s="109" t="n"/>
      <c r="FV121" s="109" t="n"/>
      <c r="FW121" s="109" t="n"/>
      <c r="FX121" s="109" t="n"/>
      <c r="FY121" s="109" t="n"/>
      <c r="FZ121" s="109" t="n"/>
      <c r="GA121" s="109" t="n"/>
      <c r="GB121" s="109" t="n"/>
      <c r="GC121" s="109" t="n"/>
      <c r="GD121" s="109" t="n"/>
      <c r="GE121" s="109" t="n"/>
      <c r="GF121" s="109" t="n"/>
      <c r="GG121" s="109" t="n"/>
      <c r="GH121" s="109" t="n"/>
      <c r="GI121" s="109" t="n"/>
      <c r="GJ121" s="109" t="n"/>
      <c r="GK121" s="109" t="n"/>
      <c r="GL121" s="109" t="n"/>
      <c r="GM121" s="109" t="n"/>
      <c r="GN121" s="109" t="n"/>
      <c r="GO121" s="109" t="n"/>
      <c r="GP121" s="109" t="n"/>
      <c r="GQ121" s="109" t="n"/>
      <c r="GR121" s="109" t="n"/>
      <c r="GS121" s="109" t="n"/>
      <c r="GT121" s="109" t="n"/>
      <c r="GU121" s="109" t="n"/>
      <c r="GV121" s="109" t="n"/>
      <c r="GW121" s="109" t="n"/>
      <c r="GX121" s="109" t="n"/>
      <c r="GY121" s="109" t="n"/>
      <c r="GZ121" s="109" t="n"/>
      <c r="HA121" s="109" t="n"/>
      <c r="HB121" s="109" t="n"/>
      <c r="HC121" s="109" t="n"/>
      <c r="HD121" s="109" t="n"/>
      <c r="HE121" s="109" t="n"/>
      <c r="HF121" s="109" t="n"/>
      <c r="HG121" s="109" t="n"/>
      <c r="HH121" s="109" t="n"/>
      <c r="HI121" s="109" t="n"/>
      <c r="HJ121" s="109" t="n"/>
      <c r="HK121" s="109" t="n"/>
      <c r="HL121" s="109" t="n"/>
      <c r="HM121" s="109" t="n"/>
      <c r="HN121" s="109" t="n"/>
      <c r="HO121" s="109" t="n"/>
      <c r="HP121" s="109" t="n"/>
      <c r="HQ121" s="109" t="n"/>
      <c r="HR121" s="109" t="n"/>
      <c r="HS121" s="109" t="n"/>
      <c r="HT121" s="109" t="n"/>
      <c r="HU121" s="109" t="n"/>
    </row>
    <row r="122" ht="18" customHeight="1">
      <c r="A122" s="7" t="inlineStr">
        <is>
          <t>OBRA - (revisão maio/25)</t>
        </is>
      </c>
      <c r="B122" s="136" t="n"/>
      <c r="C122" s="85" t="n"/>
      <c r="D122" s="87" t="n"/>
      <c r="E122" s="85" t="n"/>
      <c r="F122" s="85" t="n"/>
      <c r="G122" s="85" t="n"/>
      <c r="H122" s="85" t="n"/>
      <c r="I122" s="86" t="n"/>
      <c r="J122" s="526" t="n"/>
      <c r="K122" s="527" t="n"/>
      <c r="L122" s="528" t="n"/>
      <c r="M122" s="529" t="n"/>
      <c r="N122" s="529" t="n"/>
      <c r="O122" s="529" t="n"/>
      <c r="P122" s="529" t="n"/>
      <c r="Q122" s="529" t="n"/>
      <c r="R122" s="529" t="n"/>
      <c r="S122" s="529" t="n"/>
      <c r="T122" s="529" t="n"/>
      <c r="U122" s="529" t="n"/>
      <c r="V122" s="529" t="n"/>
      <c r="W122" s="529" t="n"/>
      <c r="X122" s="529" t="n"/>
      <c r="Y122" s="529" t="n"/>
      <c r="Z122" s="529" t="n"/>
      <c r="AA122" s="529" t="n"/>
      <c r="AB122" s="529" t="n"/>
      <c r="AC122" s="529" t="n"/>
      <c r="AD122" s="529" t="n"/>
      <c r="AE122" s="529" t="n"/>
      <c r="AF122" s="529" t="n"/>
      <c r="AG122" s="529" t="n"/>
      <c r="AH122" s="13" t="n"/>
      <c r="AI122" s="345" t="n"/>
      <c r="AJ122" s="13" t="n"/>
      <c r="AK122" s="87" t="n"/>
      <c r="AL122" s="87" t="n"/>
      <c r="AM122" s="87" t="n"/>
      <c r="AN122" s="87" t="n"/>
      <c r="AO122" s="87" t="n"/>
      <c r="AP122" s="87" t="n"/>
      <c r="AQ122" s="87" t="n"/>
      <c r="AR122" s="87" t="n"/>
      <c r="AS122" s="87" t="n"/>
      <c r="AT122" s="87" t="n"/>
      <c r="AU122" s="87" t="n"/>
      <c r="AV122" s="87" t="n"/>
      <c r="AW122" s="87" t="n"/>
      <c r="AX122" s="87" t="n"/>
      <c r="AY122" s="87" t="n"/>
      <c r="AZ122" s="87" t="n"/>
      <c r="BA122" s="87" t="n"/>
      <c r="BB122" s="87" t="n"/>
      <c r="BC122" s="87" t="n"/>
      <c r="BD122" s="87" t="n"/>
      <c r="BE122" s="87" t="n"/>
      <c r="BF122" s="87" t="n"/>
      <c r="BG122" s="87" t="n"/>
      <c r="BH122" s="87" t="n"/>
      <c r="BI122" s="87" t="n"/>
      <c r="BJ122" s="87" t="n"/>
      <c r="BK122" s="87" t="n"/>
      <c r="BL122" s="87" t="n"/>
      <c r="BM122" s="87" t="n"/>
      <c r="BN122" s="87" t="n"/>
      <c r="BO122" s="87" t="n"/>
      <c r="BP122" s="87" t="n"/>
      <c r="BQ122" s="87" t="n"/>
      <c r="BR122" s="87" t="n"/>
      <c r="BS122" s="87" t="n"/>
      <c r="BT122" s="87" t="n"/>
      <c r="BU122" s="87" t="n"/>
      <c r="BV122" s="87" t="n"/>
      <c r="BW122" s="87" t="n"/>
      <c r="BX122" s="87" t="n"/>
      <c r="BY122" s="87" t="n"/>
      <c r="BZ122" s="87" t="n"/>
      <c r="CA122" s="87" t="n"/>
      <c r="CB122" s="87" t="n"/>
      <c r="CC122" s="87" t="n"/>
      <c r="CD122" s="87" t="n"/>
      <c r="CE122" s="87" t="n"/>
      <c r="CF122" s="87" t="n"/>
      <c r="CG122" s="87" t="n"/>
      <c r="CH122" s="87" t="n"/>
      <c r="CI122" s="87" t="n"/>
      <c r="CJ122" s="87" t="n"/>
      <c r="CK122" s="87" t="n"/>
      <c r="CL122" s="87" t="n"/>
      <c r="CM122" s="87" t="n"/>
      <c r="CN122" s="87" t="n"/>
      <c r="CO122" s="87" t="n"/>
      <c r="CP122" s="87" t="n"/>
      <c r="CQ122" s="87" t="n"/>
      <c r="CR122" s="87" t="n"/>
      <c r="CS122" s="87" t="n"/>
      <c r="CT122" s="87" t="n"/>
      <c r="CU122" s="87" t="n"/>
      <c r="CV122" s="87" t="n"/>
      <c r="CW122" s="87" t="n"/>
      <c r="CX122" s="87" t="n"/>
      <c r="CY122" s="87" t="n"/>
      <c r="CZ122" s="87" t="n"/>
      <c r="DA122" s="87" t="n"/>
      <c r="DB122" s="87" t="n"/>
      <c r="DC122" s="87" t="n"/>
      <c r="DD122" s="87" t="n"/>
      <c r="DE122" s="87" t="n"/>
      <c r="DF122" s="87" t="n"/>
      <c r="DG122" s="87" t="n"/>
      <c r="DH122" s="87" t="n"/>
      <c r="DI122" s="87" t="n"/>
      <c r="DJ122" s="87" t="n"/>
      <c r="DK122" s="87" t="n"/>
      <c r="DL122" s="87" t="n"/>
      <c r="DM122" s="87" t="n"/>
      <c r="DN122" s="87" t="n"/>
      <c r="DO122" s="87" t="n"/>
      <c r="DP122" s="87" t="n"/>
      <c r="DQ122" s="87" t="n"/>
      <c r="DR122" s="87" t="n"/>
      <c r="DS122" s="87" t="n"/>
      <c r="DT122" s="87" t="n"/>
      <c r="DU122" s="87" t="n"/>
      <c r="DV122" s="87" t="n"/>
      <c r="DW122" s="87" t="n"/>
      <c r="DX122" s="87" t="n"/>
      <c r="DY122" s="87" t="n"/>
      <c r="DZ122" s="87" t="n"/>
      <c r="EA122" s="87" t="n"/>
      <c r="EB122" s="87" t="n"/>
      <c r="EC122" s="87" t="n"/>
      <c r="ED122" s="87" t="n"/>
      <c r="EE122" s="87" t="n"/>
      <c r="EF122" s="87" t="n"/>
      <c r="EG122" s="87" t="n"/>
      <c r="EH122" s="87" t="n"/>
      <c r="EI122" s="87" t="n"/>
      <c r="EJ122" s="87" t="n"/>
      <c r="EK122" s="87" t="n"/>
      <c r="EL122" s="87" t="n"/>
      <c r="EM122" s="87" t="n"/>
      <c r="EN122" s="87" t="n"/>
      <c r="EO122" s="87" t="n"/>
      <c r="EP122" s="87" t="n"/>
      <c r="EQ122" s="87" t="n"/>
      <c r="ER122" s="87" t="n"/>
      <c r="ES122" s="87" t="n"/>
      <c r="ET122" s="87" t="n"/>
      <c r="EU122" s="87" t="n"/>
      <c r="EV122" s="87" t="n"/>
      <c r="EW122" s="87" t="n"/>
      <c r="EX122" s="87" t="n"/>
      <c r="EY122" s="87" t="n"/>
      <c r="EZ122" s="87" t="n"/>
      <c r="FA122" s="87" t="n"/>
      <c r="FB122" s="87" t="n"/>
      <c r="FC122" s="87" t="n"/>
      <c r="FD122" s="87" t="n"/>
      <c r="FE122" s="87" t="n"/>
      <c r="FF122" s="87" t="n"/>
      <c r="FG122" s="87" t="n"/>
      <c r="FH122" s="87" t="n"/>
      <c r="FI122" s="87" t="n"/>
      <c r="FJ122" s="87" t="n"/>
      <c r="FK122" s="87" t="n"/>
      <c r="FL122" s="87" t="n"/>
      <c r="FM122" s="87" t="n"/>
      <c r="FN122" s="87" t="n"/>
      <c r="FO122" s="87" t="n"/>
      <c r="FP122" s="87" t="n"/>
      <c r="FQ122" s="87" t="n"/>
      <c r="FR122" s="87" t="n"/>
      <c r="FS122" s="87" t="n"/>
      <c r="FT122" s="87" t="n"/>
      <c r="FU122" s="87" t="n"/>
      <c r="FV122" s="87" t="n"/>
      <c r="FW122" s="87" t="n"/>
      <c r="FX122" s="87" t="n"/>
      <c r="FY122" s="87" t="n"/>
      <c r="FZ122" s="87" t="n"/>
      <c r="GA122" s="87" t="n"/>
      <c r="GB122" s="87" t="n"/>
      <c r="GC122" s="87" t="n"/>
      <c r="GD122" s="87" t="n"/>
      <c r="GE122" s="87" t="n"/>
      <c r="GF122" s="87" t="n"/>
      <c r="GG122" s="87" t="n"/>
      <c r="GH122" s="87" t="n"/>
      <c r="GI122" s="87" t="n"/>
      <c r="GJ122" s="87" t="n"/>
      <c r="GK122" s="87" t="n"/>
      <c r="GL122" s="87" t="n"/>
      <c r="GM122" s="87" t="n"/>
      <c r="GN122" s="87" t="n"/>
      <c r="GO122" s="87" t="n"/>
      <c r="GP122" s="87" t="n"/>
      <c r="GQ122" s="87" t="n"/>
      <c r="GR122" s="87" t="n"/>
      <c r="GS122" s="87" t="n"/>
      <c r="GT122" s="87" t="n"/>
      <c r="GU122" s="87" t="n"/>
      <c r="GV122" s="87" t="n"/>
      <c r="GW122" s="87" t="n"/>
      <c r="GX122" s="87" t="n"/>
      <c r="GY122" s="87" t="n"/>
      <c r="GZ122" s="87" t="n"/>
      <c r="HA122" s="87" t="n"/>
      <c r="HB122" s="87" t="n"/>
      <c r="HC122" s="87" t="n"/>
      <c r="HD122" s="87" t="n"/>
      <c r="HE122" s="87" t="n"/>
      <c r="HF122" s="87" t="n"/>
      <c r="HG122" s="87" t="n"/>
      <c r="HH122" s="87" t="n"/>
      <c r="HI122" s="87" t="n"/>
      <c r="HJ122" s="87" t="n"/>
      <c r="HK122" s="87" t="n"/>
      <c r="HL122" s="87" t="n"/>
      <c r="HM122" s="87" t="n"/>
      <c r="HN122" s="87" t="n"/>
      <c r="HO122" s="87" t="n"/>
      <c r="HP122" s="87" t="n"/>
      <c r="HQ122" s="87" t="n"/>
      <c r="HR122" s="87" t="n"/>
      <c r="HS122" s="87" t="n"/>
      <c r="HT122" s="87" t="n"/>
      <c r="HU122" s="87" t="n"/>
    </row>
    <row r="123" ht="16.2" customHeight="1">
      <c r="A123" s="1" t="inlineStr">
        <is>
          <t>CONTRAPARTIDA SAAE</t>
        </is>
      </c>
      <c r="B123" s="136" t="n"/>
      <c r="C123" s="53" t="n"/>
      <c r="D123" s="53" t="n"/>
      <c r="E123" s="53" t="n"/>
      <c r="F123" s="53" t="n"/>
      <c r="G123" s="53" t="n"/>
      <c r="H123" s="53" t="n"/>
      <c r="I123" s="53" t="n"/>
      <c r="J123" s="530" t="n"/>
      <c r="K123" s="531" t="n"/>
      <c r="L123" s="531" t="n"/>
      <c r="M123" s="532" t="n"/>
      <c r="N123" s="532" t="n"/>
      <c r="O123" s="532" t="n"/>
      <c r="P123" s="532" t="n"/>
      <c r="Q123" s="532" t="n"/>
      <c r="R123" s="532" t="n"/>
      <c r="S123" s="532" t="n"/>
      <c r="T123" s="532" t="n"/>
      <c r="U123" s="532" t="n"/>
      <c r="V123" s="532" t="n"/>
      <c r="W123" s="532" t="n"/>
      <c r="X123" s="532" t="n"/>
      <c r="Y123" s="532" t="n"/>
      <c r="Z123" s="532" t="n"/>
      <c r="AA123" s="532" t="n"/>
      <c r="AB123" s="532" t="n"/>
      <c r="AC123" s="532" t="n"/>
      <c r="AD123" s="532" t="n"/>
      <c r="AE123" s="532" t="n"/>
      <c r="AF123" s="532" t="n"/>
      <c r="AG123" s="532" t="n"/>
      <c r="AH123" s="13" t="n"/>
      <c r="AI123" s="345" t="n"/>
      <c r="AJ123" s="13" t="n"/>
      <c r="AK123" s="87" t="n"/>
      <c r="AL123" s="87" t="n"/>
      <c r="AM123" s="87" t="n"/>
      <c r="AN123" s="87" t="n"/>
      <c r="AO123" s="87" t="n"/>
      <c r="AP123" s="87" t="n"/>
      <c r="AQ123" s="87" t="n"/>
      <c r="AR123" s="87" t="n"/>
      <c r="AS123" s="87" t="n"/>
      <c r="AT123" s="87" t="n"/>
      <c r="AU123" s="87" t="n"/>
      <c r="AV123" s="87" t="n"/>
      <c r="AW123" s="87" t="n"/>
      <c r="AX123" s="87" t="n"/>
      <c r="AY123" s="87" t="n"/>
      <c r="AZ123" s="87" t="n"/>
      <c r="BA123" s="87" t="n"/>
      <c r="BB123" s="87" t="n"/>
      <c r="BC123" s="87" t="n"/>
      <c r="BD123" s="87" t="n"/>
      <c r="BE123" s="87" t="n"/>
      <c r="BF123" s="87" t="n"/>
      <c r="BG123" s="87" t="n"/>
      <c r="BH123" s="87" t="n"/>
      <c r="BI123" s="87" t="n"/>
      <c r="BJ123" s="87" t="n"/>
      <c r="BK123" s="87" t="n"/>
      <c r="BL123" s="87" t="n"/>
      <c r="BM123" s="87" t="n"/>
      <c r="BN123" s="87" t="n"/>
      <c r="BO123" s="87" t="n"/>
      <c r="BP123" s="87" t="n"/>
      <c r="BQ123" s="87" t="n"/>
      <c r="BR123" s="87" t="n"/>
      <c r="BS123" s="87" t="n"/>
      <c r="BT123" s="87" t="n"/>
      <c r="BU123" s="87" t="n"/>
      <c r="BV123" s="87" t="n"/>
      <c r="BW123" s="87" t="n"/>
      <c r="BX123" s="87" t="n"/>
      <c r="BY123" s="87" t="n"/>
      <c r="BZ123" s="87" t="n"/>
      <c r="CA123" s="87" t="n"/>
      <c r="CB123" s="87" t="n"/>
      <c r="CC123" s="87" t="n"/>
      <c r="CD123" s="87" t="n"/>
      <c r="CE123" s="87" t="n"/>
      <c r="CF123" s="87" t="n"/>
      <c r="CG123" s="87" t="n"/>
      <c r="CH123" s="87" t="n"/>
      <c r="CI123" s="87" t="n"/>
      <c r="CJ123" s="87" t="n"/>
      <c r="CK123" s="87" t="n"/>
      <c r="CL123" s="87" t="n"/>
      <c r="CM123" s="87" t="n"/>
      <c r="CN123" s="87" t="n"/>
      <c r="CO123" s="87" t="n"/>
      <c r="CP123" s="87" t="n"/>
      <c r="CQ123" s="87" t="n"/>
      <c r="CR123" s="87" t="n"/>
      <c r="CS123" s="87" t="n"/>
      <c r="CT123" s="87" t="n"/>
      <c r="CU123" s="87" t="n"/>
      <c r="CV123" s="87" t="n"/>
      <c r="CW123" s="87" t="n"/>
      <c r="CX123" s="87" t="n"/>
      <c r="CY123" s="87" t="n"/>
      <c r="CZ123" s="87" t="n"/>
      <c r="DA123" s="87" t="n"/>
      <c r="DB123" s="87" t="n"/>
      <c r="DC123" s="87" t="n"/>
      <c r="DD123" s="87" t="n"/>
      <c r="DE123" s="87" t="n"/>
      <c r="DF123" s="87" t="n"/>
      <c r="DG123" s="87" t="n"/>
      <c r="DH123" s="87" t="n"/>
      <c r="DI123" s="87" t="n"/>
      <c r="DJ123" s="87" t="n"/>
      <c r="DK123" s="87" t="n"/>
      <c r="DL123" s="87" t="n"/>
      <c r="DM123" s="87" t="n"/>
      <c r="DN123" s="87" t="n"/>
      <c r="DO123" s="87" t="n"/>
      <c r="DP123" s="87" t="n"/>
      <c r="DQ123" s="87" t="n"/>
      <c r="DR123" s="87" t="n"/>
      <c r="DS123" s="87" t="n"/>
      <c r="DT123" s="87" t="n"/>
      <c r="DU123" s="87" t="n"/>
      <c r="DV123" s="87" t="n"/>
      <c r="DW123" s="87" t="n"/>
      <c r="DX123" s="87" t="n"/>
      <c r="DY123" s="87" t="n"/>
      <c r="DZ123" s="87" t="n"/>
      <c r="EA123" s="87" t="n"/>
      <c r="EB123" s="87" t="n"/>
      <c r="EC123" s="87" t="n"/>
      <c r="ED123" s="87" t="n"/>
      <c r="EE123" s="87" t="n"/>
      <c r="EF123" s="87" t="n"/>
      <c r="EG123" s="87" t="n"/>
      <c r="EH123" s="87" t="n"/>
      <c r="EI123" s="87" t="n"/>
      <c r="EJ123" s="87" t="n"/>
      <c r="EK123" s="87" t="n"/>
      <c r="EL123" s="87" t="n"/>
      <c r="EM123" s="87" t="n"/>
      <c r="EN123" s="87" t="n"/>
      <c r="EO123" s="87" t="n"/>
      <c r="EP123" s="87" t="n"/>
      <c r="EQ123" s="87" t="n"/>
      <c r="ER123" s="87" t="n"/>
      <c r="ES123" s="87" t="n"/>
      <c r="ET123" s="87" t="n"/>
      <c r="EU123" s="87" t="n"/>
      <c r="EV123" s="87" t="n"/>
      <c r="EW123" s="87" t="n"/>
      <c r="EX123" s="87" t="n"/>
      <c r="EY123" s="87" t="n"/>
      <c r="EZ123" s="87" t="n"/>
      <c r="FA123" s="87" t="n"/>
      <c r="FB123" s="87" t="n"/>
      <c r="FC123" s="87" t="n"/>
      <c r="FD123" s="87" t="n"/>
      <c r="FE123" s="87" t="n"/>
      <c r="FF123" s="87" t="n"/>
      <c r="FG123" s="87" t="n"/>
      <c r="FH123" s="87" t="n"/>
      <c r="FI123" s="87" t="n"/>
      <c r="FJ123" s="87" t="n"/>
      <c r="FK123" s="87" t="n"/>
      <c r="FL123" s="87" t="n"/>
      <c r="FM123" s="87" t="n"/>
      <c r="FN123" s="87" t="n"/>
      <c r="FO123" s="87" t="n"/>
      <c r="FP123" s="87" t="n"/>
      <c r="FQ123" s="87" t="n"/>
      <c r="FR123" s="87" t="n"/>
      <c r="FS123" s="87" t="n"/>
      <c r="FT123" s="87" t="n"/>
      <c r="FU123" s="87" t="n"/>
      <c r="FV123" s="87" t="n"/>
      <c r="FW123" s="87" t="n"/>
      <c r="FX123" s="87" t="n"/>
      <c r="FY123" s="87" t="n"/>
      <c r="FZ123" s="87" t="n"/>
      <c r="GA123" s="87" t="n"/>
      <c r="GB123" s="87" t="n"/>
      <c r="GC123" s="87" t="n"/>
      <c r="GD123" s="87" t="n"/>
      <c r="GE123" s="87" t="n"/>
      <c r="GF123" s="87" t="n"/>
      <c r="GG123" s="87" t="n"/>
      <c r="GH123" s="87" t="n"/>
      <c r="GI123" s="87" t="n"/>
      <c r="GJ123" s="87" t="n"/>
      <c r="GK123" s="87" t="n"/>
      <c r="GL123" s="87" t="n"/>
      <c r="GM123" s="87" t="n"/>
      <c r="GN123" s="87" t="n"/>
      <c r="GO123" s="87" t="n"/>
      <c r="GP123" s="87" t="n"/>
      <c r="GQ123" s="87" t="n"/>
      <c r="GR123" s="87" t="n"/>
      <c r="GS123" s="87" t="n"/>
      <c r="GT123" s="87" t="n"/>
      <c r="GU123" s="87" t="n"/>
      <c r="GV123" s="87" t="n"/>
      <c r="GW123" s="87" t="n"/>
      <c r="GX123" s="87" t="n"/>
      <c r="GY123" s="87" t="n"/>
      <c r="GZ123" s="87" t="n"/>
      <c r="HA123" s="87" t="n"/>
      <c r="HB123" s="87" t="n"/>
      <c r="HC123" s="87" t="n"/>
      <c r="HD123" s="87" t="n"/>
      <c r="HE123" s="87" t="n"/>
      <c r="HF123" s="87" t="n"/>
      <c r="HG123" s="87" t="n"/>
      <c r="HH123" s="87" t="n"/>
      <c r="HI123" s="87" t="n"/>
      <c r="HJ123" s="87" t="n"/>
      <c r="HK123" s="87" t="n"/>
      <c r="HL123" s="87" t="n"/>
      <c r="HM123" s="87" t="n"/>
      <c r="HN123" s="87" t="n"/>
      <c r="HO123" s="87" t="n"/>
      <c r="HP123" s="87" t="n"/>
      <c r="HQ123" s="87" t="n"/>
      <c r="HR123" s="87" t="n"/>
      <c r="HS123" s="87" t="n"/>
      <c r="HT123" s="87" t="n"/>
      <c r="HU123" s="87" t="n"/>
    </row>
    <row r="124" ht="6.75" customHeight="1">
      <c r="A124" s="1" t="n"/>
      <c r="B124" s="128" t="n"/>
      <c r="C124" s="512" t="n"/>
      <c r="D124" s="512" t="n"/>
      <c r="E124" s="512" t="n"/>
      <c r="F124" s="512" t="n"/>
      <c r="G124" s="512" t="n"/>
      <c r="H124" s="512" t="n"/>
      <c r="I124" s="512" t="n"/>
      <c r="J124" s="513" t="n"/>
      <c r="K124" s="512" t="n"/>
      <c r="L124" s="512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514" t="n"/>
      <c r="AA124" s="514" t="n"/>
      <c r="AB124" s="514" t="n"/>
      <c r="AC124" s="514" t="n"/>
      <c r="AD124" s="514" t="n"/>
      <c r="AE124" s="514" t="n"/>
      <c r="AF124" s="514" t="n"/>
      <c r="AG124" s="514" t="n"/>
      <c r="AH124" s="512" t="n"/>
      <c r="AI124" s="533" t="n"/>
      <c r="AJ124" s="512" t="n"/>
      <c r="AK124" s="512" t="n"/>
      <c r="AL124" s="512" t="n"/>
      <c r="AM124" s="512" t="n"/>
      <c r="AN124" s="512" t="n"/>
      <c r="AO124" s="512" t="n"/>
      <c r="AP124" s="512" t="n"/>
      <c r="AQ124" s="512" t="n"/>
      <c r="AR124" s="512" t="n"/>
      <c r="AS124" s="512" t="n"/>
      <c r="AT124" s="512" t="n"/>
      <c r="AU124" s="512" t="n"/>
      <c r="AV124" s="512" t="n"/>
      <c r="AW124" s="512" t="n"/>
      <c r="AX124" s="512" t="n"/>
      <c r="AY124" s="512" t="n"/>
      <c r="AZ124" s="512" t="n"/>
      <c r="BA124" s="512" t="n"/>
      <c r="BB124" s="512" t="n"/>
      <c r="BC124" s="512" t="n"/>
      <c r="BD124" s="515" t="n"/>
      <c r="BE124" s="512" t="n"/>
      <c r="BF124" s="512" t="n"/>
      <c r="BG124" s="512" t="n"/>
      <c r="BH124" s="512" t="n"/>
      <c r="BI124" s="512" t="n"/>
      <c r="BJ124" s="512" t="n"/>
      <c r="BK124" s="512" t="n"/>
      <c r="BL124" s="512" t="n"/>
      <c r="BM124" s="512" t="n"/>
      <c r="BN124" s="512" t="n"/>
      <c r="BO124" s="512" t="n"/>
      <c r="BP124" s="515" t="n"/>
      <c r="BQ124" s="512" t="n"/>
      <c r="BR124" s="512" t="n"/>
      <c r="BS124" s="512" t="n"/>
      <c r="BT124" s="512" t="n"/>
      <c r="BU124" s="512" t="n"/>
      <c r="BV124" s="512" t="n"/>
      <c r="BW124" s="512" t="n"/>
      <c r="BX124" s="512" t="n"/>
      <c r="BY124" s="512" t="n"/>
      <c r="BZ124" s="512" t="n"/>
      <c r="CA124" s="512" t="n"/>
      <c r="CB124" s="515" t="n"/>
      <c r="CC124" s="512" t="n"/>
      <c r="CD124" s="512" t="n"/>
      <c r="CE124" s="512" t="n"/>
      <c r="CF124" s="512" t="n"/>
      <c r="CG124" s="512" t="n"/>
      <c r="CH124" s="512" t="n"/>
      <c r="CI124" s="512" t="n"/>
      <c r="CJ124" s="512" t="n"/>
      <c r="CK124" s="512" t="n"/>
      <c r="CL124" s="512" t="n"/>
      <c r="CM124" s="512" t="n"/>
      <c r="CN124" s="515" t="n"/>
      <c r="CO124" s="512" t="n"/>
      <c r="CP124" s="512" t="n"/>
      <c r="CQ124" s="512" t="n"/>
      <c r="CR124" s="512" t="n"/>
      <c r="CS124" s="512" t="n"/>
      <c r="CT124" s="512" t="n"/>
      <c r="CU124" s="512" t="n"/>
      <c r="CV124" s="512" t="n"/>
      <c r="CW124" s="512" t="n"/>
      <c r="CX124" s="512" t="n"/>
      <c r="CY124" s="512" t="n"/>
      <c r="CZ124" s="515" t="n"/>
      <c r="DA124" s="512" t="n"/>
      <c r="DB124" s="512" t="n"/>
      <c r="DC124" s="512" t="n"/>
      <c r="DD124" s="512" t="n"/>
      <c r="DE124" s="512" t="n"/>
      <c r="DF124" s="512" t="n"/>
      <c r="DG124" s="512" t="n"/>
      <c r="DH124" s="512" t="n"/>
      <c r="DI124" s="512" t="n"/>
      <c r="DJ124" s="512" t="n"/>
      <c r="DK124" s="512" t="n"/>
      <c r="DL124" s="512" t="n"/>
      <c r="DM124" s="512" t="n"/>
      <c r="DN124" s="512" t="n"/>
      <c r="DO124" s="512" t="n"/>
      <c r="DP124" s="512" t="n"/>
      <c r="DQ124" s="512" t="n"/>
      <c r="DR124" s="512" t="n"/>
      <c r="DS124" s="512" t="n"/>
      <c r="DT124" s="512" t="n"/>
      <c r="DU124" s="512" t="n"/>
      <c r="DV124" s="512" t="n"/>
      <c r="DW124" s="512" t="n"/>
      <c r="DX124" s="512" t="n"/>
      <c r="DY124" s="512" t="n"/>
      <c r="DZ124" s="512" t="n"/>
      <c r="EA124" s="512" t="n"/>
      <c r="EB124" s="512" t="n"/>
      <c r="EC124" s="512" t="n"/>
      <c r="ED124" s="512" t="n"/>
      <c r="EE124" s="512" t="n"/>
      <c r="EF124" s="512" t="n"/>
      <c r="EG124" s="512" t="n"/>
      <c r="EH124" s="512" t="n"/>
      <c r="EI124" s="512" t="n"/>
      <c r="EJ124" s="512" t="n"/>
      <c r="EK124" s="512" t="n"/>
      <c r="EL124" s="512" t="n"/>
      <c r="EM124" s="512" t="n"/>
      <c r="EN124" s="512" t="n"/>
      <c r="EO124" s="512" t="n"/>
      <c r="EP124" s="512" t="n"/>
      <c r="EQ124" s="512" t="n"/>
      <c r="ER124" s="512" t="n"/>
      <c r="ES124" s="512" t="n"/>
      <c r="ET124" s="512" t="n"/>
      <c r="EU124" s="512" t="n"/>
      <c r="EV124" s="512" t="n"/>
      <c r="EW124" s="512" t="n"/>
      <c r="EX124" s="512" t="n"/>
      <c r="EY124" s="512" t="n"/>
      <c r="EZ124" s="512" t="n"/>
      <c r="FA124" s="512" t="n"/>
      <c r="FB124" s="512" t="n"/>
      <c r="FC124" s="512" t="n"/>
      <c r="FD124" s="512" t="n"/>
      <c r="FE124" s="512" t="n"/>
      <c r="FF124" s="512" t="n"/>
      <c r="FG124" s="512" t="n"/>
      <c r="FH124" s="512" t="n"/>
      <c r="FI124" s="512" t="n"/>
      <c r="FJ124" s="512" t="n"/>
      <c r="FK124" s="512" t="n"/>
      <c r="FL124" s="512" t="n"/>
      <c r="FM124" s="512" t="n"/>
      <c r="FN124" s="512" t="n"/>
      <c r="FO124" s="512" t="n"/>
      <c r="FP124" s="512" t="n"/>
      <c r="FQ124" s="512" t="n"/>
      <c r="FR124" s="512" t="n"/>
      <c r="FS124" s="512" t="n"/>
      <c r="FT124" s="512" t="n"/>
      <c r="FU124" s="512" t="n"/>
      <c r="FV124" s="512" t="n"/>
      <c r="FW124" s="512" t="n"/>
      <c r="FX124" s="512" t="n"/>
      <c r="FY124" s="512" t="n"/>
      <c r="FZ124" s="512" t="n"/>
      <c r="GA124" s="512" t="n"/>
      <c r="GB124" s="512" t="n"/>
      <c r="GC124" s="512" t="n"/>
      <c r="GD124" s="512" t="n"/>
      <c r="GE124" s="512" t="n"/>
      <c r="GF124" s="512" t="n"/>
      <c r="GG124" s="512" t="n"/>
      <c r="GH124" s="512" t="n"/>
      <c r="GI124" s="512" t="n"/>
      <c r="GJ124" s="512" t="n"/>
      <c r="GK124" s="512" t="n"/>
      <c r="GL124" s="512" t="n"/>
      <c r="GM124" s="512" t="n"/>
      <c r="GN124" s="512" t="n"/>
      <c r="GO124" s="512" t="n"/>
      <c r="GP124" s="512" t="n"/>
      <c r="GQ124" s="512" t="n"/>
      <c r="GR124" s="512" t="n"/>
      <c r="GS124" s="512" t="n"/>
      <c r="GT124" s="512" t="n"/>
      <c r="GU124" s="512" t="n"/>
      <c r="GV124" s="512" t="n"/>
      <c r="GW124" s="512" t="n"/>
      <c r="GX124" s="512" t="n"/>
      <c r="GY124" s="512" t="n"/>
      <c r="GZ124" s="512" t="n"/>
      <c r="HA124" s="512" t="n"/>
      <c r="HB124" s="512" t="n"/>
      <c r="HC124" s="512" t="n"/>
      <c r="HD124" s="512" t="n"/>
      <c r="HE124" s="512" t="n"/>
      <c r="HF124" s="512" t="n"/>
      <c r="HG124" s="512" t="n"/>
      <c r="HH124" s="512" t="n"/>
      <c r="HI124" s="512" t="n"/>
      <c r="HJ124" s="512" t="n"/>
      <c r="HK124" s="512" t="n"/>
      <c r="HL124" s="512" t="n"/>
      <c r="HM124" s="512" t="n"/>
      <c r="HN124" s="512" t="n"/>
      <c r="HO124" s="512" t="n"/>
      <c r="HP124" s="512" t="n"/>
      <c r="HQ124" s="512" t="n"/>
      <c r="HR124" s="512" t="n"/>
      <c r="HS124" s="512" t="n"/>
      <c r="HT124" s="512" t="n"/>
      <c r="HU124" s="512" t="n"/>
    </row>
    <row r="125" ht="16.2" customHeight="1">
      <c r="A125" s="19" t="inlineStr">
        <is>
          <t>INCORPORAÇÃO (-)</t>
        </is>
      </c>
      <c r="B125" s="139" t="n"/>
      <c r="C125" s="20" t="n"/>
      <c r="D125" s="22" t="n"/>
      <c r="E125" s="20" t="n"/>
      <c r="F125" s="20" t="n"/>
      <c r="G125" s="20" t="n"/>
      <c r="H125" s="20" t="n"/>
      <c r="I125" s="21" t="n"/>
      <c r="J125" s="175" t="n"/>
      <c r="K125" s="21" t="n"/>
      <c r="L125" s="108" t="n"/>
      <c r="M125" s="220" t="n"/>
      <c r="N125" s="220" t="n"/>
      <c r="O125" s="220" t="n"/>
      <c r="P125" s="220" t="n"/>
      <c r="Q125" s="220" t="n"/>
      <c r="R125" s="220" t="n"/>
      <c r="S125" s="220" t="n"/>
      <c r="T125" s="220" t="n"/>
      <c r="U125" s="220" t="n"/>
      <c r="V125" s="220" t="n"/>
      <c r="W125" s="220" t="n"/>
      <c r="X125" s="220" t="n"/>
      <c r="Y125" s="220" t="n"/>
      <c r="Z125" s="220" t="n"/>
      <c r="AA125" s="220" t="n"/>
      <c r="AB125" s="220" t="n"/>
      <c r="AC125" s="220" t="n"/>
      <c r="AD125" s="220" t="n"/>
      <c r="AE125" s="220" t="n"/>
      <c r="AF125" s="220" t="n"/>
      <c r="AG125" s="220" t="n"/>
      <c r="AH125" s="200" t="n"/>
      <c r="AI125" s="241" t="n"/>
      <c r="AJ125" s="200" t="n"/>
      <c r="AK125" s="20" t="n"/>
      <c r="AL125" s="20" t="n"/>
      <c r="AM125" s="20" t="n"/>
      <c r="AN125" s="20" t="n"/>
      <c r="AO125" s="20" t="n"/>
      <c r="AP125" s="20" t="n"/>
      <c r="AQ125" s="21" t="n"/>
      <c r="AR125" s="21" t="n"/>
      <c r="AS125" s="20" t="n"/>
      <c r="AT125" s="20" t="n"/>
      <c r="AU125" s="20" t="n"/>
      <c r="AV125" s="20" t="n"/>
      <c r="AW125" s="20" t="n"/>
      <c r="AX125" s="20" t="n"/>
      <c r="AY125" s="20" t="n"/>
      <c r="AZ125" s="20" t="n"/>
      <c r="BA125" s="20" t="n"/>
      <c r="BB125" s="20" t="n"/>
      <c r="BC125" s="20" t="n"/>
      <c r="BD125" s="299" t="n"/>
      <c r="BE125" s="22" t="n"/>
      <c r="BF125" s="20" t="n"/>
      <c r="BG125" s="20" t="n"/>
      <c r="BH125" s="20" t="n"/>
      <c r="BI125" s="20" t="n"/>
      <c r="BJ125" s="20" t="n"/>
      <c r="BK125" s="20" t="n"/>
      <c r="BL125" s="20" t="n"/>
      <c r="BM125" s="20" t="n"/>
      <c r="BN125" s="20" t="n"/>
      <c r="BO125" s="20" t="n"/>
      <c r="BP125" s="299" t="n"/>
      <c r="BQ125" s="22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99" t="n"/>
      <c r="CC125" s="22" t="n"/>
      <c r="CD125" s="20" t="n"/>
      <c r="CE125" s="20" t="n"/>
      <c r="CF125" s="20" t="n"/>
      <c r="CG125" s="20" t="n"/>
      <c r="CH125" s="20" t="n"/>
      <c r="CI125" s="20" t="n"/>
      <c r="CJ125" s="20" t="n"/>
      <c r="CK125" s="20" t="n"/>
      <c r="CL125" s="20" t="n"/>
      <c r="CM125" s="20" t="n"/>
      <c r="CN125" s="299" t="n"/>
      <c r="CO125" s="22" t="n"/>
      <c r="CP125" s="20" t="n"/>
      <c r="CQ125" s="20" t="n"/>
      <c r="CR125" s="20" t="n"/>
      <c r="CS125" s="20" t="n"/>
      <c r="CT125" s="20" t="n"/>
      <c r="CU125" s="20" t="n"/>
      <c r="CV125" s="20" t="n"/>
      <c r="CW125" s="20" t="n"/>
      <c r="CX125" s="20" t="n"/>
      <c r="CY125" s="20" t="n"/>
      <c r="CZ125" s="299" t="n"/>
      <c r="DA125" s="22" t="n"/>
      <c r="DB125" s="20" t="n"/>
      <c r="DC125" s="20" t="n"/>
      <c r="DD125" s="20" t="n"/>
      <c r="DE125" s="20" t="n"/>
      <c r="DF125" s="20" t="n"/>
      <c r="DG125" s="20" t="n"/>
      <c r="DH125" s="20" t="n"/>
      <c r="DI125" s="20" t="n"/>
      <c r="DJ125" s="21" t="n"/>
      <c r="DK125" s="20" t="n"/>
      <c r="DL125" s="21" t="n"/>
      <c r="DM125" s="20" t="n"/>
      <c r="DN125" s="21" t="n"/>
      <c r="DO125" s="21" t="n"/>
      <c r="DP125" s="21" t="n"/>
      <c r="DQ125" s="21" t="n"/>
      <c r="DR125" s="21" t="n"/>
      <c r="DS125" s="21" t="n"/>
      <c r="DT125" s="21" t="n"/>
      <c r="DU125" s="21" t="n"/>
      <c r="DV125" s="21" t="n"/>
      <c r="DW125" s="21" t="n"/>
      <c r="DX125" s="21" t="n"/>
      <c r="DY125" s="21" t="n"/>
      <c r="DZ125" s="21" t="n"/>
      <c r="EA125" s="21" t="n"/>
      <c r="EB125" s="21" t="n"/>
      <c r="EC125" s="21" t="n"/>
      <c r="ED125" s="21" t="n"/>
      <c r="EE125" s="21" t="n"/>
      <c r="EF125" s="21" t="n"/>
      <c r="EG125" s="21" t="n"/>
      <c r="EH125" s="21" t="n"/>
      <c r="EI125" s="21" t="n"/>
      <c r="EJ125" s="21" t="n"/>
      <c r="EK125" s="21" t="n"/>
      <c r="EL125" s="21" t="n"/>
      <c r="EM125" s="21" t="n"/>
      <c r="EN125" s="21" t="n"/>
      <c r="EO125" s="21" t="n"/>
      <c r="EP125" s="21" t="n"/>
      <c r="EQ125" s="21" t="n"/>
      <c r="ER125" s="21" t="n"/>
      <c r="ES125" s="21" t="n"/>
      <c r="ET125" s="21" t="n"/>
      <c r="EU125" s="21" t="n"/>
      <c r="EV125" s="21" t="n"/>
      <c r="EW125" s="21" t="n"/>
      <c r="EX125" s="21" t="n"/>
      <c r="EY125" s="21" t="n"/>
      <c r="EZ125" s="21" t="n"/>
      <c r="FA125" s="21" t="n"/>
      <c r="FB125" s="21" t="n"/>
      <c r="FC125" s="21" t="n"/>
      <c r="FD125" s="21" t="n"/>
      <c r="FE125" s="21" t="n"/>
      <c r="FF125" s="21" t="n"/>
      <c r="FG125" s="21" t="n"/>
      <c r="FH125" s="21" t="n"/>
      <c r="FI125" s="21" t="n"/>
      <c r="FJ125" s="21" t="n"/>
      <c r="FK125" s="21" t="n"/>
      <c r="FL125" s="21" t="n"/>
      <c r="FM125" s="21" t="n"/>
      <c r="FN125" s="21" t="n"/>
      <c r="FO125" s="21" t="n"/>
      <c r="FP125" s="21" t="n"/>
      <c r="FQ125" s="21" t="n"/>
      <c r="FR125" s="21" t="n"/>
      <c r="FS125" s="21" t="n"/>
      <c r="FT125" s="21" t="n"/>
      <c r="FU125" s="21" t="n"/>
      <c r="FV125" s="21" t="n"/>
      <c r="FW125" s="21" t="n"/>
      <c r="FX125" s="21" t="n"/>
      <c r="FY125" s="21" t="n"/>
      <c r="FZ125" s="21" t="n"/>
      <c r="GA125" s="21" t="n"/>
      <c r="GB125" s="21" t="n"/>
      <c r="GC125" s="21" t="n"/>
      <c r="GD125" s="21" t="n"/>
      <c r="GE125" s="21" t="n"/>
      <c r="GF125" s="21" t="n"/>
      <c r="GG125" s="21" t="n"/>
      <c r="GH125" s="21" t="n"/>
      <c r="GI125" s="21" t="n"/>
      <c r="GJ125" s="21" t="n"/>
      <c r="GK125" s="21" t="n"/>
      <c r="GL125" s="21" t="n"/>
      <c r="GM125" s="21" t="n"/>
      <c r="GN125" s="21" t="n"/>
      <c r="GO125" s="21" t="n"/>
      <c r="GP125" s="21" t="n"/>
      <c r="GQ125" s="21" t="n"/>
      <c r="GR125" s="21" t="n"/>
      <c r="GS125" s="21" t="n"/>
      <c r="GT125" s="21" t="n"/>
      <c r="GU125" s="21" t="n"/>
      <c r="GV125" s="21" t="n"/>
      <c r="GW125" s="21" t="n"/>
      <c r="GX125" s="21" t="n"/>
      <c r="GY125" s="21" t="n"/>
      <c r="GZ125" s="21" t="n"/>
      <c r="HA125" s="21" t="n"/>
      <c r="HB125" s="21" t="n"/>
      <c r="HC125" s="21" t="n"/>
      <c r="HD125" s="21" t="n"/>
      <c r="HE125" s="21" t="n"/>
      <c r="HF125" s="21" t="n"/>
      <c r="HG125" s="21" t="n"/>
      <c r="HH125" s="21" t="n"/>
      <c r="HI125" s="21" t="n"/>
      <c r="HJ125" s="21" t="n"/>
      <c r="HK125" s="21" t="n"/>
      <c r="HL125" s="21" t="n"/>
      <c r="HM125" s="21" t="n"/>
      <c r="HN125" s="21" t="n"/>
      <c r="HO125" s="21" t="n"/>
      <c r="HP125" s="21" t="n"/>
      <c r="HQ125" s="21" t="n"/>
      <c r="HR125" s="21" t="n"/>
      <c r="HS125" s="21" t="n"/>
      <c r="HT125" s="21" t="n"/>
      <c r="HU125" s="21" t="n"/>
    </row>
    <row r="126" ht="16.2" customHeight="1">
      <c r="A126" s="7" t="inlineStr">
        <is>
          <t>Incorporação</t>
        </is>
      </c>
      <c r="B126" s="136" t="n"/>
      <c r="C126" s="85" t="n"/>
      <c r="D126" s="87" t="n"/>
      <c r="E126" s="85" t="n"/>
      <c r="F126" s="85" t="n"/>
      <c r="G126" s="85" t="n"/>
      <c r="H126" s="85" t="n"/>
      <c r="I126" s="86" t="n"/>
      <c r="J126" s="170" t="n"/>
      <c r="K126" s="86" t="n"/>
      <c r="L126" s="34" t="n"/>
      <c r="M126" s="159" t="n"/>
      <c r="N126" s="219" t="n"/>
      <c r="O126" s="219" t="n"/>
      <c r="P126" s="219" t="n"/>
      <c r="Q126" s="219" t="n"/>
      <c r="R126" s="219" t="n"/>
      <c r="S126" s="219" t="n"/>
      <c r="T126" s="219" t="n"/>
      <c r="U126" s="219" t="n"/>
      <c r="V126" s="219" t="n"/>
      <c r="W126" s="219" t="n"/>
      <c r="X126" s="219" t="n"/>
      <c r="Y126" s="219" t="n"/>
      <c r="Z126" s="219" t="n"/>
      <c r="AA126" s="219" t="n"/>
      <c r="AB126" s="219" t="n"/>
      <c r="AC126" s="219" t="n"/>
      <c r="AD126" s="219" t="n"/>
      <c r="AE126" s="219" t="n"/>
      <c r="AF126" s="219" t="n"/>
      <c r="AG126" s="219" t="n"/>
      <c r="AH126" s="13" t="n"/>
      <c r="AI126" s="345" t="n"/>
      <c r="AJ126" s="13" t="n"/>
      <c r="AK126" s="87" t="n"/>
      <c r="AL126" s="87" t="n"/>
      <c r="AM126" s="87" t="n"/>
      <c r="AN126" s="87" t="n"/>
      <c r="AO126" s="87" t="n"/>
      <c r="AP126" s="87" t="n"/>
      <c r="AQ126" s="87" t="n"/>
      <c r="AR126" s="87" t="n"/>
      <c r="AS126" s="87" t="n"/>
      <c r="AT126" s="87" t="n"/>
      <c r="AU126" s="87" t="n"/>
      <c r="AV126" s="87" t="n"/>
      <c r="AW126" s="87" t="n"/>
      <c r="AX126" s="87" t="n"/>
      <c r="AY126" s="87" t="n"/>
      <c r="AZ126" s="87" t="n"/>
      <c r="BA126" s="87" t="n"/>
      <c r="BB126" s="87" t="n"/>
      <c r="BC126" s="87" t="n"/>
      <c r="BD126" s="87" t="n"/>
      <c r="BE126" s="87" t="n"/>
      <c r="BF126" s="87" t="n"/>
      <c r="BG126" s="87" t="n"/>
      <c r="BH126" s="87" t="n"/>
      <c r="BI126" s="87" t="n"/>
      <c r="BJ126" s="87" t="n"/>
      <c r="BK126" s="87" t="n"/>
      <c r="BL126" s="87" t="n"/>
      <c r="BM126" s="87" t="n"/>
      <c r="BN126" s="87" t="n"/>
      <c r="BO126" s="87" t="n"/>
      <c r="BP126" s="87" t="n"/>
      <c r="BQ126" s="87" t="n"/>
      <c r="BR126" s="87" t="n"/>
      <c r="BS126" s="87" t="n"/>
      <c r="BT126" s="87" t="n"/>
      <c r="BU126" s="87" t="n"/>
      <c r="BV126" s="87" t="n"/>
      <c r="BW126" s="87" t="n"/>
      <c r="BX126" s="87" t="n"/>
      <c r="BY126" s="87" t="n"/>
      <c r="BZ126" s="87" t="n"/>
      <c r="CA126" s="87" t="n"/>
      <c r="CB126" s="87" t="n"/>
      <c r="CC126" s="87" t="n"/>
      <c r="CD126" s="87" t="n"/>
      <c r="CE126" s="87" t="n"/>
      <c r="CF126" s="87" t="n"/>
      <c r="CG126" s="87" t="n"/>
      <c r="CH126" s="87" t="n"/>
      <c r="CI126" s="87" t="n"/>
      <c r="CJ126" s="87" t="n"/>
      <c r="CK126" s="87" t="n"/>
      <c r="CL126" s="87" t="n"/>
      <c r="CM126" s="87" t="n"/>
      <c r="CN126" s="87" t="n"/>
      <c r="CO126" s="87" t="n"/>
      <c r="CP126" s="87" t="n"/>
      <c r="CQ126" s="87" t="n"/>
      <c r="CR126" s="87" t="n"/>
      <c r="CS126" s="87" t="n"/>
      <c r="CT126" s="87" t="n"/>
      <c r="CU126" s="87" t="n"/>
      <c r="CV126" s="87" t="n"/>
      <c r="CW126" s="87" t="n"/>
      <c r="CX126" s="87" t="n"/>
      <c r="CY126" s="87" t="n"/>
      <c r="CZ126" s="87" t="n"/>
      <c r="DA126" s="87" t="n"/>
      <c r="DB126" s="87" t="n"/>
      <c r="DC126" s="87" t="n"/>
      <c r="DD126" s="87" t="n"/>
      <c r="DE126" s="87" t="n"/>
      <c r="DF126" s="87" t="n"/>
      <c r="DG126" s="87" t="n"/>
      <c r="DH126" s="87" t="n"/>
      <c r="DI126" s="87" t="n"/>
      <c r="DJ126" s="87" t="n"/>
      <c r="DK126" s="87" t="n"/>
      <c r="DL126" s="87" t="n"/>
      <c r="DM126" s="87" t="n"/>
      <c r="DN126" s="87" t="n"/>
      <c r="DO126" s="87" t="n"/>
      <c r="DP126" s="87" t="n"/>
      <c r="DQ126" s="87" t="n"/>
      <c r="DR126" s="87" t="n"/>
      <c r="DS126" s="87" t="n"/>
      <c r="DT126" s="87" t="n"/>
      <c r="DU126" s="87" t="n"/>
      <c r="DV126" s="87" t="n"/>
      <c r="DW126" s="87" t="n"/>
      <c r="DX126" s="87" t="n"/>
      <c r="DY126" s="87" t="n"/>
      <c r="DZ126" s="87" t="n"/>
      <c r="EA126" s="87" t="n"/>
      <c r="EB126" s="87" t="n"/>
      <c r="EC126" s="87" t="n"/>
      <c r="ED126" s="87" t="n"/>
      <c r="EE126" s="87" t="n"/>
      <c r="EF126" s="87" t="n"/>
      <c r="EG126" s="87" t="n"/>
      <c r="EH126" s="87" t="n"/>
      <c r="EI126" s="87" t="n"/>
      <c r="EJ126" s="87" t="n"/>
      <c r="EK126" s="87" t="n"/>
      <c r="EL126" s="87" t="n"/>
      <c r="EM126" s="87" t="n"/>
      <c r="EN126" s="87" t="n"/>
      <c r="EO126" s="87" t="n"/>
      <c r="EP126" s="87" t="n"/>
      <c r="EQ126" s="87" t="n"/>
      <c r="ER126" s="87" t="n"/>
      <c r="ES126" s="87" t="n"/>
      <c r="ET126" s="87" t="n"/>
      <c r="EU126" s="87" t="n"/>
      <c r="EV126" s="87" t="n"/>
      <c r="EW126" s="87" t="n"/>
      <c r="EX126" s="87" t="n"/>
      <c r="EY126" s="87" t="n"/>
      <c r="EZ126" s="87" t="n"/>
      <c r="FA126" s="87" t="n"/>
      <c r="FB126" s="87" t="n"/>
      <c r="FC126" s="87" t="n"/>
      <c r="FD126" s="87" t="n"/>
      <c r="FE126" s="87" t="n"/>
      <c r="FF126" s="87" t="n"/>
      <c r="FG126" s="87" t="n"/>
      <c r="FH126" s="87" t="n"/>
      <c r="FI126" s="87" t="n"/>
      <c r="FJ126" s="87" t="n"/>
      <c r="FK126" s="87" t="n"/>
      <c r="FL126" s="87" t="n"/>
      <c r="FM126" s="87" t="n"/>
      <c r="FN126" s="87" t="n"/>
      <c r="FO126" s="87" t="n"/>
      <c r="FP126" s="87" t="n"/>
      <c r="FQ126" s="87" t="n"/>
      <c r="FR126" s="87" t="n"/>
      <c r="FS126" s="87" t="n"/>
      <c r="FT126" s="87" t="n"/>
      <c r="FU126" s="87" t="n"/>
      <c r="FV126" s="87" t="n"/>
      <c r="FW126" s="87" t="n"/>
      <c r="FX126" s="87" t="n"/>
      <c r="FY126" s="87" t="n"/>
      <c r="FZ126" s="87" t="n"/>
      <c r="GA126" s="87" t="n"/>
      <c r="GB126" s="87" t="n"/>
      <c r="GC126" s="87" t="n"/>
      <c r="GD126" s="87" t="n"/>
      <c r="GE126" s="87" t="n"/>
      <c r="GF126" s="87" t="n"/>
      <c r="GG126" s="87" t="n"/>
      <c r="GH126" s="87" t="n"/>
      <c r="GI126" s="87" t="n"/>
      <c r="GJ126" s="87" t="n"/>
      <c r="GK126" s="87" t="n"/>
      <c r="GL126" s="87" t="n"/>
      <c r="GM126" s="87" t="n"/>
      <c r="GN126" s="87" t="n"/>
      <c r="GO126" s="87" t="n"/>
      <c r="GP126" s="87" t="n"/>
      <c r="GQ126" s="87" t="n"/>
      <c r="GR126" s="87" t="n"/>
      <c r="GS126" s="87" t="n"/>
      <c r="GT126" s="87" t="n"/>
      <c r="GU126" s="87" t="n"/>
      <c r="GV126" s="87" t="n"/>
      <c r="GW126" s="87" t="n"/>
      <c r="GX126" s="87" t="n"/>
      <c r="GY126" s="87" t="n"/>
      <c r="GZ126" s="87" t="n"/>
      <c r="HA126" s="87" t="n"/>
      <c r="HB126" s="87" t="n"/>
      <c r="HC126" s="87" t="n"/>
      <c r="HD126" s="87" t="n"/>
      <c r="HE126" s="87" t="n"/>
      <c r="HF126" s="87" t="n"/>
      <c r="HG126" s="87" t="n"/>
      <c r="HH126" s="87" t="n"/>
      <c r="HI126" s="87" t="n"/>
      <c r="HJ126" s="87" t="n"/>
      <c r="HK126" s="87" t="n"/>
      <c r="HL126" s="87" t="n"/>
      <c r="HM126" s="87" t="n"/>
      <c r="HN126" s="87" t="n"/>
      <c r="HO126" s="87" t="n"/>
      <c r="HP126" s="87" t="n"/>
      <c r="HQ126" s="87" t="n"/>
      <c r="HR126" s="87" t="n"/>
      <c r="HS126" s="87" t="n"/>
      <c r="HT126" s="87" t="n"/>
      <c r="HU126" s="87" t="n"/>
    </row>
    <row r="127" ht="16.2" customHeight="1">
      <c r="A127" s="1" t="inlineStr">
        <is>
          <t>Gerenciamento</t>
        </is>
      </c>
      <c r="B127" s="136" t="n"/>
      <c r="C127" s="53" t="n"/>
      <c r="D127" s="53" t="n"/>
      <c r="E127" s="53" t="n"/>
      <c r="F127" s="53" t="n"/>
      <c r="G127" s="53" t="n"/>
      <c r="H127" s="53" t="n"/>
      <c r="I127" s="53" t="n"/>
      <c r="J127" s="185" t="n"/>
      <c r="K127" s="53" t="n"/>
      <c r="L127" s="53" t="n"/>
      <c r="M127" s="186" t="n"/>
      <c r="N127" s="337" t="n"/>
      <c r="O127" s="337" t="n"/>
      <c r="P127" s="337" t="n"/>
      <c r="Q127" s="337" t="n"/>
      <c r="R127" s="337" t="n"/>
      <c r="S127" s="337" t="n"/>
      <c r="T127" s="337" t="n"/>
      <c r="U127" s="337" t="n"/>
      <c r="V127" s="337" t="n"/>
      <c r="W127" s="337" t="n"/>
      <c r="X127" s="337" t="n"/>
      <c r="Y127" s="337" t="n"/>
      <c r="Z127" s="337" t="n"/>
      <c r="AA127" s="337" t="n"/>
      <c r="AB127" s="337" t="n"/>
      <c r="AC127" s="337" t="n"/>
      <c r="AD127" s="337" t="n"/>
      <c r="AE127" s="337" t="n"/>
      <c r="AF127" s="337" t="n"/>
      <c r="AG127" s="337" t="n"/>
      <c r="AH127" s="13" t="n"/>
      <c r="AI127" s="345" t="n"/>
      <c r="AJ127" s="13" t="n"/>
      <c r="AK127" s="26" t="n"/>
      <c r="AL127" s="26" t="n"/>
      <c r="AM127" s="26" t="n"/>
      <c r="AN127" s="26" t="n"/>
      <c r="AO127" s="26" t="n"/>
      <c r="AP127" s="26" t="n"/>
      <c r="AQ127" s="26" t="n"/>
      <c r="AR127" s="26" t="n"/>
      <c r="AS127" s="26" t="n"/>
      <c r="AT127" s="26" t="n"/>
      <c r="AU127" s="26" t="n"/>
      <c r="AV127" s="26" t="n"/>
      <c r="AW127" s="26" t="n"/>
      <c r="AX127" s="26" t="n"/>
      <c r="AY127" s="26" t="n"/>
      <c r="AZ127" s="26" t="n"/>
      <c r="BA127" s="26" t="n"/>
      <c r="BB127" s="26" t="n"/>
      <c r="BC127" s="26" t="n"/>
      <c r="BD127" s="26" t="n"/>
      <c r="BE127" s="26" t="n"/>
      <c r="BF127" s="26" t="n"/>
      <c r="BG127" s="26" t="n"/>
      <c r="BH127" s="26" t="n"/>
      <c r="BI127" s="26" t="n"/>
      <c r="BJ127" s="26" t="n"/>
      <c r="BK127" s="26" t="n"/>
      <c r="BL127" s="26" t="n"/>
      <c r="BM127" s="26" t="n"/>
      <c r="BN127" s="26" t="n"/>
      <c r="BO127" s="26" t="n"/>
      <c r="BP127" s="26" t="n"/>
      <c r="BQ127" s="26" t="n"/>
      <c r="BR127" s="26" t="n"/>
      <c r="BS127" s="26" t="n"/>
      <c r="BT127" s="26" t="n"/>
      <c r="BU127" s="26" t="n"/>
      <c r="BV127" s="26" t="n"/>
      <c r="BW127" s="26" t="n"/>
      <c r="BX127" s="26" t="n"/>
      <c r="BY127" s="26" t="n"/>
      <c r="BZ127" s="26" t="n"/>
      <c r="CA127" s="26" t="n"/>
      <c r="CB127" s="26" t="n"/>
      <c r="CC127" s="26" t="n"/>
      <c r="CD127" s="26" t="n"/>
      <c r="CE127" s="26" t="n"/>
      <c r="CF127" s="26" t="n"/>
      <c r="CG127" s="26" t="n"/>
      <c r="CH127" s="26" t="n"/>
      <c r="CI127" s="26" t="n"/>
      <c r="CJ127" s="26" t="n"/>
      <c r="CK127" s="26" t="n"/>
      <c r="CL127" s="26" t="n"/>
      <c r="CM127" s="26" t="n"/>
      <c r="CN127" s="26" t="n"/>
      <c r="CO127" s="26" t="n"/>
      <c r="CP127" s="26" t="n"/>
      <c r="CQ127" s="26" t="n"/>
      <c r="CR127" s="26" t="n"/>
      <c r="CS127" s="26" t="n"/>
      <c r="CT127" s="26" t="n"/>
      <c r="CU127" s="26" t="n"/>
      <c r="CV127" s="26" t="n"/>
      <c r="CW127" s="26" t="n"/>
      <c r="CX127" s="26" t="n"/>
      <c r="CY127" s="26" t="n"/>
      <c r="CZ127" s="26" t="n"/>
      <c r="DA127" s="26" t="n"/>
      <c r="DB127" s="26" t="n"/>
      <c r="DC127" s="26" t="n"/>
      <c r="DD127" s="26" t="n"/>
      <c r="DE127" s="26" t="n"/>
      <c r="DF127" s="26" t="n"/>
      <c r="DG127" s="26" t="n"/>
      <c r="DH127" s="26" t="n"/>
      <c r="DI127" s="26" t="n"/>
      <c r="DJ127" s="26" t="n"/>
      <c r="DK127" s="26" t="n"/>
      <c r="DL127" s="26" t="n"/>
      <c r="DM127" s="26" t="n"/>
      <c r="DN127" s="26" t="n"/>
      <c r="DO127" s="26" t="n"/>
      <c r="DP127" s="26" t="n"/>
      <c r="DQ127" s="26" t="n"/>
      <c r="DR127" s="26" t="n"/>
      <c r="DS127" s="26" t="n"/>
      <c r="DT127" s="26" t="n"/>
      <c r="DU127" s="26" t="n"/>
      <c r="DV127" s="26" t="n"/>
      <c r="DW127" s="26" t="n"/>
      <c r="DX127" s="26" t="n"/>
      <c r="DY127" s="26" t="n"/>
      <c r="DZ127" s="26" t="n"/>
      <c r="EA127" s="26" t="n"/>
      <c r="EB127" s="26" t="n"/>
      <c r="EC127" s="26" t="n"/>
      <c r="ED127" s="26" t="n"/>
      <c r="EE127" s="26" t="n"/>
      <c r="EF127" s="26" t="n"/>
      <c r="EG127" s="26" t="n"/>
      <c r="EH127" s="26" t="n"/>
      <c r="EI127" s="26" t="n"/>
      <c r="EJ127" s="26" t="n"/>
      <c r="EK127" s="26" t="n"/>
      <c r="EL127" s="26" t="n"/>
      <c r="EM127" s="26" t="n"/>
      <c r="EN127" s="26" t="n"/>
      <c r="EO127" s="26" t="n"/>
      <c r="EP127" s="26" t="n"/>
      <c r="EQ127" s="26" t="n"/>
      <c r="ER127" s="26" t="n"/>
      <c r="ES127" s="26" t="n"/>
      <c r="ET127" s="26" t="n"/>
      <c r="EU127" s="26" t="n"/>
      <c r="EV127" s="26" t="n"/>
      <c r="EW127" s="26" t="n"/>
      <c r="EX127" s="26" t="n"/>
      <c r="EY127" s="26" t="n"/>
      <c r="EZ127" s="26" t="n"/>
      <c r="FA127" s="26" t="n"/>
      <c r="FB127" s="26" t="n"/>
      <c r="FC127" s="26" t="n"/>
      <c r="FD127" s="26" t="n"/>
      <c r="FE127" s="26" t="n"/>
      <c r="FF127" s="26" t="n"/>
      <c r="FG127" s="26" t="n"/>
      <c r="FH127" s="26" t="n"/>
      <c r="FI127" s="26" t="n"/>
      <c r="FJ127" s="26" t="n"/>
      <c r="FK127" s="26" t="n"/>
      <c r="FL127" s="26" t="n"/>
      <c r="FM127" s="26" t="n"/>
      <c r="FN127" s="26" t="n"/>
      <c r="FO127" s="26" t="n"/>
      <c r="FP127" s="26" t="n"/>
      <c r="FQ127" s="26" t="n"/>
      <c r="FR127" s="26" t="n"/>
      <c r="FS127" s="26" t="n"/>
      <c r="FT127" s="26" t="n"/>
      <c r="FU127" s="26" t="n"/>
      <c r="FV127" s="26" t="n"/>
      <c r="FW127" s="26" t="n"/>
      <c r="FX127" s="26" t="n"/>
      <c r="FY127" s="26" t="n"/>
      <c r="FZ127" s="26" t="n"/>
      <c r="GA127" s="26" t="n"/>
      <c r="GB127" s="26" t="n"/>
      <c r="GC127" s="26" t="n"/>
      <c r="GD127" s="26" t="n"/>
      <c r="GE127" s="26" t="n"/>
      <c r="GF127" s="26" t="n"/>
      <c r="GG127" s="26" t="n"/>
      <c r="GH127" s="26" t="n"/>
      <c r="GI127" s="26" t="n"/>
      <c r="GJ127" s="26" t="n"/>
      <c r="GK127" s="26" t="n"/>
      <c r="GL127" s="26" t="n"/>
      <c r="GM127" s="26" t="n"/>
      <c r="GN127" s="26" t="n"/>
      <c r="GO127" s="26" t="n"/>
      <c r="GP127" s="26" t="n"/>
      <c r="GQ127" s="26" t="n"/>
      <c r="GR127" s="26" t="n"/>
      <c r="GS127" s="26" t="n"/>
      <c r="GT127" s="26" t="n"/>
      <c r="GU127" s="26" t="n"/>
      <c r="GV127" s="26" t="n"/>
      <c r="GW127" s="26" t="n"/>
      <c r="GX127" s="26" t="n"/>
      <c r="GY127" s="26" t="n"/>
      <c r="GZ127" s="26" t="n"/>
      <c r="HA127" s="26" t="n"/>
      <c r="HB127" s="26" t="n"/>
      <c r="HC127" s="26" t="n"/>
      <c r="HD127" s="26" t="n"/>
      <c r="HE127" s="26" t="n"/>
      <c r="HF127" s="26" t="n"/>
      <c r="HG127" s="26" t="n"/>
      <c r="HH127" s="26" t="n"/>
      <c r="HI127" s="26" t="n"/>
      <c r="HJ127" s="26" t="n"/>
      <c r="HK127" s="26" t="n"/>
      <c r="HL127" s="26" t="n"/>
      <c r="HM127" s="26" t="n"/>
      <c r="HN127" s="26" t="n"/>
      <c r="HO127" s="26" t="n"/>
      <c r="HP127" s="26" t="n"/>
      <c r="HQ127" s="26" t="n"/>
      <c r="HR127" s="26" t="n"/>
      <c r="HS127" s="26" t="n"/>
      <c r="HT127" s="26" t="n"/>
      <c r="HU127" s="26" t="n"/>
    </row>
    <row r="128" ht="6.6" customHeight="1">
      <c r="A128" s="1" t="n"/>
      <c r="B128" s="128" t="n"/>
      <c r="C128" s="512" t="n"/>
      <c r="D128" s="512" t="n"/>
      <c r="E128" s="512" t="n"/>
      <c r="F128" s="512" t="n"/>
      <c r="G128" s="512" t="n"/>
      <c r="H128" s="512" t="n"/>
      <c r="I128" s="512" t="n"/>
      <c r="J128" s="513" t="n"/>
      <c r="K128" s="512" t="n"/>
      <c r="L128" s="512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514" t="n"/>
      <c r="AA128" s="514" t="n"/>
      <c r="AB128" s="514" t="n"/>
      <c r="AC128" s="514" t="n"/>
      <c r="AD128" s="514" t="n"/>
      <c r="AE128" s="514" t="n"/>
      <c r="AF128" s="514" t="n"/>
      <c r="AG128" s="514" t="n"/>
      <c r="AH128" s="512" t="n"/>
      <c r="AI128" s="533" t="n"/>
      <c r="AJ128" s="512" t="n"/>
      <c r="AK128" s="512" t="n"/>
      <c r="AL128" s="512" t="n"/>
      <c r="AM128" s="512" t="n"/>
      <c r="AN128" s="512" t="n"/>
      <c r="AO128" s="512" t="n"/>
      <c r="AP128" s="512" t="n"/>
      <c r="AQ128" s="512" t="n"/>
      <c r="AR128" s="512" t="n"/>
      <c r="AS128" s="512" t="n"/>
      <c r="AT128" s="512" t="n"/>
      <c r="AU128" s="512" t="n"/>
      <c r="AV128" s="512" t="n"/>
      <c r="AW128" s="512" t="n"/>
      <c r="AX128" s="512" t="n"/>
      <c r="AY128" s="512" t="n"/>
      <c r="AZ128" s="512" t="n"/>
      <c r="BA128" s="512" t="n"/>
      <c r="BB128" s="512" t="n"/>
      <c r="BC128" s="512" t="n"/>
      <c r="BD128" s="515" t="n"/>
      <c r="BE128" s="512" t="n"/>
      <c r="BF128" s="512" t="n"/>
      <c r="BG128" s="512" t="n"/>
      <c r="BH128" s="512" t="n"/>
      <c r="BI128" s="512" t="n"/>
      <c r="BJ128" s="512" t="n"/>
      <c r="BK128" s="512" t="n"/>
      <c r="BL128" s="512" t="n"/>
      <c r="BM128" s="512" t="n"/>
      <c r="BN128" s="512" t="n"/>
      <c r="BO128" s="512" t="n"/>
      <c r="BP128" s="515" t="n"/>
      <c r="BQ128" s="512" t="n"/>
      <c r="BR128" s="512" t="n"/>
      <c r="BS128" s="512" t="n"/>
      <c r="BT128" s="512" t="n"/>
      <c r="BU128" s="512" t="n"/>
      <c r="BV128" s="512" t="n"/>
      <c r="BW128" s="512" t="n"/>
      <c r="BX128" s="512" t="n"/>
      <c r="BY128" s="512" t="n"/>
      <c r="BZ128" s="512" t="n"/>
      <c r="CA128" s="512" t="n"/>
      <c r="CB128" s="515" t="n"/>
      <c r="CC128" s="512" t="n"/>
      <c r="CD128" s="512" t="n"/>
      <c r="CE128" s="512" t="n"/>
      <c r="CF128" s="512" t="n"/>
      <c r="CG128" s="512" t="n"/>
      <c r="CH128" s="512" t="n"/>
      <c r="CI128" s="512" t="n"/>
      <c r="CJ128" s="512" t="n"/>
      <c r="CK128" s="512" t="n"/>
      <c r="CL128" s="512" t="n"/>
      <c r="CM128" s="512" t="n"/>
      <c r="CN128" s="515" t="n"/>
      <c r="CO128" s="512" t="n"/>
      <c r="CP128" s="512" t="n"/>
      <c r="CQ128" s="512" t="n"/>
      <c r="CR128" s="512" t="n"/>
      <c r="CS128" s="512" t="n"/>
      <c r="CT128" s="512" t="n"/>
      <c r="CU128" s="512" t="n"/>
      <c r="CV128" s="512" t="n"/>
      <c r="CW128" s="512" t="n"/>
      <c r="CX128" s="512" t="n"/>
      <c r="CY128" s="512" t="n"/>
      <c r="CZ128" s="515" t="n"/>
      <c r="DA128" s="512" t="n"/>
      <c r="DB128" s="512" t="n"/>
      <c r="DC128" s="512" t="n"/>
      <c r="DD128" s="512" t="n"/>
      <c r="DE128" s="512" t="n"/>
      <c r="DF128" s="512" t="n"/>
      <c r="DG128" s="512" t="n"/>
      <c r="DH128" s="512" t="n"/>
      <c r="DI128" s="512" t="n"/>
      <c r="DJ128" s="512" t="n"/>
      <c r="DK128" s="512" t="n"/>
      <c r="DL128" s="512" t="n"/>
      <c r="DM128" s="512" t="n"/>
      <c r="DN128" s="512" t="n"/>
      <c r="DO128" s="512" t="n"/>
      <c r="DP128" s="512" t="n"/>
      <c r="DQ128" s="512" t="n"/>
      <c r="DR128" s="512" t="n"/>
      <c r="DS128" s="512" t="n"/>
      <c r="DT128" s="512" t="n"/>
      <c r="DU128" s="512" t="n"/>
      <c r="DV128" s="512" t="n"/>
      <c r="DW128" s="512" t="n"/>
      <c r="DX128" s="512" t="n"/>
      <c r="DY128" s="512" t="n"/>
      <c r="DZ128" s="512" t="n"/>
      <c r="EA128" s="512" t="n"/>
      <c r="EB128" s="512" t="n"/>
      <c r="EC128" s="512" t="n"/>
      <c r="ED128" s="512" t="n"/>
      <c r="EE128" s="512" t="n"/>
      <c r="EF128" s="512" t="n"/>
      <c r="EG128" s="512" t="n"/>
      <c r="EH128" s="512" t="n"/>
      <c r="EI128" s="512" t="n"/>
      <c r="EJ128" s="512" t="n"/>
      <c r="EK128" s="512" t="n"/>
      <c r="EL128" s="512" t="n"/>
      <c r="EM128" s="512" t="n"/>
      <c r="EN128" s="512" t="n"/>
      <c r="EO128" s="512" t="n"/>
      <c r="EP128" s="512" t="n"/>
      <c r="EQ128" s="512" t="n"/>
      <c r="ER128" s="512" t="n"/>
      <c r="ES128" s="512" t="n"/>
      <c r="ET128" s="512" t="n"/>
      <c r="EU128" s="512" t="n"/>
      <c r="EV128" s="512" t="n"/>
      <c r="EW128" s="512" t="n"/>
      <c r="EX128" s="512" t="n"/>
      <c r="EY128" s="512" t="n"/>
      <c r="EZ128" s="512" t="n"/>
      <c r="FA128" s="512" t="n"/>
      <c r="FB128" s="512" t="n"/>
      <c r="FC128" s="512" t="n"/>
      <c r="FD128" s="512" t="n"/>
      <c r="FE128" s="512" t="n"/>
      <c r="FF128" s="512" t="n"/>
      <c r="FG128" s="512" t="n"/>
      <c r="FH128" s="512" t="n"/>
      <c r="FI128" s="512" t="n"/>
      <c r="FJ128" s="512" t="n"/>
      <c r="FK128" s="512" t="n"/>
      <c r="FL128" s="512" t="n"/>
      <c r="FM128" s="512" t="n"/>
      <c r="FN128" s="512" t="n"/>
      <c r="FO128" s="512" t="n"/>
      <c r="FP128" s="512" t="n"/>
      <c r="FQ128" s="512" t="n"/>
      <c r="FR128" s="512" t="n"/>
      <c r="FS128" s="512" t="n"/>
      <c r="FT128" s="512" t="n"/>
      <c r="FU128" s="512" t="n"/>
      <c r="FV128" s="512" t="n"/>
      <c r="FW128" s="512" t="n"/>
      <c r="FX128" s="512" t="n"/>
      <c r="FY128" s="512" t="n"/>
      <c r="FZ128" s="512" t="n"/>
      <c r="GA128" s="512" t="n"/>
      <c r="GB128" s="512" t="n"/>
      <c r="GC128" s="512" t="n"/>
      <c r="GD128" s="512" t="n"/>
      <c r="GE128" s="512" t="n"/>
      <c r="GF128" s="512" t="n"/>
      <c r="GG128" s="512" t="n"/>
      <c r="GH128" s="512" t="n"/>
      <c r="GI128" s="512" t="n"/>
      <c r="GJ128" s="512" t="n"/>
      <c r="GK128" s="512" t="n"/>
      <c r="GL128" s="512" t="n"/>
      <c r="GM128" s="512" t="n"/>
      <c r="GN128" s="512" t="n"/>
      <c r="GO128" s="512" t="n"/>
      <c r="GP128" s="512" t="n"/>
      <c r="GQ128" s="512" t="n"/>
      <c r="GR128" s="512" t="n"/>
      <c r="GS128" s="512" t="n"/>
      <c r="GT128" s="512" t="n"/>
      <c r="GU128" s="512" t="n"/>
      <c r="GV128" s="512" t="n"/>
      <c r="GW128" s="512" t="n"/>
      <c r="GX128" s="512" t="n"/>
      <c r="GY128" s="512" t="n"/>
      <c r="GZ128" s="512" t="n"/>
      <c r="HA128" s="512" t="n"/>
      <c r="HB128" s="512" t="n"/>
      <c r="HC128" s="512" t="n"/>
      <c r="HD128" s="512" t="n"/>
      <c r="HE128" s="512" t="n"/>
      <c r="HF128" s="512" t="n"/>
      <c r="HG128" s="512" t="n"/>
      <c r="HH128" s="512" t="n"/>
      <c r="HI128" s="512" t="n"/>
      <c r="HJ128" s="512" t="n"/>
      <c r="HK128" s="512" t="n"/>
      <c r="HL128" s="512" t="n"/>
      <c r="HM128" s="512" t="n"/>
      <c r="HN128" s="512" t="n"/>
      <c r="HO128" s="512" t="n"/>
      <c r="HP128" s="512" t="n"/>
      <c r="HQ128" s="512" t="n"/>
      <c r="HR128" s="512" t="n"/>
      <c r="HS128" s="512" t="n"/>
      <c r="HT128" s="512" t="n"/>
      <c r="HU128" s="512" t="n"/>
    </row>
    <row r="129" ht="16.2" customHeight="1">
      <c r="A129" s="19" t="inlineStr">
        <is>
          <t>DESPESAS JÚRIDICAS (-)</t>
        </is>
      </c>
      <c r="B129" s="139" t="n"/>
      <c r="C129" s="20" t="n"/>
      <c r="D129" s="22" t="n"/>
      <c r="E129" s="20" t="n"/>
      <c r="F129" s="20" t="n"/>
      <c r="G129" s="20" t="n"/>
      <c r="H129" s="20" t="n"/>
      <c r="I129" s="21" t="n"/>
      <c r="J129" s="175" t="n"/>
      <c r="K129" s="21" t="n"/>
      <c r="L129" s="108" t="n"/>
      <c r="M129" s="220" t="n"/>
      <c r="N129" s="220" t="n"/>
      <c r="O129" s="220" t="n"/>
      <c r="P129" s="220" t="n"/>
      <c r="Q129" s="220" t="n"/>
      <c r="R129" s="220" t="n"/>
      <c r="S129" s="220" t="n"/>
      <c r="T129" s="220" t="n"/>
      <c r="U129" s="220" t="n"/>
      <c r="V129" s="220" t="n"/>
      <c r="W129" s="220" t="n"/>
      <c r="X129" s="220" t="n"/>
      <c r="Y129" s="220" t="n"/>
      <c r="Z129" s="220" t="n"/>
      <c r="AA129" s="220" t="n"/>
      <c r="AB129" s="220" t="n"/>
      <c r="AC129" s="220" t="n"/>
      <c r="AD129" s="220" t="n"/>
      <c r="AE129" s="220" t="n"/>
      <c r="AF129" s="220" t="n"/>
      <c r="AG129" s="220" t="n"/>
      <c r="AH129" s="200" t="n"/>
      <c r="AI129" s="241" t="n"/>
      <c r="AJ129" s="200" t="n"/>
      <c r="AK129" s="20" t="n"/>
      <c r="AL129" s="20" t="n"/>
      <c r="AM129" s="20" t="n"/>
      <c r="AN129" s="20" t="n"/>
      <c r="AO129" s="20" t="n"/>
      <c r="AP129" s="20" t="n"/>
      <c r="AQ129" s="21" t="n"/>
      <c r="AR129" s="21" t="n"/>
      <c r="AS129" s="20" t="n"/>
      <c r="AT129" s="20" t="n"/>
      <c r="AU129" s="20" t="n"/>
      <c r="AV129" s="20" t="n"/>
      <c r="AW129" s="20" t="n"/>
      <c r="AX129" s="20" t="n"/>
      <c r="AY129" s="20" t="n"/>
      <c r="AZ129" s="20" t="n"/>
      <c r="BA129" s="20" t="n"/>
      <c r="BB129" s="20" t="n"/>
      <c r="BC129" s="20" t="n"/>
      <c r="BD129" s="299" t="n"/>
      <c r="BE129" s="22" t="n"/>
      <c r="BF129" s="20" t="n"/>
      <c r="BG129" s="20" t="n"/>
      <c r="BH129" s="20" t="n"/>
      <c r="BI129" s="20" t="n"/>
      <c r="BJ129" s="20" t="n"/>
      <c r="BK129" s="20" t="n"/>
      <c r="BL129" s="20" t="n"/>
      <c r="BM129" s="20" t="n"/>
      <c r="BN129" s="20" t="n"/>
      <c r="BO129" s="20" t="n"/>
      <c r="BP129" s="299" t="n"/>
      <c r="BQ129" s="22" t="n"/>
      <c r="BR129" s="20" t="n"/>
      <c r="BS129" s="20" t="n"/>
      <c r="BT129" s="20" t="n"/>
      <c r="BU129" s="20" t="n"/>
      <c r="BV129" s="20" t="n"/>
      <c r="BW129" s="20" t="n"/>
      <c r="BX129" s="20" t="n"/>
      <c r="BY129" s="20" t="n"/>
      <c r="BZ129" s="20" t="n"/>
      <c r="CA129" s="20" t="n"/>
      <c r="CB129" s="299" t="n"/>
      <c r="CC129" s="22" t="n"/>
      <c r="CD129" s="20" t="n"/>
      <c r="CE129" s="20" t="n"/>
      <c r="CF129" s="20" t="n"/>
      <c r="CG129" s="20" t="n"/>
      <c r="CH129" s="20" t="n"/>
      <c r="CI129" s="20" t="n"/>
      <c r="CJ129" s="20" t="n"/>
      <c r="CK129" s="20" t="n"/>
      <c r="CL129" s="20" t="n"/>
      <c r="CM129" s="20" t="n"/>
      <c r="CN129" s="299" t="n"/>
      <c r="CO129" s="22" t="n"/>
      <c r="CP129" s="20" t="n"/>
      <c r="CQ129" s="20" t="n"/>
      <c r="CR129" s="20" t="n"/>
      <c r="CS129" s="20" t="n"/>
      <c r="CT129" s="20" t="n"/>
      <c r="CU129" s="20" t="n"/>
      <c r="CV129" s="20" t="n"/>
      <c r="CW129" s="20" t="n"/>
      <c r="CX129" s="20" t="n"/>
      <c r="CY129" s="20" t="n"/>
      <c r="CZ129" s="299" t="n"/>
      <c r="DA129" s="22" t="n"/>
      <c r="DB129" s="20" t="n"/>
      <c r="DC129" s="20" t="n"/>
      <c r="DD129" s="20" t="n"/>
      <c r="DE129" s="20" t="n"/>
      <c r="DF129" s="20" t="n"/>
      <c r="DG129" s="20" t="n"/>
      <c r="DH129" s="20" t="n"/>
      <c r="DI129" s="20" t="n"/>
      <c r="DJ129" s="21" t="n"/>
      <c r="DK129" s="20" t="n"/>
      <c r="DL129" s="21" t="n"/>
      <c r="DM129" s="20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n"/>
      <c r="DW129" s="21" t="n"/>
      <c r="DX129" s="21" t="n"/>
      <c r="DY129" s="21" t="n"/>
      <c r="DZ129" s="21" t="n"/>
      <c r="EA129" s="21" t="n"/>
      <c r="EB129" s="21" t="n"/>
      <c r="EC129" s="21" t="n"/>
      <c r="ED129" s="21" t="n"/>
      <c r="EE129" s="21" t="n"/>
      <c r="EF129" s="21" t="n"/>
      <c r="EG129" s="21" t="n"/>
      <c r="EH129" s="21" t="n"/>
      <c r="EI129" s="21" t="n"/>
      <c r="EJ129" s="21" t="n"/>
      <c r="EK129" s="21" t="n"/>
      <c r="EL129" s="21" t="n"/>
      <c r="EM129" s="21" t="n"/>
      <c r="EN129" s="21" t="n"/>
      <c r="EO129" s="21" t="n"/>
      <c r="EP129" s="21" t="n"/>
      <c r="EQ129" s="21" t="n"/>
      <c r="ER129" s="21" t="n"/>
      <c r="ES129" s="21" t="n"/>
      <c r="ET129" s="21" t="n"/>
      <c r="EU129" s="21" t="n"/>
      <c r="EV129" s="21" t="n"/>
      <c r="EW129" s="21" t="n"/>
      <c r="EX129" s="21" t="n"/>
      <c r="EY129" s="21" t="n"/>
      <c r="EZ129" s="21" t="n"/>
      <c r="FA129" s="21" t="n"/>
      <c r="FB129" s="21" t="n"/>
      <c r="FC129" s="21" t="n"/>
      <c r="FD129" s="21" t="n"/>
      <c r="FE129" s="21" t="n"/>
      <c r="FF129" s="21" t="n"/>
      <c r="FG129" s="21" t="n"/>
      <c r="FH129" s="21" t="n"/>
      <c r="FI129" s="21" t="n"/>
      <c r="FJ129" s="21" t="n"/>
      <c r="FK129" s="21" t="n"/>
      <c r="FL129" s="21" t="n"/>
      <c r="FM129" s="21" t="n"/>
      <c r="FN129" s="21" t="n"/>
      <c r="FO129" s="21" t="n"/>
      <c r="FP129" s="21" t="n"/>
      <c r="FQ129" s="21" t="n"/>
      <c r="FR129" s="21" t="n"/>
      <c r="FS129" s="21" t="n"/>
      <c r="FT129" s="21" t="n"/>
      <c r="FU129" s="21" t="n"/>
      <c r="FV129" s="21" t="n"/>
      <c r="FW129" s="21" t="n"/>
      <c r="FX129" s="21" t="n"/>
      <c r="FY129" s="21" t="n"/>
      <c r="FZ129" s="21" t="n"/>
      <c r="GA129" s="21" t="n"/>
      <c r="GB129" s="21" t="n"/>
      <c r="GC129" s="21" t="n"/>
      <c r="GD129" s="21" t="n"/>
      <c r="GE129" s="21" t="n"/>
      <c r="GF129" s="21" t="n"/>
      <c r="GG129" s="21" t="n"/>
      <c r="GH129" s="21" t="n"/>
      <c r="GI129" s="21" t="n"/>
      <c r="GJ129" s="21" t="n"/>
      <c r="GK129" s="21" t="n"/>
      <c r="GL129" s="21" t="n"/>
      <c r="GM129" s="21" t="n"/>
      <c r="GN129" s="21" t="n"/>
      <c r="GO129" s="21" t="n"/>
      <c r="GP129" s="21" t="n"/>
      <c r="GQ129" s="21" t="n"/>
      <c r="GR129" s="21" t="n"/>
      <c r="GS129" s="21" t="n"/>
      <c r="GT129" s="21" t="n"/>
      <c r="GU129" s="21" t="n"/>
      <c r="GV129" s="21" t="n"/>
      <c r="GW129" s="21" t="n"/>
      <c r="GX129" s="21" t="n"/>
      <c r="GY129" s="21" t="n"/>
      <c r="GZ129" s="21" t="n"/>
      <c r="HA129" s="21" t="n"/>
      <c r="HB129" s="21" t="n"/>
      <c r="HC129" s="21" t="n"/>
      <c r="HD129" s="21" t="n"/>
      <c r="HE129" s="21" t="n"/>
      <c r="HF129" s="21" t="n"/>
      <c r="HG129" s="21" t="n"/>
      <c r="HH129" s="21" t="n"/>
      <c r="HI129" s="21" t="n"/>
      <c r="HJ129" s="21" t="n"/>
      <c r="HK129" s="21" t="n"/>
      <c r="HL129" s="21" t="n"/>
      <c r="HM129" s="21" t="n"/>
      <c r="HN129" s="21" t="n"/>
      <c r="HO129" s="21" t="n"/>
      <c r="HP129" s="21" t="n"/>
      <c r="HQ129" s="21" t="n"/>
      <c r="HR129" s="21" t="n"/>
      <c r="HS129" s="21" t="n"/>
      <c r="HT129" s="21" t="n"/>
      <c r="HU129" s="21" t="n"/>
    </row>
    <row r="130" ht="18.75" customHeight="1">
      <c r="A130" s="7" t="inlineStr">
        <is>
          <t>Despesas juridicas</t>
        </is>
      </c>
      <c r="B130" s="136" t="n"/>
      <c r="C130" s="85" t="n"/>
      <c r="D130" s="87" t="n"/>
      <c r="E130" s="85" t="n"/>
      <c r="F130" s="85" t="n"/>
      <c r="G130" s="85" t="n"/>
      <c r="H130" s="85" t="n"/>
      <c r="I130" s="86" t="n"/>
      <c r="J130" s="218" t="n"/>
      <c r="K130" s="113" t="n"/>
      <c r="L130" s="122" t="n"/>
      <c r="M130" s="219" t="n"/>
      <c r="N130" s="219" t="n"/>
      <c r="O130" s="219" t="n"/>
      <c r="P130" s="219" t="n"/>
      <c r="Q130" s="219" t="n"/>
      <c r="R130" s="219" t="n"/>
      <c r="S130" s="219" t="n"/>
      <c r="T130" s="219" t="n"/>
      <c r="U130" s="219" t="n"/>
      <c r="V130" s="219" t="n"/>
      <c r="W130" s="219" t="n"/>
      <c r="X130" s="219" t="n"/>
      <c r="Y130" s="219" t="n"/>
      <c r="Z130" s="219" t="n"/>
      <c r="AA130" s="219" t="n"/>
      <c r="AB130" s="219" t="n"/>
      <c r="AC130" s="219" t="n"/>
      <c r="AD130" s="219" t="n"/>
      <c r="AE130" s="219" t="n"/>
      <c r="AF130" s="219" t="n"/>
      <c r="AG130" s="219" t="n"/>
      <c r="AH130" s="13" t="n"/>
      <c r="AI130" s="342" t="n"/>
      <c r="AJ130" s="13" t="n"/>
      <c r="AK130" s="26" t="n"/>
      <c r="AL130" s="26" t="n"/>
      <c r="AM130" s="26" t="n"/>
      <c r="AN130" s="26" t="n"/>
      <c r="AO130" s="26" t="n"/>
      <c r="AP130" s="26" t="n"/>
      <c r="AQ130" s="26" t="n"/>
      <c r="AR130" s="26" t="n"/>
      <c r="AS130" s="26" t="n"/>
      <c r="AT130" s="26" t="n"/>
      <c r="AU130" s="26" t="n"/>
      <c r="AV130" s="26" t="n"/>
      <c r="AW130" s="26" t="n"/>
      <c r="AX130" s="26" t="n"/>
      <c r="AY130" s="26" t="n"/>
      <c r="AZ130" s="26" t="n"/>
      <c r="BA130" s="26" t="n"/>
      <c r="BB130" s="26" t="n"/>
      <c r="BC130" s="26" t="n"/>
      <c r="BD130" s="26" t="n"/>
      <c r="BE130" s="26" t="n"/>
      <c r="BF130" s="26" t="n"/>
      <c r="BG130" s="26" t="n"/>
      <c r="BH130" s="26" t="n"/>
      <c r="BI130" s="26" t="n"/>
      <c r="BJ130" s="26" t="n"/>
      <c r="BK130" s="26" t="n"/>
      <c r="BL130" s="26" t="n"/>
      <c r="BM130" s="26" t="n"/>
      <c r="BN130" s="26" t="n"/>
      <c r="BO130" s="26" t="n"/>
      <c r="BP130" s="26" t="n"/>
      <c r="BQ130" s="26" t="n"/>
      <c r="BR130" s="26" t="n"/>
      <c r="BS130" s="26" t="n"/>
      <c r="BT130" s="26" t="n"/>
      <c r="BU130" s="26" t="n"/>
      <c r="BV130" s="26" t="n"/>
      <c r="BW130" s="26" t="n"/>
      <c r="BX130" s="26" t="n"/>
      <c r="BY130" s="26" t="n"/>
      <c r="BZ130" s="26" t="n"/>
      <c r="CA130" s="26" t="n"/>
      <c r="CB130" s="26" t="n"/>
      <c r="CC130" s="26" t="n"/>
      <c r="CD130" s="26" t="n"/>
      <c r="CE130" s="26" t="n"/>
      <c r="CF130" s="26" t="n"/>
      <c r="CG130" s="26" t="n"/>
      <c r="CH130" s="26" t="n"/>
      <c r="CI130" s="26" t="n"/>
      <c r="CJ130" s="26" t="n"/>
      <c r="CK130" s="26" t="n"/>
      <c r="CL130" s="26" t="n"/>
      <c r="CM130" s="26" t="n"/>
      <c r="CN130" s="26" t="n"/>
      <c r="CO130" s="26" t="n"/>
      <c r="CP130" s="26" t="n"/>
      <c r="CQ130" s="26" t="n"/>
      <c r="CR130" s="26" t="n"/>
      <c r="CS130" s="26" t="n"/>
      <c r="CT130" s="26" t="n"/>
      <c r="CU130" s="26" t="n"/>
      <c r="CV130" s="26" t="n"/>
      <c r="CW130" s="26" t="n"/>
      <c r="CX130" s="26" t="n"/>
      <c r="CY130" s="26" t="n"/>
      <c r="CZ130" s="26" t="n"/>
      <c r="DA130" s="26" t="n"/>
      <c r="DB130" s="26" t="n"/>
      <c r="DC130" s="26" t="n"/>
      <c r="DD130" s="26" t="n"/>
      <c r="DE130" s="26" t="n"/>
      <c r="DF130" s="26" t="n"/>
      <c r="DG130" s="26" t="n"/>
      <c r="DH130" s="26" t="n"/>
      <c r="DI130" s="26" t="n"/>
      <c r="DJ130" s="26" t="n"/>
      <c r="DK130" s="26" t="n"/>
      <c r="DL130" s="26" t="n"/>
      <c r="DM130" s="26" t="n"/>
      <c r="DN130" s="26" t="n"/>
      <c r="DO130" s="26" t="n"/>
      <c r="DP130" s="26" t="n"/>
      <c r="DQ130" s="26" t="n"/>
      <c r="DR130" s="26" t="n"/>
      <c r="DS130" s="26" t="n"/>
      <c r="DT130" s="26" t="n"/>
      <c r="DU130" s="26" t="n"/>
      <c r="DV130" s="26" t="n"/>
      <c r="DW130" s="26" t="n"/>
      <c r="DX130" s="26" t="n"/>
      <c r="DY130" s="26" t="n"/>
      <c r="DZ130" s="26" t="n"/>
      <c r="EA130" s="26" t="n"/>
      <c r="EB130" s="26" t="n"/>
      <c r="EC130" s="26" t="n"/>
      <c r="ED130" s="26" t="n"/>
      <c r="EE130" s="26" t="n"/>
      <c r="EF130" s="26" t="n"/>
      <c r="EG130" s="26" t="n"/>
      <c r="EH130" s="26" t="n"/>
      <c r="EI130" s="26" t="n"/>
      <c r="EJ130" s="26" t="n"/>
      <c r="EK130" s="26" t="n"/>
      <c r="EL130" s="26" t="n"/>
      <c r="EM130" s="26" t="n"/>
      <c r="EN130" s="26" t="n"/>
      <c r="EO130" s="26" t="n"/>
      <c r="EP130" s="26" t="n"/>
      <c r="EQ130" s="26" t="n"/>
      <c r="ER130" s="26" t="n"/>
      <c r="ES130" s="26" t="n"/>
      <c r="ET130" s="26" t="n"/>
      <c r="EU130" s="26" t="n"/>
      <c r="EV130" s="26" t="n"/>
      <c r="EW130" s="26" t="n"/>
      <c r="EX130" s="26" t="n"/>
      <c r="EY130" s="26" t="n"/>
      <c r="EZ130" s="26" t="n"/>
      <c r="FA130" s="26" t="n"/>
      <c r="FB130" s="26" t="n"/>
      <c r="FC130" s="26" t="n"/>
      <c r="FD130" s="26" t="n"/>
      <c r="FE130" s="26" t="n"/>
      <c r="FF130" s="26" t="n"/>
      <c r="FG130" s="26" t="n"/>
      <c r="FH130" s="26" t="n"/>
      <c r="FI130" s="26" t="n"/>
      <c r="FJ130" s="26" t="n"/>
      <c r="FK130" s="26" t="n"/>
      <c r="FL130" s="26" t="n"/>
      <c r="FM130" s="26" t="n"/>
      <c r="FN130" s="26" t="n"/>
      <c r="FO130" s="26" t="n"/>
      <c r="FP130" s="26" t="n"/>
      <c r="FQ130" s="26" t="n"/>
      <c r="FR130" s="26" t="n"/>
      <c r="FS130" s="26" t="n"/>
      <c r="FT130" s="26" t="n"/>
      <c r="FU130" s="26" t="n"/>
      <c r="FV130" s="26" t="n"/>
      <c r="FW130" s="26" t="n"/>
      <c r="FX130" s="26" t="n"/>
      <c r="FY130" s="26" t="n"/>
      <c r="FZ130" s="26" t="n"/>
      <c r="GA130" s="26" t="n"/>
      <c r="GB130" s="26" t="n"/>
      <c r="GC130" s="26" t="n"/>
      <c r="GD130" s="26" t="n"/>
      <c r="GE130" s="26" t="n"/>
      <c r="GF130" s="26" t="n"/>
      <c r="GG130" s="26" t="n"/>
      <c r="GH130" s="26" t="n"/>
      <c r="GI130" s="26" t="n"/>
      <c r="GJ130" s="26" t="n"/>
      <c r="GK130" s="26" t="n"/>
      <c r="GL130" s="26" t="n"/>
      <c r="GM130" s="26" t="n"/>
      <c r="GN130" s="26" t="n"/>
      <c r="GO130" s="26" t="n"/>
      <c r="GP130" s="26" t="n"/>
      <c r="GQ130" s="26" t="n"/>
      <c r="GR130" s="26" t="n"/>
      <c r="GS130" s="26" t="n"/>
      <c r="GT130" s="26" t="n"/>
      <c r="GU130" s="26" t="n"/>
      <c r="GV130" s="26" t="n"/>
      <c r="GW130" s="26" t="n"/>
      <c r="GX130" s="26" t="n"/>
      <c r="GY130" s="26" t="n"/>
      <c r="GZ130" s="26" t="n"/>
      <c r="HA130" s="26" t="n"/>
      <c r="HB130" s="26" t="n"/>
      <c r="HC130" s="26" t="n"/>
      <c r="HD130" s="26" t="n"/>
      <c r="HE130" s="26" t="n"/>
      <c r="HF130" s="26" t="n"/>
      <c r="HG130" s="26" t="n"/>
      <c r="HH130" s="26" t="n"/>
      <c r="HI130" s="26" t="n"/>
      <c r="HJ130" s="26" t="n"/>
      <c r="HK130" s="26" t="n"/>
      <c r="HL130" s="26" t="n"/>
      <c r="HM130" s="26" t="n"/>
      <c r="HN130" s="26" t="n"/>
      <c r="HO130" s="26" t="n"/>
      <c r="HP130" s="26" t="n"/>
      <c r="HQ130" s="26" t="n"/>
      <c r="HR130" s="26" t="n"/>
      <c r="HS130" s="26" t="n"/>
      <c r="HT130" s="26" t="n"/>
      <c r="HU130" s="26" t="n"/>
    </row>
    <row r="131" ht="6" customHeight="1">
      <c r="A131" s="1" t="n"/>
      <c r="B131" s="128" t="n"/>
      <c r="C131" s="512" t="n"/>
      <c r="D131" s="512" t="n"/>
      <c r="E131" s="512" t="n"/>
      <c r="F131" s="512" t="n"/>
      <c r="G131" s="512" t="n"/>
      <c r="H131" s="512" t="n"/>
      <c r="I131" s="512" t="n"/>
      <c r="J131" s="513" t="n"/>
      <c r="K131" s="512" t="n"/>
      <c r="L131" s="512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514" t="n"/>
      <c r="AA131" s="514" t="n"/>
      <c r="AB131" s="514" t="n"/>
      <c r="AC131" s="514" t="n"/>
      <c r="AD131" s="514" t="n"/>
      <c r="AE131" s="514" t="n"/>
      <c r="AF131" s="514" t="n"/>
      <c r="AG131" s="514" t="n"/>
      <c r="AH131" s="512" t="n"/>
      <c r="AI131" s="533" t="n"/>
      <c r="AJ131" s="512" t="n"/>
      <c r="AK131" s="512" t="n"/>
      <c r="AL131" s="512" t="n"/>
      <c r="AM131" s="512" t="n"/>
      <c r="AN131" s="512" t="n"/>
      <c r="AO131" s="512" t="n"/>
      <c r="AP131" s="512" t="n"/>
      <c r="AQ131" s="512" t="n"/>
      <c r="AR131" s="512" t="n"/>
      <c r="AS131" s="512" t="n"/>
      <c r="AT131" s="512" t="n"/>
      <c r="AU131" s="512" t="n"/>
      <c r="AV131" s="512" t="n"/>
      <c r="AW131" s="512" t="n"/>
      <c r="AX131" s="512" t="n"/>
      <c r="AY131" s="512" t="n"/>
      <c r="AZ131" s="512" t="n"/>
      <c r="BA131" s="512" t="n"/>
      <c r="BB131" s="512" t="n"/>
      <c r="BC131" s="512" t="n"/>
      <c r="BD131" s="515" t="n"/>
      <c r="BE131" s="512" t="n"/>
      <c r="BF131" s="512" t="n"/>
      <c r="BG131" s="512" t="n"/>
      <c r="BH131" s="512" t="n"/>
      <c r="BI131" s="512" t="n"/>
      <c r="BJ131" s="512" t="n"/>
      <c r="BK131" s="512" t="n"/>
      <c r="BL131" s="512" t="n"/>
      <c r="BM131" s="512" t="n"/>
      <c r="BN131" s="512" t="n"/>
      <c r="BO131" s="512" t="n"/>
      <c r="BP131" s="515" t="n"/>
      <c r="BQ131" s="512" t="n"/>
      <c r="BR131" s="512" t="n"/>
      <c r="BS131" s="512" t="n"/>
      <c r="BT131" s="512" t="n"/>
      <c r="BU131" s="512" t="n"/>
      <c r="BV131" s="512" t="n"/>
      <c r="BW131" s="512" t="n"/>
      <c r="BX131" s="512" t="n"/>
      <c r="BY131" s="512" t="n"/>
      <c r="BZ131" s="512" t="n"/>
      <c r="CA131" s="512" t="n"/>
      <c r="CB131" s="515" t="n"/>
      <c r="CC131" s="512" t="n"/>
      <c r="CD131" s="512" t="n"/>
      <c r="CE131" s="512" t="n"/>
      <c r="CF131" s="512" t="n"/>
      <c r="CG131" s="512" t="n"/>
      <c r="CH131" s="512" t="n"/>
      <c r="CI131" s="512" t="n"/>
      <c r="CJ131" s="512" t="n"/>
      <c r="CK131" s="512" t="n"/>
      <c r="CL131" s="512" t="n"/>
      <c r="CM131" s="512" t="n"/>
      <c r="CN131" s="515" t="n"/>
      <c r="CO131" s="512" t="n"/>
      <c r="CP131" s="512" t="n"/>
      <c r="CQ131" s="512" t="n"/>
      <c r="CR131" s="512" t="n"/>
      <c r="CS131" s="512" t="n"/>
      <c r="CT131" s="512" t="n"/>
      <c r="CU131" s="512" t="n"/>
      <c r="CV131" s="512" t="n"/>
      <c r="CW131" s="512" t="n"/>
      <c r="CX131" s="512" t="n"/>
      <c r="CY131" s="512" t="n"/>
      <c r="CZ131" s="515" t="n"/>
      <c r="DA131" s="512" t="n"/>
      <c r="DB131" s="512" t="n"/>
      <c r="DC131" s="512" t="n"/>
      <c r="DD131" s="512" t="n"/>
      <c r="DE131" s="512" t="n"/>
      <c r="DF131" s="512" t="n"/>
      <c r="DG131" s="512" t="n"/>
      <c r="DH131" s="512" t="n"/>
      <c r="DI131" s="512" t="n"/>
      <c r="DJ131" s="512" t="n"/>
      <c r="DK131" s="512" t="n"/>
      <c r="DL131" s="512" t="n"/>
      <c r="DM131" s="512" t="n"/>
      <c r="DN131" s="512" t="n"/>
      <c r="DO131" s="512" t="n"/>
      <c r="DP131" s="512" t="n"/>
      <c r="DQ131" s="512" t="n"/>
      <c r="DR131" s="512" t="n"/>
      <c r="DS131" s="512" t="n"/>
      <c r="DT131" s="512" t="n"/>
      <c r="DU131" s="512" t="n"/>
      <c r="DV131" s="512" t="n"/>
      <c r="DW131" s="512" t="n"/>
      <c r="DX131" s="512" t="n"/>
      <c r="DY131" s="512" t="n"/>
      <c r="DZ131" s="512" t="n"/>
      <c r="EA131" s="512" t="n"/>
      <c r="EB131" s="512" t="n"/>
      <c r="EC131" s="512" t="n"/>
      <c r="ED131" s="512" t="n"/>
      <c r="EE131" s="512" t="n"/>
      <c r="EF131" s="512" t="n"/>
      <c r="EG131" s="512" t="n"/>
      <c r="EH131" s="512" t="n"/>
      <c r="EI131" s="512" t="n"/>
      <c r="EJ131" s="512" t="n"/>
      <c r="EK131" s="512" t="n"/>
      <c r="EL131" s="512" t="n"/>
      <c r="EM131" s="512" t="n"/>
      <c r="EN131" s="512" t="n"/>
      <c r="EO131" s="512" t="n"/>
      <c r="EP131" s="512" t="n"/>
      <c r="EQ131" s="512" t="n"/>
      <c r="ER131" s="512" t="n"/>
      <c r="ES131" s="512" t="n"/>
      <c r="ET131" s="512" t="n"/>
      <c r="EU131" s="512" t="n"/>
      <c r="EV131" s="512" t="n"/>
      <c r="EW131" s="512" t="n"/>
      <c r="EX131" s="512" t="n"/>
      <c r="EY131" s="512" t="n"/>
      <c r="EZ131" s="512" t="n"/>
      <c r="FA131" s="512" t="n"/>
      <c r="FB131" s="512" t="n"/>
      <c r="FC131" s="512" t="n"/>
      <c r="FD131" s="512" t="n"/>
      <c r="FE131" s="512" t="n"/>
      <c r="FF131" s="512" t="n"/>
      <c r="FG131" s="512" t="n"/>
      <c r="FH131" s="512" t="n"/>
      <c r="FI131" s="512" t="n"/>
      <c r="FJ131" s="512" t="n"/>
      <c r="FK131" s="512" t="n"/>
      <c r="FL131" s="512" t="n"/>
      <c r="FM131" s="512" t="n"/>
      <c r="FN131" s="512" t="n"/>
      <c r="FO131" s="512" t="n"/>
      <c r="FP131" s="512" t="n"/>
      <c r="FQ131" s="512" t="n"/>
      <c r="FR131" s="512" t="n"/>
      <c r="FS131" s="512" t="n"/>
      <c r="FT131" s="512" t="n"/>
      <c r="FU131" s="512" t="n"/>
      <c r="FV131" s="512" t="n"/>
      <c r="FW131" s="512" t="n"/>
      <c r="FX131" s="512" t="n"/>
      <c r="FY131" s="512" t="n"/>
      <c r="FZ131" s="512" t="n"/>
      <c r="GA131" s="512" t="n"/>
      <c r="GB131" s="512" t="n"/>
      <c r="GC131" s="512" t="n"/>
      <c r="GD131" s="512" t="n"/>
      <c r="GE131" s="512" t="n"/>
      <c r="GF131" s="512" t="n"/>
      <c r="GG131" s="512" t="n"/>
      <c r="GH131" s="512" t="n"/>
      <c r="GI131" s="512" t="n"/>
      <c r="GJ131" s="512" t="n"/>
      <c r="GK131" s="512" t="n"/>
      <c r="GL131" s="512" t="n"/>
      <c r="GM131" s="512" t="n"/>
      <c r="GN131" s="512" t="n"/>
      <c r="GO131" s="512" t="n"/>
      <c r="GP131" s="512" t="n"/>
      <c r="GQ131" s="512" t="n"/>
      <c r="GR131" s="512" t="n"/>
      <c r="GS131" s="512" t="n"/>
      <c r="GT131" s="512" t="n"/>
      <c r="GU131" s="512" t="n"/>
      <c r="GV131" s="512" t="n"/>
      <c r="GW131" s="512" t="n"/>
      <c r="GX131" s="512" t="n"/>
      <c r="GY131" s="512" t="n"/>
      <c r="GZ131" s="512" t="n"/>
      <c r="HA131" s="512" t="n"/>
      <c r="HB131" s="512" t="n"/>
      <c r="HC131" s="512" t="n"/>
      <c r="HD131" s="512" t="n"/>
      <c r="HE131" s="512" t="n"/>
      <c r="HF131" s="512" t="n"/>
      <c r="HG131" s="512" t="n"/>
      <c r="HH131" s="512" t="n"/>
      <c r="HI131" s="512" t="n"/>
      <c r="HJ131" s="512" t="n"/>
      <c r="HK131" s="512" t="n"/>
      <c r="HL131" s="512" t="n"/>
      <c r="HM131" s="512" t="n"/>
      <c r="HN131" s="512" t="n"/>
      <c r="HO131" s="512" t="n"/>
      <c r="HP131" s="512" t="n"/>
      <c r="HQ131" s="512" t="n"/>
      <c r="HR131" s="512" t="n"/>
      <c r="HS131" s="512" t="n"/>
      <c r="HT131" s="512" t="n"/>
      <c r="HU131" s="512" t="n"/>
    </row>
    <row r="132" ht="16.2" customHeight="1">
      <c r="A132" s="19" t="inlineStr">
        <is>
          <t>OUTRAS DESPESAS (-)</t>
        </is>
      </c>
      <c r="B132" s="139" t="n"/>
      <c r="C132" s="20" t="n"/>
      <c r="D132" s="22" t="n"/>
      <c r="E132" s="20" t="n"/>
      <c r="F132" s="20" t="n"/>
      <c r="G132" s="20" t="n"/>
      <c r="H132" s="20" t="n"/>
      <c r="I132" s="21" t="n"/>
      <c r="J132" s="175" t="n"/>
      <c r="K132" s="21" t="n"/>
      <c r="L132" s="108" t="n"/>
      <c r="M132" s="220" t="n"/>
      <c r="N132" s="220" t="n"/>
      <c r="O132" s="220" t="n"/>
      <c r="P132" s="220" t="n"/>
      <c r="Q132" s="220" t="n"/>
      <c r="R132" s="220" t="n"/>
      <c r="S132" s="220" t="n"/>
      <c r="T132" s="220" t="n"/>
      <c r="U132" s="220" t="n"/>
      <c r="V132" s="220" t="n"/>
      <c r="W132" s="220" t="n"/>
      <c r="X132" s="220" t="n"/>
      <c r="Y132" s="220" t="n"/>
      <c r="Z132" s="220" t="n"/>
      <c r="AA132" s="220" t="n"/>
      <c r="AB132" s="220" t="n"/>
      <c r="AC132" s="220" t="n"/>
      <c r="AD132" s="220" t="n"/>
      <c r="AE132" s="220" t="n"/>
      <c r="AF132" s="220" t="n"/>
      <c r="AG132" s="220" t="n"/>
      <c r="AH132" s="200" t="n"/>
      <c r="AI132" s="241" t="n"/>
      <c r="AJ132" s="200" t="n"/>
      <c r="AK132" s="20" t="n"/>
      <c r="AL132" s="20" t="n"/>
      <c r="AM132" s="20" t="n"/>
      <c r="AN132" s="20" t="n"/>
      <c r="AO132" s="20" t="n"/>
      <c r="AP132" s="20" t="n"/>
      <c r="AQ132" s="21" t="n"/>
      <c r="AR132" s="21" t="n"/>
      <c r="AS132" s="20" t="n"/>
      <c r="AT132" s="20" t="n"/>
      <c r="AU132" s="20" t="n"/>
      <c r="AV132" s="20" t="n"/>
      <c r="AW132" s="20" t="n"/>
      <c r="AX132" s="20" t="n"/>
      <c r="AY132" s="20" t="n"/>
      <c r="AZ132" s="20" t="n"/>
      <c r="BA132" s="20" t="n"/>
      <c r="BB132" s="20" t="n"/>
      <c r="BC132" s="20" t="n"/>
      <c r="BD132" s="299" t="n"/>
      <c r="BE132" s="22" t="n"/>
      <c r="BF132" s="20" t="n"/>
      <c r="BG132" s="20" t="n"/>
      <c r="BH132" s="20" t="n"/>
      <c r="BI132" s="20" t="n"/>
      <c r="BJ132" s="20" t="n"/>
      <c r="BK132" s="20" t="n"/>
      <c r="BL132" s="20" t="n"/>
      <c r="BM132" s="20" t="n"/>
      <c r="BN132" s="20" t="n"/>
      <c r="BO132" s="20" t="n"/>
      <c r="BP132" s="299" t="n"/>
      <c r="BQ132" s="22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99" t="n"/>
      <c r="CC132" s="22" t="n"/>
      <c r="CD132" s="20" t="n"/>
      <c r="CE132" s="20" t="n"/>
      <c r="CF132" s="20" t="n"/>
      <c r="CG132" s="20" t="n"/>
      <c r="CH132" s="20" t="n"/>
      <c r="CI132" s="20" t="n"/>
      <c r="CJ132" s="20" t="n"/>
      <c r="CK132" s="20" t="n"/>
      <c r="CL132" s="20" t="n"/>
      <c r="CM132" s="20" t="n"/>
      <c r="CN132" s="299" t="n"/>
      <c r="CO132" s="22" t="n"/>
      <c r="CP132" s="20" t="n"/>
      <c r="CQ132" s="20" t="n"/>
      <c r="CR132" s="20" t="n"/>
      <c r="CS132" s="20" t="n"/>
      <c r="CT132" s="20" t="n"/>
      <c r="CU132" s="20" t="n"/>
      <c r="CV132" s="20" t="n"/>
      <c r="CW132" s="20" t="n"/>
      <c r="CX132" s="20" t="n"/>
      <c r="CY132" s="20" t="n"/>
      <c r="CZ132" s="299" t="n"/>
      <c r="DA132" s="22" t="n"/>
      <c r="DB132" s="20" t="n"/>
      <c r="DC132" s="20" t="n"/>
      <c r="DD132" s="20" t="n"/>
      <c r="DE132" s="20" t="n"/>
      <c r="DF132" s="20" t="n"/>
      <c r="DG132" s="20" t="n"/>
      <c r="DH132" s="20" t="n"/>
      <c r="DI132" s="20" t="n"/>
      <c r="DJ132" s="21" t="n"/>
      <c r="DK132" s="20" t="n"/>
      <c r="DL132" s="21" t="n"/>
      <c r="DM132" s="20" t="n"/>
      <c r="DN132" s="21" t="n"/>
      <c r="DO132" s="21" t="n"/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n"/>
      <c r="DZ132" s="21" t="n"/>
      <c r="EA132" s="21" t="n"/>
      <c r="EB132" s="21" t="n"/>
      <c r="EC132" s="21" t="n"/>
      <c r="ED132" s="21" t="n"/>
      <c r="EE132" s="21" t="n"/>
      <c r="EF132" s="21" t="n"/>
      <c r="EG132" s="21" t="n"/>
      <c r="EH132" s="21" t="n"/>
      <c r="EI132" s="21" t="n"/>
      <c r="EJ132" s="21" t="n"/>
      <c r="EK132" s="21" t="n"/>
      <c r="EL132" s="21" t="n"/>
      <c r="EM132" s="21" t="n"/>
      <c r="EN132" s="21" t="n"/>
      <c r="EO132" s="21" t="n"/>
      <c r="EP132" s="21" t="n"/>
      <c r="EQ132" s="21" t="n"/>
      <c r="ER132" s="21" t="n"/>
      <c r="ES132" s="21" t="n"/>
      <c r="ET132" s="21" t="n"/>
      <c r="EU132" s="21" t="n"/>
      <c r="EV132" s="21" t="n"/>
      <c r="EW132" s="21" t="n"/>
      <c r="EX132" s="21" t="n"/>
      <c r="EY132" s="21" t="n"/>
      <c r="EZ132" s="21" t="n"/>
      <c r="FA132" s="21" t="n"/>
      <c r="FB132" s="21" t="n"/>
      <c r="FC132" s="21" t="n"/>
      <c r="FD132" s="21" t="n"/>
      <c r="FE132" s="21" t="n"/>
      <c r="FF132" s="21" t="n"/>
      <c r="FG132" s="21" t="n"/>
      <c r="FH132" s="21" t="n"/>
      <c r="FI132" s="21" t="n"/>
      <c r="FJ132" s="21" t="n"/>
      <c r="FK132" s="21" t="n"/>
      <c r="FL132" s="21" t="n"/>
      <c r="FM132" s="21" t="n"/>
      <c r="FN132" s="21" t="n"/>
      <c r="FO132" s="21" t="n"/>
      <c r="FP132" s="21" t="n"/>
      <c r="FQ132" s="21" t="n"/>
      <c r="FR132" s="21" t="n"/>
      <c r="FS132" s="21" t="n"/>
      <c r="FT132" s="21" t="n"/>
      <c r="FU132" s="21" t="n"/>
      <c r="FV132" s="21" t="n"/>
      <c r="FW132" s="21" t="n"/>
      <c r="FX132" s="21" t="n"/>
      <c r="FY132" s="21" t="n"/>
      <c r="FZ132" s="21" t="n"/>
      <c r="GA132" s="21" t="n"/>
      <c r="GB132" s="21" t="n"/>
      <c r="GC132" s="21" t="n"/>
      <c r="GD132" s="21" t="n"/>
      <c r="GE132" s="21" t="n"/>
      <c r="GF132" s="21" t="n"/>
      <c r="GG132" s="21" t="n"/>
      <c r="GH132" s="21" t="n"/>
      <c r="GI132" s="21" t="n"/>
      <c r="GJ132" s="21" t="n"/>
      <c r="GK132" s="21" t="n"/>
      <c r="GL132" s="21" t="n"/>
      <c r="GM132" s="21" t="n"/>
      <c r="GN132" s="21" t="n"/>
      <c r="GO132" s="21" t="n"/>
      <c r="GP132" s="21" t="n"/>
      <c r="GQ132" s="21" t="n"/>
      <c r="GR132" s="21" t="n"/>
      <c r="GS132" s="21" t="n"/>
      <c r="GT132" s="21" t="n"/>
      <c r="GU132" s="21" t="n"/>
      <c r="GV132" s="21" t="n"/>
      <c r="GW132" s="21" t="n"/>
      <c r="GX132" s="21" t="n"/>
      <c r="GY132" s="21" t="n"/>
      <c r="GZ132" s="21" t="n"/>
      <c r="HA132" s="21" t="n"/>
      <c r="HB132" s="21" t="n"/>
      <c r="HC132" s="21" t="n"/>
      <c r="HD132" s="21" t="n"/>
      <c r="HE132" s="21" t="n"/>
      <c r="HF132" s="21" t="n"/>
      <c r="HG132" s="21" t="n"/>
      <c r="HH132" s="21" t="n"/>
      <c r="HI132" s="21" t="n"/>
      <c r="HJ132" s="21" t="n"/>
      <c r="HK132" s="21" t="n"/>
      <c r="HL132" s="21" t="n"/>
      <c r="HM132" s="21" t="n"/>
      <c r="HN132" s="21" t="n"/>
      <c r="HO132" s="21" t="n"/>
      <c r="HP132" s="21" t="n"/>
      <c r="HQ132" s="21" t="n"/>
      <c r="HR132" s="21" t="n"/>
      <c r="HS132" s="21" t="n"/>
      <c r="HT132" s="21" t="n"/>
      <c r="HU132" s="21" t="n"/>
    </row>
    <row r="133" ht="16.2" customHeight="1">
      <c r="A133" s="58" t="inlineStr">
        <is>
          <t>Outras Despesas (adm)</t>
        </is>
      </c>
      <c r="B133" s="136" t="n"/>
      <c r="C133" s="33" t="n"/>
      <c r="D133" s="76" t="n"/>
      <c r="E133" s="33" t="n"/>
      <c r="F133" s="33" t="n"/>
      <c r="G133" s="33" t="n"/>
      <c r="H133" s="33" t="n"/>
      <c r="I133" s="75" t="n"/>
      <c r="J133" s="223" t="n"/>
      <c r="K133" s="119" t="n"/>
      <c r="L133" s="122" t="n"/>
      <c r="M133" s="219" t="n"/>
      <c r="N133" s="219" t="n"/>
      <c r="O133" s="219" t="n"/>
      <c r="P133" s="219" t="n"/>
      <c r="Q133" s="219" t="n"/>
      <c r="R133" s="219" t="n"/>
      <c r="S133" s="219" t="n"/>
      <c r="T133" s="219" t="n"/>
      <c r="U133" s="219" t="n"/>
      <c r="V133" s="219" t="n"/>
      <c r="W133" s="219" t="n"/>
      <c r="X133" s="219" t="n"/>
      <c r="Y133" s="219" t="n"/>
      <c r="Z133" s="219" t="n"/>
      <c r="AA133" s="219" t="n"/>
      <c r="AB133" s="219" t="n"/>
      <c r="AC133" s="219" t="n"/>
      <c r="AD133" s="219" t="n"/>
      <c r="AE133" s="219" t="n"/>
      <c r="AF133" s="219" t="n"/>
      <c r="AG133" s="219" t="n"/>
      <c r="AH133" s="13" t="n"/>
      <c r="AI133" s="345" t="n"/>
      <c r="AJ133" s="13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  <c r="BV133" s="76" t="n"/>
      <c r="BW133" s="76" t="n"/>
      <c r="BX133" s="76" t="n"/>
      <c r="BY133" s="76" t="n"/>
      <c r="BZ133" s="76" t="n"/>
      <c r="CA133" s="76" t="n"/>
      <c r="CB133" s="76" t="n"/>
      <c r="CC133" s="76" t="n"/>
      <c r="CD133" s="76" t="n"/>
      <c r="CE133" s="76" t="n"/>
      <c r="CF133" s="76" t="n"/>
      <c r="CG133" s="76" t="n"/>
      <c r="CH133" s="76" t="n"/>
      <c r="CI133" s="76" t="n"/>
      <c r="CJ133" s="76" t="n"/>
      <c r="CK133" s="76" t="n"/>
      <c r="CL133" s="76" t="n"/>
      <c r="CM133" s="76" t="n"/>
      <c r="CN133" s="76" t="n"/>
      <c r="CO133" s="76" t="n"/>
      <c r="CP133" s="76" t="n"/>
      <c r="CQ133" s="76" t="n"/>
      <c r="CR133" s="76" t="n"/>
      <c r="CS133" s="76" t="n"/>
      <c r="CT133" s="76" t="n"/>
      <c r="CU133" s="76" t="n"/>
      <c r="CV133" s="76" t="n"/>
      <c r="CW133" s="76" t="n"/>
      <c r="CX133" s="76" t="n"/>
      <c r="CY133" s="76" t="n"/>
      <c r="CZ133" s="76" t="n"/>
      <c r="DA133" s="76" t="n"/>
      <c r="DB133" s="76" t="n"/>
      <c r="DC133" s="76" t="n"/>
      <c r="DD133" s="76" t="n"/>
      <c r="DE133" s="76" t="n"/>
      <c r="DF133" s="76" t="n"/>
      <c r="DG133" s="76" t="n"/>
      <c r="DH133" s="76" t="n"/>
      <c r="DI133" s="76" t="n"/>
      <c r="DJ133" s="76" t="n"/>
      <c r="DK133" s="76" t="n"/>
      <c r="DL133" s="76" t="n"/>
      <c r="DM133" s="76" t="n"/>
      <c r="DN133" s="76" t="n"/>
      <c r="DO133" s="76" t="n"/>
      <c r="DP133" s="76" t="n"/>
      <c r="DQ133" s="76" t="n"/>
      <c r="DR133" s="76" t="n"/>
      <c r="DS133" s="76" t="n"/>
      <c r="DT133" s="76" t="n"/>
      <c r="DU133" s="76" t="n"/>
      <c r="DV133" s="76" t="n"/>
      <c r="DW133" s="76" t="n"/>
      <c r="DX133" s="76" t="n"/>
      <c r="DY133" s="76" t="n"/>
      <c r="DZ133" s="76" t="n"/>
      <c r="EA133" s="76" t="n"/>
      <c r="EB133" s="76" t="n"/>
      <c r="EC133" s="76" t="n"/>
      <c r="ED133" s="76" t="n"/>
      <c r="EE133" s="76" t="n"/>
      <c r="EF133" s="76" t="n"/>
      <c r="EG133" s="76" t="n"/>
      <c r="EH133" s="76" t="n"/>
      <c r="EI133" s="76" t="n"/>
      <c r="EJ133" s="76" t="n"/>
      <c r="EK133" s="76" t="n"/>
      <c r="EL133" s="76" t="n"/>
      <c r="EM133" s="76" t="n"/>
      <c r="EN133" s="76" t="n"/>
      <c r="EO133" s="76" t="n"/>
      <c r="EP133" s="76" t="n"/>
      <c r="EQ133" s="76" t="n"/>
      <c r="ER133" s="76" t="n"/>
      <c r="ES133" s="76" t="n"/>
      <c r="ET133" s="76" t="n"/>
      <c r="EU133" s="76" t="n"/>
      <c r="EV133" s="76" t="n"/>
      <c r="EW133" s="76" t="n"/>
      <c r="EX133" s="76" t="n"/>
      <c r="EY133" s="76" t="n"/>
      <c r="EZ133" s="76" t="n"/>
      <c r="FA133" s="76" t="n"/>
      <c r="FB133" s="76" t="n"/>
      <c r="FC133" s="76" t="n"/>
      <c r="FD133" s="76" t="n"/>
      <c r="FE133" s="76" t="n"/>
      <c r="FF133" s="76" t="n"/>
      <c r="FG133" s="76" t="n"/>
      <c r="FH133" s="76" t="n"/>
      <c r="FI133" s="76" t="n"/>
      <c r="FJ133" s="76" t="n"/>
      <c r="FK133" s="76" t="n"/>
      <c r="FL133" s="76" t="n"/>
      <c r="FM133" s="76" t="n"/>
      <c r="FN133" s="76" t="n"/>
      <c r="FO133" s="76" t="n"/>
      <c r="FP133" s="76" t="n"/>
      <c r="FQ133" s="76" t="n"/>
      <c r="FR133" s="76" t="n"/>
      <c r="FS133" s="76" t="n"/>
      <c r="FT133" s="76" t="n"/>
      <c r="FU133" s="76" t="n"/>
      <c r="FV133" s="76" t="n"/>
      <c r="FW133" s="76" t="n"/>
      <c r="FX133" s="76" t="n"/>
      <c r="FY133" s="76" t="n"/>
      <c r="FZ133" s="76" t="n"/>
      <c r="GA133" s="76" t="n"/>
      <c r="GB133" s="76" t="n"/>
      <c r="GC133" s="76" t="n"/>
      <c r="GD133" s="76" t="n"/>
      <c r="GE133" s="76" t="n"/>
      <c r="GF133" s="76" t="n"/>
      <c r="GG133" s="76" t="n"/>
      <c r="GH133" s="76" t="n"/>
      <c r="GI133" s="76" t="n"/>
      <c r="GJ133" s="76" t="n"/>
      <c r="GK133" s="76" t="n"/>
      <c r="GL133" s="76" t="n"/>
      <c r="GM133" s="76" t="n"/>
      <c r="GN133" s="76" t="n"/>
      <c r="GO133" s="76" t="n"/>
      <c r="GP133" s="76" t="n"/>
      <c r="GQ133" s="76" t="n"/>
      <c r="GR133" s="76" t="n"/>
      <c r="GS133" s="76" t="n"/>
      <c r="GT133" s="76" t="n"/>
      <c r="GU133" s="76" t="n"/>
      <c r="GV133" s="76" t="n"/>
      <c r="GW133" s="76" t="n"/>
      <c r="GX133" s="76" t="n"/>
      <c r="GY133" s="76" t="n"/>
      <c r="GZ133" s="76" t="n"/>
      <c r="HA133" s="76" t="n"/>
      <c r="HB133" s="76" t="n"/>
      <c r="HC133" s="76" t="n"/>
      <c r="HD133" s="76" t="n"/>
      <c r="HE133" s="76" t="n"/>
      <c r="HF133" s="76" t="n"/>
      <c r="HG133" s="76" t="n"/>
      <c r="HH133" s="76" t="n"/>
      <c r="HI133" s="76" t="n"/>
      <c r="HJ133" s="76" t="n"/>
      <c r="HK133" s="76" t="n"/>
      <c r="HL133" s="76" t="n"/>
      <c r="HM133" s="76" t="n"/>
      <c r="HN133" s="76" t="n"/>
      <c r="HO133" s="76" t="n"/>
      <c r="HP133" s="76" t="n"/>
      <c r="HQ133" s="76" t="n"/>
      <c r="HR133" s="76" t="n"/>
      <c r="HS133" s="76" t="n"/>
      <c r="HT133" s="76" t="n"/>
      <c r="HU133" s="76" t="n"/>
    </row>
    <row r="134" ht="6" customHeight="1">
      <c r="A134" s="23" t="n"/>
      <c r="B134" s="265" t="n"/>
      <c r="C134" s="105" t="n"/>
      <c r="D134" s="104" t="n"/>
      <c r="E134" s="105" t="n"/>
      <c r="F134" s="105" t="n"/>
      <c r="G134" s="105" t="n"/>
      <c r="H134" s="105" t="n"/>
      <c r="I134" s="106" t="n"/>
      <c r="J134" s="180" t="n"/>
      <c r="K134" s="105" t="n"/>
      <c r="L134" s="105" t="n"/>
      <c r="M134" s="181" t="n"/>
      <c r="N134" s="181" t="n"/>
      <c r="O134" s="181" t="n"/>
      <c r="P134" s="181" t="n"/>
      <c r="Q134" s="181" t="n"/>
      <c r="R134" s="181" t="n"/>
      <c r="S134" s="181" t="n"/>
      <c r="T134" s="181" t="n"/>
      <c r="U134" s="181" t="n"/>
      <c r="V134" s="181" t="n"/>
      <c r="W134" s="181" t="n"/>
      <c r="X134" s="181" t="n"/>
      <c r="Y134" s="181" t="n"/>
      <c r="Z134" s="181" t="n"/>
      <c r="AA134" s="181" t="n"/>
      <c r="AB134" s="181" t="n"/>
      <c r="AC134" s="181" t="n"/>
      <c r="AD134" s="181" t="n"/>
      <c r="AE134" s="181" t="n"/>
      <c r="AF134" s="181" t="n"/>
      <c r="AG134" s="181" t="n"/>
      <c r="AH134" s="13" t="n"/>
      <c r="AI134" s="345" t="n"/>
      <c r="AJ134" s="13" t="n"/>
      <c r="AK134" s="105" t="n"/>
      <c r="AL134" s="105" t="n"/>
      <c r="AM134" s="105" t="n"/>
      <c r="AN134" s="105" t="n"/>
      <c r="AO134" s="105" t="n"/>
      <c r="AP134" s="105" t="n"/>
      <c r="AQ134" s="106" t="n"/>
      <c r="AR134" s="106" t="n"/>
      <c r="AS134" s="105" t="n"/>
      <c r="AT134" s="105" t="n"/>
      <c r="AU134" s="105" t="n"/>
      <c r="AV134" s="105" t="n"/>
      <c r="AW134" s="105" t="n"/>
      <c r="AX134" s="105" t="n"/>
      <c r="AY134" s="105" t="n"/>
      <c r="AZ134" s="105" t="n"/>
      <c r="BA134" s="105" t="n"/>
      <c r="BB134" s="105" t="n"/>
      <c r="BC134" s="105" t="n"/>
      <c r="BD134" s="304" t="n"/>
      <c r="BE134" s="104" t="n"/>
      <c r="BF134" s="105" t="n"/>
      <c r="BG134" s="105" t="n"/>
      <c r="BH134" s="105" t="n"/>
      <c r="BI134" s="105" t="n"/>
      <c r="BJ134" s="105" t="n"/>
      <c r="BK134" s="105" t="n"/>
      <c r="BL134" s="105" t="n"/>
      <c r="BM134" s="105" t="n"/>
      <c r="BN134" s="105" t="n"/>
      <c r="BO134" s="105" t="n"/>
      <c r="BP134" s="304" t="n"/>
      <c r="BQ134" s="104" t="n"/>
      <c r="BR134" s="105" t="n"/>
      <c r="BS134" s="105" t="n"/>
      <c r="BT134" s="105" t="n"/>
      <c r="BU134" s="105" t="n"/>
      <c r="BV134" s="105" t="n"/>
      <c r="BW134" s="105" t="n"/>
      <c r="BX134" s="105" t="n"/>
      <c r="BY134" s="105" t="n"/>
      <c r="BZ134" s="105" t="n"/>
      <c r="CA134" s="105" t="n"/>
      <c r="CB134" s="304" t="n"/>
      <c r="CC134" s="104" t="n"/>
      <c r="CD134" s="105" t="n"/>
      <c r="CE134" s="105" t="n"/>
      <c r="CF134" s="105" t="n"/>
      <c r="CG134" s="105" t="n"/>
      <c r="CH134" s="105" t="n"/>
      <c r="CI134" s="105" t="n"/>
      <c r="CJ134" s="105" t="n"/>
      <c r="CK134" s="105" t="n"/>
      <c r="CL134" s="105" t="n"/>
      <c r="CM134" s="105" t="n"/>
      <c r="CN134" s="304" t="n"/>
      <c r="CO134" s="104" t="n"/>
      <c r="CP134" s="105" t="n"/>
      <c r="CQ134" s="105" t="n"/>
      <c r="CR134" s="105" t="n"/>
      <c r="CS134" s="105" t="n"/>
      <c r="CT134" s="105" t="n"/>
      <c r="CU134" s="105" t="n"/>
      <c r="CV134" s="105" t="n"/>
      <c r="CW134" s="105" t="n"/>
      <c r="CX134" s="105" t="n"/>
      <c r="CY134" s="105" t="n"/>
      <c r="CZ134" s="304" t="n"/>
      <c r="DA134" s="104" t="n"/>
      <c r="DB134" s="105" t="n"/>
      <c r="DC134" s="105" t="n"/>
      <c r="DD134" s="105" t="n"/>
      <c r="DE134" s="105" t="n"/>
      <c r="DF134" s="105" t="n"/>
      <c r="DG134" s="105" t="n"/>
      <c r="DH134" s="105" t="n"/>
      <c r="DI134" s="105" t="n"/>
      <c r="DJ134" s="106" t="n"/>
      <c r="DK134" s="105" t="n"/>
      <c r="DL134" s="106" t="n"/>
      <c r="DM134" s="105" t="n"/>
      <c r="DN134" s="106" t="n"/>
      <c r="DO134" s="106" t="n"/>
      <c r="DP134" s="106" t="n"/>
      <c r="DQ134" s="106" t="n"/>
      <c r="DR134" s="106" t="n"/>
      <c r="DS134" s="106" t="n"/>
      <c r="DT134" s="106" t="n"/>
      <c r="DU134" s="106" t="n"/>
      <c r="DV134" s="106" t="n"/>
      <c r="DW134" s="106" t="n"/>
      <c r="DX134" s="106" t="n"/>
      <c r="DY134" s="106" t="n"/>
      <c r="DZ134" s="106" t="n"/>
      <c r="EA134" s="106" t="n"/>
      <c r="EB134" s="106" t="n"/>
      <c r="EC134" s="106" t="n"/>
      <c r="ED134" s="106" t="n"/>
      <c r="EE134" s="106" t="n"/>
      <c r="EF134" s="106" t="n"/>
      <c r="EG134" s="106" t="n"/>
      <c r="EH134" s="106" t="n"/>
      <c r="EI134" s="106" t="n"/>
      <c r="EJ134" s="106" t="n"/>
      <c r="EK134" s="106" t="n"/>
      <c r="EL134" s="106" t="n"/>
      <c r="EM134" s="106" t="n"/>
      <c r="EN134" s="106" t="n"/>
      <c r="EO134" s="106" t="n"/>
      <c r="EP134" s="106" t="n"/>
      <c r="EQ134" s="106" t="n"/>
      <c r="ER134" s="106" t="n"/>
      <c r="ES134" s="106" t="n"/>
      <c r="ET134" s="106" t="n"/>
      <c r="EU134" s="106" t="n"/>
      <c r="EV134" s="106" t="n"/>
      <c r="EW134" s="106" t="n"/>
      <c r="EX134" s="106" t="n"/>
      <c r="EY134" s="106" t="n"/>
      <c r="EZ134" s="106" t="n"/>
      <c r="FA134" s="106" t="n"/>
      <c r="FB134" s="106" t="n"/>
      <c r="FC134" s="106" t="n"/>
      <c r="FD134" s="106" t="n"/>
      <c r="FE134" s="106" t="n"/>
      <c r="FF134" s="106" t="n"/>
      <c r="FG134" s="106" t="n"/>
      <c r="FH134" s="106" t="n"/>
      <c r="FI134" s="106" t="n"/>
      <c r="FJ134" s="106" t="n"/>
      <c r="FK134" s="106" t="n"/>
      <c r="FL134" s="106" t="n"/>
      <c r="FM134" s="106" t="n"/>
      <c r="FN134" s="106" t="n"/>
      <c r="FO134" s="106" t="n"/>
      <c r="FP134" s="106" t="n"/>
      <c r="FQ134" s="106" t="n"/>
      <c r="FR134" s="106" t="n"/>
      <c r="FS134" s="106" t="n"/>
      <c r="FT134" s="106" t="n"/>
      <c r="FU134" s="106" t="n"/>
      <c r="FV134" s="106" t="n"/>
      <c r="FW134" s="106" t="n"/>
      <c r="FX134" s="106" t="n"/>
      <c r="FY134" s="106" t="n"/>
      <c r="FZ134" s="106" t="n"/>
      <c r="GA134" s="106" t="n"/>
      <c r="GB134" s="106" t="n"/>
      <c r="GC134" s="106" t="n"/>
      <c r="GD134" s="106" t="n"/>
      <c r="GE134" s="106" t="n"/>
      <c r="GF134" s="106" t="n"/>
      <c r="GG134" s="106" t="n"/>
      <c r="GH134" s="106" t="n"/>
      <c r="GI134" s="106" t="n"/>
      <c r="GJ134" s="106" t="n"/>
      <c r="GK134" s="106" t="n"/>
      <c r="GL134" s="106" t="n"/>
      <c r="GM134" s="106" t="n"/>
      <c r="GN134" s="106" t="n"/>
      <c r="GO134" s="106" t="n"/>
      <c r="GP134" s="106" t="n"/>
      <c r="GQ134" s="106" t="n"/>
      <c r="GR134" s="106" t="n"/>
      <c r="GS134" s="106" t="n"/>
      <c r="GT134" s="106" t="n"/>
      <c r="GU134" s="106" t="n"/>
      <c r="GV134" s="106" t="n"/>
      <c r="GW134" s="106" t="n"/>
      <c r="GX134" s="106" t="n"/>
      <c r="GY134" s="106" t="n"/>
      <c r="GZ134" s="106" t="n"/>
      <c r="HA134" s="106" t="n"/>
      <c r="HB134" s="106" t="n"/>
      <c r="HC134" s="106" t="n"/>
      <c r="HD134" s="106" t="n"/>
      <c r="HE134" s="106" t="n"/>
      <c r="HF134" s="106" t="n"/>
      <c r="HG134" s="106" t="n"/>
      <c r="HH134" s="106" t="n"/>
      <c r="HI134" s="106" t="n"/>
      <c r="HJ134" s="106" t="n"/>
      <c r="HK134" s="106" t="n"/>
      <c r="HL134" s="106" t="n"/>
      <c r="HM134" s="106" t="n"/>
      <c r="HN134" s="106" t="n"/>
      <c r="HO134" s="106" t="n"/>
      <c r="HP134" s="106" t="n"/>
      <c r="HQ134" s="106" t="n"/>
      <c r="HR134" s="106" t="n"/>
      <c r="HS134" s="106" t="n"/>
      <c r="HT134" s="106" t="n"/>
      <c r="HU134" s="106" t="n"/>
    </row>
    <row r="135" ht="16.2" customFormat="1" customHeight="1" s="267">
      <c r="A135" s="73" t="inlineStr">
        <is>
          <t>TOTAL DE DESPESAS OPERACIONAIS (-)</t>
        </is>
      </c>
      <c r="B135" s="268" t="n"/>
      <c r="C135" s="255" t="n"/>
      <c r="D135" s="255" t="n"/>
      <c r="E135" s="255" t="n"/>
      <c r="F135" s="255" t="n"/>
      <c r="G135" s="255" t="n"/>
      <c r="H135" s="255" t="n"/>
      <c r="I135" s="255" t="n"/>
      <c r="J135" s="255" t="n"/>
      <c r="K135" s="255" t="n"/>
      <c r="L135" s="255" t="n"/>
      <c r="M135" s="255" t="n"/>
      <c r="N135" s="255" t="n"/>
      <c r="O135" s="255" t="n"/>
      <c r="P135" s="255" t="n"/>
      <c r="Q135" s="255" t="n"/>
      <c r="R135" s="255" t="n"/>
      <c r="S135" s="255" t="n"/>
      <c r="T135" s="255" t="n"/>
      <c r="U135" s="255" t="n"/>
      <c r="V135" s="255" t="n"/>
      <c r="W135" s="255" t="n"/>
      <c r="X135" s="255" t="n"/>
      <c r="Y135" s="255" t="n"/>
      <c r="Z135" s="255" t="n"/>
      <c r="AA135" s="255" t="n"/>
      <c r="AB135" s="255" t="n"/>
      <c r="AC135" s="255" t="n"/>
      <c r="AD135" s="255" t="n"/>
      <c r="AE135" s="255" t="n"/>
      <c r="AF135" s="255" t="n"/>
      <c r="AG135" s="255" t="n"/>
      <c r="AH135" s="13" t="n"/>
      <c r="AI135" s="245" t="n"/>
      <c r="AJ135" s="13" t="n"/>
      <c r="AK135" s="255" t="n"/>
      <c r="AL135" s="255" t="n"/>
      <c r="AM135" s="255" t="n"/>
      <c r="AN135" s="255" t="n"/>
      <c r="AO135" s="255" t="n"/>
      <c r="AP135" s="255" t="n"/>
      <c r="AQ135" s="255" t="n"/>
      <c r="AR135" s="255" t="n"/>
      <c r="AS135" s="255" t="n"/>
      <c r="AT135" s="255" t="n"/>
      <c r="AU135" s="255" t="n"/>
      <c r="AV135" s="255" t="n"/>
      <c r="AW135" s="255" t="n"/>
      <c r="AX135" s="255" t="n"/>
      <c r="AY135" s="255" t="n"/>
      <c r="AZ135" s="255" t="n"/>
      <c r="BA135" s="255" t="n"/>
      <c r="BB135" s="255" t="n"/>
      <c r="BC135" s="255" t="n"/>
      <c r="BD135" s="255" t="n"/>
      <c r="BE135" s="255" t="n"/>
      <c r="BF135" s="255" t="n"/>
      <c r="BG135" s="255" t="n"/>
      <c r="BH135" s="255" t="n"/>
      <c r="BI135" s="255" t="n"/>
      <c r="BJ135" s="255" t="n"/>
      <c r="BK135" s="255" t="n"/>
      <c r="BL135" s="255" t="n"/>
      <c r="BM135" s="255" t="n"/>
      <c r="BN135" s="255" t="n"/>
      <c r="BO135" s="255" t="n"/>
      <c r="BP135" s="255" t="n"/>
      <c r="BQ135" s="255" t="n"/>
      <c r="BR135" s="255" t="n"/>
      <c r="BS135" s="255" t="n"/>
      <c r="BT135" s="255" t="n"/>
      <c r="BU135" s="255" t="n"/>
      <c r="BV135" s="255" t="n"/>
      <c r="BW135" s="255" t="n"/>
      <c r="BX135" s="255" t="n"/>
      <c r="BY135" s="255" t="n"/>
      <c r="BZ135" s="255" t="n"/>
      <c r="CA135" s="255" t="n"/>
      <c r="CB135" s="255" t="n"/>
      <c r="CC135" s="255" t="n"/>
      <c r="CD135" s="255" t="n"/>
      <c r="CE135" s="255" t="n"/>
      <c r="CF135" s="255" t="n"/>
      <c r="CG135" s="255" t="n"/>
      <c r="CH135" s="255" t="n"/>
      <c r="CI135" s="255" t="n"/>
      <c r="CJ135" s="255" t="n"/>
      <c r="CK135" s="255" t="n"/>
      <c r="CL135" s="255" t="n"/>
      <c r="CM135" s="255" t="n"/>
      <c r="CN135" s="255" t="n"/>
      <c r="CO135" s="255" t="n"/>
      <c r="CP135" s="255" t="n"/>
      <c r="CQ135" s="255" t="n"/>
      <c r="CR135" s="255" t="n"/>
      <c r="CS135" s="255" t="n"/>
      <c r="CT135" s="255" t="n"/>
      <c r="CU135" s="255" t="n"/>
      <c r="CV135" s="255" t="n"/>
      <c r="CW135" s="255" t="n"/>
      <c r="CX135" s="255" t="n"/>
      <c r="CY135" s="255" t="n"/>
      <c r="CZ135" s="255" t="n"/>
      <c r="DA135" s="255" t="n"/>
      <c r="DB135" s="255" t="n"/>
      <c r="DC135" s="255" t="n"/>
      <c r="DD135" s="255" t="n"/>
      <c r="DE135" s="255" t="n"/>
      <c r="DF135" s="255" t="n"/>
      <c r="DG135" s="255" t="n"/>
      <c r="DH135" s="255" t="n"/>
      <c r="DI135" s="255" t="n"/>
      <c r="DJ135" s="255" t="n"/>
      <c r="DK135" s="255" t="n"/>
      <c r="DL135" s="255" t="n"/>
      <c r="DM135" s="255" t="n"/>
      <c r="DN135" s="255" t="n"/>
      <c r="DO135" s="255" t="n"/>
      <c r="DP135" s="255" t="n"/>
      <c r="DQ135" s="255" t="n"/>
      <c r="DR135" s="255" t="n"/>
      <c r="DS135" s="255" t="n"/>
      <c r="DT135" s="255" t="n"/>
      <c r="DU135" s="255" t="n"/>
      <c r="DV135" s="255" t="n"/>
      <c r="DW135" s="255" t="n"/>
      <c r="DX135" s="255" t="n"/>
      <c r="DY135" s="255" t="n"/>
      <c r="DZ135" s="255" t="n"/>
      <c r="EA135" s="255" t="n"/>
      <c r="EB135" s="255" t="n"/>
      <c r="EC135" s="255" t="n"/>
      <c r="ED135" s="255" t="n"/>
      <c r="EE135" s="255" t="n"/>
      <c r="EF135" s="255" t="n"/>
      <c r="EG135" s="255" t="n"/>
      <c r="EH135" s="255" t="n"/>
      <c r="EI135" s="255" t="n"/>
      <c r="EJ135" s="255" t="n"/>
      <c r="EK135" s="255" t="n"/>
      <c r="EL135" s="255" t="n"/>
      <c r="EM135" s="255" t="n"/>
      <c r="EN135" s="255" t="n"/>
      <c r="EO135" s="255" t="n"/>
      <c r="EP135" s="255" t="n"/>
      <c r="EQ135" s="255" t="n"/>
      <c r="ER135" s="255" t="n"/>
      <c r="ES135" s="255" t="n"/>
      <c r="ET135" s="255" t="n"/>
      <c r="EU135" s="255" t="n"/>
      <c r="EV135" s="255" t="n"/>
      <c r="EW135" s="255" t="n"/>
      <c r="EX135" s="255" t="n"/>
      <c r="EY135" s="255" t="n"/>
      <c r="EZ135" s="255" t="n"/>
      <c r="FA135" s="255" t="n"/>
      <c r="FB135" s="255" t="n"/>
      <c r="FC135" s="255" t="n"/>
      <c r="FD135" s="255" t="n"/>
      <c r="FE135" s="255" t="n"/>
      <c r="FF135" s="255" t="n"/>
      <c r="FG135" s="255" t="n"/>
      <c r="FH135" s="255" t="n"/>
      <c r="FI135" s="255" t="n"/>
      <c r="FJ135" s="255" t="n"/>
      <c r="FK135" s="255" t="n"/>
      <c r="FL135" s="255" t="n"/>
      <c r="FM135" s="255" t="n"/>
      <c r="FN135" s="255" t="n"/>
      <c r="FO135" s="255" t="n"/>
      <c r="FP135" s="255" t="n"/>
      <c r="FQ135" s="255" t="n"/>
      <c r="FR135" s="255" t="n"/>
      <c r="FS135" s="255" t="n"/>
      <c r="FT135" s="255" t="n"/>
      <c r="FU135" s="255" t="n"/>
      <c r="FV135" s="255" t="n"/>
      <c r="FW135" s="255" t="n"/>
      <c r="FX135" s="255" t="n"/>
      <c r="FY135" s="255" t="n"/>
      <c r="FZ135" s="255" t="n"/>
      <c r="GA135" s="255" t="n"/>
      <c r="GB135" s="255" t="n"/>
      <c r="GC135" s="255" t="n"/>
      <c r="GD135" s="255" t="n"/>
      <c r="GE135" s="255" t="n"/>
      <c r="GF135" s="255" t="n"/>
      <c r="GG135" s="255" t="n"/>
      <c r="GH135" s="255" t="n"/>
      <c r="GI135" s="255" t="n"/>
      <c r="GJ135" s="255" t="n"/>
      <c r="GK135" s="255" t="n"/>
      <c r="GL135" s="255" t="n"/>
      <c r="GM135" s="255" t="n"/>
      <c r="GN135" s="255" t="n"/>
      <c r="GO135" s="255" t="n"/>
      <c r="GP135" s="255" t="n"/>
      <c r="GQ135" s="255" t="n"/>
      <c r="GR135" s="255" t="n"/>
      <c r="GS135" s="255" t="n"/>
      <c r="GT135" s="255" t="n"/>
      <c r="GU135" s="255" t="n"/>
      <c r="GV135" s="255" t="n"/>
      <c r="GW135" s="255" t="n"/>
      <c r="GX135" s="255" t="n"/>
      <c r="GY135" s="255" t="n"/>
      <c r="GZ135" s="255" t="n"/>
      <c r="HA135" s="255" t="n"/>
      <c r="HB135" s="255" t="n"/>
      <c r="HC135" s="255" t="n"/>
      <c r="HD135" s="255" t="n"/>
      <c r="HE135" s="255" t="n"/>
      <c r="HF135" s="255" t="n"/>
      <c r="HG135" s="255" t="n"/>
      <c r="HH135" s="255" t="n"/>
      <c r="HI135" s="255" t="n"/>
      <c r="HJ135" s="255" t="n"/>
      <c r="HK135" s="255" t="n"/>
      <c r="HL135" s="255" t="n"/>
      <c r="HM135" s="255" t="n"/>
      <c r="HN135" s="255" t="n"/>
      <c r="HO135" s="255" t="n"/>
      <c r="HP135" s="255" t="n"/>
      <c r="HQ135" s="255" t="n"/>
      <c r="HR135" s="255" t="n"/>
      <c r="HS135" s="255" t="n"/>
      <c r="HT135" s="255" t="n"/>
      <c r="HU135" s="255" t="n"/>
    </row>
    <row r="136" ht="15.75" customHeight="1">
      <c r="A136" s="74" t="inlineStr">
        <is>
          <t>TOTAL ACUMULADO DE DESPESAS OP.(-)</t>
        </is>
      </c>
      <c r="B136" s="269" t="n"/>
      <c r="C136" s="59" t="n"/>
      <c r="D136" s="59" t="n"/>
      <c r="E136" s="59" t="n"/>
      <c r="F136" s="59" t="n"/>
      <c r="G136" s="59" t="n"/>
      <c r="H136" s="59" t="n"/>
      <c r="I136" s="103" t="n"/>
      <c r="J136" s="182" t="n"/>
      <c r="K136" s="103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  <c r="AD136" s="59" t="n"/>
      <c r="AE136" s="59" t="n"/>
      <c r="AF136" s="59" t="n"/>
      <c r="AG136" s="59" t="n"/>
      <c r="AH136" s="13" t="n"/>
      <c r="AI136" s="183" t="n"/>
      <c r="AJ136" s="13" t="n"/>
      <c r="AK136" s="59" t="n"/>
      <c r="AL136" s="59" t="n"/>
      <c r="AM136" s="59" t="n"/>
      <c r="AN136" s="59" t="n"/>
      <c r="AO136" s="59" t="n"/>
      <c r="AP136" s="59" t="n"/>
      <c r="AQ136" s="103" t="n"/>
      <c r="AR136" s="103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305" t="n"/>
      <c r="BE136" s="100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305" t="n"/>
      <c r="BQ136" s="100" t="n"/>
      <c r="BR136" s="59" t="n"/>
      <c r="BS136" s="59" t="n"/>
      <c r="BT136" s="59" t="n"/>
      <c r="BU136" s="59" t="n"/>
      <c r="BV136" s="59" t="n"/>
      <c r="BW136" s="59" t="n"/>
      <c r="BX136" s="59" t="n"/>
      <c r="BY136" s="59" t="n"/>
      <c r="BZ136" s="59" t="n"/>
      <c r="CA136" s="59" t="n"/>
      <c r="CB136" s="305" t="n"/>
      <c r="CC136" s="100" t="n"/>
      <c r="CD136" s="59" t="n"/>
      <c r="CE136" s="59" t="n"/>
      <c r="CF136" s="59" t="n"/>
      <c r="CG136" s="59" t="n"/>
      <c r="CH136" s="59" t="n"/>
      <c r="CI136" s="59" t="n"/>
      <c r="CJ136" s="59" t="n"/>
      <c r="CK136" s="59" t="n"/>
      <c r="CL136" s="59" t="n"/>
      <c r="CM136" s="59" t="n"/>
      <c r="CN136" s="305" t="n"/>
      <c r="CO136" s="100" t="n"/>
      <c r="CP136" s="59" t="n"/>
      <c r="CQ136" s="59" t="n"/>
      <c r="CR136" s="59" t="n"/>
      <c r="CS136" s="59" t="n"/>
      <c r="CT136" s="59" t="n"/>
      <c r="CU136" s="59" t="n"/>
      <c r="CV136" s="59" t="n"/>
      <c r="CW136" s="59" t="n"/>
      <c r="CX136" s="59" t="n"/>
      <c r="CY136" s="59" t="n"/>
      <c r="CZ136" s="305" t="n"/>
      <c r="DA136" s="100" t="n"/>
      <c r="DB136" s="59" t="n"/>
      <c r="DC136" s="59" t="n"/>
      <c r="DD136" s="59" t="n"/>
      <c r="DE136" s="59" t="n"/>
      <c r="DF136" s="59" t="n"/>
      <c r="DG136" s="59" t="n"/>
      <c r="DH136" s="59" t="n"/>
      <c r="DI136" s="59" t="n"/>
      <c r="DJ136" s="103" t="n"/>
      <c r="DK136" s="59" t="n"/>
      <c r="DL136" s="103" t="n"/>
      <c r="DM136" s="59" t="n"/>
      <c r="DN136" s="103" t="n"/>
      <c r="DO136" s="103" t="n"/>
      <c r="DP136" s="103" t="n"/>
      <c r="DQ136" s="103" t="n"/>
      <c r="DR136" s="103" t="n"/>
      <c r="DS136" s="103" t="n"/>
      <c r="DT136" s="103" t="n"/>
      <c r="DU136" s="103" t="n"/>
      <c r="DV136" s="103" t="n"/>
      <c r="DW136" s="103" t="n"/>
      <c r="DX136" s="103" t="n"/>
      <c r="DY136" s="103" t="n"/>
      <c r="DZ136" s="103" t="n"/>
      <c r="EA136" s="103" t="n"/>
      <c r="EB136" s="103" t="n"/>
      <c r="EC136" s="103" t="n"/>
      <c r="ED136" s="103" t="n"/>
      <c r="EE136" s="103" t="n"/>
      <c r="EF136" s="103" t="n"/>
      <c r="EG136" s="103" t="n"/>
      <c r="EH136" s="103" t="n"/>
      <c r="EI136" s="103" t="n"/>
      <c r="EJ136" s="103" t="n"/>
      <c r="EK136" s="103" t="n"/>
      <c r="EL136" s="103" t="n"/>
      <c r="EM136" s="103" t="n"/>
      <c r="EN136" s="103" t="n"/>
      <c r="EO136" s="103" t="n"/>
      <c r="EP136" s="103" t="n"/>
      <c r="EQ136" s="103" t="n"/>
      <c r="ER136" s="103" t="n"/>
      <c r="ES136" s="103" t="n"/>
      <c r="ET136" s="103" t="n"/>
      <c r="EU136" s="103" t="n"/>
      <c r="EV136" s="103" t="n"/>
      <c r="EW136" s="103" t="n"/>
      <c r="EX136" s="103" t="n"/>
      <c r="EY136" s="103" t="n"/>
      <c r="EZ136" s="103" t="n"/>
      <c r="FA136" s="103" t="n"/>
      <c r="FB136" s="103" t="n"/>
      <c r="FC136" s="103" t="n"/>
      <c r="FD136" s="103" t="n"/>
      <c r="FE136" s="103" t="n"/>
      <c r="FF136" s="103" t="n"/>
      <c r="FG136" s="103" t="n"/>
      <c r="FH136" s="103" t="n"/>
      <c r="FI136" s="103" t="n"/>
      <c r="FJ136" s="103" t="n"/>
      <c r="FK136" s="103" t="n"/>
      <c r="FL136" s="103" t="n"/>
      <c r="FM136" s="103" t="n"/>
      <c r="FN136" s="103" t="n"/>
      <c r="FO136" s="103" t="n"/>
      <c r="FP136" s="103" t="n"/>
      <c r="FQ136" s="103" t="n"/>
      <c r="FR136" s="103" t="n"/>
      <c r="FS136" s="103" t="n"/>
      <c r="FT136" s="103" t="n"/>
      <c r="FU136" s="103" t="n"/>
      <c r="FV136" s="103" t="n"/>
      <c r="FW136" s="103" t="n"/>
      <c r="FX136" s="103" t="n"/>
      <c r="FY136" s="103" t="n"/>
      <c r="FZ136" s="103" t="n"/>
      <c r="GA136" s="103" t="n"/>
      <c r="GB136" s="103" t="n"/>
      <c r="GC136" s="103" t="n"/>
      <c r="GD136" s="103" t="n"/>
      <c r="GE136" s="103" t="n"/>
      <c r="GF136" s="103" t="n"/>
      <c r="GG136" s="103" t="n"/>
      <c r="GH136" s="103" t="n"/>
      <c r="GI136" s="103" t="n"/>
      <c r="GJ136" s="103" t="n"/>
      <c r="GK136" s="103" t="n"/>
      <c r="GL136" s="103" t="n"/>
      <c r="GM136" s="103" t="n"/>
      <c r="GN136" s="103" t="n"/>
      <c r="GO136" s="103" t="n"/>
      <c r="GP136" s="103" t="n"/>
      <c r="GQ136" s="103" t="n"/>
      <c r="GR136" s="103" t="n"/>
      <c r="GS136" s="103" t="n"/>
      <c r="GT136" s="103" t="n"/>
      <c r="GU136" s="103" t="n"/>
      <c r="GV136" s="103" t="n"/>
      <c r="GW136" s="103" t="n"/>
      <c r="GX136" s="103" t="n"/>
      <c r="GY136" s="103" t="n"/>
      <c r="GZ136" s="103" t="n"/>
      <c r="HA136" s="103" t="n"/>
      <c r="HB136" s="103" t="n"/>
      <c r="HC136" s="103" t="n"/>
      <c r="HD136" s="103" t="n"/>
      <c r="HE136" s="103" t="n"/>
      <c r="HF136" s="103" t="n"/>
      <c r="HG136" s="103" t="n"/>
      <c r="HH136" s="103" t="n"/>
      <c r="HI136" s="103" t="n"/>
      <c r="HJ136" s="103" t="n"/>
      <c r="HK136" s="103" t="n"/>
      <c r="HL136" s="103" t="n"/>
      <c r="HM136" s="103" t="n"/>
      <c r="HN136" s="103" t="n"/>
      <c r="HO136" s="103" t="n"/>
      <c r="HP136" s="103" t="n"/>
      <c r="HQ136" s="103" t="n"/>
      <c r="HR136" s="103" t="n"/>
      <c r="HS136" s="103" t="n"/>
      <c r="HT136" s="103" t="n"/>
      <c r="HU136" s="103" t="n"/>
    </row>
    <row r="137" ht="15.75" customHeight="1">
      <c r="A137" s="54" t="n"/>
      <c r="B137" s="144" t="n"/>
      <c r="C137" s="69" t="n"/>
      <c r="D137" s="69" t="n"/>
      <c r="E137" s="69" t="n"/>
      <c r="F137" s="69" t="n"/>
      <c r="G137" s="69" t="n"/>
      <c r="H137" s="69" t="n"/>
      <c r="I137" s="203" t="n"/>
      <c r="J137" s="184" t="n"/>
      <c r="K137" s="95" t="n"/>
      <c r="L137" s="95" t="n"/>
      <c r="M137" s="225" t="n"/>
      <c r="N137" s="225" t="n"/>
      <c r="O137" s="225" t="n"/>
      <c r="P137" s="225" t="n"/>
      <c r="Q137" s="225" t="n"/>
      <c r="R137" s="225" t="n"/>
      <c r="S137" s="225" t="n"/>
      <c r="T137" s="225" t="n"/>
      <c r="U137" s="225" t="n"/>
      <c r="V137" s="225" t="n"/>
      <c r="W137" s="225" t="n"/>
      <c r="X137" s="225" t="n"/>
      <c r="Y137" s="225" t="n"/>
      <c r="Z137" s="53" t="n"/>
      <c r="AA137" s="53" t="n"/>
      <c r="AB137" s="53" t="n"/>
      <c r="AC137" s="53" t="n"/>
      <c r="AD137" s="53" t="n"/>
      <c r="AE137" s="53" t="n"/>
      <c r="AF137" s="53" t="n"/>
      <c r="AG137" s="53" t="n"/>
      <c r="AH137" s="13" t="n"/>
      <c r="AI137" s="242" t="n"/>
      <c r="AJ137" s="13" t="n"/>
      <c r="AK137" s="95" t="n"/>
      <c r="AL137" s="95" t="n"/>
      <c r="AM137" s="95" t="n"/>
      <c r="AN137" s="95" t="n"/>
      <c r="AO137" s="95" t="n"/>
      <c r="AP137" s="95" t="n"/>
      <c r="AQ137" s="95" t="n"/>
      <c r="AR137" s="95" t="n"/>
      <c r="AS137" s="95" t="n"/>
      <c r="AT137" s="95" t="n"/>
      <c r="AU137" s="95" t="n"/>
      <c r="AV137" s="95" t="n"/>
      <c r="AW137" s="95" t="n"/>
      <c r="AX137" s="95" t="n"/>
      <c r="AY137" s="95" t="n"/>
      <c r="AZ137" s="95" t="n"/>
      <c r="BA137" s="95" t="n"/>
      <c r="BB137" s="95" t="n"/>
      <c r="BC137" s="95" t="n"/>
      <c r="BD137" s="306" t="n"/>
      <c r="BE137" s="95" t="n"/>
      <c r="BF137" s="95" t="n"/>
      <c r="BG137" s="95" t="n"/>
      <c r="BH137" s="95" t="n"/>
      <c r="BI137" s="95" t="n"/>
      <c r="BJ137" s="95" t="n"/>
      <c r="BK137" s="95" t="n"/>
      <c r="BL137" s="95" t="n"/>
      <c r="BM137" s="95" t="n"/>
      <c r="BN137" s="95" t="n"/>
      <c r="BO137" s="95" t="n"/>
      <c r="BP137" s="306" t="n"/>
      <c r="BQ137" s="95" t="n"/>
      <c r="BR137" s="95" t="n"/>
      <c r="BS137" s="95" t="n"/>
      <c r="BT137" s="95" t="n"/>
      <c r="BU137" s="95" t="n"/>
      <c r="BV137" s="95" t="n"/>
      <c r="BW137" s="95" t="n"/>
      <c r="BX137" s="95" t="n"/>
      <c r="BY137" s="95" t="n"/>
      <c r="BZ137" s="95" t="n"/>
      <c r="CA137" s="95" t="n"/>
      <c r="CB137" s="306" t="n"/>
      <c r="CC137" s="95" t="n"/>
      <c r="CD137" s="95" t="n"/>
      <c r="CE137" s="95" t="n"/>
      <c r="CF137" s="95" t="n"/>
      <c r="CG137" s="95" t="n"/>
      <c r="CH137" s="95" t="n"/>
      <c r="CI137" s="95" t="n"/>
      <c r="CJ137" s="95" t="n"/>
      <c r="CK137" s="95" t="n"/>
      <c r="CL137" s="95" t="n"/>
      <c r="CM137" s="95" t="n"/>
      <c r="CN137" s="306" t="n"/>
      <c r="CO137" s="95" t="n"/>
      <c r="CP137" s="95" t="n"/>
      <c r="CQ137" s="95" t="n"/>
      <c r="CR137" s="95" t="n"/>
      <c r="CS137" s="95" t="n"/>
      <c r="CT137" s="95" t="n"/>
      <c r="CU137" s="95" t="n"/>
      <c r="CV137" s="95" t="n"/>
      <c r="CW137" s="95" t="n"/>
      <c r="CX137" s="95" t="n"/>
      <c r="CY137" s="95" t="n"/>
      <c r="CZ137" s="306" t="n"/>
      <c r="DA137" s="95" t="n"/>
      <c r="DB137" s="95" t="n"/>
      <c r="DC137" s="95" t="n"/>
      <c r="DD137" s="95" t="n"/>
      <c r="DE137" s="95" t="n"/>
      <c r="DF137" s="95" t="n"/>
      <c r="DG137" s="95" t="n"/>
      <c r="DH137" s="95" t="n"/>
      <c r="DI137" s="95" t="n"/>
      <c r="DJ137" s="95" t="n"/>
      <c r="DK137" s="95" t="n"/>
      <c r="DL137" s="95" t="n"/>
      <c r="DM137" s="95" t="n"/>
      <c r="DN137" s="95" t="n"/>
      <c r="DO137" s="95" t="n"/>
      <c r="DP137" s="95" t="n"/>
      <c r="DQ137" s="95" t="n"/>
      <c r="DR137" s="95" t="n"/>
      <c r="DS137" s="95" t="n"/>
      <c r="DT137" s="95" t="n"/>
      <c r="DU137" s="95" t="n"/>
      <c r="DV137" s="95" t="n"/>
      <c r="DW137" s="95" t="n"/>
      <c r="DX137" s="95" t="n"/>
      <c r="DY137" s="95" t="n"/>
      <c r="DZ137" s="95" t="n"/>
      <c r="EA137" s="95" t="n"/>
      <c r="EB137" s="95" t="n"/>
      <c r="EC137" s="95" t="n"/>
      <c r="ED137" s="95" t="n"/>
      <c r="EE137" s="95" t="n"/>
      <c r="EF137" s="95" t="n"/>
      <c r="EG137" s="95" t="n"/>
      <c r="EH137" s="95" t="n"/>
      <c r="EI137" s="95" t="n"/>
      <c r="EJ137" s="95" t="n"/>
      <c r="EK137" s="95" t="n"/>
      <c r="EL137" s="95" t="n"/>
      <c r="EM137" s="95" t="n"/>
      <c r="EN137" s="95" t="n"/>
      <c r="EO137" s="95" t="n"/>
      <c r="EP137" s="95" t="n"/>
      <c r="EQ137" s="95" t="n"/>
      <c r="ER137" s="95" t="n"/>
      <c r="ES137" s="95" t="n"/>
      <c r="ET137" s="95" t="n"/>
      <c r="EU137" s="95" t="n"/>
      <c r="EV137" s="95" t="n"/>
      <c r="EW137" s="95" t="n"/>
      <c r="EX137" s="95" t="n"/>
      <c r="EY137" s="95" t="n"/>
      <c r="EZ137" s="95" t="n"/>
      <c r="FA137" s="95" t="n"/>
      <c r="FB137" s="95" t="n"/>
      <c r="FC137" s="95" t="n"/>
      <c r="FD137" s="95" t="n"/>
      <c r="FE137" s="95" t="n"/>
      <c r="FF137" s="95" t="n"/>
      <c r="FG137" s="95" t="n"/>
      <c r="FH137" s="95" t="n"/>
      <c r="FI137" s="95" t="n"/>
      <c r="FJ137" s="95" t="n"/>
      <c r="FK137" s="95" t="n"/>
      <c r="FL137" s="95" t="n"/>
      <c r="FM137" s="95" t="n"/>
      <c r="FN137" s="95" t="n"/>
      <c r="FO137" s="95" t="n"/>
      <c r="FP137" s="95" t="n"/>
      <c r="FQ137" s="95" t="n"/>
      <c r="FR137" s="95" t="n"/>
      <c r="FS137" s="95" t="n"/>
      <c r="FT137" s="95" t="n"/>
      <c r="FU137" s="95" t="n"/>
      <c r="FV137" s="95" t="n"/>
      <c r="FW137" s="95" t="n"/>
      <c r="FX137" s="95" t="n"/>
      <c r="FY137" s="95" t="n"/>
      <c r="FZ137" s="95" t="n"/>
      <c r="GA137" s="95" t="n"/>
      <c r="GB137" s="95" t="n"/>
      <c r="GC137" s="95" t="n"/>
      <c r="GD137" s="95" t="n"/>
      <c r="GE137" s="95" t="n"/>
      <c r="GF137" s="95" t="n"/>
      <c r="GG137" s="95" t="n"/>
      <c r="GH137" s="95" t="n"/>
      <c r="GI137" s="95" t="n"/>
      <c r="GJ137" s="95" t="n"/>
      <c r="GK137" s="95" t="n"/>
      <c r="GL137" s="95" t="n"/>
      <c r="GM137" s="95" t="n"/>
      <c r="GN137" s="95" t="n"/>
      <c r="GO137" s="95" t="n"/>
      <c r="GP137" s="95" t="n"/>
      <c r="GQ137" s="95" t="n"/>
      <c r="GR137" s="95" t="n"/>
      <c r="GS137" s="95" t="n"/>
      <c r="GT137" s="95" t="n"/>
      <c r="GU137" s="95" t="n"/>
      <c r="GV137" s="95" t="n"/>
      <c r="GW137" s="95" t="n"/>
      <c r="GX137" s="95" t="n"/>
      <c r="GY137" s="95" t="n"/>
      <c r="GZ137" s="95" t="n"/>
      <c r="HA137" s="95" t="n"/>
      <c r="HB137" s="95" t="n"/>
      <c r="HC137" s="95" t="n"/>
      <c r="HD137" s="95" t="n"/>
      <c r="HE137" s="95" t="n"/>
      <c r="HF137" s="95" t="n"/>
      <c r="HG137" s="95" t="n"/>
      <c r="HH137" s="95" t="n"/>
      <c r="HI137" s="95" t="n"/>
      <c r="HJ137" s="95" t="n"/>
      <c r="HK137" s="95" t="n"/>
      <c r="HL137" s="95" t="n"/>
      <c r="HM137" s="95" t="n"/>
      <c r="HN137" s="95" t="n"/>
      <c r="HO137" s="95" t="n"/>
      <c r="HP137" s="95" t="n"/>
      <c r="HQ137" s="95" t="n"/>
      <c r="HR137" s="95" t="n"/>
      <c r="HS137" s="95" t="n"/>
      <c r="HT137" s="95" t="n"/>
      <c r="HU137" s="95" t="n"/>
    </row>
    <row r="138" ht="18" customHeight="1">
      <c r="A138" s="19" t="inlineStr">
        <is>
          <t>IMPOSTOS (-)</t>
        </is>
      </c>
      <c r="B138" s="139" t="n"/>
      <c r="C138" s="20" t="n"/>
      <c r="D138" s="22" t="n"/>
      <c r="E138" s="20" t="n"/>
      <c r="F138" s="20" t="n"/>
      <c r="G138" s="20" t="n"/>
      <c r="H138" s="20" t="n"/>
      <c r="I138" s="21" t="n"/>
      <c r="J138" s="175" t="n"/>
      <c r="K138" s="21" t="n"/>
      <c r="L138" s="108" t="n"/>
      <c r="M138" s="220" t="n"/>
      <c r="N138" s="220" t="n"/>
      <c r="O138" s="220" t="n"/>
      <c r="P138" s="220" t="n"/>
      <c r="Q138" s="220" t="n"/>
      <c r="R138" s="220" t="n"/>
      <c r="S138" s="220" t="n"/>
      <c r="T138" s="220" t="n"/>
      <c r="U138" s="220" t="n"/>
      <c r="V138" s="220" t="n"/>
      <c r="W138" s="220" t="n"/>
      <c r="X138" s="220" t="n"/>
      <c r="Y138" s="220" t="n"/>
      <c r="Z138" s="220" t="n"/>
      <c r="AA138" s="220" t="n"/>
      <c r="AB138" s="220" t="n"/>
      <c r="AC138" s="220" t="n"/>
      <c r="AD138" s="220" t="n"/>
      <c r="AE138" s="220" t="n"/>
      <c r="AF138" s="220" t="n"/>
      <c r="AG138" s="220" t="n"/>
      <c r="AH138" s="200" t="n"/>
      <c r="AI138" s="241" t="n"/>
      <c r="AJ138" s="200" t="n"/>
      <c r="AK138" s="20" t="n"/>
      <c r="AL138" s="20" t="n"/>
      <c r="AM138" s="20" t="n"/>
      <c r="AN138" s="20" t="n"/>
      <c r="AO138" s="20" t="n"/>
      <c r="AP138" s="20" t="n"/>
      <c r="AQ138" s="21" t="n"/>
      <c r="AR138" s="21" t="n"/>
      <c r="AS138" s="20" t="n"/>
      <c r="AT138" s="20" t="n"/>
      <c r="AU138" s="20" t="n"/>
      <c r="AV138" s="20" t="n"/>
      <c r="AW138" s="20" t="n"/>
      <c r="AX138" s="20" t="n"/>
      <c r="AY138" s="20" t="n"/>
      <c r="AZ138" s="20" t="n"/>
      <c r="BA138" s="20" t="n"/>
      <c r="BB138" s="20" t="n"/>
      <c r="BC138" s="20" t="n"/>
      <c r="BD138" s="299" t="n"/>
      <c r="BE138" s="22" t="n"/>
      <c r="BF138" s="20" t="n"/>
      <c r="BG138" s="20" t="n"/>
      <c r="BH138" s="20" t="n"/>
      <c r="BI138" s="20" t="n"/>
      <c r="BJ138" s="20" t="n"/>
      <c r="BK138" s="20" t="n"/>
      <c r="BL138" s="20" t="n"/>
      <c r="BM138" s="20" t="n"/>
      <c r="BN138" s="20" t="n"/>
      <c r="BO138" s="20" t="n"/>
      <c r="BP138" s="299" t="n"/>
      <c r="BQ138" s="22" t="n"/>
      <c r="BR138" s="20" t="n"/>
      <c r="BS138" s="20" t="n"/>
      <c r="BT138" s="20" t="n"/>
      <c r="BU138" s="20" t="n"/>
      <c r="BV138" s="20" t="n"/>
      <c r="BW138" s="20" t="n"/>
      <c r="BX138" s="20" t="n"/>
      <c r="BY138" s="20" t="n"/>
      <c r="BZ138" s="20" t="n"/>
      <c r="CA138" s="20" t="n"/>
      <c r="CB138" s="299" t="n"/>
      <c r="CC138" s="22" t="n"/>
      <c r="CD138" s="20" t="n"/>
      <c r="CE138" s="20" t="n"/>
      <c r="CF138" s="20" t="n"/>
      <c r="CG138" s="20" t="n"/>
      <c r="CH138" s="20" t="n"/>
      <c r="CI138" s="20" t="n"/>
      <c r="CJ138" s="20" t="n"/>
      <c r="CK138" s="20" t="n"/>
      <c r="CL138" s="20" t="n"/>
      <c r="CM138" s="20" t="n"/>
      <c r="CN138" s="299" t="n"/>
      <c r="CO138" s="22" t="n"/>
      <c r="CP138" s="20" t="n"/>
      <c r="CQ138" s="20" t="n"/>
      <c r="CR138" s="20" t="n"/>
      <c r="CS138" s="20" t="n"/>
      <c r="CT138" s="20" t="n"/>
      <c r="CU138" s="20" t="n"/>
      <c r="CV138" s="20" t="n"/>
      <c r="CW138" s="20" t="n"/>
      <c r="CX138" s="20" t="n"/>
      <c r="CY138" s="20" t="n"/>
      <c r="CZ138" s="299" t="n"/>
      <c r="DA138" s="22" t="n"/>
      <c r="DB138" s="20" t="n"/>
      <c r="DC138" s="20" t="n"/>
      <c r="DD138" s="20" t="n"/>
      <c r="DE138" s="20" t="n"/>
      <c r="DF138" s="20" t="n"/>
      <c r="DG138" s="20" t="n"/>
      <c r="DH138" s="20" t="n"/>
      <c r="DI138" s="20" t="n"/>
      <c r="DJ138" s="21" t="n"/>
      <c r="DK138" s="20" t="n"/>
      <c r="DL138" s="21" t="n"/>
      <c r="DM138" s="20" t="n"/>
      <c r="DN138" s="21" t="n"/>
      <c r="DO138" s="21" t="n"/>
      <c r="DP138" s="21" t="n"/>
      <c r="DQ138" s="21" t="n"/>
      <c r="DR138" s="21" t="n"/>
      <c r="DS138" s="21" t="n"/>
      <c r="DT138" s="21" t="n"/>
      <c r="DU138" s="21" t="n"/>
      <c r="DV138" s="21" t="n"/>
      <c r="DW138" s="21" t="n"/>
      <c r="DX138" s="21" t="n"/>
      <c r="DY138" s="21" t="n"/>
      <c r="DZ138" s="21" t="n"/>
      <c r="EA138" s="21" t="n"/>
      <c r="EB138" s="21" t="n"/>
      <c r="EC138" s="21" t="n"/>
      <c r="ED138" s="21" t="n"/>
      <c r="EE138" s="21" t="n"/>
      <c r="EF138" s="21" t="n"/>
      <c r="EG138" s="21" t="n"/>
      <c r="EH138" s="21" t="n"/>
      <c r="EI138" s="21" t="n"/>
      <c r="EJ138" s="21" t="n"/>
      <c r="EK138" s="21" t="n"/>
      <c r="EL138" s="21" t="n"/>
      <c r="EM138" s="21" t="n"/>
      <c r="EN138" s="21" t="n"/>
      <c r="EO138" s="21" t="n"/>
      <c r="EP138" s="21" t="n"/>
      <c r="EQ138" s="21" t="n"/>
      <c r="ER138" s="21" t="n"/>
      <c r="ES138" s="21" t="n"/>
      <c r="ET138" s="21" t="n"/>
      <c r="EU138" s="21" t="n"/>
      <c r="EV138" s="21" t="n"/>
      <c r="EW138" s="21" t="n"/>
      <c r="EX138" s="21" t="n"/>
      <c r="EY138" s="21" t="n"/>
      <c r="EZ138" s="21" t="n"/>
      <c r="FA138" s="21" t="n"/>
      <c r="FB138" s="21" t="n"/>
      <c r="FC138" s="21" t="n"/>
      <c r="FD138" s="21" t="n"/>
      <c r="FE138" s="21" t="n"/>
      <c r="FF138" s="21" t="n"/>
      <c r="FG138" s="21" t="n"/>
      <c r="FH138" s="21" t="n"/>
      <c r="FI138" s="21" t="n"/>
      <c r="FJ138" s="21" t="n"/>
      <c r="FK138" s="21" t="n"/>
      <c r="FL138" s="21" t="n"/>
      <c r="FM138" s="21" t="n"/>
      <c r="FN138" s="21" t="n"/>
      <c r="FO138" s="21" t="n"/>
      <c r="FP138" s="21" t="n"/>
      <c r="FQ138" s="21" t="n"/>
      <c r="FR138" s="21" t="n"/>
      <c r="FS138" s="21" t="n"/>
      <c r="FT138" s="21" t="n"/>
      <c r="FU138" s="21" t="n"/>
      <c r="FV138" s="21" t="n"/>
      <c r="FW138" s="21" t="n"/>
      <c r="FX138" s="21" t="n"/>
      <c r="FY138" s="21" t="n"/>
      <c r="FZ138" s="21" t="n"/>
      <c r="GA138" s="21" t="n"/>
      <c r="GB138" s="21" t="n"/>
      <c r="GC138" s="21" t="n"/>
      <c r="GD138" s="21" t="n"/>
      <c r="GE138" s="21" t="n"/>
      <c r="GF138" s="21" t="n"/>
      <c r="GG138" s="21" t="n"/>
      <c r="GH138" s="21" t="n"/>
      <c r="GI138" s="21" t="n"/>
      <c r="GJ138" s="21" t="n"/>
      <c r="GK138" s="21" t="n"/>
      <c r="GL138" s="21" t="n"/>
      <c r="GM138" s="21" t="n"/>
      <c r="GN138" s="21" t="n"/>
      <c r="GO138" s="21" t="n"/>
      <c r="GP138" s="21" t="n"/>
      <c r="GQ138" s="21" t="n"/>
      <c r="GR138" s="21" t="n"/>
      <c r="GS138" s="21" t="n"/>
      <c r="GT138" s="21" t="n"/>
      <c r="GU138" s="21" t="n"/>
      <c r="GV138" s="21" t="n"/>
      <c r="GW138" s="21" t="n"/>
      <c r="GX138" s="21" t="n"/>
      <c r="GY138" s="21" t="n"/>
      <c r="GZ138" s="21" t="n"/>
      <c r="HA138" s="21" t="n"/>
      <c r="HB138" s="21" t="n"/>
      <c r="HC138" s="21" t="n"/>
      <c r="HD138" s="21" t="n"/>
      <c r="HE138" s="21" t="n"/>
      <c r="HF138" s="21" t="n"/>
      <c r="HG138" s="21" t="n"/>
      <c r="HH138" s="21" t="n"/>
      <c r="HI138" s="21" t="n"/>
      <c r="HJ138" s="21" t="n"/>
      <c r="HK138" s="21" t="n"/>
      <c r="HL138" s="21" t="n"/>
      <c r="HM138" s="21" t="n"/>
      <c r="HN138" s="21" t="n"/>
      <c r="HO138" s="21" t="n"/>
      <c r="HP138" s="21" t="n"/>
      <c r="HQ138" s="21" t="n"/>
      <c r="HR138" s="21" t="n"/>
      <c r="HS138" s="21" t="n"/>
      <c r="HT138" s="21" t="n"/>
      <c r="HU138" s="21" t="n"/>
    </row>
    <row r="139" ht="16.2" customHeight="1">
      <c r="A139" s="7" t="inlineStr">
        <is>
          <t>Impostos</t>
        </is>
      </c>
      <c r="B139" s="136" t="n"/>
      <c r="C139" s="85" t="n"/>
      <c r="D139" s="87" t="n"/>
      <c r="E139" s="85" t="n"/>
      <c r="F139" s="85" t="n"/>
      <c r="G139" s="85" t="n"/>
      <c r="H139" s="85" t="n"/>
      <c r="I139" s="86" t="n"/>
      <c r="J139" s="218" t="n"/>
      <c r="K139" s="113" t="n"/>
      <c r="L139" s="122" t="n"/>
      <c r="M139" s="219" t="n"/>
      <c r="N139" s="219" t="n"/>
      <c r="O139" s="219" t="n"/>
      <c r="P139" s="219" t="n"/>
      <c r="Q139" s="219" t="n"/>
      <c r="R139" s="219" t="n"/>
      <c r="S139" s="219" t="n"/>
      <c r="T139" s="219" t="n"/>
      <c r="U139" s="219" t="n"/>
      <c r="V139" s="219" t="n"/>
      <c r="W139" s="219" t="n"/>
      <c r="X139" s="219" t="n"/>
      <c r="Y139" s="219" t="n"/>
      <c r="Z139" s="219" t="n"/>
      <c r="AA139" s="219" t="n"/>
      <c r="AB139" s="219" t="n"/>
      <c r="AC139" s="219" t="n"/>
      <c r="AD139" s="219" t="n"/>
      <c r="AE139" s="219" t="n"/>
      <c r="AF139" s="219" t="n"/>
      <c r="AG139" s="219" t="n"/>
      <c r="AH139" s="13" t="n"/>
      <c r="AI139" s="345" t="n"/>
      <c r="AJ139" s="87" t="n"/>
      <c r="AK139" s="87" t="n"/>
      <c r="AL139" s="85" t="n"/>
      <c r="AM139" s="85" t="n"/>
      <c r="AN139" s="85" t="n"/>
      <c r="AO139" s="85" t="n"/>
      <c r="AP139" s="85" t="n"/>
      <c r="AQ139" s="86" t="n"/>
      <c r="AR139" s="86" t="n"/>
      <c r="AS139" s="85" t="n"/>
      <c r="AT139" s="85" t="n"/>
      <c r="AU139" s="85" t="n"/>
      <c r="AV139" s="85" t="n"/>
      <c r="AW139" s="85" t="n"/>
      <c r="AX139" s="85" t="n"/>
      <c r="AY139" s="85" t="n"/>
      <c r="AZ139" s="85" t="n"/>
      <c r="BA139" s="85" t="n"/>
      <c r="BB139" s="85" t="n"/>
      <c r="BC139" s="85" t="n"/>
      <c r="BD139" s="296" t="n"/>
      <c r="BE139" s="87" t="n"/>
      <c r="BF139" s="85" t="n"/>
      <c r="BG139" s="85" t="n"/>
      <c r="BH139" s="85" t="n"/>
      <c r="BI139" s="85" t="n"/>
      <c r="BJ139" s="85" t="n"/>
      <c r="BK139" s="85" t="n"/>
      <c r="BL139" s="85" t="n"/>
      <c r="BM139" s="85" t="n"/>
      <c r="BN139" s="85" t="n"/>
      <c r="BO139" s="85" t="n"/>
      <c r="BP139" s="296" t="n"/>
      <c r="BQ139" s="87" t="n"/>
      <c r="BR139" s="85" t="n"/>
      <c r="BS139" s="85" t="n"/>
      <c r="BT139" s="85" t="n"/>
      <c r="BU139" s="85" t="n"/>
      <c r="BV139" s="85" t="n"/>
      <c r="BW139" s="85" t="n"/>
      <c r="BX139" s="85" t="n"/>
      <c r="BY139" s="85" t="n"/>
      <c r="BZ139" s="85" t="n"/>
      <c r="CA139" s="85" t="n"/>
      <c r="CB139" s="296" t="n"/>
      <c r="CC139" s="87" t="n"/>
      <c r="CD139" s="85" t="n"/>
      <c r="CE139" s="85" t="n"/>
      <c r="CF139" s="85" t="n"/>
      <c r="CG139" s="85" t="n"/>
      <c r="CH139" s="85" t="n"/>
      <c r="CI139" s="85" t="n"/>
      <c r="CJ139" s="85" t="n"/>
      <c r="CK139" s="85" t="n"/>
      <c r="CL139" s="85" t="n"/>
      <c r="CM139" s="85" t="n"/>
      <c r="CN139" s="296" t="n"/>
      <c r="CO139" s="87" t="n"/>
      <c r="CP139" s="85" t="n"/>
      <c r="CQ139" s="85" t="n"/>
      <c r="CR139" s="85" t="n"/>
      <c r="CS139" s="85" t="n"/>
      <c r="CT139" s="85" t="n"/>
      <c r="CU139" s="85" t="n"/>
      <c r="CV139" s="85" t="n"/>
      <c r="CW139" s="85" t="n"/>
      <c r="CX139" s="85" t="n"/>
      <c r="CY139" s="85" t="n"/>
      <c r="CZ139" s="296" t="n"/>
      <c r="DA139" s="87" t="n"/>
      <c r="DB139" s="85" t="n"/>
      <c r="DC139" s="85" t="n"/>
      <c r="DD139" s="85" t="n"/>
      <c r="DE139" s="85" t="n"/>
      <c r="DF139" s="85" t="n"/>
      <c r="DG139" s="85" t="n"/>
      <c r="DH139" s="85" t="n"/>
      <c r="DI139" s="85" t="n"/>
      <c r="DJ139" s="85" t="n"/>
      <c r="DK139" s="85" t="n"/>
      <c r="DL139" s="85" t="n"/>
      <c r="DM139" s="85" t="n"/>
      <c r="DN139" s="85" t="n"/>
      <c r="DO139" s="85" t="n"/>
      <c r="DP139" s="85" t="n"/>
      <c r="DQ139" s="85" t="n"/>
      <c r="DR139" s="85" t="n"/>
      <c r="DS139" s="85" t="n"/>
      <c r="DT139" s="85" t="n"/>
      <c r="DU139" s="85" t="n"/>
      <c r="DV139" s="85" t="n"/>
      <c r="DW139" s="85" t="n"/>
      <c r="DX139" s="85" t="n"/>
      <c r="DY139" s="87" t="n"/>
      <c r="DZ139" s="87" t="n"/>
      <c r="EA139" s="85" t="n"/>
      <c r="EB139" s="85" t="n"/>
      <c r="EC139" s="85" t="n"/>
      <c r="ED139" s="85" t="n"/>
      <c r="EE139" s="85" t="n"/>
      <c r="EF139" s="85" t="n"/>
      <c r="EG139" s="85" t="n"/>
      <c r="EH139" s="85" t="n"/>
      <c r="EI139" s="86" t="n"/>
      <c r="EJ139" s="86" t="n"/>
      <c r="EK139" s="85" t="n"/>
      <c r="EL139" s="85" t="n"/>
      <c r="EM139" s="85" t="n"/>
      <c r="EN139" s="85" t="n"/>
      <c r="EO139" s="85" t="n"/>
      <c r="EP139" s="85" t="n"/>
      <c r="EQ139" s="85" t="n"/>
      <c r="ER139" s="85" t="n"/>
      <c r="ES139" s="85" t="n"/>
      <c r="ET139" s="85" t="n"/>
      <c r="EU139" s="85" t="n"/>
      <c r="EV139" s="296" t="n"/>
      <c r="EW139" s="87" t="n"/>
      <c r="EX139" s="85" t="n"/>
      <c r="EY139" s="85" t="n"/>
      <c r="EZ139" s="85" t="n"/>
      <c r="FA139" s="85" t="n"/>
      <c r="FB139" s="85" t="n"/>
      <c r="FC139" s="85" t="n"/>
      <c r="FD139" s="85" t="n"/>
      <c r="FE139" s="85" t="n"/>
      <c r="FF139" s="85" t="n"/>
      <c r="FG139" s="85" t="n"/>
      <c r="FH139" s="296" t="n"/>
      <c r="FI139" s="87" t="n"/>
      <c r="FJ139" s="85" t="n"/>
      <c r="FK139" s="85" t="n"/>
      <c r="FL139" s="85" t="n"/>
      <c r="FM139" s="85" t="n"/>
      <c r="FN139" s="85" t="n"/>
      <c r="FO139" s="85" t="n"/>
      <c r="FP139" s="85" t="n"/>
      <c r="FQ139" s="85" t="n"/>
      <c r="FR139" s="85" t="n"/>
      <c r="FS139" s="85" t="n"/>
      <c r="FT139" s="85" t="n"/>
      <c r="FU139" s="85" t="n"/>
      <c r="FV139" s="85" t="n"/>
      <c r="FW139" s="85" t="n"/>
      <c r="FX139" s="85" t="n"/>
      <c r="FY139" s="85" t="n"/>
      <c r="FZ139" s="85" t="n"/>
      <c r="GA139" s="85" t="n"/>
      <c r="GB139" s="85" t="n"/>
      <c r="GC139" s="85" t="n"/>
      <c r="GD139" s="85" t="n"/>
      <c r="GE139" s="85" t="n"/>
      <c r="GF139" s="85" t="n"/>
      <c r="GG139" s="85" t="n"/>
      <c r="GH139" s="85" t="n"/>
      <c r="GI139" s="85" t="n"/>
      <c r="GJ139" s="85" t="n"/>
      <c r="GK139" s="85" t="n"/>
      <c r="GL139" s="85" t="n"/>
      <c r="GM139" s="85" t="n"/>
      <c r="GN139" s="85" t="n"/>
      <c r="GO139" s="85" t="n"/>
      <c r="GP139" s="85" t="n"/>
      <c r="GQ139" s="85" t="n"/>
      <c r="GR139" s="85" t="n"/>
      <c r="GS139" s="85" t="n"/>
      <c r="GT139" s="85" t="n"/>
      <c r="GU139" s="85" t="n"/>
      <c r="GV139" s="85" t="n"/>
      <c r="GW139" s="85" t="n"/>
      <c r="GX139" s="85" t="n"/>
      <c r="GY139" s="85" t="n"/>
      <c r="GZ139" s="85" t="n"/>
      <c r="HA139" s="85" t="n"/>
      <c r="HB139" s="85" t="n"/>
      <c r="HC139" s="85" t="n"/>
      <c r="HD139" s="85" t="n"/>
      <c r="HE139" s="85" t="n"/>
      <c r="HF139" s="85" t="n"/>
      <c r="HG139" s="85" t="n"/>
      <c r="HH139" s="85" t="n"/>
      <c r="HI139" s="85" t="n"/>
      <c r="HJ139" s="85" t="n"/>
      <c r="HK139" s="85" t="n"/>
      <c r="HL139" s="85" t="n"/>
      <c r="HM139" s="85" t="n"/>
      <c r="HN139" s="85" t="n"/>
      <c r="HO139" s="85" t="n"/>
      <c r="HP139" s="85" t="n"/>
      <c r="HQ139" s="85" t="n"/>
      <c r="HR139" s="85" t="n"/>
      <c r="HS139" s="85" t="n"/>
      <c r="HT139" s="85" t="n"/>
      <c r="HU139" s="85" t="n"/>
    </row>
    <row r="140" ht="16.2" customHeight="1">
      <c r="A140" s="1" t="n"/>
      <c r="B140" s="145" t="n"/>
      <c r="C140" s="53" t="n"/>
      <c r="D140" s="53" t="n"/>
      <c r="E140" s="53" t="n"/>
      <c r="F140" s="53" t="n"/>
      <c r="G140" s="53" t="n"/>
      <c r="H140" s="53" t="n"/>
      <c r="I140" s="53" t="n"/>
      <c r="J140" s="185" t="n"/>
      <c r="K140" s="53" t="n"/>
      <c r="L140" s="53" t="n"/>
      <c r="M140" s="186" t="n"/>
      <c r="N140" s="186" t="n"/>
      <c r="O140" s="186" t="n"/>
      <c r="P140" s="186" t="n"/>
      <c r="Q140" s="186" t="n"/>
      <c r="R140" s="186" t="n"/>
      <c r="S140" s="186" t="n"/>
      <c r="T140" s="186" t="n"/>
      <c r="U140" s="186" t="n"/>
      <c r="V140" s="186" t="n"/>
      <c r="W140" s="186" t="n"/>
      <c r="X140" s="186" t="n"/>
      <c r="Y140" s="186" t="n"/>
      <c r="Z140" s="53" t="n"/>
      <c r="AA140" s="53" t="n"/>
      <c r="AB140" s="53" t="n"/>
      <c r="AC140" s="53" t="n"/>
      <c r="AD140" s="53" t="n"/>
      <c r="AE140" s="53" t="n"/>
      <c r="AF140" s="53" t="n"/>
      <c r="AG140" s="53" t="n"/>
      <c r="AH140" s="13" t="n"/>
      <c r="AI140" s="240" t="n"/>
      <c r="AJ140" s="13" t="n"/>
      <c r="AK140" s="53" t="n"/>
      <c r="AL140" s="53" t="n"/>
      <c r="AM140" s="53" t="n"/>
      <c r="AN140" s="53" t="n"/>
      <c r="AO140" s="53" t="n"/>
      <c r="AP140" s="53" t="n"/>
      <c r="AQ140" s="53" t="n"/>
      <c r="AR140" s="53" t="n"/>
      <c r="AS140" s="53" t="n"/>
      <c r="AT140" s="53" t="n"/>
      <c r="AU140" s="53" t="n"/>
      <c r="AV140" s="53" t="n"/>
      <c r="AW140" s="53" t="n"/>
      <c r="AX140" s="53" t="n"/>
      <c r="AY140" s="53" t="n"/>
      <c r="AZ140" s="53" t="n"/>
      <c r="BA140" s="53" t="n"/>
      <c r="BB140" s="53" t="n"/>
      <c r="BC140" s="53" t="n"/>
      <c r="BD140" s="307" t="n"/>
      <c r="BE140" s="53" t="n"/>
      <c r="BF140" s="53" t="n"/>
      <c r="BG140" s="53" t="n"/>
      <c r="BH140" s="53" t="n"/>
      <c r="BI140" s="53" t="n"/>
      <c r="BJ140" s="53" t="n"/>
      <c r="BK140" s="53" t="n"/>
      <c r="BL140" s="53" t="n"/>
      <c r="BM140" s="53" t="n"/>
      <c r="BN140" s="53" t="n"/>
      <c r="BO140" s="53" t="n"/>
      <c r="BP140" s="307" t="n"/>
      <c r="BQ140" s="53" t="n"/>
      <c r="BR140" s="53" t="n"/>
      <c r="BS140" s="53" t="n"/>
      <c r="BT140" s="53" t="n"/>
      <c r="BU140" s="53" t="n"/>
      <c r="BV140" s="53" t="n"/>
      <c r="BW140" s="53" t="n"/>
      <c r="BX140" s="53" t="n"/>
      <c r="BY140" s="53" t="n"/>
      <c r="BZ140" s="53" t="n"/>
      <c r="CA140" s="53" t="n"/>
      <c r="CB140" s="307" t="n"/>
      <c r="CC140" s="53" t="n"/>
      <c r="CD140" s="53" t="n"/>
      <c r="CE140" s="53" t="n"/>
      <c r="CF140" s="53" t="n"/>
      <c r="CG140" s="53" t="n"/>
      <c r="CH140" s="53" t="n"/>
      <c r="CI140" s="53" t="n"/>
      <c r="CJ140" s="53" t="n"/>
      <c r="CK140" s="53" t="n"/>
      <c r="CL140" s="53" t="n"/>
      <c r="CM140" s="53" t="n"/>
      <c r="CN140" s="307" t="n"/>
      <c r="CO140" s="53" t="n"/>
      <c r="CP140" s="53" t="n"/>
      <c r="CQ140" s="53" t="n"/>
      <c r="CR140" s="53" t="n"/>
      <c r="CS140" s="53" t="n"/>
      <c r="CT140" s="53" t="n"/>
      <c r="CU140" s="53" t="n"/>
      <c r="CV140" s="53" t="n"/>
      <c r="CW140" s="53" t="n"/>
      <c r="CX140" s="53" t="n"/>
      <c r="CY140" s="53" t="n"/>
      <c r="CZ140" s="307" t="n"/>
      <c r="DA140" s="53" t="n"/>
      <c r="DB140" s="53" t="n"/>
      <c r="DC140" s="53" t="n"/>
      <c r="DD140" s="53" t="n"/>
      <c r="DE140" s="53" t="n"/>
      <c r="DF140" s="53" t="n"/>
      <c r="DG140" s="53" t="n"/>
      <c r="DH140" s="53" t="n"/>
      <c r="DI140" s="53" t="n"/>
      <c r="DJ140" s="53" t="n"/>
      <c r="DK140" s="53" t="n"/>
      <c r="DL140" s="53" t="n"/>
      <c r="DM140" s="53" t="n"/>
      <c r="DN140" s="53" t="n"/>
      <c r="DO140" s="53" t="n"/>
      <c r="DP140" s="53" t="n"/>
      <c r="DQ140" s="53" t="n"/>
      <c r="DR140" s="53" t="n"/>
      <c r="DS140" s="53" t="n"/>
      <c r="DT140" s="53" t="n"/>
      <c r="DU140" s="53" t="n"/>
      <c r="DV140" s="53" t="n"/>
      <c r="DW140" s="53" t="n"/>
      <c r="DX140" s="53" t="n"/>
      <c r="DY140" s="53" t="n"/>
      <c r="DZ140" s="53" t="n"/>
      <c r="EA140" s="53" t="n"/>
      <c r="EB140" s="53" t="n"/>
      <c r="EC140" s="53" t="n"/>
      <c r="ED140" s="53" t="n"/>
      <c r="EE140" s="53" t="n"/>
      <c r="EF140" s="53" t="n"/>
      <c r="EG140" s="53" t="n"/>
      <c r="EH140" s="53" t="n"/>
      <c r="EI140" s="53" t="n"/>
      <c r="EJ140" s="53" t="n"/>
      <c r="EK140" s="53" t="n"/>
      <c r="EL140" s="53" t="n"/>
      <c r="EM140" s="53" t="n"/>
      <c r="EN140" s="53" t="n"/>
      <c r="EO140" s="53" t="n"/>
      <c r="EP140" s="53" t="n"/>
      <c r="EQ140" s="53" t="n"/>
      <c r="ER140" s="53" t="n"/>
      <c r="ES140" s="53" t="n"/>
      <c r="ET140" s="53" t="n"/>
      <c r="EU140" s="53" t="n"/>
      <c r="EV140" s="53" t="n"/>
      <c r="EW140" s="53" t="n"/>
      <c r="EX140" s="53" t="n"/>
      <c r="EY140" s="53" t="n"/>
      <c r="EZ140" s="53" t="n"/>
      <c r="FA140" s="53" t="n"/>
      <c r="FB140" s="53" t="n"/>
      <c r="FC140" s="53" t="n"/>
      <c r="FD140" s="53" t="n"/>
      <c r="FE140" s="53" t="n"/>
      <c r="FF140" s="53" t="n"/>
      <c r="FG140" s="53" t="n"/>
      <c r="FH140" s="53" t="n"/>
      <c r="FI140" s="53" t="n"/>
      <c r="FJ140" s="53" t="n"/>
      <c r="FK140" s="53" t="n"/>
      <c r="FL140" s="53" t="n"/>
      <c r="FM140" s="53" t="n"/>
      <c r="FN140" s="53" t="n"/>
      <c r="FO140" s="53" t="n"/>
      <c r="FP140" s="53" t="n"/>
      <c r="FQ140" s="53" t="n"/>
      <c r="FR140" s="53" t="n"/>
      <c r="FS140" s="53" t="n"/>
      <c r="FT140" s="53" t="n"/>
      <c r="FU140" s="53" t="n"/>
      <c r="FV140" s="53" t="n"/>
      <c r="FW140" s="53" t="n"/>
      <c r="FX140" s="53" t="n"/>
      <c r="FY140" s="53" t="n"/>
      <c r="FZ140" s="53" t="n"/>
      <c r="GA140" s="53" t="n"/>
      <c r="GB140" s="53" t="n"/>
      <c r="GC140" s="53" t="n"/>
      <c r="GD140" s="53" t="n"/>
      <c r="GE140" s="53" t="n"/>
      <c r="GF140" s="53" t="n"/>
      <c r="GG140" s="53" t="n"/>
      <c r="GH140" s="53" t="n"/>
      <c r="GI140" s="53" t="n"/>
      <c r="GJ140" s="53" t="n"/>
      <c r="GK140" s="53" t="n"/>
      <c r="GL140" s="53" t="n"/>
      <c r="GM140" s="53" t="n"/>
      <c r="GN140" s="53" t="n"/>
      <c r="GO140" s="53" t="n"/>
      <c r="GP140" s="53" t="n"/>
      <c r="GQ140" s="53" t="n"/>
      <c r="GR140" s="53" t="n"/>
      <c r="GS140" s="53" t="n"/>
      <c r="GT140" s="53" t="n"/>
      <c r="GU140" s="53" t="n"/>
      <c r="GV140" s="53" t="n"/>
      <c r="GW140" s="53" t="n"/>
      <c r="GX140" s="53" t="n"/>
      <c r="GY140" s="53" t="n"/>
      <c r="GZ140" s="53" t="n"/>
      <c r="HA140" s="53" t="n"/>
      <c r="HB140" s="53" t="n"/>
      <c r="HC140" s="53" t="n"/>
      <c r="HD140" s="53" t="n"/>
      <c r="HE140" s="53" t="n"/>
      <c r="HF140" s="53" t="n"/>
      <c r="HG140" s="53" t="n"/>
      <c r="HH140" s="53" t="n"/>
      <c r="HI140" s="53" t="n"/>
      <c r="HJ140" s="53" t="n"/>
      <c r="HK140" s="53" t="n"/>
      <c r="HL140" s="53" t="n"/>
      <c r="HM140" s="53" t="n"/>
      <c r="HN140" s="53" t="n"/>
      <c r="HO140" s="53" t="n"/>
      <c r="HP140" s="53" t="n"/>
      <c r="HQ140" s="53" t="n"/>
      <c r="HR140" s="53" t="n"/>
      <c r="HS140" s="53" t="n"/>
      <c r="HT140" s="53" t="n"/>
      <c r="HU140" s="53" t="n"/>
    </row>
    <row r="141" ht="16.2" customHeight="1">
      <c r="A141" s="19" t="inlineStr">
        <is>
          <t>DESAPROPRIAÇÃO (-)</t>
        </is>
      </c>
      <c r="B141" s="139" t="n"/>
      <c r="C141" s="20" t="n"/>
      <c r="D141" s="22" t="n"/>
      <c r="E141" s="20" t="n"/>
      <c r="F141" s="20" t="n"/>
      <c r="G141" s="20" t="n"/>
      <c r="H141" s="20" t="n"/>
      <c r="I141" s="21" t="n"/>
      <c r="J141" s="175" t="n"/>
      <c r="K141" s="21" t="n"/>
      <c r="L141" s="108" t="n"/>
      <c r="M141" s="220" t="n"/>
      <c r="N141" s="220" t="n"/>
      <c r="O141" s="220" t="n"/>
      <c r="P141" s="220" t="n"/>
      <c r="Q141" s="220" t="n"/>
      <c r="R141" s="220" t="n"/>
      <c r="S141" s="220" t="n"/>
      <c r="T141" s="220" t="n"/>
      <c r="U141" s="220" t="n"/>
      <c r="V141" s="220" t="n"/>
      <c r="W141" s="220" t="n"/>
      <c r="X141" s="220" t="n"/>
      <c r="Y141" s="220" t="n"/>
      <c r="Z141" s="220" t="n"/>
      <c r="AA141" s="220" t="n"/>
      <c r="AB141" s="220" t="n"/>
      <c r="AC141" s="220" t="n"/>
      <c r="AD141" s="220" t="n"/>
      <c r="AE141" s="220" t="n"/>
      <c r="AF141" s="220" t="n"/>
      <c r="AG141" s="220" t="n"/>
      <c r="AH141" s="200" t="n"/>
      <c r="AI141" s="241" t="n"/>
      <c r="AJ141" s="200" t="n"/>
      <c r="AK141" s="20" t="n"/>
      <c r="AL141" s="20" t="n"/>
      <c r="AM141" s="20" t="n"/>
      <c r="AN141" s="20" t="n"/>
      <c r="AO141" s="20" t="n"/>
      <c r="AP141" s="20" t="n"/>
      <c r="AQ141" s="21" t="n"/>
      <c r="AR141" s="21" t="n"/>
      <c r="AS141" s="20" t="n"/>
      <c r="AT141" s="20" t="n"/>
      <c r="AU141" s="20" t="n"/>
      <c r="AV141" s="20" t="n"/>
      <c r="AW141" s="20" t="n"/>
      <c r="AX141" s="20" t="n"/>
      <c r="AY141" s="20" t="n"/>
      <c r="AZ141" s="20" t="n"/>
      <c r="BA141" s="20" t="n"/>
      <c r="BB141" s="20" t="n"/>
      <c r="BC141" s="20" t="n"/>
      <c r="BD141" s="299" t="n"/>
      <c r="BE141" s="22" t="n"/>
      <c r="BF141" s="20" t="n"/>
      <c r="BG141" s="20" t="n"/>
      <c r="BH141" s="20" t="n"/>
      <c r="BI141" s="20" t="n"/>
      <c r="BJ141" s="20" t="n"/>
      <c r="BK141" s="20" t="n"/>
      <c r="BL141" s="20" t="n"/>
      <c r="BM141" s="20" t="n"/>
      <c r="BN141" s="20" t="n"/>
      <c r="BO141" s="20" t="n"/>
      <c r="BP141" s="299" t="n"/>
      <c r="BQ141" s="22" t="n"/>
      <c r="BR141" s="20" t="n"/>
      <c r="BS141" s="20" t="n"/>
      <c r="BT141" s="20" t="n"/>
      <c r="BU141" s="20" t="n"/>
      <c r="BV141" s="20" t="n"/>
      <c r="BW141" s="20" t="n"/>
      <c r="BX141" s="20" t="n"/>
      <c r="BY141" s="20" t="n"/>
      <c r="BZ141" s="20" t="n"/>
      <c r="CA141" s="20" t="n"/>
      <c r="CB141" s="299" t="n"/>
      <c r="CC141" s="22" t="n"/>
      <c r="CD141" s="20" t="n"/>
      <c r="CE141" s="20" t="n"/>
      <c r="CF141" s="20" t="n"/>
      <c r="CG141" s="20" t="n"/>
      <c r="CH141" s="20" t="n"/>
      <c r="CI141" s="20" t="n"/>
      <c r="CJ141" s="20" t="n"/>
      <c r="CK141" s="20" t="n"/>
      <c r="CL141" s="20" t="n"/>
      <c r="CM141" s="20" t="n"/>
      <c r="CN141" s="299" t="n"/>
      <c r="CO141" s="22" t="n"/>
      <c r="CP141" s="20" t="n"/>
      <c r="CQ141" s="20" t="n"/>
      <c r="CR141" s="20" t="n"/>
      <c r="CS141" s="20" t="n"/>
      <c r="CT141" s="20" t="n"/>
      <c r="CU141" s="20" t="n"/>
      <c r="CV141" s="20" t="n"/>
      <c r="CW141" s="20" t="n"/>
      <c r="CX141" s="20" t="n"/>
      <c r="CY141" s="20" t="n"/>
      <c r="CZ141" s="299" t="n"/>
      <c r="DA141" s="22" t="n"/>
      <c r="DB141" s="20" t="n"/>
      <c r="DC141" s="20" t="n"/>
      <c r="DD141" s="20" t="n"/>
      <c r="DE141" s="20" t="n"/>
      <c r="DF141" s="20" t="n"/>
      <c r="DG141" s="20" t="n"/>
      <c r="DH141" s="20" t="n"/>
      <c r="DI141" s="20" t="n"/>
      <c r="DJ141" s="21" t="n"/>
      <c r="DK141" s="20" t="n"/>
      <c r="DL141" s="21" t="n"/>
      <c r="DM141" s="20" t="n"/>
      <c r="DN141" s="21" t="n"/>
      <c r="DO141" s="21" t="n"/>
      <c r="DP141" s="21" t="n"/>
      <c r="DQ141" s="21" t="n"/>
      <c r="DR141" s="21" t="n"/>
      <c r="DS141" s="21" t="n"/>
      <c r="DT141" s="21" t="n"/>
      <c r="DU141" s="21" t="n"/>
      <c r="DV141" s="21" t="n"/>
      <c r="DW141" s="21" t="n"/>
      <c r="DX141" s="21" t="n"/>
      <c r="DY141" s="21" t="n"/>
      <c r="DZ141" s="21" t="n"/>
      <c r="EA141" s="21" t="n"/>
      <c r="EB141" s="21" t="n"/>
      <c r="EC141" s="21" t="n"/>
      <c r="ED141" s="21" t="n"/>
      <c r="EE141" s="21" t="n"/>
      <c r="EF141" s="21" t="n"/>
      <c r="EG141" s="21" t="n"/>
      <c r="EH141" s="21" t="n"/>
      <c r="EI141" s="21" t="n"/>
      <c r="EJ141" s="21" t="n"/>
      <c r="EK141" s="21" t="n"/>
      <c r="EL141" s="21" t="n"/>
      <c r="EM141" s="21" t="n"/>
      <c r="EN141" s="21" t="n"/>
      <c r="EO141" s="21" t="n"/>
      <c r="EP141" s="21" t="n"/>
      <c r="EQ141" s="21" t="n"/>
      <c r="ER141" s="21" t="n"/>
      <c r="ES141" s="21" t="n"/>
      <c r="ET141" s="21" t="n"/>
      <c r="EU141" s="21" t="n"/>
      <c r="EV141" s="21" t="n"/>
      <c r="EW141" s="21" t="n"/>
      <c r="EX141" s="21" t="n"/>
      <c r="EY141" s="21" t="n"/>
      <c r="EZ141" s="21" t="n"/>
      <c r="FA141" s="21" t="n"/>
      <c r="FB141" s="21" t="n"/>
      <c r="FC141" s="21" t="n"/>
      <c r="FD141" s="21" t="n"/>
      <c r="FE141" s="21" t="n"/>
      <c r="FF141" s="21" t="n"/>
      <c r="FG141" s="21" t="n"/>
      <c r="FH141" s="21" t="n"/>
      <c r="FI141" s="21" t="n"/>
      <c r="FJ141" s="21" t="n"/>
      <c r="FK141" s="21" t="n"/>
      <c r="FL141" s="21" t="n"/>
      <c r="FM141" s="21" t="n"/>
      <c r="FN141" s="21" t="n"/>
      <c r="FO141" s="21" t="n"/>
      <c r="FP141" s="21" t="n"/>
      <c r="FQ141" s="21" t="n"/>
      <c r="FR141" s="21" t="n"/>
      <c r="FS141" s="21" t="n"/>
      <c r="FT141" s="21" t="n"/>
      <c r="FU141" s="21" t="n"/>
      <c r="FV141" s="21" t="n"/>
      <c r="FW141" s="21" t="n"/>
      <c r="FX141" s="21" t="n"/>
      <c r="FY141" s="21" t="n"/>
      <c r="FZ141" s="21" t="n"/>
      <c r="GA141" s="21" t="n"/>
      <c r="GB141" s="21" t="n"/>
      <c r="GC141" s="21" t="n"/>
      <c r="GD141" s="21" t="n"/>
      <c r="GE141" s="21" t="n"/>
      <c r="GF141" s="21" t="n"/>
      <c r="GG141" s="21" t="n"/>
      <c r="GH141" s="21" t="n"/>
      <c r="GI141" s="21" t="n"/>
      <c r="GJ141" s="21" t="n"/>
      <c r="GK141" s="21" t="n"/>
      <c r="GL141" s="21" t="n"/>
      <c r="GM141" s="21" t="n"/>
      <c r="GN141" s="21" t="n"/>
      <c r="GO141" s="21" t="n"/>
      <c r="GP141" s="21" t="n"/>
      <c r="GQ141" s="21" t="n"/>
      <c r="GR141" s="21" t="n"/>
      <c r="GS141" s="21" t="n"/>
      <c r="GT141" s="21" t="n"/>
      <c r="GU141" s="21" t="n"/>
      <c r="GV141" s="21" t="n"/>
      <c r="GW141" s="21" t="n"/>
      <c r="GX141" s="21" t="n"/>
      <c r="GY141" s="21" t="n"/>
      <c r="GZ141" s="21" t="n"/>
      <c r="HA141" s="21" t="n"/>
      <c r="HB141" s="21" t="n"/>
      <c r="HC141" s="21" t="n"/>
      <c r="HD141" s="21" t="n"/>
      <c r="HE141" s="21" t="n"/>
      <c r="HF141" s="21" t="n"/>
      <c r="HG141" s="21" t="n"/>
      <c r="HH141" s="21" t="n"/>
      <c r="HI141" s="21" t="n"/>
      <c r="HJ141" s="21" t="n"/>
      <c r="HK141" s="21" t="n"/>
      <c r="HL141" s="21" t="n"/>
      <c r="HM141" s="21" t="n"/>
      <c r="HN141" s="21" t="n"/>
      <c r="HO141" s="21" t="n"/>
      <c r="HP141" s="21" t="n"/>
      <c r="HQ141" s="21" t="n"/>
      <c r="HR141" s="21" t="n"/>
      <c r="HS141" s="21" t="n"/>
      <c r="HT141" s="21" t="n"/>
      <c r="HU141" s="21" t="n"/>
    </row>
    <row r="142" ht="16.2" customHeight="1">
      <c r="A142" s="7" t="inlineStr">
        <is>
          <t>Desapropriação</t>
        </is>
      </c>
      <c r="B142" s="136" t="n"/>
      <c r="C142" s="85" t="n"/>
      <c r="D142" s="87" t="n"/>
      <c r="E142" s="85" t="n"/>
      <c r="F142" s="85" t="n"/>
      <c r="G142" s="85" t="n"/>
      <c r="H142" s="85" t="n"/>
      <c r="I142" s="86" t="n"/>
      <c r="J142" s="170" t="n"/>
      <c r="K142" s="86" t="n"/>
      <c r="L142" s="34" t="n"/>
      <c r="M142" s="159" t="n"/>
      <c r="N142" s="159" t="n"/>
      <c r="O142" s="159" t="n"/>
      <c r="P142" s="159" t="n"/>
      <c r="Q142" s="159" t="n"/>
      <c r="R142" s="159" t="n"/>
      <c r="S142" s="159" t="n"/>
      <c r="T142" s="159" t="n"/>
      <c r="U142" s="159" t="n"/>
      <c r="V142" s="159" t="n"/>
      <c r="W142" s="159" t="n"/>
      <c r="X142" s="159" t="n"/>
      <c r="Y142" s="159" t="n"/>
      <c r="Z142" s="159" t="n"/>
      <c r="AA142" s="159" t="n"/>
      <c r="AB142" s="159" t="n"/>
      <c r="AC142" s="159" t="n"/>
      <c r="AD142" s="159" t="n"/>
      <c r="AE142" s="159" t="n"/>
      <c r="AF142" s="159" t="n"/>
      <c r="AG142" s="159" t="n"/>
      <c r="AH142" s="13" t="n"/>
      <c r="AI142" s="345" t="n"/>
      <c r="AJ142" s="13" t="n"/>
      <c r="AK142" s="87" t="n"/>
      <c r="AL142" s="87" t="n"/>
      <c r="AM142" s="87" t="n"/>
      <c r="AN142" s="85" t="n"/>
      <c r="AO142" s="85" t="n"/>
      <c r="AP142" s="85" t="n"/>
      <c r="AQ142" s="85" t="n"/>
      <c r="AR142" s="85" t="n"/>
      <c r="AS142" s="85" t="n"/>
      <c r="AT142" s="85" t="n"/>
      <c r="AU142" s="85" t="n"/>
      <c r="AV142" s="85" t="n"/>
      <c r="AW142" s="85" t="n"/>
      <c r="AX142" s="85" t="n"/>
      <c r="AY142" s="85" t="n"/>
      <c r="AZ142" s="85" t="n"/>
      <c r="BA142" s="85" t="n"/>
      <c r="BB142" s="85" t="n"/>
      <c r="BC142" s="85" t="n"/>
      <c r="BD142" s="85" t="n"/>
      <c r="BE142" s="85" t="n"/>
      <c r="BF142" s="85" t="n"/>
      <c r="BG142" s="85" t="n"/>
      <c r="BH142" s="85" t="n"/>
      <c r="BI142" s="85" t="n"/>
      <c r="BJ142" s="85" t="n"/>
      <c r="BK142" s="85" t="n"/>
      <c r="BL142" s="85" t="n"/>
      <c r="BM142" s="85" t="n"/>
      <c r="BN142" s="85" t="n"/>
      <c r="BO142" s="85" t="n"/>
      <c r="BP142" s="85" t="n"/>
      <c r="BQ142" s="85" t="n"/>
      <c r="BR142" s="85" t="n"/>
      <c r="BS142" s="85" t="n"/>
      <c r="BT142" s="85" t="n"/>
      <c r="BU142" s="85" t="n"/>
      <c r="BV142" s="85" t="n"/>
      <c r="BW142" s="85" t="n"/>
      <c r="BX142" s="85" t="n"/>
      <c r="BY142" s="85" t="n"/>
      <c r="BZ142" s="85" t="n"/>
      <c r="CA142" s="85" t="n"/>
      <c r="CB142" s="85" t="n"/>
      <c r="CC142" s="85" t="n"/>
      <c r="CD142" s="85" t="n"/>
      <c r="CE142" s="85" t="n"/>
      <c r="CF142" s="85" t="n"/>
      <c r="CG142" s="85" t="n"/>
      <c r="CH142" s="85" t="n"/>
      <c r="CI142" s="85" t="n"/>
      <c r="CJ142" s="85" t="n"/>
      <c r="CK142" s="85" t="n"/>
      <c r="CL142" s="85" t="n"/>
      <c r="CM142" s="85" t="n"/>
      <c r="CN142" s="85" t="n"/>
      <c r="CO142" s="85" t="n"/>
      <c r="CP142" s="85" t="n"/>
      <c r="CQ142" s="85" t="n"/>
      <c r="CR142" s="85" t="n"/>
      <c r="CS142" s="85" t="n"/>
      <c r="CT142" s="85" t="n"/>
      <c r="CU142" s="85" t="n"/>
      <c r="CV142" s="85" t="n"/>
      <c r="CW142" s="85" t="n"/>
      <c r="CX142" s="85" t="n"/>
      <c r="CY142" s="85" t="n"/>
      <c r="CZ142" s="85" t="n"/>
      <c r="DA142" s="85" t="n"/>
      <c r="DB142" s="85" t="n"/>
      <c r="DC142" s="85" t="n"/>
      <c r="DD142" s="85" t="n"/>
      <c r="DE142" s="85" t="n"/>
      <c r="DF142" s="85" t="n"/>
      <c r="DG142" s="85" t="n"/>
      <c r="DH142" s="85" t="n"/>
      <c r="DI142" s="85" t="n"/>
      <c r="DJ142" s="85" t="n"/>
      <c r="DK142" s="85" t="n"/>
      <c r="DL142" s="85" t="n"/>
      <c r="DM142" s="85" t="n"/>
      <c r="DN142" s="85" t="n"/>
      <c r="DO142" s="85" t="n"/>
      <c r="DP142" s="85" t="n"/>
      <c r="DQ142" s="85" t="n"/>
      <c r="DR142" s="85" t="n"/>
      <c r="DS142" s="85" t="n"/>
      <c r="DT142" s="85" t="n"/>
      <c r="DU142" s="85" t="n"/>
      <c r="DV142" s="85" t="n"/>
      <c r="DW142" s="85" t="n"/>
      <c r="DX142" s="85" t="n"/>
      <c r="DY142" s="85" t="n"/>
      <c r="DZ142" s="85" t="n"/>
      <c r="EA142" s="85" t="n"/>
      <c r="EB142" s="85" t="n"/>
      <c r="EC142" s="85" t="n"/>
      <c r="ED142" s="85" t="n"/>
      <c r="EE142" s="85" t="n"/>
      <c r="EF142" s="85" t="n"/>
      <c r="EG142" s="85" t="n"/>
      <c r="EH142" s="85" t="n"/>
      <c r="EI142" s="85" t="n"/>
      <c r="EJ142" s="85" t="n"/>
      <c r="EK142" s="85" t="n"/>
      <c r="EL142" s="85" t="n"/>
      <c r="EM142" s="85" t="n"/>
      <c r="EN142" s="85" t="n"/>
      <c r="EO142" s="85" t="n"/>
      <c r="EP142" s="85" t="n"/>
      <c r="EQ142" s="85" t="n"/>
      <c r="ER142" s="85" t="n"/>
      <c r="ES142" s="85" t="n"/>
      <c r="ET142" s="85" t="n"/>
      <c r="EU142" s="85" t="n"/>
      <c r="EV142" s="85" t="n"/>
      <c r="EW142" s="85" t="n"/>
      <c r="EX142" s="85" t="n"/>
      <c r="EY142" s="85" t="n"/>
      <c r="EZ142" s="85" t="n"/>
      <c r="FA142" s="85" t="n"/>
      <c r="FB142" s="85" t="n"/>
      <c r="FC142" s="85" t="n"/>
      <c r="FD142" s="85" t="n"/>
      <c r="FE142" s="85" t="n"/>
      <c r="FF142" s="85" t="n"/>
      <c r="FG142" s="85" t="n"/>
      <c r="FH142" s="85" t="n"/>
      <c r="FI142" s="85" t="n"/>
      <c r="FJ142" s="85" t="n"/>
      <c r="FK142" s="85" t="n"/>
      <c r="FL142" s="85" t="n"/>
      <c r="FM142" s="85" t="n"/>
      <c r="FN142" s="85" t="n"/>
      <c r="FO142" s="85" t="n"/>
      <c r="FP142" s="85" t="n"/>
      <c r="FQ142" s="85" t="n"/>
      <c r="FR142" s="85" t="n"/>
      <c r="FS142" s="85" t="n"/>
      <c r="FT142" s="85" t="n"/>
      <c r="FU142" s="85" t="n"/>
      <c r="FV142" s="85" t="n"/>
      <c r="FW142" s="85" t="n"/>
      <c r="FX142" s="85" t="n"/>
      <c r="FY142" s="85" t="n"/>
      <c r="FZ142" s="85" t="n"/>
      <c r="GA142" s="85" t="n"/>
      <c r="GB142" s="85" t="n"/>
      <c r="GC142" s="85" t="n"/>
      <c r="GD142" s="85" t="n"/>
      <c r="GE142" s="85" t="n"/>
      <c r="GF142" s="85" t="n"/>
      <c r="GG142" s="85" t="n"/>
      <c r="GH142" s="85" t="n"/>
      <c r="GI142" s="85" t="n"/>
      <c r="GJ142" s="85" t="n"/>
      <c r="GK142" s="85" t="n"/>
      <c r="GL142" s="85" t="n"/>
      <c r="GM142" s="85" t="n"/>
      <c r="GN142" s="85" t="n"/>
      <c r="GO142" s="85" t="n"/>
      <c r="GP142" s="85" t="n"/>
      <c r="GQ142" s="85" t="n"/>
      <c r="GR142" s="85" t="n"/>
      <c r="GS142" s="85" t="n"/>
      <c r="GT142" s="85" t="n"/>
      <c r="GU142" s="85" t="n"/>
      <c r="GV142" s="85" t="n"/>
      <c r="GW142" s="85" t="n"/>
      <c r="GX142" s="85" t="n"/>
      <c r="GY142" s="85" t="n"/>
      <c r="GZ142" s="85" t="n"/>
      <c r="HA142" s="85" t="n"/>
      <c r="HB142" s="85" t="n"/>
      <c r="HC142" s="85" t="n"/>
      <c r="HD142" s="85" t="n"/>
      <c r="HE142" s="85" t="n"/>
      <c r="HF142" s="85" t="n"/>
      <c r="HG142" s="85" t="n"/>
      <c r="HH142" s="85" t="n"/>
      <c r="HI142" s="85" t="n"/>
      <c r="HJ142" s="85" t="n"/>
      <c r="HK142" s="85" t="n"/>
      <c r="HL142" s="85" t="n"/>
      <c r="HM142" s="85" t="n"/>
      <c r="HN142" s="85" t="n"/>
      <c r="HO142" s="85" t="n"/>
      <c r="HP142" s="85" t="n"/>
      <c r="HQ142" s="85" t="n"/>
      <c r="HR142" s="85" t="n"/>
      <c r="HS142" s="85" t="n"/>
      <c r="HT142" s="85" t="n"/>
      <c r="HU142" s="85" t="n"/>
    </row>
    <row r="143" ht="7.2" customHeight="1">
      <c r="A143" s="1" t="n"/>
      <c r="B143" s="143" t="n"/>
      <c r="C143" s="53" t="n"/>
      <c r="D143" s="53" t="n"/>
      <c r="E143" s="53" t="n"/>
      <c r="F143" s="53" t="n"/>
      <c r="G143" s="53" t="n"/>
      <c r="H143" s="53" t="n"/>
      <c r="I143" s="53" t="n"/>
      <c r="J143" s="185" t="n"/>
      <c r="K143" s="53" t="n"/>
      <c r="L143" s="53" t="n"/>
      <c r="M143" s="186" t="n"/>
      <c r="N143" s="186" t="n"/>
      <c r="O143" s="186" t="n"/>
      <c r="P143" s="186" t="n"/>
      <c r="Q143" s="186" t="n"/>
      <c r="R143" s="186" t="n"/>
      <c r="S143" s="186" t="n"/>
      <c r="T143" s="186" t="n"/>
      <c r="U143" s="186" t="n"/>
      <c r="V143" s="186" t="n"/>
      <c r="W143" s="186" t="n"/>
      <c r="X143" s="186" t="n"/>
      <c r="Y143" s="186" t="n"/>
      <c r="Z143" s="186" t="n"/>
      <c r="AA143" s="186" t="n"/>
      <c r="AB143" s="186" t="n"/>
      <c r="AC143" s="186" t="n"/>
      <c r="AD143" s="186" t="n"/>
      <c r="AE143" s="186" t="n"/>
      <c r="AF143" s="186" t="n"/>
      <c r="AG143" s="186" t="n"/>
      <c r="AH143" s="13" t="n"/>
      <c r="AI143" s="240" t="n"/>
      <c r="AJ143" s="13" t="n"/>
      <c r="AK143" s="53" t="n"/>
      <c r="AL143" s="53" t="n"/>
      <c r="AM143" s="53" t="n"/>
      <c r="AN143" s="53" t="n"/>
      <c r="AO143" s="53" t="n"/>
      <c r="AP143" s="53" t="n"/>
      <c r="AQ143" s="53" t="n"/>
      <c r="AR143" s="53" t="n"/>
      <c r="AS143" s="53" t="n"/>
      <c r="AT143" s="53" t="n"/>
      <c r="AU143" s="53" t="n"/>
      <c r="AV143" s="53" t="n"/>
      <c r="AW143" s="53" t="n"/>
      <c r="AX143" s="53" t="n"/>
      <c r="AY143" s="53" t="n"/>
      <c r="AZ143" s="53" t="n"/>
      <c r="BA143" s="53" t="n"/>
      <c r="BB143" s="53" t="n"/>
      <c r="BC143" s="53" t="n"/>
      <c r="BD143" s="307" t="n"/>
      <c r="BE143" s="53" t="n"/>
      <c r="BF143" s="53" t="n"/>
      <c r="BG143" s="53" t="n"/>
      <c r="BH143" s="53" t="n"/>
      <c r="BI143" s="53" t="n"/>
      <c r="BJ143" s="53" t="n"/>
      <c r="BK143" s="53" t="n"/>
      <c r="BL143" s="53" t="n"/>
      <c r="BM143" s="53" t="n"/>
      <c r="BN143" s="53" t="n"/>
      <c r="BO143" s="53" t="n"/>
      <c r="BP143" s="307" t="n"/>
      <c r="BQ143" s="53" t="n"/>
      <c r="BR143" s="53" t="n"/>
      <c r="BS143" s="53" t="n"/>
      <c r="BT143" s="53" t="n"/>
      <c r="BU143" s="53" t="n"/>
      <c r="BV143" s="53" t="n"/>
      <c r="BW143" s="53" t="n"/>
      <c r="BX143" s="53" t="n"/>
      <c r="BY143" s="53" t="n"/>
      <c r="BZ143" s="53" t="n"/>
      <c r="CA143" s="53" t="n"/>
      <c r="CB143" s="307" t="n"/>
      <c r="CC143" s="53" t="n"/>
      <c r="CD143" s="53" t="n"/>
      <c r="CE143" s="53" t="n"/>
      <c r="CF143" s="53" t="n"/>
      <c r="CG143" s="53" t="n"/>
      <c r="CH143" s="53" t="n"/>
      <c r="CI143" s="53" t="n"/>
      <c r="CJ143" s="53" t="n"/>
      <c r="CK143" s="53" t="n"/>
      <c r="CL143" s="53" t="n"/>
      <c r="CM143" s="53" t="n"/>
      <c r="CN143" s="307" t="n"/>
      <c r="CO143" s="53" t="n"/>
      <c r="CP143" s="53" t="n"/>
      <c r="CQ143" s="53" t="n"/>
      <c r="CR143" s="53" t="n"/>
      <c r="CS143" s="53" t="n"/>
      <c r="CT143" s="53" t="n"/>
      <c r="CU143" s="53" t="n"/>
      <c r="CV143" s="53" t="n"/>
      <c r="CW143" s="53" t="n"/>
      <c r="CX143" s="53" t="n"/>
      <c r="CY143" s="53" t="n"/>
      <c r="CZ143" s="307" t="n"/>
      <c r="DA143" s="53" t="n"/>
      <c r="DB143" s="53" t="n"/>
      <c r="DC143" s="53" t="n"/>
      <c r="DD143" s="53" t="n"/>
      <c r="DE143" s="53" t="n"/>
      <c r="DF143" s="53" t="n"/>
      <c r="DG143" s="53" t="n"/>
      <c r="DH143" s="53" t="n"/>
      <c r="DI143" s="53" t="n"/>
      <c r="DJ143" s="53" t="n"/>
      <c r="DK143" s="53" t="n"/>
      <c r="DL143" s="53" t="n"/>
      <c r="DM143" s="53" t="n"/>
      <c r="DN143" s="53" t="n"/>
      <c r="DO143" s="53" t="n"/>
      <c r="DP143" s="53" t="n"/>
      <c r="DQ143" s="53" t="n"/>
      <c r="DR143" s="53" t="n"/>
      <c r="DS143" s="53" t="n"/>
      <c r="DT143" s="53" t="n"/>
      <c r="DU143" s="53" t="n"/>
      <c r="DV143" s="53" t="n"/>
      <c r="DW143" s="53" t="n"/>
      <c r="DX143" s="53" t="n"/>
      <c r="DY143" s="53" t="n"/>
      <c r="DZ143" s="53" t="n"/>
      <c r="EA143" s="53" t="n"/>
      <c r="EB143" s="53" t="n"/>
      <c r="EC143" s="53" t="n"/>
      <c r="ED143" s="53" t="n"/>
      <c r="EE143" s="53" t="n"/>
      <c r="EF143" s="53" t="n"/>
      <c r="EG143" s="53" t="n"/>
      <c r="EH143" s="53" t="n"/>
      <c r="EI143" s="53" t="n"/>
      <c r="EJ143" s="53" t="n"/>
      <c r="EK143" s="53" t="n"/>
      <c r="EL143" s="53" t="n"/>
      <c r="EM143" s="53" t="n"/>
      <c r="EN143" s="53" t="n"/>
      <c r="EO143" s="53" t="n"/>
      <c r="EP143" s="53" t="n"/>
      <c r="EQ143" s="53" t="n"/>
      <c r="ER143" s="53" t="n"/>
      <c r="ES143" s="53" t="n"/>
      <c r="ET143" s="53" t="n"/>
      <c r="EU143" s="53" t="n"/>
      <c r="EV143" s="53" t="n"/>
      <c r="EW143" s="53" t="n"/>
      <c r="EX143" s="53" t="n"/>
      <c r="EY143" s="53" t="n"/>
      <c r="EZ143" s="53" t="n"/>
      <c r="FA143" s="53" t="n"/>
      <c r="FB143" s="53" t="n"/>
      <c r="FC143" s="53" t="n"/>
      <c r="FD143" s="53" t="n"/>
      <c r="FE143" s="53" t="n"/>
      <c r="FF143" s="53" t="n"/>
      <c r="FG143" s="53" t="n"/>
      <c r="FH143" s="53" t="n"/>
      <c r="FI143" s="53" t="n"/>
      <c r="FJ143" s="53" t="n"/>
      <c r="FK143" s="53" t="n"/>
      <c r="FL143" s="53" t="n"/>
      <c r="FM143" s="53" t="n"/>
      <c r="FN143" s="53" t="n"/>
      <c r="FO143" s="53" t="n"/>
      <c r="FP143" s="53" t="n"/>
      <c r="FQ143" s="53" t="n"/>
      <c r="FR143" s="53" t="n"/>
      <c r="FS143" s="53" t="n"/>
      <c r="FT143" s="53" t="n"/>
      <c r="FU143" s="53" t="n"/>
      <c r="FV143" s="53" t="n"/>
      <c r="FW143" s="53" t="n"/>
      <c r="FX143" s="53" t="n"/>
      <c r="FY143" s="53" t="n"/>
      <c r="FZ143" s="53" t="n"/>
      <c r="GA143" s="53" t="n"/>
      <c r="GB143" s="53" t="n"/>
      <c r="GC143" s="53" t="n"/>
      <c r="GD143" s="53" t="n"/>
      <c r="GE143" s="53" t="n"/>
      <c r="GF143" s="53" t="n"/>
      <c r="GG143" s="53" t="n"/>
      <c r="GH143" s="53" t="n"/>
      <c r="GI143" s="53" t="n"/>
      <c r="GJ143" s="53" t="n"/>
      <c r="GK143" s="53" t="n"/>
      <c r="GL143" s="53" t="n"/>
      <c r="GM143" s="53" t="n"/>
      <c r="GN143" s="53" t="n"/>
      <c r="GO143" s="53" t="n"/>
      <c r="GP143" s="53" t="n"/>
      <c r="GQ143" s="53" t="n"/>
      <c r="GR143" s="53" t="n"/>
      <c r="GS143" s="53" t="n"/>
      <c r="GT143" s="53" t="n"/>
      <c r="GU143" s="53" t="n"/>
      <c r="GV143" s="53" t="n"/>
      <c r="GW143" s="53" t="n"/>
      <c r="GX143" s="53" t="n"/>
      <c r="GY143" s="53" t="n"/>
      <c r="GZ143" s="53" t="n"/>
      <c r="HA143" s="53" t="n"/>
      <c r="HB143" s="53" t="n"/>
      <c r="HC143" s="53" t="n"/>
      <c r="HD143" s="53" t="n"/>
      <c r="HE143" s="53" t="n"/>
      <c r="HF143" s="53" t="n"/>
      <c r="HG143" s="53" t="n"/>
      <c r="HH143" s="53" t="n"/>
      <c r="HI143" s="53" t="n"/>
      <c r="HJ143" s="53" t="n"/>
      <c r="HK143" s="53" t="n"/>
      <c r="HL143" s="53" t="n"/>
      <c r="HM143" s="53" t="n"/>
      <c r="HN143" s="53" t="n"/>
      <c r="HO143" s="53" t="n"/>
      <c r="HP143" s="53" t="n"/>
      <c r="HQ143" s="53" t="n"/>
      <c r="HR143" s="53" t="n"/>
      <c r="HS143" s="53" t="n"/>
      <c r="HT143" s="53" t="n"/>
      <c r="HU143" s="53" t="n"/>
    </row>
    <row r="144" ht="16.2" customHeight="1">
      <c r="A144" s="19" t="inlineStr">
        <is>
          <t>DISTRATOS (-)</t>
        </is>
      </c>
      <c r="B144" s="139" t="n"/>
      <c r="C144" s="20" t="n"/>
      <c r="D144" s="22" t="n"/>
      <c r="E144" s="20" t="n"/>
      <c r="F144" s="20" t="n"/>
      <c r="G144" s="20" t="n"/>
      <c r="H144" s="20" t="n"/>
      <c r="I144" s="21" t="n"/>
      <c r="J144" s="175" t="n"/>
      <c r="K144" s="21" t="n"/>
      <c r="L144" s="108" t="n"/>
      <c r="M144" s="220" t="n"/>
      <c r="N144" s="220" t="n"/>
      <c r="O144" s="220" t="n"/>
      <c r="P144" s="220" t="n"/>
      <c r="Q144" s="220" t="n"/>
      <c r="R144" s="220" t="n"/>
      <c r="S144" s="220" t="n"/>
      <c r="T144" s="220" t="n"/>
      <c r="U144" s="220" t="n"/>
      <c r="V144" s="220" t="n"/>
      <c r="W144" s="220" t="n"/>
      <c r="X144" s="220" t="n"/>
      <c r="Y144" s="220" t="n"/>
      <c r="Z144" s="220" t="n"/>
      <c r="AA144" s="220" t="n"/>
      <c r="AB144" s="220" t="n"/>
      <c r="AC144" s="220" t="n"/>
      <c r="AD144" s="220" t="n"/>
      <c r="AE144" s="220" t="n"/>
      <c r="AF144" s="220" t="n"/>
      <c r="AG144" s="220" t="n"/>
      <c r="AH144" s="200" t="n"/>
      <c r="AI144" s="241" t="n"/>
      <c r="AJ144" s="200" t="n"/>
      <c r="AK144" s="20" t="n"/>
      <c r="AL144" s="20" t="n"/>
      <c r="AM144" s="20" t="n"/>
      <c r="AN144" s="20" t="n"/>
      <c r="AO144" s="20" t="n"/>
      <c r="AP144" s="20" t="n"/>
      <c r="AQ144" s="21" t="n"/>
      <c r="AR144" s="21" t="n"/>
      <c r="AS144" s="20" t="n"/>
      <c r="AT144" s="20" t="n"/>
      <c r="AU144" s="20" t="n"/>
      <c r="AV144" s="20" t="n"/>
      <c r="AW144" s="20" t="n"/>
      <c r="AX144" s="20" t="n"/>
      <c r="AY144" s="20" t="n"/>
      <c r="AZ144" s="20" t="n"/>
      <c r="BA144" s="20" t="n"/>
      <c r="BB144" s="20" t="n"/>
      <c r="BC144" s="20" t="n"/>
      <c r="BD144" s="299" t="n"/>
      <c r="BE144" s="22" t="n"/>
      <c r="BF144" s="20" t="n"/>
      <c r="BG144" s="20" t="n"/>
      <c r="BH144" s="20" t="n"/>
      <c r="BI144" s="20" t="n"/>
      <c r="BJ144" s="20" t="n"/>
      <c r="BK144" s="20" t="n"/>
      <c r="BL144" s="20" t="n"/>
      <c r="BM144" s="20" t="n"/>
      <c r="BN144" s="20" t="n"/>
      <c r="BO144" s="20" t="n"/>
      <c r="BP144" s="299" t="n"/>
      <c r="BQ144" s="22" t="n"/>
      <c r="BR144" s="20" t="n"/>
      <c r="BS144" s="20" t="n"/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99" t="n"/>
      <c r="CC144" s="22" t="n"/>
      <c r="CD144" s="20" t="n"/>
      <c r="CE144" s="20" t="n"/>
      <c r="CF144" s="20" t="n"/>
      <c r="CG144" s="20" t="n"/>
      <c r="CH144" s="20" t="n"/>
      <c r="CI144" s="20" t="n"/>
      <c r="CJ144" s="20" t="n"/>
      <c r="CK144" s="20" t="n"/>
      <c r="CL144" s="20" t="n"/>
      <c r="CM144" s="20" t="n"/>
      <c r="CN144" s="299" t="n"/>
      <c r="CO144" s="22" t="n"/>
      <c r="CP144" s="20" t="n"/>
      <c r="CQ144" s="20" t="n"/>
      <c r="CR144" s="20" t="n"/>
      <c r="CS144" s="20" t="n"/>
      <c r="CT144" s="20" t="n"/>
      <c r="CU144" s="20" t="n"/>
      <c r="CV144" s="20" t="n"/>
      <c r="CW144" s="20" t="n"/>
      <c r="CX144" s="20" t="n"/>
      <c r="CY144" s="20" t="n"/>
      <c r="CZ144" s="299" t="n"/>
      <c r="DA144" s="22" t="n"/>
      <c r="DB144" s="20" t="n"/>
      <c r="DC144" s="20" t="n"/>
      <c r="DD144" s="20" t="n"/>
      <c r="DE144" s="20" t="n"/>
      <c r="DF144" s="20" t="n"/>
      <c r="DG144" s="20" t="n"/>
      <c r="DH144" s="20" t="n"/>
      <c r="DI144" s="20" t="n"/>
      <c r="DJ144" s="21" t="n"/>
      <c r="DK144" s="20" t="n"/>
      <c r="DL144" s="21" t="n"/>
      <c r="DM144" s="20" t="n"/>
      <c r="DN144" s="21" t="n"/>
      <c r="DO144" s="21" t="n"/>
      <c r="DP144" s="21" t="n"/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n"/>
      <c r="DZ144" s="21" t="n"/>
      <c r="EA144" s="21" t="n"/>
      <c r="EB144" s="21" t="n"/>
      <c r="EC144" s="21" t="n"/>
      <c r="ED144" s="21" t="n"/>
      <c r="EE144" s="21" t="n"/>
      <c r="EF144" s="21" t="n"/>
      <c r="EG144" s="21" t="n"/>
      <c r="EH144" s="21" t="n"/>
      <c r="EI144" s="21" t="n"/>
      <c r="EJ144" s="21" t="n"/>
      <c r="EK144" s="21" t="n"/>
      <c r="EL144" s="21" t="n"/>
      <c r="EM144" s="21" t="n"/>
      <c r="EN144" s="21" t="n"/>
      <c r="EO144" s="21" t="n"/>
      <c r="EP144" s="21" t="n"/>
      <c r="EQ144" s="21" t="n"/>
      <c r="ER144" s="21" t="n"/>
      <c r="ES144" s="21" t="n"/>
      <c r="ET144" s="21" t="n"/>
      <c r="EU144" s="21" t="n"/>
      <c r="EV144" s="21" t="n"/>
      <c r="EW144" s="21" t="n"/>
      <c r="EX144" s="21" t="n"/>
      <c r="EY144" s="21" t="n"/>
      <c r="EZ144" s="21" t="n"/>
      <c r="FA144" s="21" t="n"/>
      <c r="FB144" s="21" t="n"/>
      <c r="FC144" s="21" t="n"/>
      <c r="FD144" s="21" t="n"/>
      <c r="FE144" s="21" t="n"/>
      <c r="FF144" s="21" t="n"/>
      <c r="FG144" s="21" t="n"/>
      <c r="FH144" s="21" t="n"/>
      <c r="FI144" s="21" t="n"/>
      <c r="FJ144" s="21" t="n"/>
      <c r="FK144" s="21" t="n"/>
      <c r="FL144" s="21" t="n"/>
      <c r="FM144" s="21" t="n"/>
      <c r="FN144" s="21" t="n"/>
      <c r="FO144" s="21" t="n"/>
      <c r="FP144" s="21" t="n"/>
      <c r="FQ144" s="21" t="n"/>
      <c r="FR144" s="21" t="n"/>
      <c r="FS144" s="21" t="n"/>
      <c r="FT144" s="21" t="n"/>
      <c r="FU144" s="21" t="n"/>
      <c r="FV144" s="21" t="n"/>
      <c r="FW144" s="21" t="n"/>
      <c r="FX144" s="21" t="n"/>
      <c r="FY144" s="21" t="n"/>
      <c r="FZ144" s="21" t="n"/>
      <c r="GA144" s="21" t="n"/>
      <c r="GB144" s="21" t="n"/>
      <c r="GC144" s="21" t="n"/>
      <c r="GD144" s="21" t="n"/>
      <c r="GE144" s="21" t="n"/>
      <c r="GF144" s="21" t="n"/>
      <c r="GG144" s="21" t="n"/>
      <c r="GH144" s="21" t="n"/>
      <c r="GI144" s="21" t="n"/>
      <c r="GJ144" s="21" t="n"/>
      <c r="GK144" s="21" t="n"/>
      <c r="GL144" s="21" t="n"/>
      <c r="GM144" s="21" t="n"/>
      <c r="GN144" s="21" t="n"/>
      <c r="GO144" s="21" t="n"/>
      <c r="GP144" s="21" t="n"/>
      <c r="GQ144" s="21" t="n"/>
      <c r="GR144" s="21" t="n"/>
      <c r="GS144" s="21" t="n"/>
      <c r="GT144" s="21" t="n"/>
      <c r="GU144" s="21" t="n"/>
      <c r="GV144" s="21" t="n"/>
      <c r="GW144" s="21" t="n"/>
      <c r="GX144" s="21" t="n"/>
      <c r="GY144" s="21" t="n"/>
      <c r="GZ144" s="21" t="n"/>
      <c r="HA144" s="21" t="n"/>
      <c r="HB144" s="21" t="n"/>
      <c r="HC144" s="21" t="n"/>
      <c r="HD144" s="21" t="n"/>
      <c r="HE144" s="21" t="n"/>
      <c r="HF144" s="21" t="n"/>
      <c r="HG144" s="21" t="n"/>
      <c r="HH144" s="21" t="n"/>
      <c r="HI144" s="21" t="n"/>
      <c r="HJ144" s="21" t="n"/>
      <c r="HK144" s="21" t="n"/>
      <c r="HL144" s="21" t="n"/>
      <c r="HM144" s="21" t="n"/>
      <c r="HN144" s="21" t="n"/>
      <c r="HO144" s="21" t="n"/>
      <c r="HP144" s="21" t="n"/>
      <c r="HQ144" s="21" t="n"/>
      <c r="HR144" s="21" t="n"/>
      <c r="HS144" s="21" t="n"/>
      <c r="HT144" s="21" t="n"/>
      <c r="HU144" s="21" t="n"/>
    </row>
    <row r="145" ht="16.2" customHeight="1">
      <c r="A145" s="7" t="inlineStr">
        <is>
          <t>Devoluções</t>
        </is>
      </c>
      <c r="B145" s="136" t="n"/>
      <c r="C145" s="85" t="n"/>
      <c r="D145" s="87" t="n"/>
      <c r="E145" s="85" t="n"/>
      <c r="F145" s="85" t="n"/>
      <c r="G145" s="85" t="n"/>
      <c r="H145" s="85" t="n"/>
      <c r="I145" s="86" t="n"/>
      <c r="J145" s="228" t="n"/>
      <c r="K145" s="229" t="n"/>
      <c r="L145" s="122" t="n"/>
      <c r="M145" s="219" t="n"/>
      <c r="N145" s="219" t="n"/>
      <c r="O145" s="219" t="n"/>
      <c r="P145" s="219" t="n"/>
      <c r="Q145" s="219" t="n"/>
      <c r="R145" s="219" t="n"/>
      <c r="S145" s="219" t="n"/>
      <c r="T145" s="219" t="n"/>
      <c r="U145" s="219" t="n"/>
      <c r="V145" s="219" t="n"/>
      <c r="W145" s="219" t="n"/>
      <c r="X145" s="219" t="n"/>
      <c r="Y145" s="219" t="n"/>
      <c r="Z145" s="219" t="n"/>
      <c r="AA145" s="219" t="n"/>
      <c r="AB145" s="219" t="n"/>
      <c r="AC145" s="219" t="n"/>
      <c r="AD145" s="219" t="n"/>
      <c r="AE145" s="219" t="n"/>
      <c r="AF145" s="219" t="n"/>
      <c r="AG145" s="219" t="n"/>
      <c r="AH145" s="13" t="n"/>
      <c r="AI145" s="441" t="n"/>
      <c r="AJ145" s="13" t="n"/>
      <c r="AK145" s="85" t="n"/>
      <c r="AL145" s="85" t="n"/>
      <c r="AM145" s="85" t="n"/>
      <c r="AN145" s="85" t="n"/>
      <c r="AO145" s="85" t="n"/>
      <c r="AP145" s="85" t="n"/>
      <c r="AQ145" s="86" t="n"/>
      <c r="AR145" s="86" t="n"/>
      <c r="AS145" s="85" t="n"/>
      <c r="AT145" s="85" t="n"/>
      <c r="AU145" s="85" t="n"/>
      <c r="AV145" s="85" t="n"/>
      <c r="AW145" s="85" t="n"/>
      <c r="AX145" s="85" t="n"/>
      <c r="AY145" s="85" t="n"/>
      <c r="AZ145" s="85" t="n"/>
      <c r="BA145" s="85" t="n"/>
      <c r="BB145" s="85" t="n"/>
      <c r="BC145" s="85" t="n"/>
      <c r="BD145" s="296" t="n"/>
      <c r="BE145" s="87" t="n"/>
      <c r="BF145" s="85" t="n"/>
      <c r="BG145" s="85" t="n"/>
      <c r="BH145" s="85" t="n"/>
      <c r="BI145" s="85" t="n"/>
      <c r="BJ145" s="85" t="n"/>
      <c r="BK145" s="85" t="n"/>
      <c r="BL145" s="85" t="n"/>
      <c r="BM145" s="85" t="n"/>
      <c r="BN145" s="85" t="n"/>
      <c r="BO145" s="85" t="n"/>
      <c r="BP145" s="296" t="n"/>
      <c r="BQ145" s="87" t="n"/>
      <c r="BR145" s="85" t="n"/>
      <c r="BS145" s="85" t="n"/>
      <c r="BT145" s="85" t="n"/>
      <c r="BU145" s="85" t="n"/>
      <c r="BV145" s="85" t="n"/>
      <c r="BW145" s="85" t="n"/>
      <c r="BX145" s="85" t="n"/>
      <c r="BY145" s="85" t="n"/>
      <c r="BZ145" s="85" t="n"/>
      <c r="CA145" s="85" t="n"/>
      <c r="CB145" s="296" t="n"/>
      <c r="CC145" s="87" t="n"/>
      <c r="CD145" s="85" t="n"/>
      <c r="CE145" s="85" t="n"/>
      <c r="CF145" s="85" t="n"/>
      <c r="CG145" s="85" t="n"/>
      <c r="CH145" s="85" t="n"/>
      <c r="CI145" s="85" t="n"/>
      <c r="CJ145" s="85" t="n"/>
      <c r="CK145" s="85" t="n"/>
      <c r="CL145" s="85" t="n"/>
      <c r="CM145" s="85" t="n"/>
      <c r="CN145" s="296" t="n"/>
      <c r="CO145" s="87" t="n"/>
      <c r="CP145" s="85" t="n"/>
      <c r="CQ145" s="85" t="n"/>
      <c r="CR145" s="85" t="n"/>
      <c r="CS145" s="85" t="n"/>
      <c r="CT145" s="85" t="n"/>
      <c r="CU145" s="85" t="n"/>
      <c r="CV145" s="85" t="n"/>
      <c r="CW145" s="85" t="n"/>
      <c r="CX145" s="85" t="n"/>
      <c r="CY145" s="85" t="n"/>
      <c r="CZ145" s="296" t="n"/>
      <c r="DA145" s="87" t="n"/>
      <c r="DB145" s="85" t="n"/>
      <c r="DC145" s="85" t="n"/>
      <c r="DD145" s="85" t="n"/>
      <c r="DE145" s="85" t="n"/>
      <c r="DF145" s="85" t="n"/>
      <c r="DG145" s="85" t="n"/>
      <c r="DH145" s="85" t="n"/>
      <c r="DI145" s="85" t="n"/>
      <c r="DJ145" s="86" t="n"/>
      <c r="DK145" s="85" t="n"/>
      <c r="DL145" s="86" t="n"/>
      <c r="DM145" s="85" t="n"/>
      <c r="DN145" s="86" t="n"/>
      <c r="DO145" s="86" t="n"/>
      <c r="DP145" s="86" t="n"/>
      <c r="DQ145" s="86" t="n"/>
      <c r="DR145" s="86" t="n"/>
      <c r="DS145" s="86" t="n"/>
      <c r="DT145" s="86" t="n"/>
      <c r="DU145" s="86" t="n"/>
      <c r="DV145" s="86" t="n"/>
      <c r="DW145" s="86" t="n"/>
      <c r="DX145" s="86" t="n"/>
      <c r="DY145" s="86" t="n"/>
      <c r="DZ145" s="86" t="n"/>
      <c r="EA145" s="86" t="n"/>
      <c r="EB145" s="86" t="n"/>
      <c r="EC145" s="86" t="n"/>
      <c r="ED145" s="86" t="n"/>
      <c r="EE145" s="86" t="n"/>
      <c r="EF145" s="86" t="n"/>
      <c r="EG145" s="86" t="n"/>
      <c r="EH145" s="86" t="n"/>
      <c r="EI145" s="86" t="n"/>
      <c r="EJ145" s="86" t="n"/>
      <c r="EK145" s="86" t="n"/>
      <c r="EL145" s="86" t="n"/>
      <c r="EM145" s="86" t="n"/>
      <c r="EN145" s="86" t="n"/>
      <c r="EO145" s="86" t="n"/>
      <c r="EP145" s="86" t="n"/>
      <c r="EQ145" s="86" t="n"/>
      <c r="ER145" s="86" t="n"/>
      <c r="ES145" s="86" t="n"/>
      <c r="ET145" s="86" t="n"/>
      <c r="EU145" s="86" t="n"/>
      <c r="EV145" s="86" t="n"/>
      <c r="EW145" s="86" t="n"/>
      <c r="EX145" s="86" t="n"/>
      <c r="EY145" s="86" t="n"/>
      <c r="EZ145" s="86" t="n"/>
      <c r="FA145" s="86" t="n"/>
      <c r="FB145" s="86" t="n"/>
      <c r="FC145" s="86" t="n"/>
      <c r="FD145" s="86" t="n"/>
      <c r="FE145" s="86" t="n"/>
      <c r="FF145" s="86" t="n"/>
      <c r="FG145" s="86" t="n"/>
      <c r="FH145" s="86" t="n"/>
      <c r="FI145" s="86" t="n"/>
      <c r="FJ145" s="86" t="n"/>
      <c r="FK145" s="86" t="n"/>
      <c r="FL145" s="86" t="n"/>
      <c r="FM145" s="86" t="n"/>
      <c r="FN145" s="86" t="n"/>
      <c r="FO145" s="86" t="n"/>
      <c r="FP145" s="86" t="n"/>
      <c r="FQ145" s="86" t="n"/>
      <c r="FR145" s="86" t="n"/>
      <c r="FS145" s="86" t="n"/>
      <c r="FT145" s="86" t="n"/>
      <c r="FU145" s="86" t="n"/>
      <c r="FV145" s="86" t="n"/>
      <c r="FW145" s="86" t="n"/>
      <c r="FX145" s="86" t="n"/>
      <c r="FY145" s="86" t="n"/>
      <c r="FZ145" s="86" t="n"/>
      <c r="GA145" s="86" t="n"/>
      <c r="GB145" s="86" t="n"/>
      <c r="GC145" s="86" t="n"/>
      <c r="GD145" s="86" t="n"/>
      <c r="GE145" s="86" t="n"/>
      <c r="GF145" s="86" t="n"/>
      <c r="GG145" s="86" t="n"/>
      <c r="GH145" s="86" t="n"/>
      <c r="GI145" s="86" t="n"/>
      <c r="GJ145" s="86" t="n"/>
      <c r="GK145" s="86" t="n"/>
      <c r="GL145" s="86" t="n"/>
      <c r="GM145" s="86" t="n"/>
      <c r="GN145" s="86" t="n"/>
      <c r="GO145" s="86" t="n"/>
      <c r="GP145" s="86" t="n"/>
      <c r="GQ145" s="86" t="n"/>
      <c r="GR145" s="86" t="n"/>
      <c r="GS145" s="86" t="n"/>
      <c r="GT145" s="86" t="n"/>
      <c r="GU145" s="86" t="n"/>
      <c r="GV145" s="86" t="n"/>
      <c r="GW145" s="86" t="n"/>
      <c r="GX145" s="86" t="n"/>
      <c r="GY145" s="86" t="n"/>
      <c r="GZ145" s="86" t="n"/>
      <c r="HA145" s="86" t="n"/>
      <c r="HB145" s="86" t="n"/>
      <c r="HC145" s="86" t="n"/>
      <c r="HD145" s="86" t="n"/>
      <c r="HE145" s="86" t="n"/>
      <c r="HF145" s="86" t="n"/>
      <c r="HG145" s="86" t="n"/>
      <c r="HH145" s="86" t="n"/>
      <c r="HI145" s="86" t="n"/>
      <c r="HJ145" s="86" t="n"/>
      <c r="HK145" s="86" t="n"/>
      <c r="HL145" s="86" t="n"/>
      <c r="HM145" s="86" t="n"/>
      <c r="HN145" s="86" t="n"/>
      <c r="HO145" s="86" t="n"/>
      <c r="HP145" s="86" t="n"/>
      <c r="HQ145" s="86" t="n"/>
      <c r="HR145" s="86" t="n"/>
      <c r="HS145" s="86" t="n"/>
      <c r="HT145" s="86" t="n"/>
      <c r="HU145" s="86" t="n"/>
    </row>
    <row r="146" ht="8.4" customHeight="1">
      <c r="A146" s="28" t="n"/>
      <c r="B146" s="146" t="n"/>
      <c r="C146" s="512" t="n"/>
      <c r="D146" s="512" t="n"/>
      <c r="E146" s="512" t="n"/>
      <c r="F146" s="512" t="n"/>
      <c r="G146" s="512" t="n"/>
      <c r="H146" s="512" t="n"/>
      <c r="I146" s="512" t="n"/>
      <c r="J146" s="513" t="n"/>
      <c r="K146" s="512" t="n"/>
      <c r="L146" s="512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514" t="n"/>
      <c r="AA146" s="514" t="n"/>
      <c r="AB146" s="514" t="n"/>
      <c r="AC146" s="514" t="n"/>
      <c r="AD146" s="514" t="n"/>
      <c r="AE146" s="514" t="n"/>
      <c r="AF146" s="514" t="n"/>
      <c r="AG146" s="514" t="n"/>
      <c r="AH146" s="512" t="n"/>
      <c r="AI146" s="533" t="n"/>
      <c r="AJ146" s="512" t="n"/>
      <c r="AK146" s="512" t="n"/>
      <c r="AL146" s="512" t="n"/>
      <c r="AM146" s="512" t="n"/>
      <c r="AN146" s="512" t="n"/>
      <c r="AO146" s="512" t="n"/>
      <c r="AP146" s="512" t="n"/>
      <c r="AQ146" s="512" t="n"/>
      <c r="AR146" s="512" t="n"/>
      <c r="AS146" s="512" t="n"/>
      <c r="AT146" s="512" t="n"/>
      <c r="AU146" s="512" t="n"/>
      <c r="AV146" s="512" t="n"/>
      <c r="AW146" s="512" t="n"/>
      <c r="AX146" s="512" t="n"/>
      <c r="AY146" s="512" t="n"/>
      <c r="AZ146" s="512" t="n"/>
      <c r="BA146" s="512" t="n"/>
      <c r="BB146" s="512" t="n"/>
      <c r="BC146" s="512" t="n"/>
      <c r="BD146" s="515" t="n"/>
      <c r="BE146" s="512" t="n"/>
      <c r="BF146" s="512" t="n"/>
      <c r="BG146" s="512" t="n"/>
      <c r="BH146" s="512" t="n"/>
      <c r="BI146" s="512" t="n"/>
      <c r="BJ146" s="512" t="n"/>
      <c r="BK146" s="512" t="n"/>
      <c r="BL146" s="512" t="n"/>
      <c r="BM146" s="512" t="n"/>
      <c r="BN146" s="512" t="n"/>
      <c r="BO146" s="512" t="n"/>
      <c r="BP146" s="515" t="n"/>
      <c r="BQ146" s="512" t="n"/>
      <c r="BR146" s="512" t="n"/>
      <c r="BS146" s="512" t="n"/>
      <c r="BT146" s="512" t="n"/>
      <c r="BU146" s="512" t="n"/>
      <c r="BV146" s="512" t="n"/>
      <c r="BW146" s="512" t="n"/>
      <c r="BX146" s="512" t="n"/>
      <c r="BY146" s="512" t="n"/>
      <c r="BZ146" s="512" t="n"/>
      <c r="CA146" s="512" t="n"/>
      <c r="CB146" s="515" t="n"/>
      <c r="CC146" s="512" t="n"/>
      <c r="CD146" s="512" t="n"/>
      <c r="CE146" s="512" t="n"/>
      <c r="CF146" s="512" t="n"/>
      <c r="CG146" s="512" t="n"/>
      <c r="CH146" s="512" t="n"/>
      <c r="CI146" s="512" t="n"/>
      <c r="CJ146" s="512" t="n"/>
      <c r="CK146" s="512" t="n"/>
      <c r="CL146" s="512" t="n"/>
      <c r="CM146" s="512" t="n"/>
      <c r="CN146" s="515" t="n"/>
      <c r="CO146" s="512" t="n"/>
      <c r="CP146" s="512" t="n"/>
      <c r="CQ146" s="512" t="n"/>
      <c r="CR146" s="512" t="n"/>
      <c r="CS146" s="512" t="n"/>
      <c r="CT146" s="512" t="n"/>
      <c r="CU146" s="512" t="n"/>
      <c r="CV146" s="512" t="n"/>
      <c r="CW146" s="512" t="n"/>
      <c r="CX146" s="512" t="n"/>
      <c r="CY146" s="512" t="n"/>
      <c r="CZ146" s="515" t="n"/>
      <c r="DA146" s="512" t="n"/>
      <c r="DB146" s="512" t="n"/>
      <c r="DC146" s="512" t="n"/>
      <c r="DD146" s="512" t="n"/>
      <c r="DE146" s="512" t="n"/>
      <c r="DF146" s="512" t="n"/>
      <c r="DG146" s="512" t="n"/>
      <c r="DH146" s="512" t="n"/>
      <c r="DI146" s="512" t="n"/>
      <c r="DJ146" s="512" t="n"/>
      <c r="DK146" s="512" t="n"/>
      <c r="DL146" s="512" t="n"/>
      <c r="DM146" s="512" t="n"/>
      <c r="DN146" s="512" t="n"/>
      <c r="DO146" s="512" t="n"/>
      <c r="DP146" s="512" t="n"/>
      <c r="DQ146" s="512" t="n"/>
      <c r="DR146" s="512" t="n"/>
      <c r="DS146" s="512" t="n"/>
      <c r="DT146" s="512" t="n"/>
      <c r="DU146" s="512" t="n"/>
      <c r="DV146" s="512" t="n"/>
      <c r="DW146" s="512" t="n"/>
      <c r="DX146" s="512" t="n"/>
      <c r="DY146" s="512" t="n"/>
      <c r="DZ146" s="512" t="n"/>
      <c r="EA146" s="512" t="n"/>
      <c r="EB146" s="512" t="n"/>
      <c r="EC146" s="512" t="n"/>
      <c r="ED146" s="512" t="n"/>
      <c r="EE146" s="512" t="n"/>
      <c r="EF146" s="512" t="n"/>
      <c r="EG146" s="512" t="n"/>
      <c r="EH146" s="512" t="n"/>
      <c r="EI146" s="512" t="n"/>
      <c r="EJ146" s="512" t="n"/>
      <c r="EK146" s="512" t="n"/>
      <c r="EL146" s="512" t="n"/>
      <c r="EM146" s="512" t="n"/>
      <c r="EN146" s="512" t="n"/>
      <c r="EO146" s="512" t="n"/>
      <c r="EP146" s="512" t="n"/>
      <c r="EQ146" s="512" t="n"/>
      <c r="ER146" s="512" t="n"/>
      <c r="ES146" s="512" t="n"/>
      <c r="ET146" s="512" t="n"/>
      <c r="EU146" s="512" t="n"/>
      <c r="EV146" s="512" t="n"/>
      <c r="EW146" s="512" t="n"/>
      <c r="EX146" s="512" t="n"/>
      <c r="EY146" s="512" t="n"/>
      <c r="EZ146" s="512" t="n"/>
      <c r="FA146" s="512" t="n"/>
      <c r="FB146" s="512" t="n"/>
      <c r="FC146" s="512" t="n"/>
      <c r="FD146" s="512" t="n"/>
      <c r="FE146" s="512" t="n"/>
      <c r="FF146" s="512" t="n"/>
      <c r="FG146" s="512" t="n"/>
      <c r="FH146" s="512" t="n"/>
      <c r="FI146" s="512" t="n"/>
      <c r="FJ146" s="512" t="n"/>
      <c r="FK146" s="512" t="n"/>
      <c r="FL146" s="512" t="n"/>
      <c r="FM146" s="512" t="n"/>
      <c r="FN146" s="512" t="n"/>
      <c r="FO146" s="512" t="n"/>
      <c r="FP146" s="512" t="n"/>
      <c r="FQ146" s="512" t="n"/>
      <c r="FR146" s="512" t="n"/>
      <c r="FS146" s="512" t="n"/>
      <c r="FT146" s="512" t="n"/>
      <c r="FU146" s="512" t="n"/>
      <c r="FV146" s="512" t="n"/>
      <c r="FW146" s="512" t="n"/>
      <c r="FX146" s="512" t="n"/>
      <c r="FY146" s="512" t="n"/>
      <c r="FZ146" s="512" t="n"/>
      <c r="GA146" s="512" t="n"/>
      <c r="GB146" s="512" t="n"/>
      <c r="GC146" s="512" t="n"/>
      <c r="GD146" s="512" t="n"/>
      <c r="GE146" s="512" t="n"/>
      <c r="GF146" s="512" t="n"/>
      <c r="GG146" s="512" t="n"/>
      <c r="GH146" s="512" t="n"/>
      <c r="GI146" s="512" t="n"/>
      <c r="GJ146" s="512" t="n"/>
      <c r="GK146" s="512" t="n"/>
      <c r="GL146" s="512" t="n"/>
      <c r="GM146" s="512" t="n"/>
      <c r="GN146" s="512" t="n"/>
      <c r="GO146" s="512" t="n"/>
      <c r="GP146" s="512" t="n"/>
      <c r="GQ146" s="512" t="n"/>
      <c r="GR146" s="512" t="n"/>
      <c r="GS146" s="512" t="n"/>
      <c r="GT146" s="512" t="n"/>
      <c r="GU146" s="512" t="n"/>
      <c r="GV146" s="512" t="n"/>
      <c r="GW146" s="512" t="n"/>
      <c r="GX146" s="512" t="n"/>
      <c r="GY146" s="512" t="n"/>
      <c r="GZ146" s="512" t="n"/>
      <c r="HA146" s="512" t="n"/>
      <c r="HB146" s="512" t="n"/>
      <c r="HC146" s="512" t="n"/>
      <c r="HD146" s="512" t="n"/>
      <c r="HE146" s="512" t="n"/>
      <c r="HF146" s="512" t="n"/>
      <c r="HG146" s="512" t="n"/>
      <c r="HH146" s="512" t="n"/>
      <c r="HI146" s="512" t="n"/>
      <c r="HJ146" s="512" t="n"/>
      <c r="HK146" s="512" t="n"/>
      <c r="HL146" s="512" t="n"/>
      <c r="HM146" s="512" t="n"/>
      <c r="HN146" s="512" t="n"/>
      <c r="HO146" s="512" t="n"/>
      <c r="HP146" s="512" t="n"/>
      <c r="HQ146" s="512" t="n"/>
      <c r="HR146" s="512" t="n"/>
      <c r="HS146" s="512" t="n"/>
      <c r="HT146" s="512" t="n"/>
      <c r="HU146" s="512" t="n"/>
    </row>
    <row r="147" ht="16.2" customHeight="1">
      <c r="A147" s="19" t="inlineStr">
        <is>
          <t>DISTRIBUIÇÕES (-)</t>
        </is>
      </c>
      <c r="B147" s="139" t="n"/>
      <c r="C147" s="20" t="n"/>
      <c r="D147" s="22" t="n"/>
      <c r="E147" s="20" t="n"/>
      <c r="F147" s="20" t="n"/>
      <c r="G147" s="20" t="n"/>
      <c r="H147" s="20" t="n"/>
      <c r="I147" s="21" t="n"/>
      <c r="J147" s="175" t="n"/>
      <c r="K147" s="21" t="n"/>
      <c r="L147" s="108" t="n"/>
      <c r="M147" s="220" t="n"/>
      <c r="N147" s="220" t="n"/>
      <c r="O147" s="220" t="n"/>
      <c r="P147" s="220" t="n"/>
      <c r="Q147" s="220" t="n"/>
      <c r="R147" s="220" t="n"/>
      <c r="S147" s="220" t="n"/>
      <c r="T147" s="220" t="n"/>
      <c r="U147" s="220" t="n"/>
      <c r="V147" s="220" t="n"/>
      <c r="W147" s="220" t="n"/>
      <c r="X147" s="220" t="n"/>
      <c r="Y147" s="220" t="n"/>
      <c r="Z147" s="220" t="n"/>
      <c r="AA147" s="220" t="n"/>
      <c r="AB147" s="220" t="n"/>
      <c r="AC147" s="220" t="n"/>
      <c r="AD147" s="220" t="n"/>
      <c r="AE147" s="220" t="n"/>
      <c r="AF147" s="220" t="n"/>
      <c r="AG147" s="220" t="n"/>
      <c r="AH147" s="200" t="n"/>
      <c r="AI147" s="241" t="n"/>
      <c r="AJ147" s="200" t="n"/>
      <c r="AK147" s="20" t="n"/>
      <c r="AL147" s="20" t="n"/>
      <c r="AM147" s="20" t="n"/>
      <c r="AN147" s="20" t="n"/>
      <c r="AO147" s="20" t="n"/>
      <c r="AP147" s="20" t="n"/>
      <c r="AQ147" s="21" t="n"/>
      <c r="AR147" s="21" t="n"/>
      <c r="AS147" s="20" t="n"/>
      <c r="AT147" s="20" t="n"/>
      <c r="AU147" s="20" t="n"/>
      <c r="AV147" s="20" t="n"/>
      <c r="AW147" s="20" t="n"/>
      <c r="AX147" s="20" t="n"/>
      <c r="AY147" s="20" t="n"/>
      <c r="AZ147" s="20" t="n"/>
      <c r="BA147" s="20" t="n"/>
      <c r="BB147" s="20" t="n"/>
      <c r="BC147" s="20" t="n"/>
      <c r="BD147" s="299" t="n"/>
      <c r="BE147" s="22" t="n"/>
      <c r="BF147" s="20" t="n"/>
      <c r="BG147" s="20" t="n"/>
      <c r="BH147" s="444" t="n"/>
      <c r="BI147" s="444" t="n"/>
      <c r="BJ147" s="444" t="n"/>
      <c r="BK147" s="20" t="n"/>
      <c r="BL147" s="20" t="n"/>
      <c r="BM147" s="20" t="n"/>
      <c r="BN147" s="20" t="n"/>
      <c r="BO147" s="20" t="n"/>
      <c r="BP147" s="299" t="n"/>
      <c r="BQ147" s="22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99" t="n"/>
      <c r="CC147" s="22" t="n"/>
      <c r="CD147" s="20" t="n"/>
      <c r="CE147" s="20" t="n"/>
      <c r="CF147" s="20" t="n"/>
      <c r="CG147" s="20" t="n"/>
      <c r="CH147" s="20" t="n"/>
      <c r="CI147" s="20" t="n"/>
      <c r="CJ147" s="20" t="n"/>
      <c r="CK147" s="20" t="n"/>
      <c r="CL147" s="20" t="n"/>
      <c r="CM147" s="20" t="n"/>
      <c r="CN147" s="299" t="n"/>
      <c r="CO147" s="22" t="n"/>
      <c r="CP147" s="20" t="n"/>
      <c r="CQ147" s="20" t="n"/>
      <c r="CR147" s="20" t="n"/>
      <c r="CS147" s="20" t="n"/>
      <c r="CT147" s="20" t="n"/>
      <c r="CU147" s="20" t="n"/>
      <c r="CV147" s="20" t="n"/>
      <c r="CW147" s="20" t="n"/>
      <c r="CX147" s="20" t="n"/>
      <c r="CY147" s="20" t="n"/>
      <c r="CZ147" s="299" t="n"/>
      <c r="DA147" s="22" t="n"/>
      <c r="DB147" s="20" t="n"/>
      <c r="DC147" s="20" t="n"/>
      <c r="DD147" s="20" t="n"/>
      <c r="DE147" s="20" t="n"/>
      <c r="DF147" s="20" t="n"/>
      <c r="DG147" s="20" t="n"/>
      <c r="DH147" s="20" t="n"/>
      <c r="DI147" s="20" t="n"/>
      <c r="DJ147" s="21" t="n"/>
      <c r="DK147" s="20" t="n"/>
      <c r="DL147" s="21" t="n"/>
      <c r="DM147" s="20" t="n"/>
      <c r="DN147" s="21" t="n"/>
      <c r="DO147" s="21" t="n"/>
      <c r="DP147" s="21" t="n"/>
      <c r="DQ147" s="21" t="n"/>
      <c r="DR147" s="21" t="n"/>
      <c r="DS147" s="21" t="n"/>
      <c r="DT147" s="21" t="n"/>
      <c r="DU147" s="21" t="n"/>
      <c r="DV147" s="21" t="n"/>
      <c r="DW147" s="21" t="n"/>
      <c r="DX147" s="21" t="n"/>
      <c r="DY147" s="21" t="n"/>
      <c r="DZ147" s="21" t="n"/>
      <c r="EA147" s="21" t="n"/>
      <c r="EB147" s="21" t="n"/>
      <c r="EC147" s="21" t="n"/>
      <c r="ED147" s="21" t="n"/>
      <c r="EE147" s="21" t="n"/>
      <c r="EF147" s="21" t="n"/>
      <c r="EG147" s="21" t="n"/>
      <c r="EH147" s="21" t="n"/>
      <c r="EI147" s="21" t="n"/>
      <c r="EJ147" s="21" t="n"/>
      <c r="EK147" s="21" t="n"/>
      <c r="EL147" s="21" t="n"/>
      <c r="EM147" s="21" t="n"/>
      <c r="EN147" s="21" t="n"/>
      <c r="EO147" s="21" t="n"/>
      <c r="EP147" s="21" t="n"/>
      <c r="EQ147" s="21" t="n"/>
      <c r="ER147" s="21" t="n"/>
      <c r="ES147" s="21" t="n"/>
      <c r="ET147" s="21" t="n"/>
      <c r="EU147" s="21" t="n"/>
      <c r="EV147" s="21" t="n"/>
      <c r="EW147" s="21" t="n"/>
      <c r="EX147" s="21" t="n"/>
      <c r="EY147" s="21" t="n"/>
      <c r="EZ147" s="21" t="n"/>
      <c r="FA147" s="21" t="n"/>
      <c r="FB147" s="21" t="n"/>
      <c r="FC147" s="21" t="n"/>
      <c r="FD147" s="21" t="n"/>
      <c r="FE147" s="21" t="n"/>
      <c r="FF147" s="21" t="n"/>
      <c r="FG147" s="21" t="n"/>
      <c r="FH147" s="21" t="n"/>
      <c r="FI147" s="21" t="n"/>
      <c r="FJ147" s="21" t="n"/>
      <c r="FK147" s="21" t="n"/>
      <c r="FL147" s="21" t="n"/>
      <c r="FM147" s="21" t="n"/>
      <c r="FN147" s="21" t="n"/>
      <c r="FO147" s="21" t="n"/>
      <c r="FP147" s="21" t="n"/>
      <c r="FQ147" s="21" t="n"/>
      <c r="FR147" s="21" t="n"/>
      <c r="FS147" s="21" t="n"/>
      <c r="FT147" s="21" t="n"/>
      <c r="FU147" s="21" t="n"/>
      <c r="FV147" s="21" t="n"/>
      <c r="FW147" s="21" t="n"/>
      <c r="FX147" s="21" t="n"/>
      <c r="FY147" s="21" t="n"/>
      <c r="FZ147" s="21" t="n"/>
      <c r="GA147" s="21" t="n"/>
      <c r="GB147" s="21" t="n"/>
      <c r="GC147" s="21" t="n"/>
      <c r="GD147" s="21" t="n"/>
      <c r="GE147" s="21" t="n"/>
      <c r="GF147" s="21" t="n"/>
      <c r="GG147" s="21" t="n"/>
      <c r="GH147" s="21" t="n"/>
      <c r="GI147" s="21" t="n"/>
      <c r="GJ147" s="21" t="n"/>
      <c r="GK147" s="21" t="n"/>
      <c r="GL147" s="21" t="n"/>
      <c r="GM147" s="21" t="n"/>
      <c r="GN147" s="21" t="n"/>
      <c r="GO147" s="21" t="n"/>
      <c r="GP147" s="21" t="n"/>
      <c r="GQ147" s="21" t="n"/>
      <c r="GR147" s="21" t="n"/>
      <c r="GS147" s="21" t="n"/>
      <c r="GT147" s="21" t="n"/>
      <c r="GU147" s="21" t="n"/>
      <c r="GV147" s="21" t="n"/>
      <c r="GW147" s="21" t="n"/>
      <c r="GX147" s="21" t="n"/>
      <c r="GY147" s="21" t="n"/>
      <c r="GZ147" s="21" t="n"/>
      <c r="HA147" s="21" t="n"/>
      <c r="HB147" s="21" t="n"/>
      <c r="HC147" s="21" t="n"/>
      <c r="HD147" s="21" t="n"/>
      <c r="HE147" s="21" t="n"/>
      <c r="HF147" s="21" t="n"/>
      <c r="HG147" s="21" t="n"/>
      <c r="HH147" s="21" t="n"/>
      <c r="HI147" s="21" t="n"/>
      <c r="HJ147" s="21" t="n"/>
      <c r="HK147" s="21" t="n"/>
      <c r="HL147" s="21" t="n"/>
      <c r="HM147" s="21" t="n"/>
      <c r="HN147" s="21" t="n"/>
      <c r="HO147" s="21" t="n"/>
      <c r="HP147" s="21" t="n"/>
      <c r="HQ147" s="21" t="n"/>
      <c r="HR147" s="21" t="n"/>
      <c r="HS147" s="21" t="n"/>
      <c r="HT147" s="21" t="n"/>
      <c r="HU147" s="21" t="n"/>
    </row>
    <row r="148" ht="16.2" customHeight="1">
      <c r="A148" s="7" t="inlineStr">
        <is>
          <t>Devolução de Aporte</t>
        </is>
      </c>
      <c r="B148" s="136" t="n"/>
      <c r="C148" s="85" t="n"/>
      <c r="D148" s="85" t="n"/>
      <c r="E148" s="85" t="n"/>
      <c r="F148" s="85" t="n"/>
      <c r="G148" s="85" t="n"/>
      <c r="H148" s="85" t="n"/>
      <c r="I148" s="86" t="n"/>
      <c r="J148" s="224" t="n"/>
      <c r="K148" s="110" t="n"/>
      <c r="L148" s="34" t="n"/>
      <c r="M148" s="159" t="n"/>
      <c r="N148" s="159" t="n"/>
      <c r="O148" s="159" t="n"/>
      <c r="P148" s="159" t="n"/>
      <c r="Q148" s="159" t="n"/>
      <c r="R148" s="159" t="n"/>
      <c r="S148" s="159" t="n"/>
      <c r="T148" s="159" t="n"/>
      <c r="U148" s="159" t="n"/>
      <c r="V148" s="159" t="n"/>
      <c r="W148" s="159" t="n"/>
      <c r="X148" s="159" t="n"/>
      <c r="Y148" s="159" t="n"/>
      <c r="Z148" s="159" t="n"/>
      <c r="AA148" s="159" t="n"/>
      <c r="AB148" s="159" t="n"/>
      <c r="AC148" s="159" t="n"/>
      <c r="AD148" s="159" t="n"/>
      <c r="AE148" s="159" t="n"/>
      <c r="AF148" s="159" t="n"/>
      <c r="AG148" s="159" t="n"/>
      <c r="AH148" s="53" t="n"/>
      <c r="AI148" s="345" t="n"/>
      <c r="AJ148" s="53" t="n"/>
      <c r="AK148" s="87" t="n"/>
      <c r="AL148" s="87" t="n"/>
      <c r="AM148" s="87" t="n"/>
      <c r="AN148" s="87" t="n"/>
      <c r="AO148" s="87" t="n"/>
      <c r="AP148" s="87" t="n"/>
      <c r="AQ148" s="87" t="n"/>
      <c r="AR148" s="87" t="n"/>
      <c r="AS148" s="87" t="n"/>
      <c r="AT148" s="87" t="n"/>
      <c r="AU148" s="87" t="n"/>
      <c r="AV148" s="87" t="n"/>
      <c r="AW148" s="87" t="n"/>
      <c r="AX148" s="87" t="n"/>
      <c r="AY148" s="87" t="n"/>
      <c r="AZ148" s="87" t="n"/>
      <c r="BA148" s="87" t="n"/>
      <c r="BB148" s="87" t="n"/>
      <c r="BC148" s="87" t="n"/>
      <c r="BD148" s="87" t="n"/>
      <c r="BE148" s="87" t="n"/>
      <c r="BF148" s="87" t="n"/>
      <c r="BG148" s="443" t="n"/>
      <c r="BH148" s="87" t="n"/>
      <c r="BI148" s="87" t="n"/>
      <c r="BJ148" s="87" t="n"/>
      <c r="BK148" s="87" t="n"/>
      <c r="BL148" s="87" t="n"/>
      <c r="BM148" s="87" t="n"/>
      <c r="BN148" s="87" t="n"/>
      <c r="BO148" s="87" t="n"/>
      <c r="BP148" s="87" t="n"/>
      <c r="BQ148" s="87" t="n"/>
      <c r="BR148" s="87" t="n"/>
      <c r="BS148" s="87" t="n"/>
      <c r="BT148" s="87" t="n"/>
      <c r="BU148" s="87" t="n"/>
      <c r="BV148" s="87" t="n"/>
      <c r="BW148" s="87" t="n"/>
      <c r="BX148" s="87" t="n"/>
      <c r="BY148" s="87" t="n"/>
      <c r="BZ148" s="87" t="n"/>
      <c r="CA148" s="87" t="n"/>
      <c r="CB148" s="87" t="n"/>
      <c r="CC148" s="87" t="n"/>
      <c r="CD148" s="87" t="n"/>
      <c r="CE148" s="87" t="n"/>
      <c r="CF148" s="87" t="n"/>
      <c r="CG148" s="87" t="n"/>
      <c r="CH148" s="87" t="n"/>
      <c r="CI148" s="87" t="n"/>
      <c r="CJ148" s="87" t="n"/>
      <c r="CK148" s="87" t="n"/>
      <c r="CL148" s="87" t="n"/>
      <c r="CM148" s="87" t="n"/>
      <c r="CN148" s="87" t="n"/>
      <c r="CO148" s="87" t="n"/>
      <c r="CP148" s="87" t="n"/>
      <c r="CQ148" s="87" t="n"/>
      <c r="CR148" s="87" t="n"/>
      <c r="CS148" s="87" t="n"/>
      <c r="CT148" s="87" t="n"/>
      <c r="CU148" s="87" t="n"/>
      <c r="CV148" s="87" t="n"/>
      <c r="CW148" s="87" t="n"/>
      <c r="CX148" s="87" t="n"/>
      <c r="CY148" s="87" t="n"/>
      <c r="CZ148" s="87" t="n"/>
      <c r="DA148" s="87" t="n"/>
      <c r="DB148" s="87" t="n"/>
      <c r="DC148" s="87" t="n"/>
      <c r="DD148" s="87" t="n"/>
      <c r="DE148" s="87" t="n"/>
      <c r="DF148" s="87" t="n"/>
      <c r="DG148" s="87" t="n"/>
      <c r="DH148" s="87" t="n"/>
      <c r="DI148" s="87" t="n"/>
      <c r="DJ148" s="87" t="n"/>
      <c r="DK148" s="87" t="n"/>
      <c r="DL148" s="87" t="n"/>
      <c r="DM148" s="87" t="n"/>
      <c r="DN148" s="87" t="n"/>
      <c r="DO148" s="87" t="n"/>
      <c r="DP148" s="87" t="n"/>
      <c r="DQ148" s="87" t="n"/>
      <c r="DR148" s="87" t="n"/>
      <c r="DS148" s="87" t="n"/>
      <c r="DT148" s="87" t="n"/>
      <c r="DU148" s="87" t="n"/>
      <c r="DV148" s="87" t="n"/>
      <c r="DW148" s="87" t="n"/>
      <c r="DX148" s="87" t="n"/>
      <c r="DY148" s="87" t="n"/>
      <c r="DZ148" s="87" t="n"/>
      <c r="EA148" s="87" t="n"/>
      <c r="EB148" s="87" t="n"/>
      <c r="EC148" s="87" t="n"/>
      <c r="ED148" s="87" t="n"/>
      <c r="EE148" s="87" t="n"/>
      <c r="EF148" s="87" t="n"/>
      <c r="EG148" s="87" t="n"/>
      <c r="EH148" s="87" t="n"/>
      <c r="EI148" s="87" t="n"/>
      <c r="EJ148" s="87" t="n"/>
      <c r="EK148" s="87" t="n"/>
      <c r="EL148" s="87" t="n"/>
      <c r="EM148" s="87" t="n"/>
      <c r="EN148" s="87" t="n"/>
      <c r="EO148" s="87" t="n"/>
      <c r="EP148" s="87" t="n"/>
      <c r="EQ148" s="87" t="n"/>
      <c r="ER148" s="87" t="n"/>
      <c r="ES148" s="87" t="n"/>
      <c r="ET148" s="87" t="n"/>
      <c r="EU148" s="87" t="n"/>
      <c r="EV148" s="87" t="n"/>
      <c r="EW148" s="87" t="n"/>
      <c r="EX148" s="87" t="n"/>
      <c r="EY148" s="87" t="n"/>
      <c r="EZ148" s="87" t="n"/>
      <c r="FA148" s="87" t="n"/>
      <c r="FB148" s="87" t="n"/>
      <c r="FC148" s="87" t="n"/>
      <c r="FD148" s="87" t="n"/>
      <c r="FE148" s="87" t="n"/>
      <c r="FF148" s="87" t="n"/>
      <c r="FG148" s="87" t="n"/>
      <c r="FH148" s="87" t="n"/>
      <c r="FI148" s="87" t="n"/>
      <c r="FJ148" s="87" t="n"/>
      <c r="FK148" s="87" t="n"/>
      <c r="FL148" s="87" t="n"/>
      <c r="FM148" s="87" t="n"/>
      <c r="FN148" s="87" t="n"/>
      <c r="FO148" s="87" t="n"/>
      <c r="FP148" s="87" t="n"/>
      <c r="FQ148" s="87" t="n"/>
      <c r="FR148" s="87" t="n"/>
      <c r="FS148" s="87" t="n"/>
      <c r="FT148" s="87" t="n"/>
      <c r="FU148" s="87" t="n"/>
      <c r="FV148" s="87" t="n"/>
      <c r="FW148" s="87" t="n"/>
      <c r="FX148" s="87" t="n"/>
      <c r="FY148" s="87" t="n"/>
      <c r="FZ148" s="87" t="n"/>
      <c r="GA148" s="87" t="n"/>
      <c r="GB148" s="87" t="n"/>
      <c r="GC148" s="87" t="n"/>
      <c r="GD148" s="87" t="n"/>
      <c r="GE148" s="87" t="n"/>
      <c r="GF148" s="87" t="n"/>
      <c r="GG148" s="87" t="n"/>
      <c r="GH148" s="87" t="n"/>
      <c r="GI148" s="87" t="n"/>
      <c r="GJ148" s="87" t="n"/>
      <c r="GK148" s="87" t="n"/>
      <c r="GL148" s="87" t="n"/>
      <c r="GM148" s="87" t="n"/>
      <c r="GN148" s="87" t="n"/>
      <c r="GO148" s="87" t="n"/>
      <c r="GP148" s="87" t="n"/>
      <c r="GQ148" s="87" t="n"/>
      <c r="GR148" s="87" t="n"/>
      <c r="GS148" s="87" t="n"/>
      <c r="GT148" s="87" t="n"/>
      <c r="GU148" s="87" t="n"/>
      <c r="GV148" s="87" t="n"/>
      <c r="GW148" s="87" t="n"/>
      <c r="GX148" s="87" t="n"/>
      <c r="GY148" s="87" t="n"/>
      <c r="GZ148" s="87" t="n"/>
      <c r="HA148" s="87" t="n"/>
      <c r="HB148" s="87" t="n"/>
      <c r="HC148" s="87" t="n"/>
      <c r="HD148" s="87" t="n"/>
      <c r="HE148" s="87" t="n"/>
      <c r="HF148" s="87" t="n"/>
      <c r="HG148" s="87" t="n"/>
      <c r="HH148" s="87" t="n"/>
      <c r="HI148" s="87" t="n"/>
      <c r="HJ148" s="87" t="n"/>
      <c r="HK148" s="87" t="n"/>
      <c r="HL148" s="87" t="n"/>
      <c r="HM148" s="87" t="n"/>
      <c r="HN148" s="87" t="n"/>
      <c r="HO148" s="87" t="n"/>
      <c r="HP148" s="87" t="n"/>
      <c r="HQ148" s="87" t="n"/>
      <c r="HR148" s="87" t="n"/>
      <c r="HS148" s="87" t="n"/>
      <c r="HT148" s="87" t="n"/>
      <c r="HU148" s="87" t="n"/>
    </row>
    <row r="149" ht="12.75" customHeight="1">
      <c r="A149" s="23" t="inlineStr">
        <is>
          <t>Distribuição de Resultado</t>
        </is>
      </c>
      <c r="B149" s="136" t="n"/>
      <c r="C149" s="24" t="n"/>
      <c r="D149" s="33" t="n"/>
      <c r="E149" s="24" t="n"/>
      <c r="F149" s="24" t="n"/>
      <c r="G149" s="24" t="n"/>
      <c r="H149" s="24" t="n"/>
      <c r="I149" s="25" t="n"/>
      <c r="J149" s="209" t="n"/>
      <c r="K149" s="118" t="n"/>
      <c r="L149" s="122" t="n"/>
      <c r="M149" s="219" t="n"/>
      <c r="N149" s="219" t="n"/>
      <c r="O149" s="219" t="n"/>
      <c r="P149" s="219" t="n"/>
      <c r="Q149" s="219" t="n"/>
      <c r="R149" s="219" t="n"/>
      <c r="S149" s="219" t="n"/>
      <c r="T149" s="219" t="n"/>
      <c r="U149" s="219" t="n"/>
      <c r="V149" s="219" t="n"/>
      <c r="W149" s="219" t="n"/>
      <c r="X149" s="219" t="n"/>
      <c r="Y149" s="219" t="n"/>
      <c r="Z149" s="219" t="n"/>
      <c r="AA149" s="219" t="n"/>
      <c r="AB149" s="219" t="n"/>
      <c r="AC149" s="219" t="n"/>
      <c r="AD149" s="219" t="n"/>
      <c r="AE149" s="219" t="n"/>
      <c r="AF149" s="219" t="n"/>
      <c r="AG149" s="219" t="n"/>
      <c r="AH149" s="53" t="n"/>
      <c r="AI149" s="345" t="n"/>
      <c r="AJ149" s="53" t="n"/>
      <c r="AK149" s="26" t="n"/>
      <c r="AL149" s="26" t="n"/>
      <c r="AM149" s="26" t="n"/>
      <c r="AN149" s="26" t="n"/>
      <c r="AO149" s="26" t="n"/>
      <c r="AP149" s="26" t="n"/>
      <c r="AQ149" s="26" t="n"/>
      <c r="AR149" s="26" t="n"/>
      <c r="AS149" s="26" t="n"/>
      <c r="AT149" s="26" t="n"/>
      <c r="AU149" s="26" t="n"/>
      <c r="AV149" s="26" t="n"/>
      <c r="AW149" s="26" t="n"/>
      <c r="AX149" s="26" t="n"/>
      <c r="AY149" s="26" t="n"/>
      <c r="AZ149" s="26" t="n"/>
      <c r="BA149" s="26" t="n"/>
      <c r="BB149" s="26" t="n"/>
      <c r="BC149" s="26" t="n"/>
      <c r="BD149" s="26" t="n"/>
      <c r="BE149" s="26" t="n"/>
      <c r="BF149" s="26" t="n"/>
      <c r="BG149" s="53" t="n"/>
      <c r="BH149" s="87" t="n"/>
      <c r="BI149" s="87" t="n"/>
      <c r="BJ149" s="87" t="n"/>
      <c r="BK149" s="26" t="n"/>
      <c r="BL149" s="26" t="n"/>
      <c r="BM149" s="87" t="n"/>
      <c r="BN149" s="87" t="n"/>
      <c r="BO149" s="26" t="n"/>
      <c r="BP149" s="26" t="n"/>
      <c r="BQ149" s="26" t="n"/>
      <c r="BR149" s="26" t="n"/>
      <c r="BS149" s="26" t="n"/>
      <c r="BT149" s="26" t="n"/>
      <c r="BU149" s="26" t="n"/>
      <c r="BV149" s="26" t="n"/>
      <c r="BW149" s="26" t="n"/>
      <c r="BX149" s="26" t="n"/>
      <c r="BY149" s="26" t="n"/>
      <c r="BZ149" s="26" t="n"/>
      <c r="CA149" s="26" t="n"/>
      <c r="CB149" s="26" t="n"/>
      <c r="CC149" s="26" t="n"/>
      <c r="CD149" s="26" t="n"/>
      <c r="CE149" s="26" t="n"/>
      <c r="CF149" s="26" t="n"/>
      <c r="CG149" s="26" t="n"/>
      <c r="CH149" s="26" t="n"/>
      <c r="CI149" s="26" t="n"/>
      <c r="CJ149" s="26" t="n"/>
      <c r="CK149" s="26" t="n"/>
      <c r="CL149" s="26" t="n"/>
      <c r="CM149" s="26" t="n"/>
      <c r="CN149" s="26" t="n"/>
      <c r="CO149" s="26" t="n"/>
      <c r="CP149" s="26" t="n"/>
      <c r="CQ149" s="26" t="n"/>
      <c r="CR149" s="26" t="n"/>
      <c r="CS149" s="26" t="n"/>
      <c r="CT149" s="26" t="n"/>
      <c r="CU149" s="26" t="n"/>
      <c r="CV149" s="26" t="n"/>
      <c r="CW149" s="26" t="n"/>
      <c r="CX149" s="26" t="n"/>
      <c r="CY149" s="26" t="n"/>
      <c r="CZ149" s="26" t="n"/>
      <c r="DA149" s="26" t="n"/>
      <c r="DB149" s="26" t="n"/>
      <c r="DC149" s="26" t="n"/>
      <c r="DD149" s="26" t="n"/>
      <c r="DE149" s="26" t="n"/>
      <c r="DF149" s="26" t="n"/>
      <c r="DG149" s="26" t="n"/>
      <c r="DH149" s="26" t="n"/>
      <c r="DI149" s="26" t="n"/>
      <c r="DJ149" s="26" t="n"/>
      <c r="DK149" s="26" t="n"/>
      <c r="DL149" s="26" t="n"/>
      <c r="DM149" s="26" t="n"/>
      <c r="DN149" s="26" t="n"/>
      <c r="DO149" s="26" t="n"/>
      <c r="DP149" s="26" t="n"/>
      <c r="DQ149" s="26" t="n"/>
      <c r="DR149" s="26" t="n"/>
      <c r="DS149" s="26" t="n"/>
      <c r="DT149" s="26" t="n"/>
      <c r="DU149" s="26" t="n"/>
      <c r="DV149" s="26" t="n"/>
      <c r="DW149" s="26" t="n"/>
      <c r="DX149" s="26" t="n"/>
      <c r="DY149" s="26" t="n"/>
      <c r="DZ149" s="26" t="n"/>
      <c r="EA149" s="26" t="n"/>
      <c r="EB149" s="26" t="n"/>
      <c r="EC149" s="26" t="n"/>
      <c r="ED149" s="26" t="n"/>
      <c r="EE149" s="26" t="n"/>
      <c r="EF149" s="26" t="n"/>
      <c r="EG149" s="26" t="n"/>
      <c r="EH149" s="26" t="n"/>
      <c r="EI149" s="26" t="n"/>
      <c r="EJ149" s="26" t="n"/>
      <c r="EK149" s="26" t="n"/>
      <c r="EL149" s="26" t="n"/>
      <c r="EM149" s="26" t="n"/>
      <c r="EN149" s="26" t="n"/>
      <c r="EO149" s="26" t="n"/>
      <c r="EP149" s="26" t="n"/>
      <c r="EQ149" s="26" t="n"/>
      <c r="ER149" s="26" t="n"/>
      <c r="ES149" s="26" t="n"/>
      <c r="ET149" s="26" t="n"/>
      <c r="EU149" s="26" t="n"/>
      <c r="EV149" s="26" t="n"/>
      <c r="EW149" s="26" t="n"/>
      <c r="EX149" s="26" t="n"/>
      <c r="EY149" s="26" t="n"/>
      <c r="EZ149" s="26" t="n"/>
      <c r="FA149" s="26" t="n"/>
      <c r="FB149" s="26" t="n"/>
      <c r="FC149" s="26" t="n"/>
      <c r="FD149" s="26" t="n"/>
      <c r="FE149" s="26" t="n"/>
      <c r="FF149" s="26" t="n"/>
      <c r="FG149" s="26" t="n"/>
      <c r="FH149" s="26" t="n"/>
      <c r="FI149" s="26" t="n"/>
      <c r="FJ149" s="26" t="n"/>
      <c r="FK149" s="26" t="n"/>
      <c r="FL149" s="26" t="n"/>
      <c r="FM149" s="26" t="n"/>
      <c r="FN149" s="26" t="n"/>
      <c r="FO149" s="26" t="n"/>
      <c r="FP149" s="26" t="n"/>
      <c r="FQ149" s="26" t="n"/>
      <c r="FR149" s="26" t="n"/>
      <c r="FS149" s="26" t="n"/>
      <c r="FT149" s="26" t="n"/>
      <c r="FU149" s="26" t="n"/>
      <c r="FV149" s="26" t="n"/>
      <c r="FW149" s="26" t="n"/>
      <c r="FX149" s="26" t="n"/>
      <c r="FY149" s="26" t="n"/>
      <c r="FZ149" s="26" t="n"/>
      <c r="GA149" s="26" t="n"/>
      <c r="GB149" s="26" t="n"/>
      <c r="GC149" s="26" t="n"/>
      <c r="GD149" s="26" t="n"/>
      <c r="GE149" s="26" t="n"/>
      <c r="GF149" s="26" t="n"/>
      <c r="GG149" s="26" t="n"/>
      <c r="GH149" s="26" t="n"/>
      <c r="GI149" s="26" t="n"/>
      <c r="GJ149" s="26" t="n"/>
      <c r="GK149" s="26" t="n"/>
      <c r="GL149" s="26" t="n"/>
      <c r="GM149" s="26" t="n"/>
      <c r="GN149" s="26" t="n"/>
      <c r="GO149" s="26" t="n"/>
      <c r="GP149" s="26" t="n"/>
      <c r="GQ149" s="26" t="n"/>
      <c r="GR149" s="26" t="n"/>
      <c r="GS149" s="26" t="n"/>
      <c r="GT149" s="26" t="n"/>
      <c r="GU149" s="26" t="n"/>
      <c r="GV149" s="26" t="n"/>
      <c r="GW149" s="26" t="n"/>
      <c r="GX149" s="26" t="n"/>
      <c r="GY149" s="26" t="n"/>
      <c r="GZ149" s="26" t="n"/>
      <c r="HA149" s="26" t="n"/>
      <c r="HB149" s="26" t="n"/>
      <c r="HC149" s="26" t="n"/>
      <c r="HD149" s="26" t="n"/>
      <c r="HE149" s="26" t="n"/>
      <c r="HF149" s="26" t="n"/>
      <c r="HG149" s="26" t="n"/>
      <c r="HH149" s="26" t="n"/>
      <c r="HI149" s="26" t="n"/>
      <c r="HJ149" s="26" t="n"/>
      <c r="HK149" s="26" t="n"/>
      <c r="HL149" s="26" t="n"/>
      <c r="HM149" s="26" t="n"/>
      <c r="HN149" s="26" t="n"/>
      <c r="HO149" s="26" t="n"/>
      <c r="HP149" s="26" t="n"/>
      <c r="HQ149" s="26" t="n"/>
      <c r="HR149" s="26" t="n"/>
      <c r="HS149" s="26" t="n"/>
      <c r="HT149" s="26" t="n"/>
      <c r="HU149" s="26" t="n"/>
    </row>
    <row r="150" ht="16.2" customHeight="1">
      <c r="A150" s="12" t="inlineStr">
        <is>
          <t>Subtotal</t>
        </is>
      </c>
      <c r="B150" s="136" t="n"/>
      <c r="C150" s="30" t="n"/>
      <c r="D150" s="30" t="n"/>
      <c r="E150" s="30" t="n"/>
      <c r="F150" s="30" t="n"/>
      <c r="G150" s="30" t="n"/>
      <c r="H150" s="30" t="n"/>
      <c r="I150" s="31" t="n"/>
      <c r="J150" s="187" t="n"/>
      <c r="K150" s="31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13" t="n"/>
      <c r="AI150" s="188" t="n"/>
      <c r="AJ150" s="13" t="n"/>
      <c r="AK150" s="32" t="n"/>
      <c r="AL150" s="32" t="n"/>
      <c r="AM150" s="32" t="n"/>
      <c r="AN150" s="32" t="n"/>
      <c r="AO150" s="32" t="n"/>
      <c r="AP150" s="32" t="n"/>
      <c r="AQ150" s="32" t="n"/>
      <c r="AR150" s="32" t="n"/>
      <c r="AS150" s="32" t="n"/>
      <c r="AT150" s="32" t="n"/>
      <c r="AU150" s="32" t="n"/>
      <c r="AV150" s="32" t="n"/>
      <c r="AW150" s="32" t="n"/>
      <c r="AX150" s="32" t="n"/>
      <c r="AY150" s="32" t="n"/>
      <c r="AZ150" s="32" t="n"/>
      <c r="BA150" s="32" t="n"/>
      <c r="BB150" s="32" t="n"/>
      <c r="BC150" s="32" t="n"/>
      <c r="BD150" s="32" t="n"/>
      <c r="BE150" s="32" t="n"/>
      <c r="BF150" s="32" t="n"/>
      <c r="BG150" s="32" t="n"/>
      <c r="BH150" s="445" t="n"/>
      <c r="BI150" s="445" t="n"/>
      <c r="BJ150" s="445" t="n"/>
      <c r="BK150" s="32" t="n"/>
      <c r="BL150" s="32" t="n"/>
      <c r="BM150" s="32" t="n"/>
      <c r="BN150" s="32" t="n"/>
      <c r="BO150" s="32" t="n"/>
      <c r="BP150" s="32" t="n"/>
      <c r="BQ150" s="32" t="n"/>
      <c r="BR150" s="32" t="n"/>
      <c r="BS150" s="32" t="n"/>
      <c r="BT150" s="32" t="n"/>
      <c r="BU150" s="32" t="n"/>
      <c r="BV150" s="32" t="n"/>
      <c r="BW150" s="32" t="n"/>
      <c r="BX150" s="32" t="n"/>
      <c r="BY150" s="32" t="n"/>
      <c r="BZ150" s="32" t="n"/>
      <c r="CA150" s="32" t="n"/>
      <c r="CB150" s="32" t="n"/>
      <c r="CC150" s="32" t="n"/>
      <c r="CD150" s="32" t="n"/>
      <c r="CE150" s="32" t="n"/>
      <c r="CF150" s="32" t="n"/>
      <c r="CG150" s="32" t="n"/>
      <c r="CH150" s="32" t="n"/>
      <c r="CI150" s="32" t="n"/>
      <c r="CJ150" s="32" t="n"/>
      <c r="CK150" s="32" t="n"/>
      <c r="CL150" s="32" t="n"/>
      <c r="CM150" s="32" t="n"/>
      <c r="CN150" s="32" t="n"/>
      <c r="CO150" s="32" t="n"/>
      <c r="CP150" s="32" t="n"/>
      <c r="CQ150" s="32" t="n"/>
      <c r="CR150" s="32" t="n"/>
      <c r="CS150" s="32" t="n"/>
      <c r="CT150" s="32" t="n"/>
      <c r="CU150" s="32" t="n"/>
      <c r="CV150" s="32" t="n"/>
      <c r="CW150" s="32" t="n"/>
      <c r="CX150" s="32" t="n"/>
      <c r="CY150" s="32" t="n"/>
      <c r="CZ150" s="32" t="n"/>
      <c r="DA150" s="32" t="n"/>
      <c r="DB150" s="32" t="n"/>
      <c r="DC150" s="32" t="n"/>
      <c r="DD150" s="32" t="n"/>
      <c r="DE150" s="32" t="n"/>
      <c r="DF150" s="32" t="n"/>
      <c r="DG150" s="32" t="n"/>
      <c r="DH150" s="32" t="n"/>
      <c r="DI150" s="32" t="n"/>
      <c r="DJ150" s="32" t="n"/>
      <c r="DK150" s="32" t="n"/>
      <c r="DL150" s="32" t="n"/>
      <c r="DM150" s="32" t="n"/>
      <c r="DN150" s="32" t="n"/>
      <c r="DO150" s="32" t="n"/>
      <c r="DP150" s="32" t="n"/>
      <c r="DQ150" s="32" t="n"/>
      <c r="DR150" s="32" t="n"/>
      <c r="DS150" s="32" t="n"/>
      <c r="DT150" s="32" t="n"/>
      <c r="DU150" s="32" t="n"/>
      <c r="DV150" s="32" t="n"/>
      <c r="DW150" s="32" t="n"/>
      <c r="DX150" s="32" t="n"/>
      <c r="DY150" s="32" t="n"/>
      <c r="DZ150" s="32" t="n"/>
      <c r="EA150" s="32" t="n"/>
      <c r="EB150" s="32" t="n"/>
      <c r="EC150" s="32" t="n"/>
      <c r="ED150" s="32" t="n"/>
      <c r="EE150" s="32" t="n"/>
      <c r="EF150" s="32" t="n"/>
      <c r="EG150" s="32" t="n"/>
      <c r="EH150" s="32" t="n"/>
      <c r="EI150" s="32" t="n"/>
      <c r="EJ150" s="32" t="n"/>
      <c r="EK150" s="32" t="n"/>
      <c r="EL150" s="32" t="n"/>
      <c r="EM150" s="32" t="n"/>
      <c r="EN150" s="32" t="n"/>
      <c r="EO150" s="32" t="n"/>
      <c r="EP150" s="32" t="n"/>
      <c r="EQ150" s="32" t="n"/>
      <c r="ER150" s="32" t="n"/>
      <c r="ES150" s="32" t="n"/>
      <c r="ET150" s="32" t="n"/>
      <c r="EU150" s="32" t="n"/>
      <c r="EV150" s="32" t="n"/>
      <c r="EW150" s="32" t="n"/>
      <c r="EX150" s="32" t="n"/>
      <c r="EY150" s="32" t="n"/>
      <c r="EZ150" s="32" t="n"/>
      <c r="FA150" s="32" t="n"/>
      <c r="FB150" s="32" t="n"/>
      <c r="FC150" s="32" t="n"/>
      <c r="FD150" s="32" t="n"/>
      <c r="FE150" s="32" t="n"/>
      <c r="FF150" s="32" t="n"/>
      <c r="FG150" s="32" t="n"/>
      <c r="FH150" s="32" t="n"/>
      <c r="FI150" s="32" t="n"/>
      <c r="FJ150" s="32" t="n"/>
      <c r="FK150" s="32" t="n"/>
      <c r="FL150" s="32" t="n"/>
      <c r="FM150" s="32" t="n"/>
      <c r="FN150" s="32" t="n"/>
      <c r="FO150" s="32" t="n"/>
      <c r="FP150" s="32" t="n"/>
      <c r="FQ150" s="32" t="n"/>
      <c r="FR150" s="32" t="n"/>
      <c r="FS150" s="32" t="n"/>
      <c r="FT150" s="32" t="n"/>
      <c r="FU150" s="32" t="n"/>
      <c r="FV150" s="32" t="n"/>
      <c r="FW150" s="32" t="n"/>
      <c r="FX150" s="32" t="n"/>
      <c r="FY150" s="32" t="n"/>
      <c r="FZ150" s="32" t="n"/>
      <c r="GA150" s="32" t="n"/>
      <c r="GB150" s="32" t="n"/>
      <c r="GC150" s="32" t="n"/>
      <c r="GD150" s="32" t="n"/>
      <c r="GE150" s="32" t="n"/>
      <c r="GF150" s="32" t="n"/>
      <c r="GG150" s="32" t="n"/>
      <c r="GH150" s="32" t="n"/>
      <c r="GI150" s="32" t="n"/>
      <c r="GJ150" s="32" t="n"/>
      <c r="GK150" s="32" t="n"/>
      <c r="GL150" s="32" t="n"/>
      <c r="GM150" s="32" t="n"/>
      <c r="GN150" s="32" t="n"/>
      <c r="GO150" s="32" t="n"/>
      <c r="GP150" s="32" t="n"/>
      <c r="GQ150" s="32" t="n"/>
      <c r="GR150" s="32" t="n"/>
      <c r="GS150" s="32" t="n"/>
      <c r="GT150" s="32" t="n"/>
      <c r="GU150" s="32" t="n"/>
      <c r="GV150" s="32" t="n"/>
      <c r="GW150" s="32" t="n"/>
      <c r="GX150" s="32" t="n"/>
      <c r="GY150" s="32" t="n"/>
      <c r="GZ150" s="32" t="n"/>
      <c r="HA150" s="32" t="n"/>
      <c r="HB150" s="32" t="n"/>
      <c r="HC150" s="32" t="n"/>
      <c r="HD150" s="32" t="n"/>
      <c r="HE150" s="32" t="n"/>
      <c r="HF150" s="32" t="n"/>
      <c r="HG150" s="32" t="n"/>
      <c r="HH150" s="32" t="n"/>
      <c r="HI150" s="32" t="n"/>
      <c r="HJ150" s="32" t="n"/>
      <c r="HK150" s="32" t="n"/>
      <c r="HL150" s="32" t="n"/>
      <c r="HM150" s="32" t="n"/>
      <c r="HN150" s="32" t="n"/>
      <c r="HO150" s="32" t="n"/>
      <c r="HP150" s="32" t="n"/>
      <c r="HQ150" s="32" t="n"/>
      <c r="HR150" s="32" t="n"/>
      <c r="HS150" s="32" t="n"/>
      <c r="HT150" s="32" t="n"/>
      <c r="HU150" s="32" t="n"/>
    </row>
    <row r="151" ht="16.2" customHeight="1">
      <c r="A151" s="28" t="n"/>
      <c r="B151" s="146" t="n"/>
      <c r="C151" s="512" t="n"/>
      <c r="D151" s="512" t="n"/>
      <c r="E151" s="512" t="n"/>
      <c r="F151" s="512" t="n"/>
      <c r="G151" s="512" t="n"/>
      <c r="H151" s="512" t="n"/>
      <c r="I151" s="512" t="n"/>
      <c r="J151" s="513" t="n"/>
      <c r="K151" s="512" t="n"/>
      <c r="L151" s="512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514" t="n"/>
      <c r="AA151" s="514" t="n"/>
      <c r="AB151" s="514" t="n"/>
      <c r="AC151" s="514" t="n"/>
      <c r="AD151" s="514" t="n"/>
      <c r="AE151" s="514" t="n"/>
      <c r="AF151" s="514" t="n"/>
      <c r="AG151" s="514" t="n"/>
      <c r="AH151" s="512" t="n"/>
      <c r="AI151" s="533" t="n"/>
      <c r="AJ151" s="512" t="n"/>
      <c r="AK151" s="512" t="n"/>
      <c r="AL151" s="512" t="n"/>
      <c r="AM151" s="512" t="n"/>
      <c r="AN151" s="512" t="n"/>
      <c r="AO151" s="512" t="n"/>
      <c r="AP151" s="512" t="n"/>
      <c r="AQ151" s="512" t="n"/>
      <c r="AR151" s="512" t="n"/>
      <c r="AS151" s="512" t="n"/>
      <c r="AT151" s="512" t="n"/>
      <c r="AU151" s="512" t="n"/>
      <c r="AV151" s="512" t="n"/>
      <c r="AW151" s="512" t="n"/>
      <c r="AX151" s="512" t="n"/>
      <c r="AY151" s="512" t="n"/>
      <c r="AZ151" s="512" t="n"/>
      <c r="BA151" s="512" t="n"/>
      <c r="BB151" s="512" t="n"/>
      <c r="BC151" s="512" t="n"/>
      <c r="BD151" s="515" t="n"/>
      <c r="BE151" s="512" t="n"/>
      <c r="BF151" s="512" t="n"/>
      <c r="BG151" s="512" t="n"/>
      <c r="BH151" s="512" t="n"/>
      <c r="BI151" s="512" t="n"/>
      <c r="BJ151" s="512" t="n"/>
      <c r="BK151" s="512" t="n"/>
      <c r="BL151" s="512" t="n"/>
      <c r="BM151" s="512" t="n"/>
      <c r="BN151" s="512" t="n"/>
      <c r="BO151" s="512" t="n"/>
      <c r="BP151" s="515" t="n"/>
      <c r="BQ151" s="512" t="n"/>
      <c r="BR151" s="512" t="n"/>
      <c r="BS151" s="512" t="n"/>
      <c r="BT151" s="512" t="n"/>
      <c r="BU151" s="512" t="n"/>
      <c r="BV151" s="512" t="n"/>
      <c r="BW151" s="512" t="n"/>
      <c r="BX151" s="512" t="n"/>
      <c r="BY151" s="512" t="n"/>
      <c r="BZ151" s="512" t="n"/>
      <c r="CA151" s="512" t="n"/>
      <c r="CB151" s="515" t="n"/>
      <c r="CC151" s="512" t="n"/>
      <c r="CD151" s="512" t="n"/>
      <c r="CE151" s="512" t="n"/>
      <c r="CF151" s="512" t="n"/>
      <c r="CG151" s="512" t="n"/>
      <c r="CH151" s="512" t="n"/>
      <c r="CI151" s="512" t="n"/>
      <c r="CJ151" s="512" t="n"/>
      <c r="CK151" s="512" t="n"/>
      <c r="CL151" s="512" t="n"/>
      <c r="CM151" s="512" t="n"/>
      <c r="CN151" s="515" t="n"/>
      <c r="CO151" s="512" t="n"/>
      <c r="CP151" s="512" t="n"/>
      <c r="CQ151" s="512" t="n"/>
      <c r="CR151" s="512" t="n"/>
      <c r="CS151" s="512" t="n"/>
      <c r="CT151" s="512" t="n"/>
      <c r="CU151" s="512" t="n"/>
      <c r="CV151" s="512" t="n"/>
      <c r="CW151" s="512" t="n"/>
      <c r="CX151" s="512" t="n"/>
      <c r="CY151" s="512" t="n"/>
      <c r="CZ151" s="515" t="n"/>
      <c r="DA151" s="512" t="n"/>
      <c r="DB151" s="512" t="n"/>
      <c r="DC151" s="512" t="n"/>
      <c r="DD151" s="512" t="n"/>
      <c r="DE151" s="512" t="n"/>
      <c r="DF151" s="512" t="n"/>
      <c r="DG151" s="512" t="n"/>
      <c r="DH151" s="512" t="n"/>
      <c r="DI151" s="512" t="n"/>
      <c r="DJ151" s="512" t="n"/>
      <c r="DK151" s="512" t="n"/>
      <c r="DL151" s="512" t="n"/>
      <c r="DM151" s="512" t="n"/>
      <c r="DN151" s="512" t="n"/>
      <c r="DO151" s="512" t="n"/>
      <c r="DP151" s="512" t="n"/>
      <c r="DQ151" s="512" t="n"/>
      <c r="DR151" s="512" t="n"/>
      <c r="DS151" s="512" t="n"/>
      <c r="DT151" s="512" t="n"/>
      <c r="DU151" s="512" t="n"/>
      <c r="DV151" s="512" t="n"/>
      <c r="DW151" s="512" t="n"/>
      <c r="DX151" s="512" t="n"/>
      <c r="DY151" s="512" t="n"/>
      <c r="DZ151" s="512" t="n"/>
      <c r="EA151" s="512" t="n"/>
      <c r="EB151" s="512" t="n"/>
      <c r="EC151" s="512" t="n"/>
      <c r="ED151" s="512" t="n"/>
      <c r="EE151" s="512" t="n"/>
      <c r="EF151" s="512" t="n"/>
      <c r="EG151" s="512" t="n"/>
      <c r="EH151" s="512" t="n"/>
      <c r="EI151" s="512" t="n"/>
      <c r="EJ151" s="512" t="n"/>
      <c r="EK151" s="512" t="n"/>
      <c r="EL151" s="512" t="n"/>
      <c r="EM151" s="512" t="n"/>
      <c r="EN151" s="512" t="n"/>
      <c r="EO151" s="512" t="n"/>
      <c r="EP151" s="512" t="n"/>
      <c r="EQ151" s="512" t="n"/>
      <c r="ER151" s="512" t="n"/>
      <c r="ES151" s="512" t="n"/>
      <c r="ET151" s="512" t="n"/>
      <c r="EU151" s="512" t="n"/>
      <c r="EV151" s="512" t="n"/>
      <c r="EW151" s="512" t="n"/>
      <c r="EX151" s="512" t="n"/>
      <c r="EY151" s="512" t="n"/>
      <c r="EZ151" s="512" t="n"/>
      <c r="FA151" s="512" t="n"/>
      <c r="FB151" s="512" t="n"/>
      <c r="FC151" s="512" t="n"/>
      <c r="FD151" s="512" t="n"/>
      <c r="FE151" s="512" t="n"/>
      <c r="FF151" s="512" t="n"/>
      <c r="FG151" s="512" t="n"/>
      <c r="FH151" s="512" t="n"/>
      <c r="FI151" s="512" t="n"/>
      <c r="FJ151" s="512" t="n"/>
      <c r="FK151" s="512" t="n"/>
      <c r="FL151" s="512" t="n"/>
      <c r="FM151" s="512" t="n"/>
      <c r="FN151" s="512" t="n"/>
      <c r="FO151" s="512" t="n"/>
      <c r="FP151" s="512" t="n"/>
      <c r="FQ151" s="512" t="n"/>
      <c r="FR151" s="512" t="n"/>
      <c r="FS151" s="512" t="n"/>
      <c r="FT151" s="512" t="n"/>
      <c r="FU151" s="512" t="n"/>
      <c r="FV151" s="512" t="n"/>
      <c r="FW151" s="512" t="n"/>
      <c r="FX151" s="512" t="n"/>
      <c r="FY151" s="512" t="n"/>
      <c r="FZ151" s="512" t="n"/>
      <c r="GA151" s="512" t="n"/>
      <c r="GB151" s="512" t="n"/>
      <c r="GC151" s="512" t="n"/>
      <c r="GD151" s="512" t="n"/>
      <c r="GE151" s="512" t="n"/>
      <c r="GF151" s="512" t="n"/>
      <c r="GG151" s="512" t="n"/>
      <c r="GH151" s="512" t="n"/>
      <c r="GI151" s="512" t="n"/>
      <c r="GJ151" s="512" t="n"/>
      <c r="GK151" s="512" t="n"/>
      <c r="GL151" s="512" t="n"/>
      <c r="GM151" s="512" t="n"/>
      <c r="GN151" s="512" t="n"/>
      <c r="GO151" s="512" t="n"/>
      <c r="GP151" s="512" t="n"/>
      <c r="GQ151" s="512" t="n"/>
      <c r="GR151" s="512" t="n"/>
      <c r="GS151" s="512" t="n"/>
      <c r="GT151" s="512" t="n"/>
      <c r="GU151" s="512" t="n"/>
      <c r="GV151" s="512" t="n"/>
      <c r="GW151" s="512" t="n"/>
      <c r="GX151" s="512" t="n"/>
      <c r="GY151" s="512" t="n"/>
      <c r="GZ151" s="512" t="n"/>
      <c r="HA151" s="512" t="n"/>
      <c r="HB151" s="512" t="n"/>
      <c r="HC151" s="512" t="n"/>
      <c r="HD151" s="512" t="n"/>
      <c r="HE151" s="512" t="n"/>
      <c r="HF151" s="512" t="n"/>
      <c r="HG151" s="512" t="n"/>
      <c r="HH151" s="512" t="n"/>
      <c r="HI151" s="512" t="n"/>
      <c r="HJ151" s="512" t="n"/>
      <c r="HK151" s="512" t="n"/>
      <c r="HL151" s="512" t="n"/>
      <c r="HM151" s="512" t="n"/>
      <c r="HN151" s="512" t="n"/>
      <c r="HO151" s="512" t="n"/>
      <c r="HP151" s="512" t="n"/>
      <c r="HQ151" s="512" t="n"/>
      <c r="HR151" s="512" t="n"/>
      <c r="HS151" s="512" t="n"/>
      <c r="HT151" s="512" t="n"/>
      <c r="HU151" s="512" t="n"/>
    </row>
    <row r="152" ht="16.2" customHeight="1">
      <c r="A152" s="101" t="inlineStr">
        <is>
          <t>DESPESAS OP+TERRENO+IMP+DISTR (-)</t>
        </is>
      </c>
      <c r="B152" s="136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O152" s="94" t="n"/>
      <c r="P152" s="94" t="n"/>
      <c r="Q152" s="94" t="n"/>
      <c r="R152" s="94" t="n"/>
      <c r="S152" s="94" t="n"/>
      <c r="T152" s="94" t="n"/>
      <c r="U152" s="94" t="n"/>
      <c r="V152" s="94" t="n"/>
      <c r="W152" s="94" t="n"/>
      <c r="X152" s="94" t="n"/>
      <c r="Y152" s="94" t="n"/>
      <c r="Z152" s="94" t="n"/>
      <c r="AA152" s="94" t="n"/>
      <c r="AB152" s="94" t="n"/>
      <c r="AC152" s="94" t="n"/>
      <c r="AD152" s="94" t="n"/>
      <c r="AE152" s="94" t="n"/>
      <c r="AF152" s="94" t="n"/>
      <c r="AG152" s="94" t="n"/>
      <c r="AH152" s="13" t="n"/>
      <c r="AI152" s="86" t="n"/>
      <c r="AJ152" s="13" t="n"/>
      <c r="AK152" s="94" t="n"/>
      <c r="AL152" s="94" t="n"/>
      <c r="AM152" s="94" t="n"/>
      <c r="AN152" s="94" t="n"/>
      <c r="AO152" s="94" t="n"/>
      <c r="AP152" s="94" t="n"/>
      <c r="AQ152" s="91" t="n"/>
      <c r="AR152" s="91" t="n"/>
      <c r="AS152" s="94" t="n"/>
      <c r="AT152" s="94" t="n"/>
      <c r="AU152" s="94" t="n"/>
      <c r="AV152" s="94" t="n"/>
      <c r="AW152" s="94" t="n"/>
      <c r="AX152" s="94" t="n"/>
      <c r="AY152" s="94" t="n"/>
      <c r="AZ152" s="94" t="n"/>
      <c r="BA152" s="94" t="n"/>
      <c r="BB152" s="94" t="n"/>
      <c r="BC152" s="94" t="n"/>
      <c r="BD152" s="94" t="n"/>
      <c r="BE152" s="94" t="n"/>
      <c r="BF152" s="94" t="n"/>
      <c r="BG152" s="94" t="n"/>
      <c r="BH152" s="94" t="n"/>
      <c r="BI152" s="94" t="n"/>
      <c r="BJ152" s="94" t="n"/>
      <c r="BK152" s="94" t="n"/>
      <c r="BL152" s="94" t="n"/>
      <c r="BM152" s="94" t="n"/>
      <c r="BN152" s="94" t="n"/>
      <c r="BO152" s="94" t="n"/>
      <c r="BP152" s="94" t="n"/>
      <c r="BQ152" s="94" t="n"/>
      <c r="BR152" s="94" t="n"/>
      <c r="BS152" s="94" t="n"/>
      <c r="BT152" s="94" t="n"/>
      <c r="BU152" s="94" t="n"/>
      <c r="BV152" s="94" t="n"/>
      <c r="BW152" s="94" t="n"/>
      <c r="BX152" s="94" t="n"/>
      <c r="BY152" s="94" t="n"/>
      <c r="BZ152" s="94" t="n"/>
      <c r="CA152" s="94" t="n"/>
      <c r="CB152" s="94" t="n"/>
      <c r="CC152" s="94" t="n"/>
      <c r="CD152" s="94" t="n"/>
      <c r="CE152" s="94" t="n"/>
      <c r="CF152" s="94" t="n"/>
      <c r="CG152" s="94" t="n"/>
      <c r="CH152" s="94" t="n"/>
      <c r="CI152" s="94" t="n"/>
      <c r="CJ152" s="94" t="n"/>
      <c r="CK152" s="94" t="n"/>
      <c r="CL152" s="94" t="n"/>
      <c r="CM152" s="94" t="n"/>
      <c r="CN152" s="94" t="n"/>
      <c r="CO152" s="94" t="n"/>
      <c r="CP152" s="94" t="n"/>
      <c r="CQ152" s="94" t="n"/>
      <c r="CR152" s="94" t="n"/>
      <c r="CS152" s="94" t="n"/>
      <c r="CT152" s="94" t="n"/>
      <c r="CU152" s="94" t="n"/>
      <c r="CV152" s="94" t="n"/>
      <c r="CW152" s="94" t="n"/>
      <c r="CX152" s="94" t="n"/>
      <c r="CY152" s="94" t="n"/>
      <c r="CZ152" s="94" t="n"/>
      <c r="DA152" s="94" t="n"/>
      <c r="DB152" s="94" t="n"/>
      <c r="DC152" s="94" t="n"/>
      <c r="DD152" s="94" t="n"/>
      <c r="DE152" s="94" t="n"/>
      <c r="DF152" s="94" t="n"/>
      <c r="DG152" s="94" t="n"/>
      <c r="DH152" s="94" t="n"/>
      <c r="DI152" s="94" t="n"/>
      <c r="DJ152" s="94" t="n"/>
      <c r="DK152" s="94" t="n"/>
      <c r="DL152" s="94" t="n"/>
      <c r="DM152" s="94" t="n"/>
      <c r="DN152" s="94" t="n"/>
      <c r="DO152" s="94" t="n"/>
      <c r="DP152" s="94" t="n"/>
      <c r="DQ152" s="94" t="n"/>
      <c r="DR152" s="94" t="n"/>
      <c r="DS152" s="94" t="n"/>
      <c r="DT152" s="94" t="n"/>
      <c r="DU152" s="94" t="n"/>
      <c r="DV152" s="94" t="n"/>
      <c r="DW152" s="94" t="n"/>
      <c r="DX152" s="94" t="n"/>
      <c r="DY152" s="94" t="n"/>
      <c r="DZ152" s="94" t="n"/>
      <c r="EA152" s="94" t="n"/>
      <c r="EB152" s="94" t="n"/>
      <c r="EC152" s="94" t="n"/>
      <c r="ED152" s="94" t="n"/>
      <c r="EE152" s="94" t="n"/>
      <c r="EF152" s="94" t="n"/>
      <c r="EG152" s="94" t="n"/>
      <c r="EH152" s="94" t="n"/>
      <c r="EI152" s="94" t="n"/>
      <c r="EJ152" s="94" t="n"/>
      <c r="EK152" s="94" t="n"/>
      <c r="EL152" s="94" t="n"/>
      <c r="EM152" s="94" t="n"/>
      <c r="EN152" s="94" t="n"/>
      <c r="EO152" s="94" t="n"/>
      <c r="EP152" s="94" t="n"/>
      <c r="EQ152" s="94" t="n"/>
      <c r="ER152" s="94" t="n"/>
      <c r="ES152" s="94" t="n"/>
      <c r="ET152" s="94" t="n"/>
      <c r="EU152" s="94" t="n"/>
      <c r="EV152" s="94" t="n"/>
      <c r="EW152" s="94" t="n"/>
      <c r="EX152" s="94" t="n"/>
      <c r="EY152" s="94" t="n"/>
      <c r="EZ152" s="94" t="n"/>
      <c r="FA152" s="94" t="n"/>
      <c r="FB152" s="94" t="n"/>
      <c r="FC152" s="94" t="n"/>
      <c r="FD152" s="94" t="n"/>
      <c r="FE152" s="94" t="n"/>
      <c r="FF152" s="94" t="n"/>
      <c r="FG152" s="94" t="n"/>
      <c r="FH152" s="94" t="n"/>
      <c r="FI152" s="94" t="n"/>
      <c r="FJ152" s="94" t="n"/>
      <c r="FK152" s="94" t="n"/>
      <c r="FL152" s="94" t="n"/>
      <c r="FM152" s="94" t="n"/>
      <c r="FN152" s="94" t="n"/>
      <c r="FO152" s="94" t="n"/>
      <c r="FP152" s="94" t="n"/>
      <c r="FQ152" s="94" t="n"/>
      <c r="FR152" s="94" t="n"/>
      <c r="FS152" s="94" t="n"/>
      <c r="FT152" s="94" t="n"/>
      <c r="FU152" s="94" t="n"/>
      <c r="FV152" s="94" t="n"/>
      <c r="FW152" s="94" t="n"/>
      <c r="FX152" s="94" t="n"/>
      <c r="FY152" s="94" t="n"/>
      <c r="FZ152" s="94" t="n"/>
      <c r="GA152" s="94" t="n"/>
      <c r="GB152" s="94" t="n"/>
      <c r="GC152" s="94" t="n"/>
      <c r="GD152" s="94" t="n"/>
      <c r="GE152" s="94" t="n"/>
      <c r="GF152" s="94" t="n"/>
      <c r="GG152" s="94" t="n"/>
      <c r="GH152" s="94" t="n"/>
      <c r="GI152" s="94" t="n"/>
      <c r="GJ152" s="94" t="n"/>
      <c r="GK152" s="94" t="n"/>
      <c r="GL152" s="94" t="n"/>
      <c r="GM152" s="94" t="n"/>
      <c r="GN152" s="94" t="n"/>
      <c r="GO152" s="94" t="n"/>
      <c r="GP152" s="94" t="n"/>
      <c r="GQ152" s="94" t="n"/>
      <c r="GR152" s="94" t="n"/>
      <c r="GS152" s="94" t="n"/>
      <c r="GT152" s="94" t="n"/>
      <c r="GU152" s="94" t="n"/>
      <c r="GV152" s="94" t="n"/>
      <c r="GW152" s="94" t="n"/>
      <c r="GX152" s="94" t="n"/>
      <c r="GY152" s="94" t="n"/>
      <c r="GZ152" s="94" t="n"/>
      <c r="HA152" s="94" t="n"/>
      <c r="HB152" s="94" t="n"/>
      <c r="HC152" s="94" t="n"/>
      <c r="HD152" s="94" t="n"/>
      <c r="HE152" s="94" t="n"/>
      <c r="HF152" s="94" t="n"/>
      <c r="HG152" s="94" t="n"/>
      <c r="HH152" s="94" t="n"/>
      <c r="HI152" s="94" t="n"/>
      <c r="HJ152" s="94" t="n"/>
      <c r="HK152" s="94" t="n"/>
      <c r="HL152" s="94" t="n"/>
      <c r="HM152" s="94" t="n"/>
      <c r="HN152" s="94" t="n"/>
      <c r="HO152" s="94" t="n"/>
      <c r="HP152" s="94" t="n"/>
      <c r="HQ152" s="94" t="n"/>
      <c r="HR152" s="94" t="n"/>
      <c r="HS152" s="94" t="n"/>
      <c r="HT152" s="94" t="n"/>
      <c r="HU152" s="94" t="n"/>
    </row>
    <row r="153" ht="16.2" customHeight="1" thickBot="1">
      <c r="A153" s="102" t="inlineStr">
        <is>
          <t>TOTAL ACUMULADO</t>
        </is>
      </c>
      <c r="B153" s="147" t="n"/>
      <c r="C153" s="35" t="n"/>
      <c r="D153" s="37" t="n"/>
      <c r="E153" s="35" t="n"/>
      <c r="F153" s="35" t="n"/>
      <c r="G153" s="35" t="n"/>
      <c r="H153" s="35" t="n"/>
      <c r="I153" s="36" t="n"/>
      <c r="J153" s="190" t="n"/>
      <c r="K153" s="36" t="n"/>
      <c r="L153" s="111" t="n"/>
      <c r="M153" s="226" t="n"/>
      <c r="N153" s="226" t="n"/>
      <c r="O153" s="226" t="n"/>
      <c r="P153" s="226" t="n"/>
      <c r="Q153" s="226" t="n"/>
      <c r="R153" s="226" t="n"/>
      <c r="S153" s="226" t="n"/>
      <c r="T153" s="226" t="n"/>
      <c r="U153" s="226" t="n"/>
      <c r="V153" s="226" t="n"/>
      <c r="W153" s="226" t="n"/>
      <c r="X153" s="226" t="n"/>
      <c r="Y153" s="226" t="n"/>
      <c r="Z153" s="226" t="n"/>
      <c r="AA153" s="226" t="n"/>
      <c r="AB153" s="226" t="n"/>
      <c r="AC153" s="226" t="n"/>
      <c r="AD153" s="226" t="n"/>
      <c r="AE153" s="226" t="n"/>
      <c r="AF153" s="226" t="n"/>
      <c r="AG153" s="226" t="n"/>
      <c r="AH153" s="201" t="n"/>
      <c r="AI153" s="247" t="n"/>
      <c r="AJ153" s="201" t="n"/>
      <c r="AK153" s="35" t="n"/>
      <c r="AL153" s="35" t="n"/>
      <c r="AM153" s="35" t="n"/>
      <c r="AN153" s="35" t="n"/>
      <c r="AO153" s="35" t="n"/>
      <c r="AP153" s="35" t="n"/>
      <c r="AQ153" s="36" t="n"/>
      <c r="AR153" s="36" t="n"/>
      <c r="AS153" s="35" t="n"/>
      <c r="AT153" s="35" t="n"/>
      <c r="AU153" s="35" t="n"/>
      <c r="AV153" s="35" t="n"/>
      <c r="AW153" s="35" t="n"/>
      <c r="AX153" s="35" t="n"/>
      <c r="AY153" s="35" t="n"/>
      <c r="AZ153" s="35" t="n"/>
      <c r="BA153" s="35" t="n"/>
      <c r="BB153" s="35" t="n"/>
      <c r="BC153" s="35" t="n"/>
      <c r="BD153" s="310" t="n"/>
      <c r="BE153" s="37" t="n"/>
      <c r="BF153" s="35" t="n"/>
      <c r="BG153" s="35" t="n"/>
      <c r="BH153" s="35" t="n"/>
      <c r="BI153" s="35" t="n"/>
      <c r="BJ153" s="35" t="n"/>
      <c r="BK153" s="35" t="n"/>
      <c r="BL153" s="35" t="n"/>
      <c r="BM153" s="35" t="n"/>
      <c r="BN153" s="35" t="n"/>
      <c r="BO153" s="35" t="n"/>
      <c r="BP153" s="310" t="n"/>
      <c r="BQ153" s="37" t="n"/>
      <c r="BR153" s="35" t="n"/>
      <c r="BS153" s="35" t="n"/>
      <c r="BT153" s="35" t="n"/>
      <c r="BU153" s="35" t="n"/>
      <c r="BV153" s="35" t="n"/>
      <c r="BW153" s="35" t="n"/>
      <c r="BX153" s="35" t="n"/>
      <c r="BY153" s="35" t="n"/>
      <c r="BZ153" s="35" t="n"/>
      <c r="CA153" s="35" t="n"/>
      <c r="CB153" s="310" t="n"/>
      <c r="CC153" s="37" t="n"/>
      <c r="CD153" s="35" t="n"/>
      <c r="CE153" s="35" t="n"/>
      <c r="CF153" s="35" t="n"/>
      <c r="CG153" s="35" t="n"/>
      <c r="CH153" s="35" t="n"/>
      <c r="CI153" s="35" t="n"/>
      <c r="CJ153" s="35" t="n"/>
      <c r="CK153" s="35" t="n"/>
      <c r="CL153" s="35" t="n"/>
      <c r="CM153" s="35" t="n"/>
      <c r="CN153" s="310" t="n"/>
      <c r="CO153" s="37" t="n"/>
      <c r="CP153" s="35" t="n"/>
      <c r="CQ153" s="35" t="n"/>
      <c r="CR153" s="35" t="n"/>
      <c r="CS153" s="35" t="n"/>
      <c r="CT153" s="35" t="n"/>
      <c r="CU153" s="35" t="n"/>
      <c r="CV153" s="35" t="n"/>
      <c r="CW153" s="35" t="n"/>
      <c r="CX153" s="35" t="n"/>
      <c r="CY153" s="35" t="n"/>
      <c r="CZ153" s="310" t="n"/>
      <c r="DA153" s="37" t="n"/>
      <c r="DB153" s="35" t="n"/>
      <c r="DC153" s="35" t="n"/>
      <c r="DD153" s="35" t="n"/>
      <c r="DE153" s="35" t="n"/>
      <c r="DF153" s="35" t="n"/>
      <c r="DG153" s="35" t="n"/>
      <c r="DH153" s="35" t="n"/>
      <c r="DI153" s="35" t="n"/>
      <c r="DJ153" s="36" t="n"/>
      <c r="DK153" s="35" t="n"/>
      <c r="DL153" s="36" t="n"/>
      <c r="DM153" s="35" t="n"/>
      <c r="DN153" s="36" t="n"/>
      <c r="DO153" s="36" t="n"/>
      <c r="DP153" s="36" t="n"/>
      <c r="DQ153" s="36" t="n"/>
      <c r="DR153" s="36" t="n"/>
      <c r="DS153" s="36" t="n"/>
      <c r="DT153" s="36" t="n"/>
      <c r="DU153" s="36" t="n"/>
      <c r="DV153" s="36" t="n"/>
      <c r="DW153" s="36" t="n"/>
      <c r="DX153" s="36" t="n"/>
      <c r="DY153" s="36" t="n"/>
      <c r="DZ153" s="36" t="n"/>
      <c r="EA153" s="36" t="n"/>
      <c r="EB153" s="36" t="n"/>
      <c r="EC153" s="36" t="n"/>
      <c r="ED153" s="36" t="n"/>
      <c r="EE153" s="36" t="n"/>
      <c r="EF153" s="36" t="n"/>
      <c r="EG153" s="36" t="n"/>
      <c r="EH153" s="36" t="n"/>
      <c r="EI153" s="36" t="n"/>
      <c r="EJ153" s="36" t="n"/>
      <c r="EK153" s="36" t="n"/>
      <c r="EL153" s="36" t="n"/>
      <c r="EM153" s="36" t="n"/>
      <c r="EN153" s="36" t="n"/>
      <c r="EO153" s="36" t="n"/>
      <c r="EP153" s="36" t="n"/>
      <c r="EQ153" s="36" t="n"/>
      <c r="ER153" s="36" t="n"/>
      <c r="ES153" s="36" t="n"/>
      <c r="ET153" s="36" t="n"/>
      <c r="EU153" s="36" t="n"/>
      <c r="EV153" s="36" t="n"/>
      <c r="EW153" s="36" t="n"/>
      <c r="EX153" s="36" t="n"/>
      <c r="EY153" s="36" t="n"/>
      <c r="EZ153" s="36" t="n"/>
      <c r="FA153" s="36" t="n"/>
      <c r="FB153" s="36" t="n"/>
      <c r="FC153" s="36" t="n"/>
      <c r="FD153" s="36" t="n"/>
      <c r="FE153" s="36" t="n"/>
      <c r="FF153" s="36" t="n"/>
      <c r="FG153" s="36" t="n"/>
      <c r="FH153" s="36" t="n"/>
      <c r="FI153" s="36" t="n"/>
      <c r="FJ153" s="36" t="n"/>
      <c r="FK153" s="36" t="n"/>
      <c r="FL153" s="36" t="n"/>
      <c r="FM153" s="36" t="n"/>
      <c r="FN153" s="36" t="n"/>
      <c r="FO153" s="36" t="n"/>
      <c r="FP153" s="36" t="n"/>
      <c r="FQ153" s="36" t="n"/>
      <c r="FR153" s="36" t="n"/>
      <c r="FS153" s="36" t="n"/>
      <c r="FT153" s="36" t="n"/>
      <c r="FU153" s="36" t="n"/>
      <c r="FV153" s="36" t="n"/>
      <c r="FW153" s="36" t="n"/>
      <c r="FX153" s="36" t="n"/>
      <c r="FY153" s="36" t="n"/>
      <c r="FZ153" s="36" t="n"/>
      <c r="GA153" s="36" t="n"/>
      <c r="GB153" s="36" t="n"/>
      <c r="GC153" s="36" t="n"/>
      <c r="GD153" s="36" t="n"/>
      <c r="GE153" s="36" t="n"/>
      <c r="GF153" s="36" t="n"/>
      <c r="GG153" s="36" t="n"/>
      <c r="GH153" s="36" t="n"/>
      <c r="GI153" s="36" t="n"/>
      <c r="GJ153" s="36" t="n"/>
      <c r="GK153" s="36" t="n"/>
      <c r="GL153" s="36" t="n"/>
      <c r="GM153" s="36" t="n"/>
      <c r="GN153" s="36" t="n"/>
      <c r="GO153" s="36" t="n"/>
      <c r="GP153" s="36" t="n"/>
      <c r="GQ153" s="36" t="n"/>
      <c r="GR153" s="36" t="n"/>
      <c r="GS153" s="36" t="n"/>
      <c r="GT153" s="36" t="n"/>
      <c r="GU153" s="36" t="n"/>
      <c r="GV153" s="36" t="n"/>
      <c r="GW153" s="36" t="n"/>
      <c r="GX153" s="36" t="n"/>
      <c r="GY153" s="36" t="n"/>
      <c r="GZ153" s="36" t="n"/>
      <c r="HA153" s="36" t="n"/>
      <c r="HB153" s="36" t="n"/>
      <c r="HC153" s="36" t="n"/>
      <c r="HD153" s="36" t="n"/>
      <c r="HE153" s="36" t="n"/>
      <c r="HF153" s="36" t="n"/>
      <c r="HG153" s="36" t="n"/>
      <c r="HH153" s="36" t="n"/>
      <c r="HI153" s="36" t="n"/>
      <c r="HJ153" s="36" t="n"/>
      <c r="HK153" s="36" t="n"/>
      <c r="HL153" s="36" t="n"/>
      <c r="HM153" s="36" t="n"/>
      <c r="HN153" s="36" t="n"/>
      <c r="HO153" s="36" t="n"/>
      <c r="HP153" s="36" t="n"/>
      <c r="HQ153" s="36" t="n"/>
      <c r="HR153" s="36" t="n"/>
      <c r="HS153" s="36" t="n"/>
      <c r="HT153" s="36" t="n"/>
      <c r="HU153" s="36" t="n"/>
    </row>
    <row r="154" ht="6.6" customHeight="1" thickTop="1">
      <c r="A154" s="1" t="n"/>
      <c r="B154" s="128" t="n"/>
      <c r="C154" s="512" t="n"/>
      <c r="D154" s="512" t="n"/>
      <c r="E154" s="512" t="n"/>
      <c r="F154" s="512" t="n"/>
      <c r="G154" s="512" t="n"/>
      <c r="H154" s="512" t="n"/>
      <c r="I154" s="512" t="n"/>
      <c r="J154" s="513" t="n"/>
      <c r="K154" s="512" t="n"/>
      <c r="L154" s="512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514" t="n"/>
      <c r="AA154" s="514" t="n"/>
      <c r="AB154" s="514" t="n"/>
      <c r="AC154" s="514" t="n"/>
      <c r="AD154" s="514" t="n"/>
      <c r="AE154" s="514" t="n"/>
      <c r="AF154" s="514" t="n"/>
      <c r="AG154" s="514" t="n"/>
      <c r="AH154" s="512" t="n"/>
      <c r="AI154" s="533" t="n"/>
      <c r="AJ154" s="512" t="n"/>
      <c r="AK154" s="512" t="n"/>
      <c r="AL154" s="512" t="n"/>
      <c r="AM154" s="512" t="n"/>
      <c r="AN154" s="512" t="n"/>
      <c r="AO154" s="512" t="n"/>
      <c r="AP154" s="512" t="n"/>
      <c r="AQ154" s="512" t="n"/>
      <c r="AR154" s="512" t="n"/>
      <c r="AS154" s="512" t="n"/>
      <c r="AT154" s="512" t="n"/>
      <c r="AU154" s="512" t="n"/>
      <c r="AV154" s="512" t="n"/>
      <c r="AW154" s="512" t="n"/>
      <c r="AX154" s="512" t="n"/>
      <c r="AY154" s="512" t="n"/>
      <c r="AZ154" s="512" t="n"/>
      <c r="BA154" s="512" t="n"/>
      <c r="BB154" s="512" t="n"/>
      <c r="BC154" s="512" t="n"/>
      <c r="BD154" s="515" t="n"/>
      <c r="BE154" s="512" t="n"/>
      <c r="BF154" s="512" t="n"/>
      <c r="BG154" s="512" t="n"/>
      <c r="BH154" s="512" t="n"/>
      <c r="BI154" s="512" t="n"/>
      <c r="BJ154" s="512" t="n"/>
      <c r="BK154" s="512" t="n"/>
      <c r="BL154" s="512" t="n"/>
      <c r="BM154" s="512" t="n"/>
      <c r="BN154" s="512" t="n"/>
      <c r="BO154" s="512" t="n"/>
      <c r="BP154" s="515" t="n"/>
      <c r="BQ154" s="512" t="n"/>
      <c r="BR154" s="512" t="n"/>
      <c r="BS154" s="512" t="n"/>
      <c r="BT154" s="512" t="n"/>
      <c r="BU154" s="512" t="n"/>
      <c r="BV154" s="512" t="n"/>
      <c r="BW154" s="512" t="n"/>
      <c r="BX154" s="512" t="n"/>
      <c r="BY154" s="512" t="n"/>
      <c r="BZ154" s="512" t="n"/>
      <c r="CA154" s="512" t="n"/>
      <c r="CB154" s="515" t="n"/>
      <c r="CC154" s="512" t="n"/>
      <c r="CD154" s="512" t="n"/>
      <c r="CE154" s="512" t="n"/>
      <c r="CF154" s="512" t="n"/>
      <c r="CG154" s="512" t="n"/>
      <c r="CH154" s="512" t="n"/>
      <c r="CI154" s="512" t="n"/>
      <c r="CJ154" s="512" t="n"/>
      <c r="CK154" s="512" t="n"/>
      <c r="CL154" s="512" t="n"/>
      <c r="CM154" s="512" t="n"/>
      <c r="CN154" s="515" t="n"/>
      <c r="CO154" s="512" t="n"/>
      <c r="CP154" s="512" t="n"/>
      <c r="CQ154" s="512" t="n"/>
      <c r="CR154" s="512" t="n"/>
      <c r="CS154" s="512" t="n"/>
      <c r="CT154" s="512" t="n"/>
      <c r="CU154" s="512" t="n"/>
      <c r="CV154" s="512" t="n"/>
      <c r="CW154" s="512" t="n"/>
      <c r="CX154" s="512" t="n"/>
      <c r="CY154" s="512" t="n"/>
      <c r="CZ154" s="515" t="n"/>
      <c r="DA154" s="512" t="n"/>
      <c r="DB154" s="512" t="n"/>
      <c r="DC154" s="512" t="n"/>
      <c r="DD154" s="512" t="n"/>
      <c r="DE154" s="512" t="n"/>
      <c r="DF154" s="512" t="n"/>
      <c r="DG154" s="512" t="n"/>
      <c r="DH154" s="512" t="n"/>
      <c r="DI154" s="512" t="n"/>
      <c r="DJ154" s="512" t="n"/>
      <c r="DK154" s="512" t="n"/>
      <c r="DL154" s="512" t="n"/>
      <c r="DM154" s="512" t="n"/>
      <c r="DN154" s="512" t="n"/>
      <c r="DO154" s="512" t="n"/>
      <c r="DP154" s="512" t="n"/>
      <c r="DQ154" s="512" t="n"/>
      <c r="DR154" s="512" t="n"/>
      <c r="DS154" s="512" t="n"/>
      <c r="DT154" s="512" t="n"/>
      <c r="DU154" s="512" t="n"/>
      <c r="DV154" s="512" t="n"/>
      <c r="DW154" s="512" t="n"/>
      <c r="DX154" s="512" t="n"/>
      <c r="DY154" s="512" t="n"/>
      <c r="DZ154" s="512" t="n"/>
      <c r="EA154" s="512" t="n"/>
      <c r="EB154" s="512" t="n"/>
      <c r="EC154" s="512" t="n"/>
      <c r="ED154" s="512" t="n"/>
      <c r="EE154" s="512" t="n"/>
      <c r="EF154" s="512" t="n"/>
      <c r="EG154" s="512" t="n"/>
      <c r="EH154" s="512" t="n"/>
      <c r="EI154" s="512" t="n"/>
      <c r="EJ154" s="512" t="n"/>
      <c r="EK154" s="512" t="n"/>
      <c r="EL154" s="512" t="n"/>
      <c r="EM154" s="512" t="n"/>
      <c r="EN154" s="512" t="n"/>
      <c r="EO154" s="512" t="n"/>
      <c r="EP154" s="512" t="n"/>
      <c r="EQ154" s="512" t="n"/>
      <c r="ER154" s="512" t="n"/>
      <c r="ES154" s="512" t="n"/>
      <c r="ET154" s="512" t="n"/>
      <c r="EU154" s="512" t="n"/>
      <c r="EV154" s="512" t="n"/>
      <c r="EW154" s="512" t="n"/>
      <c r="EX154" s="512" t="n"/>
      <c r="EY154" s="512" t="n"/>
      <c r="EZ154" s="512" t="n"/>
      <c r="FA154" s="512" t="n"/>
      <c r="FB154" s="512" t="n"/>
      <c r="FC154" s="512" t="n"/>
      <c r="FD154" s="512" t="n"/>
      <c r="FE154" s="512" t="n"/>
      <c r="FF154" s="512" t="n"/>
      <c r="FG154" s="512" t="n"/>
      <c r="FH154" s="512" t="n"/>
      <c r="FI154" s="512" t="n"/>
      <c r="FJ154" s="512" t="n"/>
      <c r="FK154" s="512" t="n"/>
      <c r="FL154" s="512" t="n"/>
      <c r="FM154" s="512" t="n"/>
      <c r="FN154" s="512" t="n"/>
      <c r="FO154" s="512" t="n"/>
      <c r="FP154" s="512" t="n"/>
      <c r="FQ154" s="512" t="n"/>
      <c r="FR154" s="512" t="n"/>
      <c r="FS154" s="512" t="n"/>
      <c r="FT154" s="512" t="n"/>
      <c r="FU154" s="512" t="n"/>
      <c r="FV154" s="512" t="n"/>
      <c r="FW154" s="512" t="n"/>
      <c r="FX154" s="512" t="n"/>
      <c r="FY154" s="512" t="n"/>
      <c r="FZ154" s="512" t="n"/>
      <c r="GA154" s="512" t="n"/>
      <c r="GB154" s="512" t="n"/>
      <c r="GC154" s="512" t="n"/>
      <c r="GD154" s="512" t="n"/>
      <c r="GE154" s="512" t="n"/>
      <c r="GF154" s="512" t="n"/>
      <c r="GG154" s="512" t="n"/>
      <c r="GH154" s="512" t="n"/>
      <c r="GI154" s="512" t="n"/>
      <c r="GJ154" s="512" t="n"/>
      <c r="GK154" s="512" t="n"/>
      <c r="GL154" s="512" t="n"/>
      <c r="GM154" s="512" t="n"/>
      <c r="GN154" s="512" t="n"/>
      <c r="GO154" s="512" t="n"/>
      <c r="GP154" s="512" t="n"/>
      <c r="GQ154" s="512" t="n"/>
      <c r="GR154" s="512" t="n"/>
      <c r="GS154" s="512" t="n"/>
      <c r="GT154" s="512" t="n"/>
      <c r="GU154" s="512" t="n"/>
      <c r="GV154" s="512" t="n"/>
      <c r="GW154" s="512" t="n"/>
      <c r="GX154" s="512" t="n"/>
      <c r="GY154" s="512" t="n"/>
      <c r="GZ154" s="512" t="n"/>
      <c r="HA154" s="512" t="n"/>
      <c r="HB154" s="512" t="n"/>
      <c r="HC154" s="512" t="n"/>
      <c r="HD154" s="512" t="n"/>
      <c r="HE154" s="512" t="n"/>
      <c r="HF154" s="512" t="n"/>
      <c r="HG154" s="512" t="n"/>
      <c r="HH154" s="512" t="n"/>
      <c r="HI154" s="512" t="n"/>
      <c r="HJ154" s="512" t="n"/>
      <c r="HK154" s="512" t="n"/>
      <c r="HL154" s="512" t="n"/>
      <c r="HM154" s="512" t="n"/>
      <c r="HN154" s="512" t="n"/>
      <c r="HO154" s="512" t="n"/>
      <c r="HP154" s="512" t="n"/>
      <c r="HQ154" s="512" t="n"/>
      <c r="HR154" s="512" t="n"/>
      <c r="HS154" s="512" t="n"/>
      <c r="HT154" s="512" t="n"/>
      <c r="HU154" s="512" t="n"/>
    </row>
    <row r="155" ht="16.2" customHeight="1" thickBot="1">
      <c r="A155" s="124" t="inlineStr">
        <is>
          <t>SALDO DE CAIXA (MENSAL)</t>
        </is>
      </c>
      <c r="B155" s="534" t="n"/>
      <c r="C155" s="534" t="n"/>
      <c r="D155" s="534" t="n"/>
      <c r="E155" s="534" t="n"/>
      <c r="F155" s="534" t="n"/>
      <c r="G155" s="534" t="n"/>
      <c r="H155" s="534" t="n"/>
      <c r="I155" s="534" t="n"/>
      <c r="J155" s="534" t="n"/>
      <c r="K155" s="534" t="n"/>
      <c r="L155" s="534" t="n"/>
      <c r="M155" s="535" t="n"/>
      <c r="N155" s="535" t="n"/>
      <c r="O155" s="535" t="n"/>
      <c r="P155" s="535" t="n"/>
      <c r="Q155" s="535" t="n"/>
      <c r="R155" s="535" t="n"/>
      <c r="S155" s="535" t="n"/>
      <c r="T155" s="535" t="n"/>
      <c r="U155" s="535" t="n"/>
      <c r="V155" s="535" t="n"/>
      <c r="W155" s="535" t="n"/>
      <c r="X155" s="535" t="n"/>
      <c r="Y155" s="535" t="n"/>
      <c r="Z155" s="535" t="n"/>
      <c r="AA155" s="535" t="n"/>
      <c r="AB155" s="535" t="n"/>
      <c r="AC155" s="535" t="n"/>
      <c r="AD155" s="535" t="n"/>
      <c r="AE155" s="535" t="n"/>
      <c r="AF155" s="535" t="n"/>
      <c r="AG155" s="535" t="n"/>
      <c r="AH155" s="13" t="n"/>
      <c r="AI155" s="246" t="n"/>
      <c r="AJ155" s="13" t="n"/>
      <c r="AK155" s="534" t="n"/>
      <c r="AL155" s="534" t="n"/>
      <c r="AM155" s="534" t="n"/>
      <c r="AN155" s="534" t="n"/>
      <c r="AO155" s="534" t="n"/>
      <c r="AP155" s="534" t="n"/>
      <c r="AQ155" s="534" t="n"/>
      <c r="AR155" s="534" t="n"/>
      <c r="AS155" s="534" t="n"/>
      <c r="AT155" s="534" t="n"/>
      <c r="AU155" s="534" t="n"/>
      <c r="AV155" s="534" t="n"/>
      <c r="AW155" s="534" t="n"/>
      <c r="AX155" s="534" t="n"/>
      <c r="AY155" s="534" t="n"/>
      <c r="AZ155" s="534" t="n"/>
      <c r="BA155" s="534" t="n"/>
      <c r="BB155" s="534" t="n"/>
      <c r="BC155" s="534" t="n"/>
      <c r="BD155" s="536" t="n"/>
      <c r="BE155" s="534" t="n"/>
      <c r="BF155" s="534" t="n"/>
      <c r="BG155" s="534" t="n"/>
      <c r="BH155" s="534" t="n"/>
      <c r="BI155" s="534" t="n"/>
      <c r="BJ155" s="534" t="n"/>
      <c r="BK155" s="534" t="n"/>
      <c r="BL155" s="534" t="n"/>
      <c r="BM155" s="534" t="n"/>
      <c r="BN155" s="534" t="n"/>
      <c r="BO155" s="534" t="n"/>
      <c r="BP155" s="536" t="n"/>
      <c r="BQ155" s="534" t="n"/>
      <c r="BR155" s="534" t="n"/>
      <c r="BS155" s="534" t="n"/>
      <c r="BT155" s="534" t="n"/>
      <c r="BU155" s="534" t="n"/>
      <c r="BV155" s="534" t="n"/>
      <c r="BW155" s="534" t="n"/>
      <c r="BX155" s="534" t="n"/>
      <c r="BY155" s="534" t="n"/>
      <c r="BZ155" s="534" t="n"/>
      <c r="CA155" s="534" t="n"/>
      <c r="CB155" s="536" t="n"/>
      <c r="CC155" s="534" t="n"/>
      <c r="CD155" s="534" t="n"/>
      <c r="CE155" s="534" t="n"/>
      <c r="CF155" s="534" t="n"/>
      <c r="CG155" s="534" t="n"/>
      <c r="CH155" s="534" t="n"/>
      <c r="CI155" s="534" t="n"/>
      <c r="CJ155" s="534" t="n"/>
      <c r="CK155" s="534" t="n"/>
      <c r="CL155" s="534" t="n"/>
      <c r="CM155" s="534" t="n"/>
      <c r="CN155" s="536" t="n"/>
      <c r="CO155" s="534" t="n"/>
      <c r="CP155" s="534" t="n"/>
      <c r="CQ155" s="534" t="n"/>
      <c r="CR155" s="534" t="n"/>
      <c r="CS155" s="534" t="n"/>
      <c r="CT155" s="534" t="n"/>
      <c r="CU155" s="534" t="n"/>
      <c r="CV155" s="534" t="n"/>
      <c r="CW155" s="534" t="n"/>
      <c r="CX155" s="534" t="n"/>
      <c r="CY155" s="534" t="n"/>
      <c r="CZ155" s="536" t="n"/>
      <c r="DA155" s="534" t="n"/>
      <c r="DB155" s="534" t="n"/>
      <c r="DC155" s="534" t="n"/>
      <c r="DD155" s="534" t="n"/>
      <c r="DE155" s="534" t="n"/>
      <c r="DF155" s="534" t="n"/>
      <c r="DG155" s="534" t="n"/>
      <c r="DH155" s="534" t="n"/>
      <c r="DI155" s="534" t="n"/>
      <c r="DJ155" s="534" t="n"/>
      <c r="DK155" s="534" t="n"/>
      <c r="DL155" s="534" t="n"/>
      <c r="DM155" s="534" t="n"/>
      <c r="DN155" s="534" t="n"/>
      <c r="DO155" s="534" t="n"/>
      <c r="DP155" s="534" t="n"/>
      <c r="DQ155" s="534" t="n"/>
      <c r="DR155" s="534" t="n"/>
      <c r="DS155" s="534" t="n"/>
      <c r="DT155" s="534" t="n"/>
      <c r="DU155" s="534" t="n"/>
      <c r="DV155" s="534" t="n"/>
      <c r="DW155" s="534" t="n"/>
      <c r="DX155" s="534" t="n"/>
      <c r="DY155" s="534" t="n"/>
      <c r="DZ155" s="534" t="n"/>
      <c r="EA155" s="534" t="n"/>
      <c r="EB155" s="534" t="n"/>
      <c r="EC155" s="534" t="n"/>
      <c r="ED155" s="534" t="n"/>
      <c r="EE155" s="534" t="n"/>
      <c r="EF155" s="534" t="n"/>
      <c r="EG155" s="534" t="n"/>
      <c r="EH155" s="534" t="n"/>
      <c r="EI155" s="534" t="n"/>
      <c r="EJ155" s="534" t="n"/>
      <c r="EK155" s="534" t="n"/>
      <c r="EL155" s="534" t="n"/>
      <c r="EM155" s="534" t="n"/>
      <c r="EN155" s="534" t="n"/>
      <c r="EO155" s="534" t="n"/>
      <c r="EP155" s="534" t="n"/>
      <c r="EQ155" s="534" t="n"/>
      <c r="ER155" s="534" t="n"/>
      <c r="ES155" s="534" t="n"/>
      <c r="ET155" s="534" t="n"/>
      <c r="EU155" s="534" t="n"/>
      <c r="EV155" s="534" t="n"/>
      <c r="EW155" s="534" t="n"/>
      <c r="EX155" s="534" t="n"/>
      <c r="EY155" s="534" t="n"/>
      <c r="EZ155" s="534" t="n"/>
      <c r="FA155" s="534" t="n"/>
      <c r="FB155" s="534" t="n"/>
      <c r="FC155" s="534" t="n"/>
      <c r="FD155" s="534" t="n"/>
      <c r="FE155" s="534" t="n"/>
      <c r="FF155" s="534" t="n"/>
      <c r="FG155" s="534" t="n"/>
      <c r="FH155" s="534" t="n"/>
      <c r="FI155" s="534" t="n"/>
      <c r="FJ155" s="534" t="n"/>
      <c r="FK155" s="534" t="n"/>
      <c r="FL155" s="534" t="n"/>
      <c r="FM155" s="534" t="n"/>
      <c r="FN155" s="534" t="n"/>
      <c r="FO155" s="534" t="n"/>
      <c r="FP155" s="534" t="n"/>
      <c r="FQ155" s="534" t="n"/>
      <c r="FR155" s="534" t="n"/>
      <c r="FS155" s="534" t="n"/>
      <c r="FT155" s="534" t="n"/>
      <c r="FU155" s="534" t="n"/>
      <c r="FV155" s="534" t="n"/>
      <c r="FW155" s="534" t="n"/>
      <c r="FX155" s="534" t="n"/>
      <c r="FY155" s="534" t="n"/>
      <c r="FZ155" s="534" t="n"/>
      <c r="GA155" s="534" t="n"/>
      <c r="GB155" s="534" t="n"/>
      <c r="GC155" s="534" t="n"/>
      <c r="GD155" s="534" t="n"/>
      <c r="GE155" s="534" t="n"/>
      <c r="GF155" s="534" t="n"/>
      <c r="GG155" s="534" t="n"/>
      <c r="GH155" s="534" t="n"/>
      <c r="GI155" s="534" t="n"/>
      <c r="GJ155" s="534" t="n"/>
      <c r="GK155" s="534" t="n"/>
      <c r="GL155" s="534" t="n"/>
      <c r="GM155" s="534" t="n"/>
      <c r="GN155" s="534" t="n"/>
      <c r="GO155" s="534" t="n"/>
      <c r="GP155" s="534" t="n"/>
      <c r="GQ155" s="534" t="n"/>
      <c r="GR155" s="534" t="n"/>
      <c r="GS155" s="534" t="n"/>
      <c r="GT155" s="534" t="n"/>
      <c r="GU155" s="534" t="n"/>
      <c r="GV155" s="534" t="n"/>
      <c r="GW155" s="534" t="n"/>
      <c r="GX155" s="534" t="n"/>
      <c r="GY155" s="534" t="n"/>
      <c r="GZ155" s="534" t="n"/>
      <c r="HA155" s="534" t="n"/>
      <c r="HB155" s="534" t="n"/>
      <c r="HC155" s="534" t="n"/>
      <c r="HD155" s="534" t="n"/>
      <c r="HE155" s="534" t="n"/>
      <c r="HF155" s="534" t="n"/>
      <c r="HG155" s="534" t="n"/>
      <c r="HH155" s="534" t="n"/>
      <c r="HI155" s="534" t="n"/>
      <c r="HJ155" s="534" t="n"/>
      <c r="HK155" s="534" t="n"/>
      <c r="HL155" s="534" t="n"/>
      <c r="HM155" s="534" t="n"/>
      <c r="HN155" s="534" t="n"/>
      <c r="HO155" s="534" t="n"/>
      <c r="HP155" s="534" t="n"/>
      <c r="HQ155" s="534" t="n"/>
      <c r="HR155" s="534" t="n"/>
      <c r="HS155" s="534" t="n"/>
      <c r="HT155" s="534" t="n"/>
      <c r="HU155" s="534" t="n"/>
    </row>
    <row r="156" ht="16.2" customHeight="1" thickBot="1" thickTop="1">
      <c r="A156" s="125" t="inlineStr">
        <is>
          <t>SALDO ACUMULADO (REAL)</t>
        </is>
      </c>
      <c r="B156" s="149" t="n"/>
      <c r="C156" s="543" t="n"/>
      <c r="D156" s="543" t="n"/>
      <c r="E156" s="543" t="n"/>
      <c r="F156" s="543" t="n"/>
      <c r="G156" s="543" t="n"/>
      <c r="H156" s="543" t="n"/>
      <c r="I156" s="543" t="n"/>
      <c r="J156" s="543" t="n"/>
      <c r="K156" s="543" t="n"/>
      <c r="L156" s="543" t="n"/>
      <c r="M156" s="543" t="n"/>
      <c r="N156" s="543" t="n"/>
      <c r="O156" s="543" t="n"/>
      <c r="P156" s="543" t="n"/>
      <c r="Q156" s="543" t="n"/>
      <c r="R156" s="543" t="n"/>
      <c r="S156" s="543" t="n"/>
      <c r="T156" s="543" t="n"/>
      <c r="U156" s="543" t="n"/>
      <c r="V156" s="543" t="n"/>
      <c r="W156" s="543" t="n"/>
      <c r="X156" s="543" t="n"/>
      <c r="Y156" s="543" t="n"/>
      <c r="Z156" s="543" t="n"/>
      <c r="AA156" s="543" t="n"/>
      <c r="AB156" s="543" t="n"/>
      <c r="AC156" s="543" t="n"/>
      <c r="AD156" s="543" t="n"/>
      <c r="AE156" s="543" t="n"/>
      <c r="AF156" s="543" t="n"/>
      <c r="AG156" s="543" t="n"/>
      <c r="AH156" s="544" t="n"/>
      <c r="AI156" s="545" t="n"/>
      <c r="AJ156" s="544" t="n"/>
      <c r="AK156" s="546" t="n"/>
      <c r="AL156" s="546" t="n"/>
      <c r="AM156" s="546" t="n"/>
      <c r="AN156" s="546" t="n"/>
      <c r="AO156" s="546" t="n"/>
      <c r="AP156" s="546" t="n"/>
      <c r="AQ156" s="546" t="n"/>
      <c r="AR156" s="546" t="n"/>
      <c r="AS156" s="546" t="n"/>
      <c r="AT156" s="546" t="n"/>
      <c r="AU156" s="546" t="n"/>
      <c r="AV156" s="546" t="n"/>
      <c r="AW156" s="546" t="n"/>
      <c r="AX156" s="546" t="n"/>
      <c r="AY156" s="546" t="n"/>
      <c r="AZ156" s="546" t="n"/>
      <c r="BA156" s="546" t="n"/>
      <c r="BB156" s="546" t="n"/>
      <c r="BC156" s="546" t="n"/>
      <c r="BD156" s="546" t="n"/>
      <c r="BE156" s="546" t="n"/>
      <c r="BF156" s="546" t="n"/>
      <c r="BG156" s="546" t="n"/>
      <c r="BH156" s="546" t="n"/>
      <c r="BI156" s="546" t="n"/>
      <c r="BJ156" s="546" t="n"/>
      <c r="BK156" s="546" t="n"/>
      <c r="BL156" s="546" t="n"/>
      <c r="BM156" s="546" t="n"/>
      <c r="BN156" s="546" t="n"/>
      <c r="BO156" s="546" t="n"/>
      <c r="BP156" s="546" t="n"/>
      <c r="BQ156" s="546" t="n"/>
      <c r="BR156" s="546" t="n"/>
      <c r="BS156" s="546" t="n"/>
      <c r="BT156" s="546" t="n"/>
      <c r="BU156" s="546" t="n"/>
      <c r="BV156" s="546" t="n"/>
      <c r="BW156" s="546" t="n"/>
      <c r="BX156" s="546" t="n"/>
      <c r="BY156" s="546" t="n"/>
      <c r="BZ156" s="546" t="n"/>
      <c r="CA156" s="546" t="n"/>
      <c r="CB156" s="546" t="n"/>
      <c r="CC156" s="546" t="n"/>
      <c r="CD156" s="546" t="n"/>
      <c r="CE156" s="546" t="n"/>
      <c r="CF156" s="546" t="n"/>
      <c r="CG156" s="546" t="n"/>
      <c r="CH156" s="546" t="n"/>
      <c r="CI156" s="546" t="n"/>
      <c r="CJ156" s="546" t="n"/>
      <c r="CK156" s="546" t="n"/>
      <c r="CL156" s="546" t="n"/>
      <c r="CM156" s="546" t="n"/>
      <c r="CN156" s="546" t="n"/>
      <c r="CO156" s="546" t="n"/>
      <c r="CP156" s="546" t="n"/>
      <c r="CQ156" s="546" t="n"/>
      <c r="CR156" s="546" t="n"/>
      <c r="CS156" s="546" t="n"/>
      <c r="CT156" s="546" t="n"/>
      <c r="CU156" s="546" t="n"/>
      <c r="CV156" s="546" t="n"/>
      <c r="CW156" s="546" t="n"/>
      <c r="CX156" s="546" t="n"/>
      <c r="CY156" s="546" t="n"/>
      <c r="CZ156" s="546" t="n"/>
      <c r="DA156" s="546" t="n"/>
      <c r="DB156" s="546" t="n"/>
      <c r="DC156" s="546" t="n"/>
      <c r="DD156" s="546" t="n"/>
      <c r="DE156" s="546" t="n"/>
      <c r="DF156" s="546" t="n"/>
      <c r="DG156" s="546" t="n"/>
      <c r="DH156" s="546" t="n"/>
      <c r="DI156" s="546" t="n"/>
      <c r="DJ156" s="546" t="n"/>
      <c r="DK156" s="546" t="n"/>
      <c r="DL156" s="546" t="n"/>
      <c r="DM156" s="546" t="n"/>
      <c r="DN156" s="546" t="n"/>
      <c r="DO156" s="546" t="n"/>
      <c r="DP156" s="546" t="n"/>
      <c r="DQ156" s="546" t="n"/>
      <c r="DR156" s="546" t="n"/>
      <c r="DS156" s="546" t="n"/>
      <c r="DT156" s="546" t="n"/>
      <c r="DU156" s="546" t="n"/>
      <c r="DV156" s="546" t="n"/>
      <c r="DW156" s="546" t="n"/>
      <c r="DX156" s="546" t="n"/>
      <c r="DY156" s="546" t="n"/>
      <c r="DZ156" s="546" t="n"/>
      <c r="EA156" s="546" t="n"/>
      <c r="EB156" s="546" t="n"/>
      <c r="EC156" s="546" t="n"/>
      <c r="ED156" s="546" t="n"/>
      <c r="EE156" s="546" t="n"/>
      <c r="EF156" s="546" t="n"/>
      <c r="EG156" s="546" t="n"/>
      <c r="EH156" s="546" t="n"/>
      <c r="EI156" s="546" t="n"/>
      <c r="EJ156" s="546" t="n"/>
      <c r="EK156" s="546" t="n"/>
      <c r="EL156" s="546" t="n"/>
      <c r="EM156" s="546" t="n"/>
      <c r="EN156" s="546" t="n"/>
      <c r="EO156" s="546" t="n"/>
      <c r="EP156" s="546" t="n"/>
      <c r="EQ156" s="546" t="n"/>
      <c r="ER156" s="546" t="n"/>
      <c r="ES156" s="546" t="n"/>
      <c r="ET156" s="546" t="n"/>
      <c r="EU156" s="546" t="n"/>
      <c r="EV156" s="546" t="n"/>
      <c r="EW156" s="546" t="n"/>
      <c r="EX156" s="546" t="n"/>
      <c r="EY156" s="546" t="n"/>
      <c r="EZ156" s="546" t="n"/>
      <c r="FA156" s="546" t="n"/>
      <c r="FB156" s="546" t="n"/>
      <c r="FC156" s="546" t="n"/>
      <c r="FD156" s="546" t="n"/>
      <c r="FE156" s="546" t="n"/>
      <c r="FF156" s="546" t="n"/>
      <c r="FG156" s="546" t="n"/>
      <c r="FH156" s="546" t="n"/>
      <c r="FI156" s="546" t="n"/>
      <c r="FJ156" s="546" t="n"/>
      <c r="FK156" s="546" t="n"/>
      <c r="FL156" s="546" t="n"/>
      <c r="FM156" s="546" t="n"/>
      <c r="FN156" s="546" t="n"/>
      <c r="FO156" s="546" t="n"/>
      <c r="FP156" s="546" t="n"/>
      <c r="FQ156" s="546" t="n"/>
      <c r="FR156" s="546" t="n"/>
      <c r="FS156" s="546" t="n"/>
      <c r="FT156" s="546" t="n"/>
      <c r="FU156" s="546" t="n"/>
      <c r="FV156" s="546" t="n"/>
      <c r="FW156" s="546" t="n"/>
      <c r="FX156" s="546" t="n"/>
      <c r="FY156" s="546" t="n"/>
      <c r="FZ156" s="546" t="n"/>
      <c r="GA156" s="546" t="n"/>
      <c r="GB156" s="546" t="n"/>
      <c r="GC156" s="546" t="n"/>
      <c r="GD156" s="546" t="n"/>
      <c r="GE156" s="546" t="n"/>
      <c r="GF156" s="546" t="n"/>
      <c r="GG156" s="546" t="n"/>
      <c r="GH156" s="546" t="n"/>
      <c r="GI156" s="546" t="n"/>
      <c r="GJ156" s="546" t="n"/>
      <c r="GK156" s="546" t="n"/>
      <c r="GL156" s="546" t="n"/>
      <c r="GM156" s="546" t="n"/>
      <c r="GN156" s="546" t="n"/>
      <c r="GO156" s="546" t="n"/>
      <c r="GP156" s="546" t="n"/>
      <c r="GQ156" s="546" t="n"/>
      <c r="GR156" s="546" t="n"/>
      <c r="GS156" s="546" t="n"/>
      <c r="GT156" s="546" t="n"/>
      <c r="GU156" s="546" t="n"/>
      <c r="GV156" s="546" t="n"/>
      <c r="GW156" s="546" t="n"/>
      <c r="GX156" s="546" t="n"/>
      <c r="GY156" s="546" t="n"/>
      <c r="GZ156" s="546" t="n"/>
      <c r="HA156" s="546" t="n"/>
      <c r="HB156" s="546" t="n"/>
      <c r="HC156" s="546" t="n"/>
      <c r="HD156" s="546" t="n"/>
      <c r="HE156" s="546" t="n"/>
      <c r="HF156" s="546" t="n"/>
      <c r="HG156" s="546" t="n"/>
      <c r="HH156" s="546" t="n"/>
      <c r="HI156" s="546" t="n"/>
      <c r="HJ156" s="546" t="n"/>
      <c r="HK156" s="546" t="n"/>
      <c r="HL156" s="546" t="n"/>
      <c r="HM156" s="546" t="n"/>
      <c r="HN156" s="546" t="n"/>
      <c r="HO156" s="546" t="n"/>
      <c r="HP156" s="546" t="n"/>
      <c r="HQ156" s="546" t="n"/>
      <c r="HR156" s="546" t="n"/>
      <c r="HS156" s="546" t="n"/>
      <c r="HT156" s="546" t="n"/>
      <c r="HU156" s="546" t="n"/>
    </row>
    <row r="157" ht="16.2" customHeight="1" thickBot="1" thickTop="1">
      <c r="A157" s="1" t="n"/>
      <c r="B157" s="128" t="n"/>
      <c r="C157" s="549" t="n"/>
      <c r="D157" s="549" t="n"/>
      <c r="E157" s="550" t="n"/>
      <c r="F157" s="550" t="n"/>
      <c r="G157" s="550" t="n"/>
      <c r="H157" s="550" t="n"/>
      <c r="I157" s="550" t="n"/>
      <c r="J157" s="551" t="n"/>
      <c r="K157" s="549" t="n"/>
      <c r="L157" s="549" t="n"/>
      <c r="M157" s="552" t="n"/>
      <c r="N157" s="552" t="n"/>
      <c r="O157" s="552" t="n"/>
      <c r="P157" s="552" t="n"/>
      <c r="Q157" s="552" t="n"/>
      <c r="R157" s="552" t="n"/>
      <c r="S157" s="552" t="n"/>
      <c r="T157" s="552" t="n"/>
      <c r="U157" s="552" t="n"/>
      <c r="V157" s="552" t="n"/>
      <c r="W157" s="552" t="n"/>
      <c r="X157" s="552" t="n"/>
      <c r="Y157" s="552" t="n"/>
      <c r="Z157" s="549" t="n"/>
      <c r="AA157" s="549" t="n"/>
      <c r="AB157" s="549" t="n"/>
      <c r="AC157" s="549" t="n"/>
      <c r="AD157" s="549" t="n"/>
      <c r="AE157" s="549" t="n"/>
      <c r="AF157" s="549" t="n"/>
      <c r="AG157" s="549" t="n"/>
      <c r="AH157" s="549" t="n"/>
      <c r="AI157" s="553" t="n"/>
      <c r="AJ157" s="549" t="n"/>
      <c r="AK157" s="549" t="n"/>
      <c r="AL157" s="549" t="n"/>
      <c r="AM157" s="549" t="n"/>
      <c r="AN157" s="549" t="n"/>
      <c r="AO157" s="549" t="n"/>
      <c r="AP157" s="549" t="n"/>
      <c r="AQ157" s="549" t="n"/>
      <c r="AR157" s="549" t="n"/>
      <c r="AS157" s="549" t="n"/>
      <c r="AT157" s="549" t="n"/>
      <c r="AU157" s="549" t="n"/>
      <c r="AV157" s="549" t="n"/>
      <c r="AW157" s="549" t="n"/>
      <c r="AX157" s="549" t="n"/>
      <c r="AY157" s="549" t="n"/>
      <c r="AZ157" s="549" t="n"/>
      <c r="BA157" s="549" t="n"/>
      <c r="BB157" s="549" t="n"/>
      <c r="BC157" s="549" t="n"/>
      <c r="BD157" s="554" t="n"/>
      <c r="BE157" s="549" t="n"/>
      <c r="BF157" s="549" t="n"/>
      <c r="BG157" s="549" t="n"/>
      <c r="BH157" s="549" t="n"/>
      <c r="BI157" s="549" t="n"/>
      <c r="BJ157" s="549" t="n"/>
      <c r="BK157" s="549" t="n"/>
      <c r="BL157" s="549" t="n"/>
      <c r="BM157" s="549" t="n"/>
      <c r="BN157" s="549" t="n"/>
      <c r="BO157" s="549" t="n"/>
      <c r="BP157" s="555" t="n"/>
      <c r="BQ157" s="556" t="n"/>
      <c r="BR157" s="549" t="n"/>
      <c r="BS157" s="549" t="n"/>
      <c r="BT157" s="549" t="n"/>
      <c r="BU157" s="549" t="n"/>
      <c r="BV157" s="549" t="n"/>
      <c r="BW157" s="549" t="n"/>
      <c r="BX157" s="549" t="n"/>
      <c r="BY157" s="549" t="n"/>
      <c r="BZ157" s="549" t="n"/>
      <c r="CA157" s="549" t="n"/>
      <c r="CB157" s="555" t="n"/>
      <c r="CC157" s="556" t="n"/>
      <c r="CD157" s="549" t="n"/>
      <c r="CE157" s="549" t="n"/>
      <c r="CF157" s="549" t="n"/>
      <c r="CG157" s="549" t="n"/>
      <c r="CH157" s="549" t="n"/>
      <c r="CI157" s="549" t="n"/>
      <c r="CJ157" s="549" t="n"/>
      <c r="CK157" s="549" t="n"/>
      <c r="CL157" s="549" t="n"/>
      <c r="CM157" s="549" t="n"/>
      <c r="CN157" s="555" t="n"/>
      <c r="CO157" s="556" t="n"/>
      <c r="CP157" s="549" t="n"/>
      <c r="CQ157" s="549" t="n"/>
      <c r="CR157" s="549" t="n"/>
      <c r="CS157" s="549" t="n"/>
      <c r="CT157" s="549" t="n"/>
      <c r="CU157" s="549" t="n"/>
      <c r="CV157" s="549" t="n"/>
      <c r="CW157" s="549" t="n"/>
      <c r="CX157" s="549" t="n"/>
      <c r="CY157" s="549" t="n"/>
      <c r="CZ157" s="555" t="n"/>
      <c r="DA157" s="549" t="n"/>
      <c r="DB157" s="549" t="n"/>
      <c r="DC157" s="549" t="n"/>
      <c r="DD157" s="549" t="n"/>
      <c r="DE157" s="549" t="n"/>
      <c r="DF157" s="549" t="n"/>
      <c r="DG157" s="549" t="n"/>
      <c r="DH157" s="549" t="n"/>
      <c r="DI157" s="549" t="n"/>
      <c r="DJ157" s="549" t="n"/>
      <c r="DK157" s="549" t="n"/>
      <c r="DL157" s="549" t="n"/>
      <c r="DM157" s="549" t="n"/>
      <c r="DN157" s="549" t="n"/>
      <c r="DO157" s="549" t="n"/>
      <c r="DP157" s="549" t="n"/>
      <c r="DQ157" s="549" t="n"/>
      <c r="DR157" s="549" t="n"/>
      <c r="DS157" s="549" t="n"/>
      <c r="DT157" s="549" t="n"/>
      <c r="DU157" s="549" t="n"/>
      <c r="DV157" s="549" t="n"/>
      <c r="DW157" s="549" t="n"/>
      <c r="DX157" s="549" t="n"/>
      <c r="DY157" s="549" t="n"/>
      <c r="DZ157" s="549" t="n"/>
      <c r="EA157" s="549" t="n"/>
      <c r="EB157" s="549" t="n"/>
      <c r="EC157" s="549" t="n"/>
      <c r="ED157" s="549" t="n"/>
      <c r="EE157" s="549" t="n"/>
      <c r="EF157" s="549" t="n"/>
      <c r="EG157" s="549" t="n"/>
      <c r="EH157" s="549" t="n"/>
      <c r="EI157" s="549" t="n"/>
      <c r="EJ157" s="549" t="n"/>
      <c r="EK157" s="549" t="n"/>
      <c r="EL157" s="549" t="n"/>
      <c r="EM157" s="549" t="n"/>
      <c r="EN157" s="549" t="n"/>
      <c r="EO157" s="549" t="n"/>
      <c r="EP157" s="549" t="n"/>
      <c r="EQ157" s="549" t="n"/>
      <c r="ER157" s="549" t="n"/>
      <c r="ES157" s="549" t="n"/>
      <c r="ET157" s="549" t="n"/>
      <c r="EU157" s="549" t="n"/>
      <c r="EV157" s="549" t="n"/>
      <c r="EW157" s="549" t="n"/>
      <c r="EX157" s="549" t="n"/>
      <c r="EY157" s="549" t="n"/>
      <c r="EZ157" s="549" t="n"/>
      <c r="FA157" s="549" t="n"/>
      <c r="FB157" s="549" t="n"/>
      <c r="FC157" s="549" t="n"/>
      <c r="FD157" s="549" t="n"/>
      <c r="FE157" s="549" t="n"/>
      <c r="FF157" s="549" t="n"/>
      <c r="FG157" s="549" t="n"/>
      <c r="FH157" s="549" t="n"/>
      <c r="FI157" s="549" t="n"/>
      <c r="FJ157" s="549" t="n"/>
      <c r="FK157" s="549" t="n"/>
      <c r="FL157" s="549" t="n"/>
      <c r="FM157" s="549" t="n"/>
      <c r="FN157" s="549" t="n"/>
      <c r="FO157" s="549" t="n"/>
      <c r="FP157" s="549" t="n"/>
      <c r="FQ157" s="549" t="n"/>
      <c r="FR157" s="549" t="n"/>
      <c r="FS157" s="549" t="n"/>
      <c r="FT157" s="549" t="n"/>
      <c r="FU157" s="549" t="n"/>
      <c r="FV157" s="549" t="n"/>
      <c r="FW157" s="549" t="n"/>
      <c r="FX157" s="549" t="n"/>
      <c r="FY157" s="549" t="n"/>
      <c r="FZ157" s="549" t="n"/>
      <c r="GA157" s="549" t="n"/>
      <c r="GB157" s="549" t="n"/>
      <c r="GC157" s="549" t="n"/>
      <c r="GD157" s="549" t="n"/>
      <c r="GE157" s="549" t="n"/>
      <c r="GF157" s="549" t="n"/>
      <c r="GG157" s="549" t="n"/>
      <c r="GH157" s="549" t="n"/>
      <c r="GI157" s="549" t="n"/>
      <c r="GJ157" s="549" t="n"/>
      <c r="GK157" s="549" t="n"/>
      <c r="GL157" s="549" t="n"/>
      <c r="GM157" s="549" t="n"/>
      <c r="GN157" s="549" t="n"/>
      <c r="GO157" s="549" t="n"/>
      <c r="GP157" s="549" t="n"/>
      <c r="GQ157" s="549" t="n"/>
      <c r="GR157" s="549" t="n"/>
      <c r="GS157" s="549" t="n"/>
      <c r="GT157" s="549" t="n"/>
      <c r="GU157" s="549" t="n"/>
      <c r="GV157" s="549" t="n"/>
      <c r="GW157" s="549" t="n"/>
      <c r="GX157" s="549" t="n"/>
      <c r="GY157" s="549" t="n"/>
      <c r="GZ157" s="549" t="n"/>
      <c r="HA157" s="549" t="n"/>
      <c r="HB157" s="549" t="n"/>
      <c r="HC157" s="549" t="n"/>
      <c r="HD157" s="549" t="n"/>
      <c r="HE157" s="549" t="n"/>
      <c r="HF157" s="549" t="n"/>
      <c r="HG157" s="549" t="n"/>
      <c r="HH157" s="549" t="n"/>
      <c r="HI157" s="549" t="n"/>
      <c r="HJ157" s="549" t="n"/>
      <c r="HK157" s="549" t="n"/>
      <c r="HL157" s="549" t="n"/>
      <c r="HM157" s="549" t="n"/>
      <c r="HN157" s="549" t="n"/>
      <c r="HO157" s="549" t="n"/>
      <c r="HP157" s="549" t="n"/>
      <c r="HQ157" s="549" t="n"/>
      <c r="HR157" s="549" t="n"/>
      <c r="HS157" s="549" t="n"/>
      <c r="HT157" s="549" t="n"/>
      <c r="HU157" s="549" t="n"/>
    </row>
    <row r="158" ht="16.2" customHeight="1" thickBot="1" thickTop="1">
      <c r="A158" s="126" t="inlineStr">
        <is>
          <t>SALDO DE CAIXA (MENSAL) C/ PROJEÇÃO</t>
        </is>
      </c>
      <c r="B158" s="557" t="n"/>
      <c r="C158" s="557" t="n"/>
      <c r="D158" s="557" t="n"/>
      <c r="E158" s="557" t="n"/>
      <c r="F158" s="557" t="n"/>
      <c r="G158" s="557" t="n"/>
      <c r="H158" s="557" t="n"/>
      <c r="I158" s="557" t="n"/>
      <c r="J158" s="557" t="n"/>
      <c r="K158" s="557" t="n"/>
      <c r="L158" s="557" t="n"/>
      <c r="M158" s="557" t="n"/>
      <c r="N158" s="557" t="n"/>
      <c r="O158" s="557" t="n"/>
      <c r="P158" s="557" t="n"/>
      <c r="Q158" s="557" t="n"/>
      <c r="R158" s="557" t="n"/>
      <c r="S158" s="557" t="n"/>
      <c r="T158" s="557" t="n"/>
      <c r="U158" s="557" t="n"/>
      <c r="V158" s="557" t="n"/>
      <c r="W158" s="557" t="n"/>
      <c r="X158" s="557" t="n"/>
      <c r="Y158" s="557" t="n"/>
      <c r="Z158" s="557" t="n"/>
      <c r="AA158" s="557" t="n"/>
      <c r="AB158" s="557" t="n"/>
      <c r="AC158" s="557" t="n"/>
      <c r="AD158" s="557" t="n"/>
      <c r="AE158" s="557" t="n"/>
      <c r="AF158" s="557" t="n"/>
      <c r="AG158" s="557" t="n"/>
      <c r="AH158" s="13" t="n"/>
      <c r="AI158" s="558" t="n"/>
      <c r="AJ158" s="13" t="n"/>
      <c r="AK158" s="559" t="n"/>
      <c r="AL158" s="559" t="n"/>
      <c r="AM158" s="559" t="n"/>
      <c r="AN158" s="559" t="n"/>
      <c r="AO158" s="559" t="n"/>
      <c r="AP158" s="559" t="n"/>
      <c r="AQ158" s="560" t="n"/>
      <c r="AR158" s="560" t="n"/>
      <c r="AS158" s="560" t="n"/>
      <c r="AT158" s="560" t="n"/>
      <c r="AU158" s="560" t="n"/>
      <c r="AV158" s="560" t="n"/>
      <c r="AW158" s="560" t="n"/>
      <c r="AX158" s="560" t="n"/>
      <c r="AY158" s="560" t="n"/>
      <c r="AZ158" s="560" t="n"/>
      <c r="BA158" s="560" t="n"/>
      <c r="BB158" s="560" t="n"/>
      <c r="BC158" s="560" t="n"/>
      <c r="BD158" s="560" t="n"/>
      <c r="BE158" s="560" t="n"/>
      <c r="BF158" s="560" t="n"/>
      <c r="BG158" s="560" t="n"/>
      <c r="BH158" s="560" t="n"/>
      <c r="BI158" s="560" t="n"/>
      <c r="BJ158" s="560" t="n"/>
      <c r="BK158" s="560" t="n"/>
      <c r="BL158" s="560" t="n"/>
      <c r="BM158" s="560" t="n"/>
      <c r="BN158" s="560" t="n"/>
      <c r="BO158" s="560" t="n"/>
      <c r="BP158" s="560" t="n"/>
      <c r="BQ158" s="560" t="n"/>
      <c r="BR158" s="560" t="n"/>
      <c r="BS158" s="560" t="n"/>
      <c r="BT158" s="560" t="n"/>
      <c r="BU158" s="560" t="n"/>
      <c r="BV158" s="560" t="n"/>
      <c r="BW158" s="560" t="n"/>
      <c r="BX158" s="560" t="n"/>
      <c r="BY158" s="560" t="n"/>
      <c r="BZ158" s="560" t="n"/>
      <c r="CA158" s="560" t="n"/>
      <c r="CB158" s="560" t="n"/>
      <c r="CC158" s="560" t="n"/>
      <c r="CD158" s="560" t="n"/>
      <c r="CE158" s="560" t="n"/>
      <c r="CF158" s="560" t="n"/>
      <c r="CG158" s="560" t="n"/>
      <c r="CH158" s="560" t="n"/>
      <c r="CI158" s="560" t="n"/>
      <c r="CJ158" s="560" t="n"/>
      <c r="CK158" s="560" t="n"/>
      <c r="CL158" s="560" t="n"/>
      <c r="CM158" s="560" t="n"/>
      <c r="CN158" s="560" t="n"/>
      <c r="CO158" s="560" t="n"/>
      <c r="CP158" s="560" t="n"/>
      <c r="CQ158" s="560" t="n"/>
      <c r="CR158" s="560" t="n"/>
      <c r="CS158" s="560" t="n"/>
      <c r="CT158" s="560" t="n"/>
      <c r="CU158" s="560" t="n"/>
      <c r="CV158" s="560" t="n"/>
      <c r="CW158" s="560" t="n"/>
      <c r="CX158" s="560" t="n"/>
      <c r="CY158" s="560" t="n"/>
      <c r="CZ158" s="560" t="n"/>
      <c r="DA158" s="560" t="n"/>
      <c r="DB158" s="560" t="n"/>
      <c r="DC158" s="560" t="n"/>
      <c r="DD158" s="560" t="n"/>
      <c r="DE158" s="560" t="n"/>
      <c r="DF158" s="560" t="n"/>
      <c r="DG158" s="560" t="n"/>
      <c r="DH158" s="560" t="n"/>
      <c r="DI158" s="560" t="n"/>
      <c r="DJ158" s="560" t="n"/>
      <c r="DK158" s="560" t="n"/>
      <c r="DL158" s="560" t="n"/>
      <c r="DM158" s="560" t="n"/>
      <c r="DN158" s="560" t="n"/>
      <c r="DO158" s="560" t="n"/>
      <c r="DP158" s="560" t="n"/>
      <c r="DQ158" s="560" t="n"/>
      <c r="DR158" s="560" t="n"/>
      <c r="DS158" s="560" t="n"/>
      <c r="DT158" s="560" t="n"/>
      <c r="DU158" s="560" t="n"/>
      <c r="DV158" s="560" t="n"/>
      <c r="DW158" s="560" t="n"/>
      <c r="DX158" s="560" t="n"/>
      <c r="DY158" s="560" t="n"/>
      <c r="DZ158" s="560" t="n"/>
      <c r="EA158" s="560" t="n"/>
      <c r="EB158" s="560" t="n"/>
      <c r="EC158" s="560" t="n"/>
      <c r="ED158" s="560" t="n"/>
      <c r="EE158" s="560" t="n"/>
      <c r="EF158" s="560" t="n"/>
      <c r="EG158" s="560" t="n"/>
      <c r="EH158" s="560" t="n"/>
      <c r="EI158" s="560" t="n"/>
      <c r="EJ158" s="560" t="n"/>
      <c r="EK158" s="560" t="n"/>
      <c r="EL158" s="560" t="n"/>
      <c r="EM158" s="560" t="n"/>
      <c r="EN158" s="560" t="n"/>
      <c r="EO158" s="560" t="n"/>
      <c r="EP158" s="560" t="n"/>
      <c r="EQ158" s="560" t="n"/>
      <c r="ER158" s="560" t="n"/>
      <c r="ES158" s="560" t="n"/>
      <c r="ET158" s="560" t="n"/>
      <c r="EU158" s="560" t="n"/>
      <c r="EV158" s="560" t="n"/>
      <c r="EW158" s="560" t="n"/>
      <c r="EX158" s="560" t="n"/>
      <c r="EY158" s="560" t="n"/>
      <c r="EZ158" s="560" t="n"/>
      <c r="FA158" s="560" t="n"/>
      <c r="FB158" s="560" t="n"/>
      <c r="FC158" s="560" t="n"/>
      <c r="FD158" s="560" t="n"/>
      <c r="FE158" s="560" t="n"/>
      <c r="FF158" s="560" t="n"/>
      <c r="FG158" s="560" t="n"/>
      <c r="FH158" s="560" t="n"/>
      <c r="FI158" s="560" t="n"/>
      <c r="FJ158" s="560" t="n"/>
      <c r="FK158" s="560" t="n"/>
      <c r="FL158" s="560" t="n"/>
      <c r="FM158" s="560" t="n"/>
      <c r="FN158" s="560" t="n"/>
      <c r="FO158" s="560" t="n"/>
      <c r="FP158" s="560" t="n"/>
      <c r="FQ158" s="560" t="n"/>
      <c r="FR158" s="560" t="n"/>
      <c r="FS158" s="560" t="n"/>
      <c r="FT158" s="560" t="n"/>
      <c r="FU158" s="560" t="n"/>
      <c r="FV158" s="560" t="n"/>
      <c r="FW158" s="560" t="n"/>
      <c r="FX158" s="560" t="n"/>
      <c r="FY158" s="560" t="n"/>
      <c r="FZ158" s="560" t="n"/>
      <c r="GA158" s="560" t="n"/>
      <c r="GB158" s="560" t="n"/>
      <c r="GC158" s="560" t="n"/>
      <c r="GD158" s="560" t="n"/>
      <c r="GE158" s="560" t="n"/>
      <c r="GF158" s="560" t="n"/>
      <c r="GG158" s="560" t="n"/>
      <c r="GH158" s="560" t="n"/>
      <c r="GI158" s="560" t="n"/>
      <c r="GJ158" s="560" t="n"/>
      <c r="GK158" s="560" t="n"/>
      <c r="GL158" s="560" t="n"/>
      <c r="GM158" s="560" t="n"/>
      <c r="GN158" s="560" t="n"/>
      <c r="GO158" s="560" t="n"/>
      <c r="GP158" s="560" t="n"/>
      <c r="GQ158" s="560" t="n"/>
      <c r="GR158" s="560" t="n"/>
      <c r="GS158" s="560" t="n"/>
      <c r="GT158" s="560" t="n"/>
      <c r="GU158" s="560" t="n"/>
      <c r="GV158" s="560" t="n"/>
      <c r="GW158" s="560" t="n"/>
      <c r="GX158" s="560" t="n"/>
      <c r="GY158" s="560" t="n"/>
      <c r="GZ158" s="560" t="n"/>
      <c r="HA158" s="560" t="n"/>
      <c r="HB158" s="560" t="n"/>
      <c r="HC158" s="560" t="n"/>
      <c r="HD158" s="560" t="n"/>
      <c r="HE158" s="560" t="n"/>
      <c r="HF158" s="560" t="n"/>
      <c r="HG158" s="560" t="n"/>
      <c r="HH158" s="560" t="n"/>
      <c r="HI158" s="560" t="n"/>
      <c r="HJ158" s="560" t="n"/>
      <c r="HK158" s="560" t="n"/>
      <c r="HL158" s="560" t="n"/>
      <c r="HM158" s="560" t="n"/>
      <c r="HN158" s="560" t="n"/>
      <c r="HO158" s="560" t="n"/>
      <c r="HP158" s="560" t="n"/>
      <c r="HQ158" s="560" t="n"/>
      <c r="HR158" s="560" t="n"/>
      <c r="HS158" s="560" t="n"/>
      <c r="HT158" s="560" t="n"/>
      <c r="HU158" s="560" t="n"/>
    </row>
    <row r="159" ht="16.2" customHeight="1" thickBot="1" thickTop="1">
      <c r="A159" s="127" t="inlineStr">
        <is>
          <t>SALDO ACUMULADO C/ PROJEÇÕES</t>
        </is>
      </c>
      <c r="B159" s="151" t="n"/>
      <c r="C159" s="561" t="n"/>
      <c r="D159" s="561" t="n"/>
      <c r="E159" s="562" t="n"/>
      <c r="F159" s="562" t="n"/>
      <c r="G159" s="562" t="n"/>
      <c r="H159" s="562" t="n"/>
      <c r="I159" s="563" t="n"/>
      <c r="J159" s="564" t="n"/>
      <c r="K159" s="565" t="n"/>
      <c r="L159" s="565" t="n"/>
      <c r="M159" s="566" t="n"/>
      <c r="N159" s="566" t="n"/>
      <c r="O159" s="566" t="n"/>
      <c r="P159" s="566" t="n"/>
      <c r="Q159" s="566" t="n"/>
      <c r="R159" s="566" t="n"/>
      <c r="S159" s="566" t="n"/>
      <c r="T159" s="566" t="n"/>
      <c r="U159" s="566" t="n"/>
      <c r="V159" s="566" t="n"/>
      <c r="W159" s="566" t="n"/>
      <c r="X159" s="566" t="n"/>
      <c r="Y159" s="566" t="n"/>
      <c r="Z159" s="566" t="n"/>
      <c r="AA159" s="566" t="n"/>
      <c r="AB159" s="566" t="n"/>
      <c r="AC159" s="566" t="n"/>
      <c r="AD159" s="566" t="n"/>
      <c r="AE159" s="566" t="n"/>
      <c r="AF159" s="566" t="n"/>
      <c r="AG159" s="566" t="n"/>
      <c r="AH159" s="13" t="n"/>
      <c r="AI159" s="567" t="n"/>
      <c r="AJ159" s="13" t="n"/>
      <c r="AK159" s="565" t="n"/>
      <c r="AL159" s="565" t="n"/>
      <c r="AM159" s="565" t="n"/>
      <c r="AN159" s="565" t="n"/>
      <c r="AO159" s="565" t="n"/>
      <c r="AP159" s="565" t="n"/>
      <c r="AQ159" s="569" t="n"/>
      <c r="AR159" s="569" t="n"/>
      <c r="AS159" s="565" t="n"/>
      <c r="AT159" s="565" t="n"/>
      <c r="AU159" s="565" t="n"/>
      <c r="AV159" s="565" t="n"/>
      <c r="AW159" s="565" t="n"/>
      <c r="AX159" s="565" t="n"/>
      <c r="AY159" s="565" t="n"/>
      <c r="AZ159" s="565" t="n"/>
      <c r="BA159" s="565" t="n"/>
      <c r="BB159" s="565" t="n"/>
      <c r="BC159" s="565" t="n"/>
      <c r="BD159" s="565" t="n"/>
      <c r="BE159" s="565" t="n"/>
      <c r="BF159" s="565" t="n"/>
      <c r="BG159" s="565" t="n"/>
      <c r="BH159" s="565" t="n"/>
      <c r="BI159" s="565" t="n"/>
      <c r="BJ159" s="565" t="n"/>
      <c r="BK159" s="565" t="n"/>
      <c r="BL159" s="565" t="n"/>
      <c r="BM159" s="565" t="n"/>
      <c r="BN159" s="565" t="n"/>
      <c r="BO159" s="565" t="n"/>
      <c r="BP159" s="565" t="n"/>
      <c r="BQ159" s="565" t="n"/>
      <c r="BR159" s="565" t="n"/>
      <c r="BS159" s="565" t="n"/>
      <c r="BT159" s="565" t="n"/>
      <c r="BU159" s="565" t="n"/>
      <c r="BV159" s="565" t="n"/>
      <c r="BW159" s="565" t="n"/>
      <c r="BX159" s="565" t="n"/>
      <c r="BY159" s="565" t="n"/>
      <c r="BZ159" s="565" t="n"/>
      <c r="CA159" s="565" t="n"/>
      <c r="CB159" s="565" t="n"/>
      <c r="CC159" s="565" t="n"/>
      <c r="CD159" s="565" t="n"/>
      <c r="CE159" s="565" t="n"/>
      <c r="CF159" s="565" t="n"/>
      <c r="CG159" s="565" t="n"/>
      <c r="CH159" s="565" t="n"/>
      <c r="CI159" s="565" t="n"/>
      <c r="CJ159" s="565" t="n"/>
      <c r="CK159" s="565" t="n"/>
      <c r="CL159" s="565" t="n"/>
      <c r="CM159" s="565" t="n"/>
      <c r="CN159" s="565" t="n"/>
      <c r="CO159" s="565" t="n"/>
      <c r="CP159" s="565" t="n"/>
      <c r="CQ159" s="565" t="n"/>
      <c r="CR159" s="565" t="n"/>
      <c r="CS159" s="565" t="n"/>
      <c r="CT159" s="565" t="n"/>
      <c r="CU159" s="565" t="n"/>
      <c r="CV159" s="565" t="n"/>
      <c r="CW159" s="565" t="n"/>
      <c r="CX159" s="565" t="n"/>
      <c r="CY159" s="565" t="n"/>
      <c r="CZ159" s="565" t="n"/>
      <c r="DA159" s="565" t="n"/>
      <c r="DB159" s="565" t="n"/>
      <c r="DC159" s="565" t="n"/>
      <c r="DD159" s="565" t="n"/>
      <c r="DE159" s="565" t="n"/>
      <c r="DF159" s="565" t="n"/>
      <c r="DG159" s="565" t="n"/>
      <c r="DH159" s="565" t="n"/>
      <c r="DI159" s="565" t="n"/>
      <c r="DJ159" s="565" t="n"/>
      <c r="DK159" s="565" t="n"/>
      <c r="DL159" s="565" t="n"/>
      <c r="DM159" s="565" t="n"/>
      <c r="DN159" s="565" t="n"/>
      <c r="DO159" s="565" t="n"/>
      <c r="DP159" s="565" t="n"/>
      <c r="DQ159" s="565" t="n"/>
      <c r="DR159" s="565" t="n"/>
      <c r="DS159" s="565" t="n"/>
      <c r="DT159" s="565" t="n"/>
      <c r="DU159" s="565" t="n"/>
      <c r="DV159" s="565" t="n"/>
      <c r="DW159" s="565" t="n"/>
      <c r="DX159" s="565" t="n"/>
      <c r="DY159" s="565" t="n"/>
      <c r="DZ159" s="565" t="n"/>
      <c r="EA159" s="565" t="n"/>
      <c r="EB159" s="565" t="n"/>
      <c r="EC159" s="565" t="n"/>
      <c r="ED159" s="565" t="n"/>
      <c r="EE159" s="565" t="n"/>
      <c r="EF159" s="565" t="n"/>
      <c r="EG159" s="565" t="n"/>
      <c r="EH159" s="565" t="n"/>
      <c r="EI159" s="565" t="n"/>
      <c r="EJ159" s="565" t="n"/>
      <c r="EK159" s="565" t="n"/>
      <c r="EL159" s="565" t="n"/>
      <c r="EM159" s="565" t="n"/>
      <c r="EN159" s="565" t="n"/>
      <c r="EO159" s="565" t="n"/>
      <c r="EP159" s="565" t="n"/>
      <c r="EQ159" s="565" t="n"/>
      <c r="ER159" s="565" t="n"/>
      <c r="ES159" s="565" t="n"/>
      <c r="ET159" s="565" t="n"/>
      <c r="EU159" s="565" t="n"/>
      <c r="EV159" s="565" t="n"/>
      <c r="EW159" s="565" t="n"/>
      <c r="EX159" s="565" t="n"/>
      <c r="EY159" s="565" t="n"/>
      <c r="EZ159" s="565" t="n"/>
      <c r="FA159" s="565" t="n"/>
      <c r="FB159" s="565" t="n"/>
      <c r="FC159" s="565" t="n"/>
      <c r="FD159" s="565" t="n"/>
      <c r="FE159" s="565" t="n"/>
      <c r="FF159" s="565" t="n"/>
      <c r="FG159" s="565" t="n"/>
      <c r="FH159" s="565" t="n"/>
      <c r="FI159" s="565" t="n"/>
      <c r="FJ159" s="565" t="n"/>
      <c r="FK159" s="565" t="n"/>
      <c r="FL159" s="565" t="n"/>
      <c r="FM159" s="565" t="n"/>
      <c r="FN159" s="565" t="n"/>
      <c r="FO159" s="565" t="n"/>
      <c r="FP159" s="565" t="n"/>
      <c r="FQ159" s="565" t="n"/>
      <c r="FR159" s="565" t="n"/>
      <c r="FS159" s="565" t="n"/>
      <c r="FT159" s="565" t="n"/>
      <c r="FU159" s="565" t="n"/>
      <c r="FV159" s="565" t="n"/>
      <c r="FW159" s="565" t="n"/>
      <c r="FX159" s="565" t="n"/>
      <c r="FY159" s="565" t="n"/>
      <c r="FZ159" s="565" t="n"/>
      <c r="GA159" s="565" t="n"/>
      <c r="GB159" s="565" t="n"/>
      <c r="GC159" s="565" t="n"/>
      <c r="GD159" s="565" t="n"/>
      <c r="GE159" s="565" t="n"/>
      <c r="GF159" s="565" t="n"/>
      <c r="GG159" s="565" t="n"/>
      <c r="GH159" s="565" t="n"/>
      <c r="GI159" s="565" t="n"/>
      <c r="GJ159" s="565" t="n"/>
      <c r="GK159" s="565" t="n"/>
      <c r="GL159" s="565" t="n"/>
      <c r="GM159" s="565" t="n"/>
      <c r="GN159" s="565" t="n"/>
      <c r="GO159" s="565" t="n"/>
      <c r="GP159" s="565" t="n"/>
      <c r="GQ159" s="565" t="n"/>
      <c r="GR159" s="565" t="n"/>
      <c r="GS159" s="565" t="n"/>
      <c r="GT159" s="565" t="n"/>
      <c r="GU159" s="565" t="n"/>
      <c r="GV159" s="565" t="n"/>
      <c r="GW159" s="565" t="n"/>
      <c r="GX159" s="565" t="n"/>
      <c r="GY159" s="565" t="n"/>
      <c r="GZ159" s="565" t="n"/>
      <c r="HA159" s="565" t="n"/>
      <c r="HB159" s="565" t="n"/>
      <c r="HC159" s="565" t="n"/>
      <c r="HD159" s="565" t="n"/>
      <c r="HE159" s="565" t="n"/>
      <c r="HF159" s="565" t="n"/>
      <c r="HG159" s="565" t="n"/>
      <c r="HH159" s="565" t="n"/>
      <c r="HI159" s="565" t="n"/>
      <c r="HJ159" s="565" t="n"/>
      <c r="HK159" s="565" t="n"/>
      <c r="HL159" s="565" t="n"/>
      <c r="HM159" s="565" t="n"/>
      <c r="HN159" s="565" t="n"/>
      <c r="HO159" s="565" t="n"/>
      <c r="HP159" s="565" t="n"/>
      <c r="HQ159" s="565" t="n"/>
      <c r="HR159" s="565" t="n"/>
      <c r="HS159" s="565" t="n"/>
      <c r="HT159" s="565" t="n"/>
      <c r="HU159" s="565" t="n"/>
    </row>
  </sheetData>
  <mergeCells count="10">
    <mergeCell ref="M4:W4"/>
    <mergeCell ref="AI1:AI3"/>
    <mergeCell ref="M88:W88"/>
    <mergeCell ref="B4:B5"/>
    <mergeCell ref="B88:B89"/>
    <mergeCell ref="AK1:AK2"/>
    <mergeCell ref="AI85:AI87"/>
    <mergeCell ref="AR1:AR2"/>
    <mergeCell ref="AK85:AK86"/>
    <mergeCell ref="AR85:AR86"/>
  </mergeCells>
  <conditionalFormatting sqref="B71">
    <cfRule type="cellIs" priority="43" operator="lessThan" dxfId="12">
      <formula>0</formula>
    </cfRule>
  </conditionalFormatting>
  <conditionalFormatting sqref="B74">
    <cfRule type="cellIs" priority="42" operator="lessThan" dxfId="12">
      <formula>0</formula>
    </cfRule>
  </conditionalFormatting>
  <conditionalFormatting sqref="B155">
    <cfRule type="cellIs" priority="5" operator="lessThan" dxfId="12">
      <formula>0</formula>
    </cfRule>
  </conditionalFormatting>
  <conditionalFormatting sqref="B158">
    <cfRule type="cellIs" priority="4" operator="lessThan" dxfId="12">
      <formula>0</formula>
    </cfRule>
  </conditionalFormatting>
  <conditionalFormatting sqref="B71:J71">
    <cfRule type="top10" rank="1" priority="75" dxfId="8" bottom="1"/>
  </conditionalFormatting>
  <conditionalFormatting sqref="B155:J155">
    <cfRule type="top10" rank="1" priority="29" dxfId="8" bottom="1"/>
  </conditionalFormatting>
  <conditionalFormatting sqref="B74:AB74 C72 C75 J75:AB75 AC74:AG75">
    <cfRule type="cellIs" priority="70" operator="lessThan" dxfId="0">
      <formula>0</formula>
    </cfRule>
  </conditionalFormatting>
  <conditionalFormatting sqref="B158:AB158 C156 C159 J159:AB159 AC158:AG159">
    <cfRule type="cellIs" priority="24" operator="lessThan" dxfId="0">
      <formula>0</formula>
    </cfRule>
  </conditionalFormatting>
  <conditionalFormatting sqref="C8:L9 C12:AG12 C15:AG15 C18:AG18 C25:AG34 C36:AG68 AH25:AH28 AH29:HU31 AH36:AJ37 AH38:AH39 AH40:AJ41 AH42:AH43 AH44:AJ45 AH46 AH47:AJ48 AH49:AH50 AH51:AJ54 AH55 AH56:AJ57 AH58 AH59:AJ60 AH61 AH62:AJ63 AH64:AH65 AH66:AJ68 AJ25:HU28 AJ32:HU34 AJ38:AJ39 AJ42:AJ43 AJ46 AJ49:AJ50 AJ58 AJ61 AJ64:AJ65 AK8:HU9 AK36:HU54">
    <cfRule type="cellIs" priority="67" operator="lessThan" dxfId="12">
      <formula>0</formula>
    </cfRule>
  </conditionalFormatting>
  <conditionalFormatting sqref="C92:L93 C96:AG96 C99:AG99 C102:AG102 C109:AG118 C120:AG152 AH109:AH112 AH113:HU115 AH120:AJ121 AH122:AH123 AH124:AJ125 AH126:AH127 AH128:AJ129 AH130 AH131:AJ132 AH133:AH134 AH135:AJ138 AH139 AH140:AJ141 AH142 AH143:AJ144 AH145 AH146:AJ147 AH148:AH149 AH150:AJ152 AJ109:HU112 AJ116:HU118 AJ122:AJ123 AJ126:AJ127 AJ130 AJ133:AJ134 AJ142 AJ145 AJ148:AJ149 AK92:HU93 AK120:HU138">
    <cfRule type="cellIs" priority="21" operator="lessThan" dxfId="12">
      <formula>0</formula>
    </cfRule>
  </conditionalFormatting>
  <conditionalFormatting sqref="C72:AJ72">
    <cfRule type="cellIs" priority="72" operator="lessThan" dxfId="8">
      <formula>0</formula>
    </cfRule>
  </conditionalFormatting>
  <conditionalFormatting sqref="C156:AJ156">
    <cfRule type="cellIs" priority="26" operator="lessThan" dxfId="8">
      <formula>0</formula>
    </cfRule>
  </conditionalFormatting>
  <conditionalFormatting sqref="C69:HU69">
    <cfRule type="cellIs" priority="49" operator="lessThan" dxfId="43">
      <formula>0</formula>
    </cfRule>
    <cfRule type="cellIs" priority="50" operator="lessThan">
      <formula>0</formula>
    </cfRule>
  </conditionalFormatting>
  <conditionalFormatting sqref="C71:HU75">
    <cfRule type="cellIs" priority="45" operator="lessThan" dxfId="12">
      <formula>0</formula>
    </cfRule>
  </conditionalFormatting>
  <conditionalFormatting sqref="C153:HU153">
    <cfRule type="cellIs" priority="11" operator="lessThan" dxfId="43">
      <formula>0</formula>
    </cfRule>
    <cfRule type="cellIs" priority="12" operator="lessThan">
      <formula>0</formula>
    </cfRule>
  </conditionalFormatting>
  <conditionalFormatting sqref="C155:HU159">
    <cfRule type="cellIs" priority="7" operator="lessThan" dxfId="12">
      <formula>0</formula>
    </cfRule>
  </conditionalFormatting>
  <conditionalFormatting sqref="E75:HU75">
    <cfRule type="cellIs" priority="48" operator="lessThan" dxfId="40">
      <formula>0</formula>
    </cfRule>
  </conditionalFormatting>
  <conditionalFormatting sqref="E159:HU159">
    <cfRule type="cellIs" priority="10" operator="lessThan" dxfId="40">
      <formula>0</formula>
    </cfRule>
  </conditionalFormatting>
  <conditionalFormatting sqref="J71">
    <cfRule type="top10" rank="1" priority="68" dxfId="8" bottom="1"/>
  </conditionalFormatting>
  <conditionalFormatting sqref="J155">
    <cfRule type="top10" rank="1" priority="22" dxfId="8" bottom="1"/>
  </conditionalFormatting>
  <conditionalFormatting sqref="J8:AG8">
    <cfRule type="cellIs" priority="69" operator="lessThan" dxfId="12">
      <formula>0</formula>
    </cfRule>
  </conditionalFormatting>
  <conditionalFormatting sqref="J92:AG92">
    <cfRule type="cellIs" priority="23" operator="lessThan" dxfId="12">
      <formula>0</formula>
    </cfRule>
  </conditionalFormatting>
  <conditionalFormatting sqref="AH32:AH35 AJ35">
    <cfRule type="cellIs" priority="64" operator="lessThan" dxfId="12">
      <formula>0</formula>
    </cfRule>
  </conditionalFormatting>
  <conditionalFormatting sqref="AH116:AH119 AJ119">
    <cfRule type="cellIs" priority="19" operator="lessThan" dxfId="12">
      <formula>0</formula>
    </cfRule>
  </conditionalFormatting>
  <conditionalFormatting sqref="AH16:AJ16">
    <cfRule type="cellIs" priority="71" operator="lessThan" dxfId="12">
      <formula>0</formula>
    </cfRule>
  </conditionalFormatting>
  <conditionalFormatting sqref="AH71:AJ71 AH74:AJ75">
    <cfRule type="cellIs" priority="73" operator="lessThan" dxfId="12">
      <formula>0</formula>
    </cfRule>
  </conditionalFormatting>
  <conditionalFormatting sqref="AH72:AJ72">
    <cfRule type="cellIs" priority="74" operator="lessThan" dxfId="0">
      <formula>0</formula>
    </cfRule>
  </conditionalFormatting>
  <conditionalFormatting sqref="AH100:AJ100">
    <cfRule type="cellIs" priority="25" operator="lessThan" dxfId="12">
      <formula>0</formula>
    </cfRule>
  </conditionalFormatting>
  <conditionalFormatting sqref="AH155:AJ155 AH158:AJ159">
    <cfRule type="cellIs" priority="27" operator="lessThan" dxfId="12">
      <formula>0</formula>
    </cfRule>
  </conditionalFormatting>
  <conditionalFormatting sqref="AH156:AJ156">
    <cfRule type="cellIs" priority="28" operator="lessThan" dxfId="0">
      <formula>0</formula>
    </cfRule>
  </conditionalFormatting>
  <conditionalFormatting sqref="AI74:AI75">
    <cfRule type="cellIs" priority="66" operator="lessThan" dxfId="0">
      <formula>0</formula>
    </cfRule>
  </conditionalFormatting>
  <conditionalFormatting sqref="AI158:AI159">
    <cfRule type="cellIs" priority="20" operator="lessThan" dxfId="0">
      <formula>0</formula>
    </cfRule>
  </conditionalFormatting>
  <conditionalFormatting sqref="AJ55:HU55">
    <cfRule type="cellIs" priority="52" operator="lessThan" dxfId="12">
      <formula>0</formula>
    </cfRule>
  </conditionalFormatting>
  <conditionalFormatting sqref="AJ139:HU139">
    <cfRule type="cellIs" priority="14" operator="lessThan" dxfId="12">
      <formula>0</formula>
    </cfRule>
  </conditionalFormatting>
  <conditionalFormatting sqref="AK71">
    <cfRule type="top10" rank="1" priority="51" dxfId="8" bottom="1"/>
  </conditionalFormatting>
  <conditionalFormatting sqref="AK155">
    <cfRule type="top10" rank="1" priority="13" dxfId="8" bottom="1"/>
  </conditionalFormatting>
  <conditionalFormatting sqref="AK12:HU12">
    <cfRule type="cellIs" priority="31" operator="lessThan" dxfId="12">
      <formula>0</formula>
    </cfRule>
  </conditionalFormatting>
  <conditionalFormatting sqref="AK15:HU15">
    <cfRule type="cellIs" priority="41" operator="lessThan" dxfId="12">
      <formula>0</formula>
    </cfRule>
  </conditionalFormatting>
  <conditionalFormatting sqref="AK18:HU18">
    <cfRule type="cellIs" priority="44" operator="lessThan" dxfId="12">
      <formula>0</formula>
    </cfRule>
  </conditionalFormatting>
  <conditionalFormatting sqref="AK56:HU68">
    <cfRule type="cellIs" priority="40" operator="lessThan" dxfId="12">
      <formula>0</formula>
    </cfRule>
  </conditionalFormatting>
  <conditionalFormatting sqref="AK72:HU72">
    <cfRule type="cellIs" priority="47" operator="lessThan" dxfId="8">
      <formula>0</formula>
    </cfRule>
  </conditionalFormatting>
  <conditionalFormatting sqref="AK74:HU75">
    <cfRule type="cellIs" priority="46" operator="lessThan" dxfId="0">
      <formula>0</formula>
    </cfRule>
  </conditionalFormatting>
  <conditionalFormatting sqref="AK96:HU96">
    <cfRule type="cellIs" priority="1" operator="lessThan" dxfId="12">
      <formula>0</formula>
    </cfRule>
  </conditionalFormatting>
  <conditionalFormatting sqref="AK99:HU99">
    <cfRule type="cellIs" priority="3" operator="lessThan" dxfId="12">
      <formula>0</formula>
    </cfRule>
  </conditionalFormatting>
  <conditionalFormatting sqref="AK102:HU102">
    <cfRule type="cellIs" priority="6" operator="lessThan" dxfId="12">
      <formula>0</formula>
    </cfRule>
  </conditionalFormatting>
  <conditionalFormatting sqref="AK140:HU152">
    <cfRule type="cellIs" priority="2" operator="lessThan" dxfId="12">
      <formula>0</formula>
    </cfRule>
  </conditionalFormatting>
  <conditionalFormatting sqref="AK156:HU156">
    <cfRule type="cellIs" priority="9" operator="lessThan" dxfId="8">
      <formula>0</formula>
    </cfRule>
  </conditionalFormatting>
  <conditionalFormatting sqref="AK158:HU159">
    <cfRule type="cellIs" priority="8" operator="lessThan" dxfId="0">
      <formula>0</formula>
    </cfRule>
  </conditionalFormatting>
  <conditionalFormatting sqref="J71:AG71 AL71:HU71">
    <cfRule type="top10" rank="1" priority="76" dxfId="8" bottom="1"/>
  </conditionalFormatting>
  <conditionalFormatting sqref="J155:AG155 AL155:HU155">
    <cfRule type="top10" rank="1" priority="30" dxfId="8" bottom="1"/>
  </conditionalFormatting>
  <conditionalFormatting sqref="BD2">
    <cfRule type="cellIs" priority="63" operator="lessThan" dxfId="0">
      <formula>0</formula>
    </cfRule>
  </conditionalFormatting>
  <conditionalFormatting sqref="BD86">
    <cfRule type="cellIs" priority="18" operator="lessThan" dxfId="0">
      <formula>0</formula>
    </cfRule>
  </conditionalFormatting>
  <conditionalFormatting sqref="BP2">
    <cfRule type="cellIs" priority="62" operator="lessThan" dxfId="0">
      <formula>0</formula>
    </cfRule>
  </conditionalFormatting>
  <conditionalFormatting sqref="BP86">
    <cfRule type="cellIs" priority="17" operator="lessThan" dxfId="0">
      <formula>0</formula>
    </cfRule>
  </conditionalFormatting>
  <conditionalFormatting sqref="CB2">
    <cfRule type="cellIs" priority="61" operator="lessThan" dxfId="0">
      <formula>0</formula>
    </cfRule>
  </conditionalFormatting>
  <conditionalFormatting sqref="CB86">
    <cfRule type="cellIs" priority="16" operator="lessThan" dxfId="0">
      <formula>0</formula>
    </cfRule>
  </conditionalFormatting>
  <conditionalFormatting sqref="CN2">
    <cfRule type="cellIs" priority="60" operator="lessThan" dxfId="0">
      <formula>0</formula>
    </cfRule>
  </conditionalFormatting>
  <conditionalFormatting sqref="CN86">
    <cfRule type="cellIs" priority="15" operator="lessThan" dxfId="0">
      <formula>0</formula>
    </cfRule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DF167"/>
  <sheetViews>
    <sheetView topLeftCell="A51" zoomScaleNormal="100" workbookViewId="0">
      <selection activeCell="F4" sqref="F4:F166"/>
    </sheetView>
  </sheetViews>
  <sheetFormatPr baseColWidth="8" defaultColWidth="8.88671875" defaultRowHeight="13.2"/>
  <cols>
    <col width="8.88671875" customWidth="1" style="276" min="1" max="3"/>
    <col width="15.88671875" bestFit="1" customWidth="1" style="276" min="4" max="4"/>
    <col width="16.88671875" bestFit="1" customWidth="1" style="276" min="5" max="6"/>
    <col width="14.109375" bestFit="1" customWidth="1" style="276" min="7" max="12"/>
    <col width="8.88671875" customWidth="1" style="276" min="13" max="16384"/>
  </cols>
  <sheetData>
    <row r="1">
      <c r="G1" s="326" t="inlineStr">
        <is>
          <t> </t>
        </is>
      </c>
    </row>
    <row r="3">
      <c r="G3" s="277" t="inlineStr">
        <is>
          <t>Viabiliade</t>
        </is>
      </c>
      <c r="H3" s="278" t="n">
        <v>45627</v>
      </c>
      <c r="I3" s="323" t="n"/>
      <c r="J3" s="323" t="n"/>
      <c r="K3" s="323" t="n"/>
      <c r="L3" s="323" t="n"/>
    </row>
    <row r="4" ht="14.4" customHeight="1">
      <c r="B4" s="276" t="n">
        <v>17</v>
      </c>
      <c r="C4" s="276" t="n">
        <v>0</v>
      </c>
      <c r="D4" s="276" t="n">
        <v>-80000</v>
      </c>
      <c r="E4" s="322">
        <f>D4*((1+0.7976%)^B4)</f>
        <v/>
      </c>
      <c r="F4" s="322">
        <f>C4*((1+0.7976%)^B4)</f>
        <v/>
      </c>
      <c r="G4" s="612" t="n">
        <v>84729190.4855302</v>
      </c>
      <c r="H4" s="612">
        <f>ABS(SUM(E4:E136))</f>
        <v/>
      </c>
      <c r="I4" s="612" t="n"/>
      <c r="J4" s="612" t="n"/>
      <c r="K4" s="612" t="n"/>
      <c r="L4" s="612" t="n"/>
      <c r="O4" s="276" t="n">
        <v>-2400000</v>
      </c>
      <c r="P4" s="276" t="n">
        <v>0</v>
      </c>
      <c r="Q4" s="276" t="n">
        <v>0</v>
      </c>
      <c r="R4" s="276" t="n">
        <v>0</v>
      </c>
      <c r="S4" s="276" t="n">
        <v>0</v>
      </c>
      <c r="T4" s="276" t="n">
        <v>0</v>
      </c>
      <c r="U4" s="276" t="n">
        <v>0</v>
      </c>
      <c r="V4" s="276" t="n">
        <v>-800000</v>
      </c>
      <c r="W4" s="276" t="n">
        <v>0</v>
      </c>
      <c r="X4" s="276" t="n">
        <v>-1800000</v>
      </c>
      <c r="Y4" s="276" t="n">
        <v>-1000000</v>
      </c>
      <c r="Z4" s="276" t="n">
        <v>-800000</v>
      </c>
      <c r="AA4" s="276" t="n">
        <v>-3000000</v>
      </c>
      <c r="AB4" s="276" t="n">
        <v>-2000000</v>
      </c>
      <c r="AC4" s="276" t="n">
        <v>-1800000</v>
      </c>
      <c r="AD4" s="276" t="n">
        <v>-2600000</v>
      </c>
      <c r="AE4" s="276" t="n">
        <v>-2000000</v>
      </c>
      <c r="AF4" s="276" t="n">
        <v>-1600000</v>
      </c>
      <c r="AG4" s="276" t="n">
        <v>-2010000</v>
      </c>
      <c r="AH4" s="276" t="n">
        <v>-1800000</v>
      </c>
      <c r="AI4" s="276" t="n">
        <v>-1800000</v>
      </c>
      <c r="AJ4" s="276" t="n">
        <v>-1765000</v>
      </c>
      <c r="AK4" s="276" t="n">
        <v>-2000000</v>
      </c>
      <c r="AL4" s="276" t="n">
        <v>-1700000</v>
      </c>
      <c r="AM4" s="276" t="n">
        <v>-2000000</v>
      </c>
      <c r="AN4" s="276" t="n">
        <v>-1756000</v>
      </c>
      <c r="AO4" s="276" t="n">
        <v>-1124000</v>
      </c>
      <c r="AP4" s="276" t="n">
        <v>-1849000</v>
      </c>
      <c r="AQ4" s="276" t="n">
        <v>-1943000</v>
      </c>
      <c r="AR4" s="276" t="n">
        <v>-1558000</v>
      </c>
      <c r="AS4" s="276" t="n">
        <v>-1586000</v>
      </c>
      <c r="AT4" s="276" t="n">
        <v>-1736000</v>
      </c>
      <c r="AU4" s="276" t="n">
        <v>-1459000</v>
      </c>
      <c r="AV4" s="276" t="n">
        <v>-1301000</v>
      </c>
      <c r="AW4" s="276" t="n">
        <v>-1348000</v>
      </c>
      <c r="AX4" s="276" t="n">
        <v>-1109000</v>
      </c>
      <c r="AY4" s="276" t="n">
        <v>-2000000</v>
      </c>
      <c r="AZ4" s="276" t="n">
        <v>-841000</v>
      </c>
      <c r="BA4" s="276" t="n">
        <v>-901100</v>
      </c>
      <c r="BB4" s="276" t="n">
        <v>-833000</v>
      </c>
      <c r="BC4" s="276" t="n">
        <v>-1200000</v>
      </c>
      <c r="BD4" s="276" t="n">
        <v>-497000</v>
      </c>
      <c r="BE4" s="276" t="n">
        <v>-584000</v>
      </c>
      <c r="BF4" s="276" t="n">
        <v>-418000</v>
      </c>
      <c r="BG4" s="276" t="n">
        <v>-554000</v>
      </c>
      <c r="BH4" s="276" t="n">
        <v>-368000</v>
      </c>
      <c r="BI4" s="276" t="n">
        <v>-431000</v>
      </c>
      <c r="BJ4" s="276" t="n">
        <v>-256000</v>
      </c>
      <c r="BK4" s="276" t="n">
        <v>-300000</v>
      </c>
      <c r="BL4" s="276" t="n">
        <v>-220000</v>
      </c>
      <c r="BM4" s="276" t="n">
        <v>-202000</v>
      </c>
      <c r="BN4" s="276" t="n">
        <v>-293000</v>
      </c>
      <c r="BO4" s="276" t="n">
        <v>-476000</v>
      </c>
      <c r="BP4" s="276" t="n">
        <v>-162000</v>
      </c>
      <c r="BQ4" s="276" t="n">
        <v>-293000</v>
      </c>
      <c r="BR4" s="276" t="n">
        <v>-250000</v>
      </c>
      <c r="BS4" s="276" t="n">
        <v>-230000</v>
      </c>
      <c r="BT4" s="276" t="n">
        <v>-230000</v>
      </c>
      <c r="BU4" s="276" t="n">
        <v>-230000</v>
      </c>
      <c r="BV4" s="276" t="n">
        <v>-530000</v>
      </c>
      <c r="BW4" s="276" t="n">
        <v>-400000</v>
      </c>
      <c r="BX4" s="276" t="n">
        <v>-220000</v>
      </c>
      <c r="BY4" s="276" t="n">
        <v>-210000</v>
      </c>
      <c r="BZ4" s="276" t="n">
        <v>-220000</v>
      </c>
      <c r="CA4" s="276" t="n">
        <v>-530000</v>
      </c>
      <c r="CB4" s="276" t="n">
        <v>-300000</v>
      </c>
      <c r="CC4" s="276" t="n">
        <v>-210000</v>
      </c>
      <c r="CD4" s="276" t="n">
        <v>-203000</v>
      </c>
      <c r="CE4" s="276" t="n">
        <v>-210000</v>
      </c>
      <c r="CF4" s="276" t="n">
        <v>-204000</v>
      </c>
      <c r="CG4" s="276" t="n">
        <v>-237000</v>
      </c>
      <c r="CH4" s="276" t="n">
        <v>-348000</v>
      </c>
      <c r="CI4" s="276" t="n">
        <v>-150000</v>
      </c>
      <c r="CJ4" s="276" t="n">
        <v>-140000</v>
      </c>
      <c r="CK4" s="276" t="n">
        <v>-187672</v>
      </c>
      <c r="CL4" s="276" t="n">
        <v>-91166</v>
      </c>
      <c r="CM4" s="276" t="n">
        <v>-200000</v>
      </c>
      <c r="CN4" s="276" t="n">
        <v>-85821</v>
      </c>
      <c r="CO4" s="276" t="n">
        <v>-133531</v>
      </c>
      <c r="CP4" s="276" t="n">
        <v>-108533</v>
      </c>
      <c r="CQ4" s="276" t="n">
        <v>-76447</v>
      </c>
      <c r="CR4" s="276" t="n">
        <v>-80000</v>
      </c>
      <c r="CS4" s="276" t="n">
        <v>-100000</v>
      </c>
      <c r="CT4" s="276" t="n">
        <v>-50000</v>
      </c>
      <c r="CU4" s="276" t="n">
        <v>-100000</v>
      </c>
      <c r="CV4" s="276" t="n">
        <v>-100000</v>
      </c>
      <c r="CW4" s="276" t="n">
        <v>-75000</v>
      </c>
      <c r="CX4" s="276" t="n">
        <v>-64000</v>
      </c>
      <c r="CY4" s="276" t="n">
        <v>-85000</v>
      </c>
      <c r="CZ4" s="276" t="n">
        <v>-40000</v>
      </c>
      <c r="DA4" s="276" t="n">
        <v>-60000</v>
      </c>
      <c r="DB4" s="276" t="n">
        <v>-40000</v>
      </c>
      <c r="DC4" s="276" t="n">
        <v>-40000</v>
      </c>
      <c r="DD4" s="276" t="n">
        <v>-40000</v>
      </c>
      <c r="DE4" s="276" t="n">
        <v>-20000</v>
      </c>
      <c r="DF4" s="276" t="n">
        <v>-3251</v>
      </c>
    </row>
    <row r="5">
      <c r="B5" s="276" t="n">
        <v>16</v>
      </c>
      <c r="C5" s="276" t="n">
        <v>0</v>
      </c>
      <c r="D5" s="276" t="n">
        <v>0</v>
      </c>
      <c r="E5" s="322">
        <f>D5*((1+0.7976%)^B5)</f>
        <v/>
      </c>
      <c r="F5" s="322">
        <f>C5*((1+0.7976%)^B5)</f>
        <v/>
      </c>
    </row>
    <row r="6">
      <c r="B6" s="276" t="n">
        <v>15</v>
      </c>
      <c r="C6" s="276" t="n">
        <v>-163752</v>
      </c>
      <c r="D6" s="276" t="n">
        <v>0</v>
      </c>
      <c r="E6" s="322">
        <f>D6*((1+0.7976%)^B6)</f>
        <v/>
      </c>
      <c r="F6" s="322">
        <f>C6*((1+0.7976%)^B6)</f>
        <v/>
      </c>
      <c r="O6" s="276" t="n">
        <v>-2400000</v>
      </c>
    </row>
    <row r="7">
      <c r="B7" s="276" t="n">
        <v>14</v>
      </c>
      <c r="C7" s="276" t="n">
        <v>-111880</v>
      </c>
      <c r="D7" s="276" t="n">
        <v>0</v>
      </c>
      <c r="E7" s="322">
        <f>D7*((1+0.7976%)^B7)</f>
        <v/>
      </c>
      <c r="F7" s="322">
        <f>C7*((1+0.7976%)^B7)</f>
        <v/>
      </c>
      <c r="O7" s="276" t="n">
        <v>0</v>
      </c>
    </row>
    <row r="8">
      <c r="B8" s="276" t="n">
        <v>13</v>
      </c>
      <c r="C8" s="276" t="n">
        <v>-15033</v>
      </c>
      <c r="D8" s="276" t="n">
        <v>0</v>
      </c>
      <c r="E8" s="322">
        <f>D8*((1+0.7976%)^B8)</f>
        <v/>
      </c>
      <c r="F8" s="322">
        <f>C8*((1+0.7976%)^B8)</f>
        <v/>
      </c>
      <c r="O8" s="276" t="n">
        <v>0</v>
      </c>
    </row>
    <row r="9">
      <c r="B9" s="276" t="n">
        <v>12</v>
      </c>
      <c r="C9" s="276" t="n">
        <v>-10333</v>
      </c>
      <c r="D9" s="276" t="n">
        <v>0</v>
      </c>
      <c r="E9" s="322">
        <f>D9*((1+0.7976%)^B9)</f>
        <v/>
      </c>
      <c r="F9" s="322">
        <f>C9*((1+0.7976%)^B9)</f>
        <v/>
      </c>
      <c r="O9" s="276" t="n">
        <v>0</v>
      </c>
    </row>
    <row r="10">
      <c r="B10" s="276" t="n">
        <v>11</v>
      </c>
      <c r="C10" s="276" t="n">
        <v>-34006</v>
      </c>
      <c r="D10" s="276" t="n">
        <v>0</v>
      </c>
      <c r="E10" s="322">
        <f>D10*((1+0.7976%)^B10)</f>
        <v/>
      </c>
      <c r="F10" s="322">
        <f>C10*((1+0.7976%)^B10)</f>
        <v/>
      </c>
      <c r="O10" s="276" t="n">
        <v>0</v>
      </c>
    </row>
    <row r="11">
      <c r="B11" s="276" t="n">
        <v>10</v>
      </c>
      <c r="C11" s="276" t="n">
        <v>-21173</v>
      </c>
      <c r="D11" s="276" t="n">
        <v>0</v>
      </c>
      <c r="E11" s="322">
        <f>D11*((1+0.7976%)^B11)</f>
        <v/>
      </c>
      <c r="F11" s="322">
        <f>C11*((1+0.7976%)^B11)</f>
        <v/>
      </c>
      <c r="O11" s="276" t="n">
        <v>0</v>
      </c>
    </row>
    <row r="12">
      <c r="B12" s="276" t="n">
        <v>9</v>
      </c>
      <c r="C12" s="276" t="n">
        <v>-215667</v>
      </c>
      <c r="D12" s="276" t="n">
        <v>0</v>
      </c>
      <c r="E12" s="322">
        <f>D12*((1+0.7976%)^B12)</f>
        <v/>
      </c>
      <c r="F12" s="322">
        <f>C12*((1+0.7976%)^B12)</f>
        <v/>
      </c>
      <c r="O12" s="276" t="n">
        <v>0</v>
      </c>
    </row>
    <row r="13">
      <c r="B13" s="276" t="n">
        <v>8</v>
      </c>
      <c r="C13" s="276" t="n">
        <v>-123047</v>
      </c>
      <c r="D13" s="276" t="n">
        <v>0</v>
      </c>
      <c r="E13" s="322">
        <f>D13*((1+0.7976%)^B13)</f>
        <v/>
      </c>
      <c r="F13" s="322">
        <f>C13*((1+0.7976%)^B13)</f>
        <v/>
      </c>
      <c r="O13" s="276" t="n">
        <v>-800000</v>
      </c>
    </row>
    <row r="14">
      <c r="B14" s="276" t="n">
        <v>7</v>
      </c>
      <c r="C14" s="276" t="n">
        <v>-277789</v>
      </c>
      <c r="D14" s="276" t="n">
        <v>0</v>
      </c>
      <c r="E14" s="322">
        <f>D14*((1+0.7976%)^B14)</f>
        <v/>
      </c>
      <c r="F14" s="322">
        <f>C14*((1+0.7976%)^B14)</f>
        <v/>
      </c>
      <c r="O14" s="276" t="n">
        <v>0</v>
      </c>
    </row>
    <row r="15">
      <c r="B15" s="276" t="n">
        <v>6</v>
      </c>
      <c r="C15" s="276" t="n">
        <v>-1374957.42</v>
      </c>
      <c r="D15" s="276" t="n">
        <v>0</v>
      </c>
      <c r="E15" s="322">
        <f>D15*((1+0.7976%)^B15)</f>
        <v/>
      </c>
      <c r="F15" s="322">
        <f>C15*((1+0.7976%)^B15)</f>
        <v/>
      </c>
      <c r="O15" s="276" t="n">
        <v>-1800000</v>
      </c>
    </row>
    <row r="16">
      <c r="B16" s="276" t="n">
        <v>5</v>
      </c>
      <c r="C16" s="276" t="n">
        <v>6555394.91</v>
      </c>
      <c r="D16" s="276" t="n">
        <v>-2900000</v>
      </c>
      <c r="E16" s="322">
        <f>D16*((1+0.7976%)^B16)</f>
        <v/>
      </c>
      <c r="F16" s="322">
        <f>C16*((1+0.7976%)^B16)</f>
        <v/>
      </c>
      <c r="O16" s="276" t="n">
        <v>-1000000</v>
      </c>
    </row>
    <row r="17">
      <c r="B17" s="276" t="n">
        <v>4</v>
      </c>
      <c r="C17" s="276" t="n">
        <v>2313655.11</v>
      </c>
      <c r="D17" s="276" t="n">
        <v>-600000</v>
      </c>
      <c r="E17" s="322">
        <f>D17*((1+0.7976%)^B17)</f>
        <v/>
      </c>
      <c r="F17" s="322">
        <f>C17*((1+0.7976%)^B17)</f>
        <v/>
      </c>
      <c r="O17" s="276" t="n">
        <v>-800000</v>
      </c>
    </row>
    <row r="18">
      <c r="B18" s="276" t="n">
        <v>3</v>
      </c>
      <c r="C18" s="276" t="n">
        <v>2595030.62</v>
      </c>
      <c r="D18" s="276" t="n">
        <v>-1000000</v>
      </c>
      <c r="E18" s="322">
        <f>D18*((1+0.7976%)^B18)</f>
        <v/>
      </c>
      <c r="F18" s="322">
        <f>C18*((1+0.7976%)^B18)</f>
        <v/>
      </c>
      <c r="O18" s="276" t="n">
        <v>-3000000</v>
      </c>
    </row>
    <row r="19">
      <c r="B19" s="276" t="n">
        <v>2</v>
      </c>
      <c r="C19" s="276" t="n">
        <v>2828928.61</v>
      </c>
      <c r="D19" s="276" t="n">
        <v>-500000</v>
      </c>
      <c r="E19" s="322">
        <f>D19*((1+0.7976%)^B19)</f>
        <v/>
      </c>
      <c r="F19" s="322">
        <f>C19*((1+0.7976%)^B19)</f>
        <v/>
      </c>
      <c r="O19" s="276" t="n">
        <v>-2000000</v>
      </c>
    </row>
    <row r="20">
      <c r="B20" s="276" t="n">
        <v>1</v>
      </c>
      <c r="C20" s="276" t="n">
        <v>3036076.52</v>
      </c>
      <c r="D20" s="276" t="n">
        <v>-1500000</v>
      </c>
      <c r="E20" s="322">
        <f>D20*((1+0.7976%)^B20)</f>
        <v/>
      </c>
      <c r="F20" s="322">
        <f>C20*((1+0.7976%)^B20)</f>
        <v/>
      </c>
      <c r="O20" s="276" t="n">
        <v>-1800000</v>
      </c>
    </row>
    <row r="21">
      <c r="B21" s="276" t="n">
        <v>0</v>
      </c>
      <c r="C21" s="276" t="n">
        <v>2932018.51</v>
      </c>
      <c r="D21" s="276" t="n">
        <v>-1000000</v>
      </c>
      <c r="E21" s="322">
        <f>D21*((1+0.7976%)^B21)</f>
        <v/>
      </c>
      <c r="F21" s="322">
        <f>C21*((1+0.7976%)^B21)</f>
        <v/>
      </c>
      <c r="O21" s="276" t="n">
        <v>-2600000</v>
      </c>
    </row>
    <row r="22">
      <c r="B22" s="276" t="n">
        <v>1</v>
      </c>
      <c r="C22" s="276" t="n">
        <v>3310948.78</v>
      </c>
      <c r="D22" s="276" t="n">
        <v>-1000000</v>
      </c>
      <c r="E22" s="322">
        <f>D22/((1+0.7976%)^B22)</f>
        <v/>
      </c>
      <c r="F22" s="322">
        <f>C22/((1+0.7976%)^B22)</f>
        <v/>
      </c>
      <c r="O22" s="276" t="n">
        <v>-2000000</v>
      </c>
    </row>
    <row r="23">
      <c r="B23" s="276" t="n">
        <v>2</v>
      </c>
      <c r="C23" s="276" t="n">
        <v>3595549.46</v>
      </c>
      <c r="D23" s="276" t="n">
        <v>-1000000</v>
      </c>
      <c r="E23" s="322">
        <f>D23/((1+0.7976%)^B23)</f>
        <v/>
      </c>
      <c r="F23" s="322">
        <f>C23/((1+0.7976%)^B23)</f>
        <v/>
      </c>
      <c r="O23" s="276" t="n">
        <v>-1600000</v>
      </c>
    </row>
    <row r="24">
      <c r="B24" s="276" t="n">
        <v>3</v>
      </c>
      <c r="C24" s="276" t="n">
        <v>3449881.37</v>
      </c>
      <c r="D24" s="276" t="n">
        <v>-1500000</v>
      </c>
      <c r="E24" s="322">
        <f>D24/((1+0.7976%)^B24)</f>
        <v/>
      </c>
      <c r="F24" s="322">
        <f>C24/((1+0.7976%)^B24)</f>
        <v/>
      </c>
      <c r="O24" s="276" t="n">
        <v>-2010000</v>
      </c>
    </row>
    <row r="25">
      <c r="B25" s="276" t="n">
        <v>4</v>
      </c>
      <c r="C25" s="276" t="n">
        <v>3234661.76</v>
      </c>
      <c r="D25" s="276" t="n">
        <v>-1500000</v>
      </c>
      <c r="E25" s="322">
        <f>D25/((1+0.7976%)^B25)</f>
        <v/>
      </c>
      <c r="F25" s="322">
        <f>C25/((1+0.7976%)^B25)</f>
        <v/>
      </c>
      <c r="O25" s="276" t="n">
        <v>-1800000</v>
      </c>
    </row>
    <row r="26">
      <c r="B26" s="276" t="n">
        <v>5</v>
      </c>
      <c r="C26" s="276" t="n">
        <v>3498058.78</v>
      </c>
      <c r="D26" s="276" t="n">
        <v>-1500000</v>
      </c>
      <c r="E26" s="322">
        <f>D26/((1+0.7976%)^B26)</f>
        <v/>
      </c>
      <c r="F26" s="322">
        <f>C26/((1+0.7976%)^B26)</f>
        <v/>
      </c>
      <c r="O26" s="276" t="n">
        <v>-1800000</v>
      </c>
    </row>
    <row r="27">
      <c r="B27" s="276" t="n">
        <v>6</v>
      </c>
      <c r="C27" s="276" t="n">
        <v>3542594.53</v>
      </c>
      <c r="D27" s="276" t="n">
        <v>-1500000</v>
      </c>
      <c r="E27" s="322">
        <f>D27/((1+0.7976%)^B27)</f>
        <v/>
      </c>
      <c r="F27" s="322">
        <f>C27/((1+0.7976%)^B27)</f>
        <v/>
      </c>
      <c r="O27" s="276" t="n">
        <v>-1765000</v>
      </c>
    </row>
    <row r="28">
      <c r="B28" s="276" t="n">
        <v>7</v>
      </c>
      <c r="C28" s="276" t="n">
        <v>3224820.43</v>
      </c>
      <c r="D28" s="276" t="n">
        <v>-2000000</v>
      </c>
      <c r="E28" s="322">
        <f>D28/((1+0.7976%)^B28)</f>
        <v/>
      </c>
      <c r="F28" s="322">
        <f>C28/((1+0.7976%)^B28)</f>
        <v/>
      </c>
      <c r="O28" s="276" t="n">
        <v>-2000000</v>
      </c>
    </row>
    <row r="29">
      <c r="B29" s="276" t="n">
        <v>8</v>
      </c>
      <c r="C29" s="276" t="n">
        <v>1217655.74</v>
      </c>
      <c r="D29" s="276" t="n">
        <v>-1000000</v>
      </c>
      <c r="E29" s="322">
        <f>D29/((1+0.7976%)^B29)</f>
        <v/>
      </c>
      <c r="F29" s="322">
        <f>C29/((1+0.7976%)^B29)</f>
        <v/>
      </c>
      <c r="O29" s="276" t="n">
        <v>-1700000</v>
      </c>
    </row>
    <row r="30">
      <c r="B30" s="276" t="n">
        <v>9</v>
      </c>
      <c r="C30" s="276" t="n">
        <v>1041633.72</v>
      </c>
      <c r="D30" s="276" t="n">
        <v>-1000000</v>
      </c>
      <c r="E30" s="322">
        <f>D30/((1+0.7976%)^B30)</f>
        <v/>
      </c>
      <c r="F30" s="322">
        <f>C30/((1+0.7976%)^B30)</f>
        <v/>
      </c>
      <c r="O30" s="276" t="n">
        <v>-2000000</v>
      </c>
    </row>
    <row r="31">
      <c r="B31" s="276" t="n">
        <v>10</v>
      </c>
      <c r="C31" s="276" t="n">
        <v>1662772.81</v>
      </c>
      <c r="D31" s="276" t="n">
        <v>-1000000</v>
      </c>
      <c r="E31" s="322">
        <f>D31/((1+0.7976%)^B31)</f>
        <v/>
      </c>
      <c r="F31" s="322">
        <f>C31/((1+0.7976%)^B31)</f>
        <v/>
      </c>
      <c r="O31" s="276" t="n">
        <v>-1756000</v>
      </c>
    </row>
    <row r="32">
      <c r="B32" s="276" t="n">
        <v>11</v>
      </c>
      <c r="C32" s="276" t="n">
        <v>837303.23</v>
      </c>
      <c r="D32" s="276" t="n">
        <v>-1000000</v>
      </c>
      <c r="E32" s="322">
        <f>D32/((1+0.7976%)^B32)</f>
        <v/>
      </c>
      <c r="F32" s="322">
        <f>C32/((1+0.7976%)^B32)</f>
        <v/>
      </c>
      <c r="O32" s="276" t="n">
        <v>-1124000</v>
      </c>
    </row>
    <row r="33">
      <c r="B33" s="276" t="n">
        <v>12</v>
      </c>
      <c r="C33" s="276" t="n">
        <v>1190999.93</v>
      </c>
      <c r="D33" s="276" t="n">
        <v>-1000000</v>
      </c>
      <c r="E33" s="322">
        <f>D33/((1+0.7976%)^B33)</f>
        <v/>
      </c>
      <c r="F33" s="322">
        <f>C33/((1+0.7976%)^B33)</f>
        <v/>
      </c>
      <c r="O33" s="276" t="n">
        <v>-1849000</v>
      </c>
    </row>
    <row r="34">
      <c r="B34" s="276" t="n">
        <v>13</v>
      </c>
      <c r="C34" s="276" t="n">
        <v>340525.28</v>
      </c>
      <c r="D34" s="276" t="n">
        <v>-1000000</v>
      </c>
      <c r="E34" s="322">
        <f>D34/((1+0.7976%)^B34)</f>
        <v/>
      </c>
      <c r="F34" s="322">
        <f>C34/((1+0.7976%)^B34)</f>
        <v/>
      </c>
      <c r="O34" s="276" t="n">
        <v>-1943000</v>
      </c>
    </row>
    <row r="35">
      <c r="B35" s="276" t="n">
        <v>14</v>
      </c>
      <c r="C35" s="276" t="n">
        <v>-509964.94</v>
      </c>
      <c r="D35" s="276" t="n">
        <v>-1000000</v>
      </c>
      <c r="E35" s="322">
        <f>D35/((1+0.7976%)^B35)</f>
        <v/>
      </c>
      <c r="F35" s="322">
        <f>C35/((1+0.7976%)^B35)</f>
        <v/>
      </c>
      <c r="O35" s="276" t="n">
        <v>-1558000</v>
      </c>
    </row>
    <row r="36">
      <c r="B36" s="276" t="n">
        <v>15</v>
      </c>
      <c r="C36" s="276" t="n">
        <v>-2430082.56</v>
      </c>
      <c r="D36" s="276" t="n">
        <v>-1000000</v>
      </c>
      <c r="E36" s="322">
        <f>D36/((1+0.7976%)^B36)</f>
        <v/>
      </c>
      <c r="F36" s="322">
        <f>C36/((1+0.7976%)^B36)</f>
        <v/>
      </c>
      <c r="O36" s="276" t="n">
        <v>-1586000</v>
      </c>
    </row>
    <row r="37">
      <c r="B37" s="276" t="n">
        <v>16</v>
      </c>
      <c r="C37" s="276" t="n">
        <v>-3315076.88</v>
      </c>
      <c r="D37" s="276" t="n">
        <v>-5000000</v>
      </c>
      <c r="E37" s="322">
        <f>D37/((1+0.7976%)^B37)</f>
        <v/>
      </c>
      <c r="F37" s="322">
        <f>C37/((1+0.7976%)^B37)</f>
        <v/>
      </c>
      <c r="O37" s="276" t="n">
        <v>-1736000</v>
      </c>
    </row>
    <row r="38">
      <c r="B38" s="276" t="n">
        <v>17</v>
      </c>
      <c r="C38" s="276" t="n">
        <v>-3389224.59</v>
      </c>
      <c r="D38" s="276" t="n">
        <v>0</v>
      </c>
      <c r="E38" s="322">
        <f>D38/((1+0.7976%)^B38)</f>
        <v/>
      </c>
      <c r="F38" s="322">
        <f>C38/((1+0.7976%)^B38)</f>
        <v/>
      </c>
      <c r="O38" s="276" t="n">
        <v>-1459000</v>
      </c>
    </row>
    <row r="39">
      <c r="B39" s="276" t="n">
        <v>18</v>
      </c>
      <c r="C39" s="276" t="n">
        <v>-2937184.63</v>
      </c>
      <c r="D39" s="276" t="n">
        <v>0</v>
      </c>
      <c r="E39" s="322">
        <f>D39/((1+0.7976%)^B39)</f>
        <v/>
      </c>
      <c r="F39" s="322">
        <f>C39/((1+0.7976%)^B39)</f>
        <v/>
      </c>
      <c r="O39" s="276" t="n">
        <v>-1301000</v>
      </c>
    </row>
    <row r="40">
      <c r="B40" s="276" t="n">
        <v>19</v>
      </c>
      <c r="C40" s="276" t="n">
        <v>-2260149.85</v>
      </c>
      <c r="D40" s="276" t="n">
        <v>0</v>
      </c>
      <c r="E40" s="322">
        <f>D40/((1+0.7976%)^B40)</f>
        <v/>
      </c>
      <c r="F40" s="322">
        <f>C40/((1+0.7976%)^B40)</f>
        <v/>
      </c>
      <c r="O40" s="276" t="n">
        <v>-1348000</v>
      </c>
    </row>
    <row r="41">
      <c r="B41" s="276" t="n">
        <v>20</v>
      </c>
      <c r="C41" s="276" t="n">
        <v>-2099438.23</v>
      </c>
      <c r="D41" s="276" t="n">
        <v>0</v>
      </c>
      <c r="E41" s="322">
        <f>D41/((1+0.7976%)^B41)</f>
        <v/>
      </c>
      <c r="F41" s="322">
        <f>C41/((1+0.7976%)^B41)</f>
        <v/>
      </c>
      <c r="O41" s="276" t="n">
        <v>-1109000</v>
      </c>
    </row>
    <row r="42">
      <c r="B42" s="276" t="n">
        <v>21</v>
      </c>
      <c r="C42" s="276" t="n">
        <v>-3755415.47</v>
      </c>
      <c r="D42" s="276" t="n">
        <v>0</v>
      </c>
      <c r="E42" s="322">
        <f>D42/((1+0.7976%)^B42)</f>
        <v/>
      </c>
      <c r="F42" s="322">
        <f>C42/((1+0.7976%)^B42)</f>
        <v/>
      </c>
      <c r="O42" s="276" t="n">
        <v>-2000000</v>
      </c>
    </row>
    <row r="43">
      <c r="B43" s="276" t="n">
        <v>22</v>
      </c>
      <c r="C43" s="276" t="n">
        <v>-2065610.04</v>
      </c>
      <c r="D43" s="276" t="n">
        <v>-3000000</v>
      </c>
      <c r="E43" s="322">
        <f>D43/((1+0.7976%)^B43)</f>
        <v/>
      </c>
      <c r="F43" s="322">
        <f>C43/((1+0.7976%)^B43)</f>
        <v/>
      </c>
      <c r="O43" s="276" t="n">
        <v>-841000</v>
      </c>
    </row>
    <row r="44">
      <c r="B44" s="276" t="n">
        <v>23</v>
      </c>
      <c r="C44" s="276" t="n">
        <v>-1995075.99</v>
      </c>
      <c r="D44" s="276" t="n">
        <v>-2400000</v>
      </c>
      <c r="E44" s="322">
        <f>D44/((1+0.7976%)^B44)</f>
        <v/>
      </c>
      <c r="F44" s="322">
        <f>C44/((1+0.7976%)^B44)</f>
        <v/>
      </c>
      <c r="O44" s="276" t="n">
        <v>-901100</v>
      </c>
    </row>
    <row r="45">
      <c r="B45" s="276" t="n">
        <v>24</v>
      </c>
      <c r="C45" s="276" t="n">
        <v>21983891.2</v>
      </c>
      <c r="D45" s="276" t="n">
        <v>0</v>
      </c>
      <c r="E45" s="322">
        <f>D45/((1+0.7976%)^B45)</f>
        <v/>
      </c>
      <c r="F45" s="322">
        <f>C45/((1+0.7976%)^B45)</f>
        <v/>
      </c>
      <c r="O45" s="276" t="n">
        <v>-833000</v>
      </c>
    </row>
    <row r="46">
      <c r="B46" s="276" t="n">
        <v>25</v>
      </c>
      <c r="C46" s="276" t="n">
        <v>-533253.92</v>
      </c>
      <c r="D46" s="276" t="n">
        <v>0</v>
      </c>
      <c r="E46" s="322">
        <f>D46/((1+0.7976%)^B46)</f>
        <v/>
      </c>
      <c r="F46" s="322">
        <f>C46/((1+0.7976%)^B46)</f>
        <v/>
      </c>
      <c r="O46" s="276" t="n">
        <v>-1200000</v>
      </c>
    </row>
    <row r="47">
      <c r="B47" s="276" t="n">
        <v>26</v>
      </c>
      <c r="C47" s="276" t="n">
        <v>1305773.13</v>
      </c>
      <c r="D47" s="276" t="n">
        <v>0</v>
      </c>
      <c r="E47" s="322">
        <f>D47/((1+0.7976%)^B47)</f>
        <v/>
      </c>
      <c r="F47" s="322">
        <f>C47/((1+0.7976%)^B47)</f>
        <v/>
      </c>
      <c r="O47" s="276" t="n">
        <v>-497000</v>
      </c>
    </row>
    <row r="48">
      <c r="B48" s="276" t="n">
        <v>27</v>
      </c>
      <c r="C48" s="276" t="n">
        <v>615406.3</v>
      </c>
      <c r="D48" s="276" t="n">
        <v>0</v>
      </c>
      <c r="E48" s="322">
        <f>D48/((1+0.7976%)^B48)</f>
        <v/>
      </c>
      <c r="F48" s="322">
        <f>C48/((1+0.7976%)^B48)</f>
        <v/>
      </c>
      <c r="O48" s="276" t="n">
        <v>-584000</v>
      </c>
    </row>
    <row r="49">
      <c r="B49" s="276" t="n">
        <v>28</v>
      </c>
      <c r="C49" s="276" t="n">
        <v>925659.6800000001</v>
      </c>
      <c r="D49" s="276" t="n">
        <v>0</v>
      </c>
      <c r="E49" s="322">
        <f>D49/((1+0.7976%)^B49)</f>
        <v/>
      </c>
      <c r="F49" s="322">
        <f>C49/((1+0.7976%)^B49)</f>
        <v/>
      </c>
      <c r="O49" s="276" t="n">
        <v>-418000</v>
      </c>
    </row>
    <row r="50">
      <c r="B50" s="276" t="n">
        <v>29</v>
      </c>
      <c r="C50" s="276" t="n">
        <v>856366.85</v>
      </c>
      <c r="D50" s="276" t="n">
        <v>0</v>
      </c>
      <c r="E50" s="322">
        <f>D50/((1+0.7976%)^B50)</f>
        <v/>
      </c>
      <c r="F50" s="322">
        <f>C50/((1+0.7976%)^B50)</f>
        <v/>
      </c>
      <c r="O50" s="276" t="n">
        <v>-554000</v>
      </c>
    </row>
    <row r="51">
      <c r="B51" s="276" t="n">
        <v>30</v>
      </c>
      <c r="C51" s="276" t="n">
        <v>916465.42</v>
      </c>
      <c r="D51" s="276" t="n">
        <v>-800000</v>
      </c>
      <c r="E51" s="322">
        <f>D51/((1+0.7976%)^B51)</f>
        <v/>
      </c>
      <c r="F51" s="322">
        <f>C51/((1+0.7976%)^B51)</f>
        <v/>
      </c>
      <c r="O51" s="276" t="n">
        <v>-368000</v>
      </c>
    </row>
    <row r="52">
      <c r="B52" s="276" t="n">
        <v>31</v>
      </c>
      <c r="C52" s="276" t="n">
        <v>1015245.86</v>
      </c>
      <c r="D52" s="276" t="n">
        <v>0</v>
      </c>
      <c r="E52" s="322">
        <f>D52/((1+0.7976%)^B52)</f>
        <v/>
      </c>
      <c r="F52" s="322">
        <f>C52/((1+0.7976%)^B52)</f>
        <v/>
      </c>
      <c r="O52" s="276" t="n">
        <v>-431000</v>
      </c>
    </row>
    <row r="53">
      <c r="B53" s="276" t="n">
        <v>32</v>
      </c>
      <c r="C53" s="276" t="n">
        <v>1032865.6</v>
      </c>
      <c r="D53" s="276" t="n">
        <v>-1800000</v>
      </c>
      <c r="E53" s="322">
        <f>D53/((1+0.7976%)^B53)</f>
        <v/>
      </c>
      <c r="F53" s="322">
        <f>C53/((1+0.7976%)^B53)</f>
        <v/>
      </c>
      <c r="O53" s="276" t="n">
        <v>-256000</v>
      </c>
    </row>
    <row r="54">
      <c r="B54" s="276" t="n">
        <v>33</v>
      </c>
      <c r="C54" s="276" t="n">
        <v>2065267.13</v>
      </c>
      <c r="D54" s="276" t="n">
        <v>-1000000</v>
      </c>
      <c r="E54" s="322">
        <f>D54/((1+0.7976%)^B54)</f>
        <v/>
      </c>
      <c r="F54" s="322">
        <f>C54/((1+0.7976%)^B54)</f>
        <v/>
      </c>
      <c r="O54" s="276" t="n">
        <v>-300000</v>
      </c>
    </row>
    <row r="55">
      <c r="B55" s="276" t="n">
        <v>34</v>
      </c>
      <c r="C55" s="276" t="n">
        <v>1938408.56</v>
      </c>
      <c r="D55" s="276" t="n">
        <v>-800000</v>
      </c>
      <c r="E55" s="322">
        <f>D55/((1+0.7976%)^B55)</f>
        <v/>
      </c>
      <c r="F55" s="322">
        <f>C55/((1+0.7976%)^B55)</f>
        <v/>
      </c>
      <c r="O55" s="276" t="n">
        <v>-220000</v>
      </c>
    </row>
    <row r="56">
      <c r="B56" s="276" t="n">
        <v>35</v>
      </c>
      <c r="C56" s="276" t="n">
        <v>1931619.04</v>
      </c>
      <c r="D56" s="276" t="n">
        <v>-3000000</v>
      </c>
      <c r="E56" s="322">
        <f>D56/((1+0.7976%)^B56)</f>
        <v/>
      </c>
      <c r="F56" s="322">
        <f>C56/((1+0.7976%)^B56)</f>
        <v/>
      </c>
      <c r="O56" s="276" t="n">
        <v>-202000</v>
      </c>
    </row>
    <row r="57">
      <c r="B57" s="276" t="n">
        <v>36</v>
      </c>
      <c r="C57" s="276" t="n">
        <v>1824830.49</v>
      </c>
      <c r="D57" s="276" t="n">
        <v>-2000000</v>
      </c>
      <c r="E57" s="322">
        <f>D57/((1+0.7976%)^B57)</f>
        <v/>
      </c>
      <c r="F57" s="322">
        <f>C57/((1+0.7976%)^B57)</f>
        <v/>
      </c>
      <c r="O57" s="276" t="n">
        <v>-293000</v>
      </c>
    </row>
    <row r="58">
      <c r="B58" s="276" t="n">
        <v>37</v>
      </c>
      <c r="C58" s="276" t="n">
        <v>1718041.94</v>
      </c>
      <c r="D58" s="276" t="n">
        <v>-1800000</v>
      </c>
      <c r="E58" s="322">
        <f>D58/((1+0.7976%)^B58)</f>
        <v/>
      </c>
      <c r="F58" s="322">
        <f>C58/((1+0.7976%)^B58)</f>
        <v/>
      </c>
      <c r="O58" s="276" t="n">
        <v>-476000</v>
      </c>
    </row>
    <row r="59">
      <c r="B59" s="276" t="n">
        <v>38</v>
      </c>
      <c r="C59" s="276" t="n">
        <v>1611253.4</v>
      </c>
      <c r="D59" s="276" t="n">
        <v>-2600000</v>
      </c>
      <c r="E59" s="322">
        <f>D59/((1+0.7976%)^B59)</f>
        <v/>
      </c>
      <c r="F59" s="322">
        <f>C59/((1+0.7976%)^B59)</f>
        <v/>
      </c>
      <c r="O59" s="276" t="n">
        <v>-162000</v>
      </c>
    </row>
    <row r="60">
      <c r="B60" s="276" t="n">
        <v>39</v>
      </c>
      <c r="C60" s="276" t="n">
        <v>1504464.85</v>
      </c>
      <c r="D60" s="276" t="n">
        <v>-2000000</v>
      </c>
      <c r="E60" s="322">
        <f>D60/((1+0.7976%)^B60)</f>
        <v/>
      </c>
      <c r="F60" s="322">
        <f>C60/((1+0.7976%)^B60)</f>
        <v/>
      </c>
      <c r="O60" s="276" t="n">
        <v>-293000</v>
      </c>
    </row>
    <row r="61">
      <c r="B61" s="276" t="n">
        <v>40</v>
      </c>
      <c r="C61" s="276" t="n">
        <v>1397675.31</v>
      </c>
      <c r="D61" s="276" t="n">
        <v>-1600000</v>
      </c>
      <c r="E61" s="322">
        <f>D61/((1+0.7976%)^B61)</f>
        <v/>
      </c>
      <c r="F61" s="322">
        <f>C61/((1+0.7976%)^B61)</f>
        <v/>
      </c>
      <c r="O61" s="276" t="n">
        <v>-250000</v>
      </c>
    </row>
    <row r="62">
      <c r="B62" s="276" t="n">
        <v>41</v>
      </c>
      <c r="C62" s="276" t="n">
        <v>1290886.76</v>
      </c>
      <c r="D62" s="276" t="n">
        <v>-2010000</v>
      </c>
      <c r="E62" s="322">
        <f>D62/((1+0.7976%)^B62)</f>
        <v/>
      </c>
      <c r="F62" s="322">
        <f>C62/((1+0.7976%)^B62)</f>
        <v/>
      </c>
      <c r="O62" s="276" t="n">
        <v>-230000</v>
      </c>
    </row>
    <row r="63">
      <c r="B63" s="276" t="n">
        <v>42</v>
      </c>
      <c r="C63" s="276" t="n">
        <v>1184097.21</v>
      </c>
      <c r="D63" s="276" t="n">
        <v>-1800000</v>
      </c>
      <c r="E63" s="322">
        <f>D63/((1+0.7976%)^B63)</f>
        <v/>
      </c>
      <c r="F63" s="322">
        <f>C63/((1+0.7976%)^B63)</f>
        <v/>
      </c>
      <c r="O63" s="276" t="n">
        <v>-230000</v>
      </c>
    </row>
    <row r="64">
      <c r="B64" s="276" t="n">
        <v>43</v>
      </c>
      <c r="C64" s="276" t="n">
        <v>1083796.66</v>
      </c>
      <c r="D64" s="276" t="n">
        <v>-1800000</v>
      </c>
      <c r="E64" s="322">
        <f>D64/((1+0.7976%)^B64)</f>
        <v/>
      </c>
      <c r="F64" s="322">
        <f>C64/((1+0.7976%)^B64)</f>
        <v/>
      </c>
      <c r="O64" s="276" t="n">
        <v>-230000</v>
      </c>
    </row>
    <row r="65">
      <c r="B65" s="276" t="n">
        <v>44</v>
      </c>
      <c r="C65" s="276" t="n">
        <v>964772.61</v>
      </c>
      <c r="D65" s="276" t="n">
        <v>-1765000</v>
      </c>
      <c r="E65" s="322">
        <f>D65/((1+0.7976%)^B65)</f>
        <v/>
      </c>
      <c r="F65" s="322">
        <f>C65/((1+0.7976%)^B65)</f>
        <v/>
      </c>
      <c r="O65" s="276" t="n">
        <v>-530000</v>
      </c>
    </row>
    <row r="66">
      <c r="B66" s="276" t="n">
        <v>45</v>
      </c>
      <c r="C66" s="276" t="n">
        <v>936277.73</v>
      </c>
      <c r="D66" s="276" t="n">
        <v>-2000000</v>
      </c>
      <c r="E66" s="322">
        <f>D66/((1+0.7976%)^B66)</f>
        <v/>
      </c>
      <c r="F66" s="322">
        <f>C66/((1+0.7976%)^B66)</f>
        <v/>
      </c>
      <c r="O66" s="276" t="n">
        <v>-400000</v>
      </c>
    </row>
    <row r="67">
      <c r="B67" s="276" t="n">
        <v>46</v>
      </c>
      <c r="C67" s="276" t="n">
        <v>898855.88</v>
      </c>
      <c r="D67" s="276" t="n">
        <v>-1700000</v>
      </c>
      <c r="E67" s="322">
        <f>D67/((1+0.7976%)^B67)</f>
        <v/>
      </c>
      <c r="F67" s="322">
        <f>C67/((1+0.7976%)^B67)</f>
        <v/>
      </c>
      <c r="O67" s="276" t="n">
        <v>-220000</v>
      </c>
    </row>
    <row r="68">
      <c r="B68" s="276" t="n">
        <v>47</v>
      </c>
      <c r="C68" s="276" t="n">
        <v>861441.09</v>
      </c>
      <c r="D68" s="276" t="n">
        <v>-2000000</v>
      </c>
      <c r="E68" s="322">
        <f>D68/((1+0.7976%)^B68)</f>
        <v/>
      </c>
      <c r="F68" s="322">
        <f>C68/((1+0.7976%)^B68)</f>
        <v/>
      </c>
      <c r="O68" s="276" t="n">
        <v>-210000</v>
      </c>
    </row>
    <row r="69">
      <c r="B69" s="276" t="n">
        <v>48</v>
      </c>
      <c r="C69" s="276" t="n">
        <v>824024.34</v>
      </c>
      <c r="D69" s="276" t="n">
        <v>-1756000</v>
      </c>
      <c r="E69" s="322">
        <f>D69/((1+0.7976%)^B69)</f>
        <v/>
      </c>
      <c r="F69" s="322">
        <f>C69/((1+0.7976%)^B69)</f>
        <v/>
      </c>
      <c r="O69" s="276" t="n">
        <v>-220000</v>
      </c>
    </row>
    <row r="70">
      <c r="B70" s="276" t="n">
        <v>49</v>
      </c>
      <c r="C70" s="276" t="n">
        <v>786605.58</v>
      </c>
      <c r="D70" s="276" t="n">
        <v>-1124000</v>
      </c>
      <c r="E70" s="322">
        <f>D70/((1+0.7976%)^B70)</f>
        <v/>
      </c>
      <c r="F70" s="322">
        <f>C70/((1+0.7976%)^B70)</f>
        <v/>
      </c>
      <c r="O70" s="276" t="n">
        <v>-530000</v>
      </c>
    </row>
    <row r="71">
      <c r="B71" s="276" t="n">
        <v>50</v>
      </c>
      <c r="C71" s="276" t="n">
        <v>749184.13</v>
      </c>
      <c r="D71" s="276" t="n">
        <v>-1849000</v>
      </c>
      <c r="E71" s="322">
        <f>D71/((1+0.7976%)^B71)</f>
        <v/>
      </c>
      <c r="F71" s="322">
        <f>C71/((1+0.7976%)^B71)</f>
        <v/>
      </c>
      <c r="O71" s="276" t="n">
        <v>-300000</v>
      </c>
    </row>
    <row r="72">
      <c r="B72" s="276" t="n">
        <v>51</v>
      </c>
      <c r="C72" s="276" t="n">
        <v>707765.95</v>
      </c>
      <c r="D72" s="276" t="n">
        <v>-1943000</v>
      </c>
      <c r="E72" s="322">
        <f>D72/((1+0.7976%)^B72)</f>
        <v/>
      </c>
      <c r="F72" s="322">
        <f>C72/((1+0.7976%)^B72)</f>
        <v/>
      </c>
      <c r="O72" s="276" t="n">
        <v>-210000</v>
      </c>
    </row>
    <row r="73">
      <c r="B73" s="276" t="n">
        <v>52</v>
      </c>
      <c r="C73" s="276" t="n">
        <v>668311.78</v>
      </c>
      <c r="D73" s="276" t="n">
        <v>-1558000</v>
      </c>
      <c r="E73" s="322">
        <f>D73/((1+0.7976%)^B73)</f>
        <v/>
      </c>
      <c r="F73" s="322">
        <f>C73/((1+0.7976%)^B73)</f>
        <v/>
      </c>
      <c r="O73" s="276" t="n">
        <v>-203000</v>
      </c>
    </row>
    <row r="74">
      <c r="B74" s="276" t="n">
        <v>53</v>
      </c>
      <c r="C74" s="276" t="n">
        <v>628856.61</v>
      </c>
      <c r="D74" s="276" t="n">
        <v>-1586000</v>
      </c>
      <c r="E74" s="322">
        <f>D74/((1+0.7976%)^B74)</f>
        <v/>
      </c>
      <c r="F74" s="322">
        <f>C74/((1+0.7976%)^B74)</f>
        <v/>
      </c>
      <c r="O74" s="276" t="n">
        <v>-210000</v>
      </c>
    </row>
    <row r="75">
      <c r="B75" s="276" t="n">
        <v>54</v>
      </c>
      <c r="C75" s="276" t="n">
        <v>589402.4399999999</v>
      </c>
      <c r="D75" s="276" t="n">
        <v>-1736000</v>
      </c>
      <c r="E75" s="322">
        <f>D75/((1+0.7976%)^B75)</f>
        <v/>
      </c>
      <c r="F75" s="322">
        <f>C75/((1+0.7976%)^B75)</f>
        <v/>
      </c>
      <c r="O75" s="276" t="n">
        <v>-204000</v>
      </c>
    </row>
    <row r="76">
      <c r="B76" s="276" t="n">
        <v>55</v>
      </c>
      <c r="C76" s="276" t="n">
        <v>547769.26</v>
      </c>
      <c r="D76" s="276" t="n">
        <v>-1459000</v>
      </c>
      <c r="E76" s="322">
        <f>D76/((1+0.7976%)^B76)</f>
        <v/>
      </c>
      <c r="F76" s="322">
        <f>C76/((1+0.7976%)^B76)</f>
        <v/>
      </c>
      <c r="O76" s="276" t="n">
        <v>-237000</v>
      </c>
    </row>
    <row r="77">
      <c r="B77" s="276" t="n">
        <v>56</v>
      </c>
      <c r="C77" s="276" t="n">
        <v>443400.79</v>
      </c>
      <c r="D77" s="276" t="n">
        <v>-1301000</v>
      </c>
      <c r="E77" s="322">
        <f>D77/((1+0.7976%)^B77)</f>
        <v/>
      </c>
      <c r="F77" s="322">
        <f>C77/((1+0.7976%)^B77)</f>
        <v/>
      </c>
      <c r="O77" s="276" t="n">
        <v>-348000</v>
      </c>
    </row>
    <row r="78">
      <c r="B78" s="276" t="n">
        <v>57</v>
      </c>
      <c r="C78" s="276" t="n">
        <v>448535.12</v>
      </c>
      <c r="D78" s="276" t="n">
        <v>-1348000</v>
      </c>
      <c r="E78" s="322">
        <f>D78/((1+0.7976%)^B78)</f>
        <v/>
      </c>
      <c r="F78" s="322">
        <f>C78/((1+0.7976%)^B78)</f>
        <v/>
      </c>
      <c r="O78" s="276" t="n">
        <v>-150000</v>
      </c>
    </row>
    <row r="79">
      <c r="B79" s="276" t="n">
        <v>58</v>
      </c>
      <c r="C79" s="276" t="n">
        <v>443357.1</v>
      </c>
      <c r="D79" s="276" t="n">
        <v>-1109000</v>
      </c>
      <c r="E79" s="322">
        <f>D79/((1+0.7976%)^B79)</f>
        <v/>
      </c>
      <c r="F79" s="322">
        <f>C79/((1+0.7976%)^B79)</f>
        <v/>
      </c>
      <c r="O79" s="276" t="n">
        <v>-140000</v>
      </c>
    </row>
    <row r="80">
      <c r="B80" s="276" t="n">
        <v>59</v>
      </c>
      <c r="C80" s="276" t="n">
        <v>438266.91</v>
      </c>
      <c r="D80" s="276" t="n">
        <v>-2000000</v>
      </c>
      <c r="E80" s="322">
        <f>D80/((1+0.7976%)^B80)</f>
        <v/>
      </c>
      <c r="F80" s="322">
        <f>C80/((1+0.7976%)^B80)</f>
        <v/>
      </c>
      <c r="O80" s="276" t="n">
        <v>-187672</v>
      </c>
    </row>
    <row r="81">
      <c r="B81" s="276" t="n">
        <v>60</v>
      </c>
      <c r="C81" s="276" t="n">
        <v>433166.62</v>
      </c>
      <c r="D81" s="276" t="n">
        <v>-841000</v>
      </c>
      <c r="E81" s="322">
        <f>D81/((1+0.7976%)^B81)</f>
        <v/>
      </c>
      <c r="F81" s="322">
        <f>C81/((1+0.7976%)^B81)</f>
        <v/>
      </c>
      <c r="O81" s="276" t="n">
        <v>-91166</v>
      </c>
    </row>
    <row r="82">
      <c r="B82" s="276" t="n">
        <v>61</v>
      </c>
      <c r="C82" s="276" t="n">
        <v>428061.68</v>
      </c>
      <c r="D82" s="276" t="n">
        <v>-901100</v>
      </c>
      <c r="E82" s="322">
        <f>D82/((1+0.7976%)^B82)</f>
        <v/>
      </c>
      <c r="F82" s="322">
        <f>C82/((1+0.7976%)^B82)</f>
        <v/>
      </c>
      <c r="O82" s="276" t="n">
        <v>-200000</v>
      </c>
    </row>
    <row r="83">
      <c r="B83" s="276" t="n">
        <v>62</v>
      </c>
      <c r="C83" s="276" t="n">
        <v>422946.66</v>
      </c>
      <c r="D83" s="276" t="n">
        <v>-833000</v>
      </c>
      <c r="E83" s="322">
        <f>D83/((1+0.7976%)^B83)</f>
        <v/>
      </c>
      <c r="F83" s="322">
        <f>C83/((1+0.7976%)^B83)</f>
        <v/>
      </c>
      <c r="O83" s="276" t="n">
        <v>-85821</v>
      </c>
    </row>
    <row r="84">
      <c r="B84" s="276" t="n">
        <v>63</v>
      </c>
      <c r="C84" s="276" t="n">
        <v>419205.69</v>
      </c>
      <c r="D84" s="276" t="n">
        <v>-1200000</v>
      </c>
      <c r="E84" s="322">
        <f>D84/((1+0.7976%)^B84)</f>
        <v/>
      </c>
      <c r="F84" s="322">
        <f>C84/((1+0.7976%)^B84)</f>
        <v/>
      </c>
      <c r="O84" s="276" t="n">
        <v>-133531</v>
      </c>
    </row>
    <row r="85">
      <c r="B85" s="276" t="n">
        <v>64</v>
      </c>
      <c r="C85" s="276" t="n">
        <v>415465.72</v>
      </c>
      <c r="D85" s="276" t="n">
        <v>-497000</v>
      </c>
      <c r="E85" s="322">
        <f>D85/((1+0.7976%)^B85)</f>
        <v/>
      </c>
      <c r="F85" s="322">
        <f>C85/((1+0.7976%)^B85)</f>
        <v/>
      </c>
      <c r="O85" s="276" t="n">
        <v>-108533</v>
      </c>
    </row>
    <row r="86">
      <c r="B86" s="276" t="n">
        <v>65</v>
      </c>
      <c r="C86" s="276" t="n">
        <v>411724.75</v>
      </c>
      <c r="D86" s="276" t="n">
        <v>-584000</v>
      </c>
      <c r="E86" s="322">
        <f>D86/((1+0.7976%)^B86)</f>
        <v/>
      </c>
      <c r="F86" s="322">
        <f>C86/((1+0.7976%)^B86)</f>
        <v/>
      </c>
      <c r="O86" s="276" t="n">
        <v>-76447</v>
      </c>
    </row>
    <row r="87">
      <c r="B87" s="276" t="n">
        <v>66</v>
      </c>
      <c r="C87" s="276" t="n">
        <v>407983.79</v>
      </c>
      <c r="D87" s="276" t="n">
        <v>-418000</v>
      </c>
      <c r="E87" s="322">
        <f>D87/((1+0.7976%)^B87)</f>
        <v/>
      </c>
      <c r="F87" s="322">
        <f>C87/((1+0.7976%)^B87)</f>
        <v/>
      </c>
      <c r="O87" s="276" t="n">
        <v>-80000</v>
      </c>
    </row>
    <row r="88">
      <c r="B88" s="276" t="n">
        <v>67</v>
      </c>
      <c r="C88" s="276" t="n">
        <v>403610.82</v>
      </c>
      <c r="D88" s="276" t="n">
        <v>-554000</v>
      </c>
      <c r="E88" s="322">
        <f>D88/((1+0.7976%)^B88)</f>
        <v/>
      </c>
      <c r="F88" s="322">
        <f>C88/((1+0.7976%)^B88)</f>
        <v/>
      </c>
      <c r="O88" s="276" t="n">
        <v>-100000</v>
      </c>
    </row>
    <row r="89">
      <c r="B89" s="276" t="n">
        <v>68</v>
      </c>
      <c r="C89" s="276" t="n">
        <v>392137.97</v>
      </c>
      <c r="D89" s="276" t="n">
        <v>-368000</v>
      </c>
      <c r="E89" s="322">
        <f>D89/((1+0.7976%)^B89)</f>
        <v/>
      </c>
      <c r="F89" s="322">
        <f>C89/((1+0.7976%)^B89)</f>
        <v/>
      </c>
      <c r="O89" s="276" t="n">
        <v>-50000</v>
      </c>
    </row>
    <row r="90">
      <c r="B90" s="276" t="n">
        <v>69</v>
      </c>
      <c r="C90" s="276" t="n">
        <v>389114.66</v>
      </c>
      <c r="D90" s="276" t="n">
        <v>-431000</v>
      </c>
      <c r="E90" s="322">
        <f>D90/((1+0.7976%)^B90)</f>
        <v/>
      </c>
      <c r="F90" s="322">
        <f>C90/((1+0.7976%)^B90)</f>
        <v/>
      </c>
      <c r="O90" s="276" t="n">
        <v>-100000</v>
      </c>
    </row>
    <row r="91">
      <c r="B91" s="276" t="n">
        <v>70</v>
      </c>
      <c r="C91" s="276" t="n">
        <v>385323.69</v>
      </c>
      <c r="D91" s="276" t="n">
        <v>-256000</v>
      </c>
      <c r="E91" s="322">
        <f>D91/((1+0.7976%)^B91)</f>
        <v/>
      </c>
      <c r="F91" s="322">
        <f>C91/((1+0.7976%)^B91)</f>
        <v/>
      </c>
      <c r="O91" s="276" t="n">
        <v>-100000</v>
      </c>
    </row>
    <row r="92">
      <c r="B92" s="276" t="n">
        <v>71</v>
      </c>
      <c r="C92" s="276" t="n">
        <v>381560.72</v>
      </c>
      <c r="D92" s="276" t="n">
        <v>-300000</v>
      </c>
      <c r="E92" s="322">
        <f>D92/((1+0.7976%)^B92)</f>
        <v/>
      </c>
      <c r="F92" s="322">
        <f>C92/((1+0.7976%)^B92)</f>
        <v/>
      </c>
      <c r="O92" s="276" t="n">
        <v>-75000</v>
      </c>
    </row>
    <row r="93">
      <c r="B93" s="276" t="n">
        <v>72</v>
      </c>
      <c r="C93" s="276" t="n">
        <v>377796.75</v>
      </c>
      <c r="D93" s="276" t="n">
        <v>-220000</v>
      </c>
      <c r="E93" s="322">
        <f>D93/((1+0.7976%)^B93)</f>
        <v/>
      </c>
      <c r="F93" s="322">
        <f>C93/((1+0.7976%)^B93)</f>
        <v/>
      </c>
      <c r="O93" s="276" t="n">
        <v>-64000</v>
      </c>
    </row>
    <row r="94">
      <c r="B94" s="276" t="n">
        <v>73</v>
      </c>
      <c r="C94" s="276" t="n">
        <v>374033.79</v>
      </c>
      <c r="D94" s="276" t="n">
        <v>-202000</v>
      </c>
      <c r="E94" s="322">
        <f>D94/((1+0.7976%)^B94)</f>
        <v/>
      </c>
      <c r="F94" s="322">
        <f>C94/((1+0.7976%)^B94)</f>
        <v/>
      </c>
      <c r="O94" s="276" t="n">
        <v>-85000</v>
      </c>
    </row>
    <row r="95">
      <c r="B95" s="276" t="n">
        <v>74</v>
      </c>
      <c r="C95" s="276" t="n">
        <v>370270.82</v>
      </c>
      <c r="D95" s="276" t="n">
        <v>-293000</v>
      </c>
      <c r="E95" s="322">
        <f>D95/((1+0.7976%)^B95)</f>
        <v/>
      </c>
      <c r="F95" s="322">
        <f>C95/((1+0.7976%)^B95)</f>
        <v/>
      </c>
      <c r="O95" s="276" t="n">
        <v>-40000</v>
      </c>
    </row>
    <row r="96">
      <c r="B96" s="276" t="n">
        <v>75</v>
      </c>
      <c r="C96" s="276" t="n">
        <v>360148.85</v>
      </c>
      <c r="D96" s="276" t="n">
        <v>-476000</v>
      </c>
      <c r="E96" s="322">
        <f>D96/((1+0.7976%)^B96)</f>
        <v/>
      </c>
      <c r="F96" s="322">
        <f>C96/((1+0.7976%)^B96)</f>
        <v/>
      </c>
      <c r="O96" s="276" t="n">
        <v>-60000</v>
      </c>
    </row>
    <row r="97">
      <c r="B97" s="276" t="n">
        <v>76</v>
      </c>
      <c r="C97" s="276" t="n">
        <v>356753.87</v>
      </c>
      <c r="D97" s="276" t="n">
        <v>-162000</v>
      </c>
      <c r="E97" s="322">
        <f>D97/((1+0.7976%)^B97)</f>
        <v/>
      </c>
      <c r="F97" s="322">
        <f>C97/((1+0.7976%)^B97)</f>
        <v/>
      </c>
      <c r="O97" s="276" t="n">
        <v>-40000</v>
      </c>
    </row>
    <row r="98">
      <c r="B98" s="276" t="n">
        <v>77</v>
      </c>
      <c r="C98" s="276" t="n">
        <v>353358.92</v>
      </c>
      <c r="D98" s="276" t="n">
        <v>-293000</v>
      </c>
      <c r="E98" s="322">
        <f>D98/((1+0.7976%)^B98)</f>
        <v/>
      </c>
      <c r="F98" s="322">
        <f>C98/((1+0.7976%)^B98)</f>
        <v/>
      </c>
      <c r="O98" s="276" t="n">
        <v>-40000</v>
      </c>
    </row>
    <row r="99">
      <c r="B99" s="276" t="n">
        <v>78</v>
      </c>
      <c r="C99" s="276" t="n">
        <v>349962.94</v>
      </c>
      <c r="D99" s="276" t="n">
        <v>-250000</v>
      </c>
      <c r="E99" s="322">
        <f>D99/((1+0.7976%)^B99)</f>
        <v/>
      </c>
      <c r="F99" s="322">
        <f>C99/((1+0.7976%)^B99)</f>
        <v/>
      </c>
      <c r="O99" s="276" t="n">
        <v>-40000</v>
      </c>
    </row>
    <row r="100">
      <c r="B100" s="276" t="n">
        <v>79</v>
      </c>
      <c r="C100" s="276" t="n">
        <v>346567.98</v>
      </c>
      <c r="D100" s="276" t="n">
        <v>-230000</v>
      </c>
      <c r="E100" s="322">
        <f>D100/((1+0.7976%)^B100)</f>
        <v/>
      </c>
      <c r="F100" s="322">
        <f>C100/((1+0.7976%)^B100)</f>
        <v/>
      </c>
      <c r="O100" s="276" t="n">
        <v>-20000</v>
      </c>
    </row>
    <row r="101">
      <c r="B101" s="276" t="n">
        <v>80</v>
      </c>
      <c r="C101" s="276" t="n">
        <v>343870.76</v>
      </c>
      <c r="D101" s="276" t="n">
        <v>-230000</v>
      </c>
      <c r="E101" s="322">
        <f>D101/((1+0.7976%)^B101)</f>
        <v/>
      </c>
      <c r="F101" s="322">
        <f>C101/((1+0.7976%)^B101)</f>
        <v/>
      </c>
      <c r="O101" s="276" t="n">
        <v>-3251</v>
      </c>
    </row>
    <row r="102">
      <c r="B102" s="276" t="n">
        <v>81</v>
      </c>
      <c r="C102" s="276" t="n">
        <v>341102.82</v>
      </c>
      <c r="D102" s="276" t="n">
        <v>-230000</v>
      </c>
      <c r="E102" s="322">
        <f>D102/((1+0.7976%)^B102)</f>
        <v/>
      </c>
      <c r="F102" s="322">
        <f>C102/((1+0.7976%)^B102)</f>
        <v/>
      </c>
    </row>
    <row r="103">
      <c r="B103" s="276" t="n">
        <v>82</v>
      </c>
      <c r="C103" s="276" t="n">
        <v>338335.88</v>
      </c>
      <c r="D103" s="276" t="n">
        <v>-530000</v>
      </c>
      <c r="E103" s="322">
        <f>D103/((1+0.7976%)^B103)</f>
        <v/>
      </c>
      <c r="F103" s="322">
        <f>C103/((1+0.7976%)^B103)</f>
        <v/>
      </c>
    </row>
    <row r="104">
      <c r="B104" s="276" t="n">
        <v>83</v>
      </c>
      <c r="C104" s="276" t="n">
        <v>335568.94</v>
      </c>
      <c r="D104" s="276" t="n">
        <v>-400000</v>
      </c>
      <c r="E104" s="322">
        <f>D104/((1+0.7976%)^B104)</f>
        <v/>
      </c>
      <c r="F104" s="322">
        <f>C104/((1+0.7976%)^B104)</f>
        <v/>
      </c>
    </row>
    <row r="105">
      <c r="B105" s="276" t="n">
        <v>84</v>
      </c>
      <c r="C105" s="276" t="n">
        <v>332801.01</v>
      </c>
      <c r="D105" s="276" t="n">
        <v>-220000</v>
      </c>
      <c r="E105" s="322">
        <f>D105/((1+0.7976%)^B105)</f>
        <v/>
      </c>
      <c r="F105" s="322">
        <f>C105/((1+0.7976%)^B105)</f>
        <v/>
      </c>
    </row>
    <row r="106">
      <c r="B106" s="276" t="n">
        <v>85</v>
      </c>
      <c r="C106" s="276" t="n">
        <v>330034.08</v>
      </c>
      <c r="D106" s="276" t="n">
        <v>-210000</v>
      </c>
      <c r="E106" s="322">
        <f>D106/((1+0.7976%)^B106)</f>
        <v/>
      </c>
      <c r="F106" s="322">
        <f>C106/((1+0.7976%)^B106)</f>
        <v/>
      </c>
    </row>
    <row r="107">
      <c r="B107" s="276" t="n">
        <v>86</v>
      </c>
      <c r="C107" s="276" t="n">
        <v>327267.13</v>
      </c>
      <c r="D107" s="276" t="n">
        <v>-220000</v>
      </c>
      <c r="E107" s="322">
        <f>D107/((1+0.7976%)^B107)</f>
        <v/>
      </c>
      <c r="F107" s="322">
        <f>C107/((1+0.7976%)^B107)</f>
        <v/>
      </c>
    </row>
    <row r="108">
      <c r="B108" s="276" t="n">
        <v>87</v>
      </c>
      <c r="C108" s="276" t="n">
        <v>324559.19</v>
      </c>
      <c r="D108" s="276" t="n">
        <v>-530000</v>
      </c>
      <c r="E108" s="322">
        <f>D108/((1+0.7976%)^B108)</f>
        <v/>
      </c>
      <c r="F108" s="322">
        <f>C108/((1+0.7976%)^B108)</f>
        <v/>
      </c>
    </row>
    <row r="109">
      <c r="B109" s="276" t="n">
        <v>88</v>
      </c>
      <c r="C109" s="276" t="n">
        <v>321851.26</v>
      </c>
      <c r="D109" s="276" t="n">
        <v>-300000</v>
      </c>
      <c r="E109" s="322">
        <f>D109/((1+0.7976%)^B109)</f>
        <v/>
      </c>
      <c r="F109" s="322">
        <f>C109/((1+0.7976%)^B109)</f>
        <v/>
      </c>
    </row>
    <row r="110">
      <c r="B110" s="276" t="n">
        <v>89</v>
      </c>
      <c r="C110" s="276" t="n">
        <v>319144.33</v>
      </c>
      <c r="D110" s="276" t="n">
        <v>-210000</v>
      </c>
      <c r="E110" s="322">
        <f>D110/((1+0.7976%)^B110)</f>
        <v/>
      </c>
      <c r="F110" s="322">
        <f>C110/((1+0.7976%)^B110)</f>
        <v/>
      </c>
    </row>
    <row r="111">
      <c r="B111" s="276" t="n">
        <v>90</v>
      </c>
      <c r="C111" s="276" t="n">
        <v>316436.39</v>
      </c>
      <c r="D111" s="276" t="n">
        <v>-203000</v>
      </c>
      <c r="E111" s="322">
        <f>D111/((1+0.7976%)^B111)</f>
        <v/>
      </c>
      <c r="F111" s="322">
        <f>C111/((1+0.7976%)^B111)</f>
        <v/>
      </c>
    </row>
    <row r="112">
      <c r="B112" s="276" t="n">
        <v>91</v>
      </c>
      <c r="C112" s="276" t="n">
        <v>310256.45</v>
      </c>
      <c r="D112" s="276" t="n">
        <v>-210000</v>
      </c>
      <c r="E112" s="322">
        <f>D112/((1+0.7976%)^B112)</f>
        <v/>
      </c>
      <c r="F112" s="322">
        <f>C112/((1+0.7976%)^B112)</f>
        <v/>
      </c>
    </row>
    <row r="113">
      <c r="B113" s="276" t="n">
        <v>92</v>
      </c>
      <c r="C113" s="276" t="n">
        <v>293719.47</v>
      </c>
      <c r="D113" s="276" t="n">
        <v>-204000</v>
      </c>
      <c r="E113" s="322">
        <f>D113/((1+0.7976%)^B113)</f>
        <v/>
      </c>
      <c r="F113" s="322">
        <f>C113/((1+0.7976%)^B113)</f>
        <v/>
      </c>
    </row>
    <row r="114">
      <c r="B114" s="276" t="n">
        <v>93</v>
      </c>
      <c r="C114" s="276" t="n">
        <v>212073.86</v>
      </c>
      <c r="D114" s="276" t="n">
        <v>-237000</v>
      </c>
      <c r="E114" s="322">
        <f>D114/((1+0.7976%)^B114)</f>
        <v/>
      </c>
      <c r="F114" s="322">
        <f>C114/((1+0.7976%)^B114)</f>
        <v/>
      </c>
    </row>
    <row r="115">
      <c r="B115" s="276" t="n">
        <v>94</v>
      </c>
      <c r="C115" s="276" t="n">
        <v>206295.09</v>
      </c>
      <c r="D115" s="276" t="n">
        <v>-348000</v>
      </c>
      <c r="E115" s="322">
        <f>D115/((1+0.7976%)^B115)</f>
        <v/>
      </c>
      <c r="F115" s="322">
        <f>C115/((1+0.7976%)^B115)</f>
        <v/>
      </c>
    </row>
    <row r="116">
      <c r="B116" s="276" t="n">
        <v>95</v>
      </c>
      <c r="C116" s="276" t="n">
        <v>193709.57</v>
      </c>
      <c r="D116" s="276" t="n">
        <v>-150000</v>
      </c>
      <c r="E116" s="322">
        <f>D116/((1+0.7976%)^B116)</f>
        <v/>
      </c>
      <c r="F116" s="322">
        <f>C116/((1+0.7976%)^B116)</f>
        <v/>
      </c>
    </row>
    <row r="117">
      <c r="B117" s="276" t="n">
        <v>96</v>
      </c>
      <c r="C117" s="276" t="n">
        <v>181074.11</v>
      </c>
      <c r="D117" s="276" t="n">
        <v>-140000</v>
      </c>
      <c r="E117" s="322">
        <f>D117/((1+0.7976%)^B117)</f>
        <v/>
      </c>
      <c r="F117" s="322">
        <f>C117/((1+0.7976%)^B117)</f>
        <v/>
      </c>
    </row>
    <row r="118">
      <c r="B118" s="276" t="n">
        <v>97</v>
      </c>
      <c r="C118" s="276" t="n">
        <v>168421.57</v>
      </c>
      <c r="D118" s="276" t="n">
        <v>-187672</v>
      </c>
      <c r="E118" s="322">
        <f>D118/((1+0.7976%)^B118)</f>
        <v/>
      </c>
      <c r="F118" s="322">
        <f>C118/((1+0.7976%)^B118)</f>
        <v/>
      </c>
    </row>
    <row r="119">
      <c r="B119" s="276" t="n">
        <v>98</v>
      </c>
      <c r="C119" s="276" t="n">
        <v>155723.93</v>
      </c>
      <c r="D119" s="276" t="n">
        <v>-91166</v>
      </c>
      <c r="E119" s="322">
        <f>D119/((1+0.7976%)^B119)</f>
        <v/>
      </c>
      <c r="F119" s="322">
        <f>C119/((1+0.7976%)^B119)</f>
        <v/>
      </c>
    </row>
    <row r="120">
      <c r="B120" s="276" t="n">
        <v>99</v>
      </c>
      <c r="C120" s="276" t="n">
        <v>143037.09</v>
      </c>
      <c r="D120" s="276" t="n">
        <v>-200000</v>
      </c>
      <c r="E120" s="322">
        <f>D120/((1+0.7976%)^B120)</f>
        <v/>
      </c>
      <c r="F120" s="322">
        <f>C120/((1+0.7976%)^B120)</f>
        <v/>
      </c>
    </row>
    <row r="121">
      <c r="B121" s="276" t="n">
        <v>100</v>
      </c>
      <c r="C121" s="276" t="n">
        <v>130351.26</v>
      </c>
      <c r="D121" s="276" t="n">
        <v>-85821</v>
      </c>
      <c r="E121" s="322">
        <f>D121/((1+0.7976%)^B121)</f>
        <v/>
      </c>
      <c r="F121" s="322">
        <f>C121/((1+0.7976%)^B121)</f>
        <v/>
      </c>
    </row>
    <row r="122">
      <c r="B122" s="276" t="n">
        <v>101</v>
      </c>
      <c r="C122" s="276" t="n">
        <v>117663.43</v>
      </c>
      <c r="D122" s="276" t="n">
        <v>-133531</v>
      </c>
      <c r="E122" s="322">
        <f>D122/((1+0.7976%)^B122)</f>
        <v/>
      </c>
      <c r="F122" s="322">
        <f>C122/((1+0.7976%)^B122)</f>
        <v/>
      </c>
    </row>
    <row r="123">
      <c r="B123" s="276" t="n">
        <v>102</v>
      </c>
      <c r="C123" s="276" t="n">
        <v>104976.59</v>
      </c>
      <c r="D123" s="276" t="n">
        <v>-108533</v>
      </c>
      <c r="E123" s="322">
        <f>D123/((1+0.7976%)^B123)</f>
        <v/>
      </c>
      <c r="F123" s="322">
        <f>C123/((1+0.7976%)^B123)</f>
        <v/>
      </c>
    </row>
    <row r="124">
      <c r="B124" s="276" t="n">
        <v>103</v>
      </c>
      <c r="C124" s="276" t="n">
        <v>106137.31</v>
      </c>
      <c r="D124" s="276" t="n">
        <v>-76447</v>
      </c>
      <c r="E124" s="322">
        <f>D124/((1+0.7976%)^B124)</f>
        <v/>
      </c>
      <c r="F124" s="322">
        <f>C124/((1+0.7976%)^B124)</f>
        <v/>
      </c>
    </row>
    <row r="125">
      <c r="B125" s="276" t="n">
        <v>104</v>
      </c>
      <c r="C125" s="276" t="n">
        <v>99502.96000000001</v>
      </c>
      <c r="D125" s="276" t="n">
        <v>-80000</v>
      </c>
      <c r="E125" s="322">
        <f>D125/((1+0.7976%)^B125)</f>
        <v/>
      </c>
      <c r="F125" s="322">
        <f>C125/((1+0.7976%)^B125)</f>
        <v/>
      </c>
    </row>
    <row r="126">
      <c r="B126" s="276" t="n">
        <v>105</v>
      </c>
      <c r="C126" s="276" t="n">
        <v>93509.21000000001</v>
      </c>
      <c r="D126" s="276" t="n">
        <v>-100000</v>
      </c>
      <c r="E126" s="322">
        <f>D126/((1+0.7976%)^B126)</f>
        <v/>
      </c>
      <c r="F126" s="322">
        <f>C126/((1+0.7976%)^B126)</f>
        <v/>
      </c>
    </row>
    <row r="127">
      <c r="B127" s="276" t="n">
        <v>106</v>
      </c>
      <c r="C127" s="276" t="n">
        <v>87515.47</v>
      </c>
      <c r="D127" s="276" t="n">
        <v>-50000</v>
      </c>
      <c r="E127" s="322">
        <f>D127/((1+0.7976%)^B127)</f>
        <v/>
      </c>
      <c r="F127" s="322">
        <f>C127/((1+0.7976%)^B127)</f>
        <v/>
      </c>
    </row>
    <row r="128">
      <c r="B128" s="276" t="n">
        <v>107</v>
      </c>
      <c r="C128" s="276" t="n">
        <v>81521.74000000001</v>
      </c>
      <c r="D128" s="276" t="n">
        <v>-100000</v>
      </c>
      <c r="E128" s="322">
        <f>D128/((1+0.7976%)^B128)</f>
        <v/>
      </c>
      <c r="F128" s="322">
        <f>C128/((1+0.7976%)^B128)</f>
        <v/>
      </c>
    </row>
    <row r="129">
      <c r="B129" s="276" t="n">
        <v>108</v>
      </c>
      <c r="C129" s="276" t="n">
        <v>75527.99000000001</v>
      </c>
      <c r="D129" s="276" t="n">
        <v>-100000</v>
      </c>
      <c r="E129" s="322">
        <f>D129/((1+0.7976%)^B129)</f>
        <v/>
      </c>
      <c r="F129" s="322">
        <f>C129/((1+0.7976%)^B129)</f>
        <v/>
      </c>
    </row>
    <row r="130">
      <c r="B130" s="276" t="n">
        <v>109</v>
      </c>
      <c r="C130" s="276" t="n">
        <v>69533.25999999999</v>
      </c>
      <c r="D130" s="276" t="n">
        <v>-75000</v>
      </c>
      <c r="E130" s="322">
        <f>D130/((1+0.7976%)^B130)</f>
        <v/>
      </c>
      <c r="F130" s="322">
        <f>C130/((1+0.7976%)^B130)</f>
        <v/>
      </c>
    </row>
    <row r="131">
      <c r="B131" s="276" t="n">
        <v>110</v>
      </c>
      <c r="C131" s="276" t="n">
        <v>63539.51</v>
      </c>
      <c r="D131" s="276" t="n">
        <v>-64000</v>
      </c>
      <c r="E131" s="322">
        <f>D131/((1+0.7976%)^B131)</f>
        <v/>
      </c>
      <c r="F131" s="322">
        <f>C131/((1+0.7976%)^B131)</f>
        <v/>
      </c>
    </row>
    <row r="132">
      <c r="B132" s="276" t="n">
        <v>111</v>
      </c>
      <c r="C132" s="276" t="n">
        <v>57623.77</v>
      </c>
      <c r="D132" s="276" t="n">
        <v>-85000</v>
      </c>
      <c r="E132" s="322">
        <f>D132/((1+0.7976%)^B132)</f>
        <v/>
      </c>
      <c r="F132" s="322">
        <f>C132/((1+0.7976%)^B132)</f>
        <v/>
      </c>
    </row>
    <row r="133">
      <c r="B133" s="276" t="n">
        <v>112</v>
      </c>
      <c r="C133" s="276" t="n">
        <v>51707.03</v>
      </c>
      <c r="D133" s="276" t="n">
        <v>-40000</v>
      </c>
      <c r="E133" s="322">
        <f>D133/((1+0.7976%)^B133)</f>
        <v/>
      </c>
      <c r="F133" s="322">
        <f>C133/((1+0.7976%)^B133)</f>
        <v/>
      </c>
    </row>
    <row r="134">
      <c r="B134" s="276" t="n">
        <v>113</v>
      </c>
      <c r="C134" s="276" t="n">
        <v>45791.29</v>
      </c>
      <c r="D134" s="276" t="n">
        <v>-60000</v>
      </c>
      <c r="E134" s="322">
        <f>D134/((1+0.7976%)^B134)</f>
        <v/>
      </c>
      <c r="F134" s="322">
        <f>C134/((1+0.7976%)^B134)</f>
        <v/>
      </c>
    </row>
    <row r="135">
      <c r="B135" s="276" t="n">
        <v>114</v>
      </c>
      <c r="C135" s="276" t="n">
        <v>39874.54</v>
      </c>
      <c r="D135" s="276" t="n">
        <v>-40000</v>
      </c>
      <c r="E135" s="322">
        <f>D135/((1+0.7976%)^B135)</f>
        <v/>
      </c>
      <c r="F135" s="322">
        <f>C135/((1+0.7976%)^B135)</f>
        <v/>
      </c>
    </row>
    <row r="136">
      <c r="B136" s="276" t="n">
        <v>115</v>
      </c>
      <c r="C136" s="276" t="n">
        <v>33958.8</v>
      </c>
      <c r="D136" s="276" t="n">
        <v>-40000</v>
      </c>
      <c r="E136" s="322">
        <f>D136/((1+0.7976%)^B136)</f>
        <v/>
      </c>
      <c r="F136" s="322">
        <f>C136/((1+0.7976%)^B136)</f>
        <v/>
      </c>
    </row>
    <row r="137">
      <c r="B137" s="276" t="n">
        <v>116</v>
      </c>
      <c r="C137" s="276" t="n">
        <v>31247.75</v>
      </c>
      <c r="D137" s="276" t="n">
        <v>-40000</v>
      </c>
      <c r="E137" s="322">
        <f>D137/((1+0.7976%)^B137)</f>
        <v/>
      </c>
      <c r="F137" s="322">
        <f>C137/((1+0.7976%)^B137)</f>
        <v/>
      </c>
    </row>
    <row r="138">
      <c r="B138" s="276" t="n">
        <v>117</v>
      </c>
      <c r="C138" s="276" t="n">
        <v>28216.37</v>
      </c>
      <c r="D138" s="276" t="n">
        <v>-20000</v>
      </c>
      <c r="E138" s="322">
        <f>D138/((1+0.7976%)^B138)</f>
        <v/>
      </c>
      <c r="F138" s="322">
        <f>C138/((1+0.7976%)^B138)</f>
        <v/>
      </c>
    </row>
    <row r="139">
      <c r="B139" s="276" t="n">
        <v>118</v>
      </c>
      <c r="C139" s="276" t="n">
        <v>25186</v>
      </c>
      <c r="D139" s="276" t="n">
        <v>-3251</v>
      </c>
      <c r="E139" s="322">
        <f>D139/((1+0.7976%)^B139)</f>
        <v/>
      </c>
      <c r="F139" s="322">
        <f>C139/((1+0.7976%)^B139)</f>
        <v/>
      </c>
    </row>
    <row r="140">
      <c r="B140" s="276" t="n">
        <v>119</v>
      </c>
      <c r="C140" s="276" t="n">
        <v>22154.64</v>
      </c>
      <c r="E140" s="322">
        <f>D140/((1+0.7976%)^B140)</f>
        <v/>
      </c>
      <c r="F140" s="322">
        <f>C140/((1+0.7976%)^B140)</f>
        <v/>
      </c>
    </row>
    <row r="141">
      <c r="B141" s="276" t="n">
        <v>120</v>
      </c>
      <c r="C141" s="276" t="n">
        <v>19124.27</v>
      </c>
      <c r="E141" s="322">
        <f>D141/((1+0.7976%)^B141)</f>
        <v/>
      </c>
      <c r="F141" s="322">
        <f>C141/((1+0.7976%)^B141)</f>
        <v/>
      </c>
    </row>
    <row r="142">
      <c r="B142" s="276" t="n">
        <v>121</v>
      </c>
      <c r="C142" s="276" t="n">
        <v>16092.91</v>
      </c>
      <c r="E142" s="322">
        <f>D142/((1+0.7976%)^B142)</f>
        <v/>
      </c>
      <c r="F142" s="322">
        <f>C142/((1+0.7976%)^B142)</f>
        <v/>
      </c>
    </row>
    <row r="143">
      <c r="B143" s="276" t="n">
        <v>122</v>
      </c>
      <c r="C143" s="276" t="n">
        <v>13062.53</v>
      </c>
      <c r="E143" s="322">
        <f>D143/((1+0.7976%)^B143)</f>
        <v/>
      </c>
      <c r="F143" s="322">
        <f>C143/((1+0.7976%)^B143)</f>
        <v/>
      </c>
    </row>
    <row r="144">
      <c r="B144" s="276" t="n">
        <v>123</v>
      </c>
      <c r="C144" s="276" t="n">
        <v>10053.17</v>
      </c>
      <c r="E144" s="322">
        <f>D144/((1+0.7976%)^B144)</f>
        <v/>
      </c>
      <c r="F144" s="322">
        <f>C144/((1+0.7976%)^B144)</f>
        <v/>
      </c>
    </row>
    <row r="145">
      <c r="B145" s="276" t="n">
        <v>124</v>
      </c>
      <c r="C145" s="276" t="n">
        <v>7044.8</v>
      </c>
      <c r="E145" s="322">
        <f>D145/((1+0.7976%)^B145)</f>
        <v/>
      </c>
      <c r="F145" s="322">
        <f>C145/((1+0.7976%)^B145)</f>
        <v/>
      </c>
    </row>
    <row r="146">
      <c r="B146" s="276" t="n">
        <v>125</v>
      </c>
      <c r="C146" s="276" t="n">
        <v>4036.43</v>
      </c>
      <c r="E146" s="322">
        <f>D146/((1+0.7976%)^B146)</f>
        <v/>
      </c>
      <c r="F146" s="322">
        <f>C146/((1+0.7976%)^B146)</f>
        <v/>
      </c>
    </row>
    <row r="147">
      <c r="B147" s="276" t="n">
        <v>126</v>
      </c>
      <c r="C147" s="276" t="n">
        <v>1028.06</v>
      </c>
      <c r="E147" s="322">
        <f>D147/((1+0.7976%)^B147)</f>
        <v/>
      </c>
      <c r="F147" s="322">
        <f>C147/((1+0.7976%)^B147)</f>
        <v/>
      </c>
    </row>
    <row r="148">
      <c r="B148" s="276" t="n">
        <v>127</v>
      </c>
      <c r="C148" s="276" t="n">
        <v>-1980.3</v>
      </c>
      <c r="E148" s="322">
        <f>D148/((1+0.7976%)^B148)</f>
        <v/>
      </c>
      <c r="F148" s="322">
        <f>C148/((1+0.7976%)^B148)</f>
        <v/>
      </c>
    </row>
    <row r="149">
      <c r="B149" s="276" t="n">
        <v>128</v>
      </c>
      <c r="C149" s="276" t="n">
        <v>-1783</v>
      </c>
      <c r="E149" s="322">
        <f>D149/((1+0.7976%)^B149)</f>
        <v/>
      </c>
      <c r="F149" s="322">
        <f>C149/((1+0.7976%)^B149)</f>
        <v/>
      </c>
    </row>
    <row r="150">
      <c r="B150" s="276" t="n">
        <v>129</v>
      </c>
      <c r="C150" s="276" t="n">
        <v>-1906</v>
      </c>
      <c r="E150" s="322">
        <f>D150/((1+0.7976%)^B150)</f>
        <v/>
      </c>
      <c r="F150" s="322">
        <f>C150/((1+0.7976%)^B150)</f>
        <v/>
      </c>
    </row>
    <row r="151">
      <c r="B151" s="276" t="n">
        <v>130</v>
      </c>
      <c r="C151" s="276" t="n">
        <v>-2030</v>
      </c>
      <c r="E151" s="322">
        <f>D151/((1+0.7976%)^B151)</f>
        <v/>
      </c>
      <c r="F151" s="322">
        <f>C151/((1+0.7976%)^B151)</f>
        <v/>
      </c>
    </row>
    <row r="152">
      <c r="B152" s="276" t="n">
        <v>131</v>
      </c>
      <c r="C152" s="276" t="n">
        <v>-2153</v>
      </c>
      <c r="E152" s="322">
        <f>D152/((1+0.7976%)^B152)</f>
        <v/>
      </c>
      <c r="F152" s="322">
        <f>C152/((1+0.7976%)^B152)</f>
        <v/>
      </c>
    </row>
    <row r="153">
      <c r="B153" s="276" t="n">
        <v>132</v>
      </c>
      <c r="C153" s="276" t="n">
        <v>-2276</v>
      </c>
      <c r="E153" s="322">
        <f>D153/((1+0.7976%)^B153)</f>
        <v/>
      </c>
      <c r="F153" s="322">
        <f>C153/((1+0.7976%)^B153)</f>
        <v/>
      </c>
    </row>
    <row r="154">
      <c r="B154" s="276" t="n">
        <v>133</v>
      </c>
      <c r="C154" s="276" t="n">
        <v>-2399</v>
      </c>
      <c r="E154" s="322">
        <f>D154/((1+0.7976%)^B154)</f>
        <v/>
      </c>
      <c r="F154" s="322">
        <f>C154/((1+0.7976%)^B154)</f>
        <v/>
      </c>
    </row>
    <row r="155">
      <c r="B155" s="276" t="n">
        <v>134</v>
      </c>
      <c r="C155" s="276" t="n">
        <v>-2522</v>
      </c>
      <c r="E155" s="322">
        <f>D155/((1+0.7976%)^B155)</f>
        <v/>
      </c>
      <c r="F155" s="322">
        <f>C155/((1+0.7976%)^B155)</f>
        <v/>
      </c>
    </row>
    <row r="156">
      <c r="B156" s="276" t="n">
        <v>135</v>
      </c>
      <c r="C156" s="276" t="n">
        <v>-2645</v>
      </c>
      <c r="E156" s="322">
        <f>D156/((1+0.7976%)^B156)</f>
        <v/>
      </c>
      <c r="F156" s="322">
        <f>C156/((1+0.7976%)^B156)</f>
        <v/>
      </c>
    </row>
    <row r="157">
      <c r="B157" s="276" t="n">
        <v>136</v>
      </c>
      <c r="C157" s="276" t="n">
        <v>-2768</v>
      </c>
      <c r="E157" s="322">
        <f>D157/((1+0.7976%)^B157)</f>
        <v/>
      </c>
      <c r="F157" s="322">
        <f>C157/((1+0.7976%)^B157)</f>
        <v/>
      </c>
    </row>
    <row r="158">
      <c r="B158" s="276" t="n">
        <v>137</v>
      </c>
      <c r="C158" s="276" t="n">
        <v>-2892</v>
      </c>
      <c r="E158" s="322">
        <f>D158/((1+0.7976%)^B158)</f>
        <v/>
      </c>
      <c r="F158" s="322">
        <f>C158/((1+0.7976%)^B158)</f>
        <v/>
      </c>
    </row>
    <row r="159">
      <c r="B159" s="276" t="n">
        <v>138</v>
      </c>
      <c r="C159" s="276" t="n">
        <v>-3015</v>
      </c>
      <c r="E159" s="322">
        <f>D159/((1+0.7976%)^B159)</f>
        <v/>
      </c>
      <c r="F159" s="322">
        <f>C159/((1+0.7976%)^B159)</f>
        <v/>
      </c>
    </row>
    <row r="160">
      <c r="B160" s="276" t="n">
        <v>139</v>
      </c>
      <c r="C160" s="276" t="n">
        <v>-3138</v>
      </c>
      <c r="E160" s="322">
        <f>D160/((1+0.7976%)^B160)</f>
        <v/>
      </c>
      <c r="F160" s="322">
        <f>C160/((1+0.7976%)^B160)</f>
        <v/>
      </c>
    </row>
    <row r="161">
      <c r="B161" s="276" t="n">
        <v>140</v>
      </c>
      <c r="C161" s="276" t="n">
        <v>-3261</v>
      </c>
      <c r="E161" s="322">
        <f>D161/((1+0.7976%)^B161)</f>
        <v/>
      </c>
      <c r="F161" s="322">
        <f>C161/((1+0.7976%)^B161)</f>
        <v/>
      </c>
    </row>
    <row r="162">
      <c r="B162" s="276" t="n">
        <v>141</v>
      </c>
      <c r="C162" s="276" t="n">
        <v>-3384</v>
      </c>
      <c r="E162" s="322">
        <f>D162/((1+0.7976%)^B162)</f>
        <v/>
      </c>
      <c r="F162" s="322">
        <f>C162/((1+0.7976%)^B162)</f>
        <v/>
      </c>
    </row>
    <row r="163">
      <c r="B163" s="276" t="n">
        <v>142</v>
      </c>
      <c r="C163" s="276" t="n">
        <v>-3507</v>
      </c>
      <c r="E163" s="322">
        <f>D163/((1+0.7976%)^B163)</f>
        <v/>
      </c>
      <c r="F163" s="322">
        <f>C163/((1+0.7976%)^B163)</f>
        <v/>
      </c>
    </row>
    <row r="164">
      <c r="B164" s="276" t="n">
        <v>143</v>
      </c>
      <c r="C164" s="276" t="n">
        <v>-3631</v>
      </c>
      <c r="E164" s="322">
        <f>D164/((1+0.7976%)^B164)</f>
        <v/>
      </c>
      <c r="F164" s="322">
        <f>C164/((1+0.7976%)^B164)</f>
        <v/>
      </c>
    </row>
    <row r="165">
      <c r="B165" s="276" t="n">
        <v>144</v>
      </c>
      <c r="C165" s="276" t="n">
        <v>-3754</v>
      </c>
      <c r="E165" s="322">
        <f>D165/((1+0.7976%)^B165)</f>
        <v/>
      </c>
      <c r="F165" s="322">
        <f>C165/((1+0.7976%)^B165)</f>
        <v/>
      </c>
    </row>
    <row r="166">
      <c r="B166" s="276" t="n">
        <v>145</v>
      </c>
      <c r="C166" s="276" t="n">
        <v>-1377</v>
      </c>
      <c r="E166" s="322">
        <f>D166/((1+0.7976%)^B166)</f>
        <v/>
      </c>
      <c r="F166" s="322">
        <f>C166/((1+0.7976%)^B166)</f>
        <v/>
      </c>
    </row>
    <row r="167">
      <c r="B167" s="276" t="n">
        <v>146</v>
      </c>
      <c r="F167" s="322">
        <f>C167/((1+0.7976%)^B167)</f>
        <v/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Renato Ribeiro</dc:creator>
  <dcterms:created xsi:type="dcterms:W3CDTF">2023-05-12T11:31:48Z</dcterms:created>
  <dcterms:modified xsi:type="dcterms:W3CDTF">2026-06-30T20:06:49Z</dcterms:modified>
  <cp:lastModifiedBy>Alexandre Pinheiro</cp:lastModifiedBy>
  <cp:lastPrinted>2024-06-06T17:11:39Z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0x01010084957D5DFEF91F43957A9B98F18544CF</vt:lpwstr>
  </property>
  <property name="MediaServiceImageTags" fmtid="{D5CDD505-2E9C-101B-9397-08002B2CF9AE}" pid="3">
    <vt:lpwstr/>
  </property>
</Properties>
</file>